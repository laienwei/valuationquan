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237" i="1" l="1"/>
  <c r="T1237" i="1"/>
  <c r="S1237" i="1"/>
  <c r="R1237" i="1"/>
  <c r="Q1237" i="1"/>
  <c r="P1237" i="1"/>
  <c r="I1237" i="1"/>
  <c r="H1237" i="1"/>
  <c r="U1236" i="1"/>
  <c r="T1236" i="1"/>
  <c r="S1236" i="1"/>
  <c r="R1236" i="1"/>
  <c r="Q1236" i="1"/>
  <c r="P1236" i="1"/>
  <c r="I1236" i="1"/>
  <c r="H1236" i="1"/>
  <c r="U1235" i="1"/>
  <c r="T1235" i="1"/>
  <c r="S1235" i="1"/>
  <c r="R1235" i="1"/>
  <c r="Q1235" i="1"/>
  <c r="P1235" i="1"/>
  <c r="I1235" i="1"/>
  <c r="H1235" i="1"/>
  <c r="U1234" i="1"/>
  <c r="T1234" i="1"/>
  <c r="S1234" i="1"/>
  <c r="R1234" i="1"/>
  <c r="Q1234" i="1"/>
  <c r="P1234" i="1"/>
  <c r="I1234" i="1"/>
  <c r="H1234" i="1"/>
  <c r="U1233" i="1"/>
  <c r="T1233" i="1"/>
  <c r="S1233" i="1"/>
  <c r="R1233" i="1"/>
  <c r="Q1233" i="1"/>
  <c r="P1233" i="1"/>
  <c r="I1233" i="1"/>
  <c r="H1233" i="1"/>
  <c r="U1232" i="1"/>
  <c r="T1232" i="1"/>
  <c r="S1232" i="1"/>
  <c r="R1232" i="1"/>
  <c r="Q1232" i="1"/>
  <c r="P1232" i="1"/>
  <c r="I1232" i="1"/>
  <c r="H1232" i="1"/>
  <c r="U1231" i="1"/>
  <c r="T1231" i="1"/>
  <c r="S1231" i="1"/>
  <c r="R1231" i="1"/>
  <c r="Q1231" i="1"/>
  <c r="P1231" i="1"/>
  <c r="I1231" i="1"/>
  <c r="H1231" i="1"/>
  <c r="U1230" i="1"/>
  <c r="T1230" i="1"/>
  <c r="S1230" i="1"/>
  <c r="R1230" i="1"/>
  <c r="Q1230" i="1"/>
  <c r="P1230" i="1"/>
  <c r="I1230" i="1"/>
  <c r="H1230" i="1"/>
  <c r="U1229" i="1"/>
  <c r="T1229" i="1"/>
  <c r="S1229" i="1"/>
  <c r="R1229" i="1"/>
  <c r="Q1229" i="1"/>
  <c r="P1229" i="1"/>
  <c r="I1229" i="1"/>
  <c r="H1229" i="1"/>
  <c r="U1228" i="1"/>
  <c r="T1228" i="1"/>
  <c r="S1228" i="1"/>
  <c r="R1228" i="1"/>
  <c r="Q1228" i="1"/>
  <c r="P1228" i="1"/>
  <c r="I1228" i="1"/>
  <c r="H1228" i="1"/>
  <c r="U1227" i="1"/>
  <c r="T1227" i="1"/>
  <c r="S1227" i="1"/>
  <c r="R1227" i="1"/>
  <c r="Q1227" i="1"/>
  <c r="P1227" i="1"/>
  <c r="I1227" i="1"/>
  <c r="H1227" i="1"/>
  <c r="U1226" i="1"/>
  <c r="T1226" i="1"/>
  <c r="S1226" i="1"/>
  <c r="R1226" i="1"/>
  <c r="Q1226" i="1"/>
  <c r="P1226" i="1"/>
  <c r="I1226" i="1"/>
  <c r="H1226" i="1"/>
  <c r="U1225" i="1"/>
  <c r="T1225" i="1"/>
  <c r="S1225" i="1"/>
  <c r="R1225" i="1"/>
  <c r="Q1225" i="1"/>
  <c r="P1225" i="1"/>
  <c r="I1225" i="1"/>
  <c r="H1225" i="1"/>
  <c r="U1224" i="1"/>
  <c r="T1224" i="1"/>
  <c r="S1224" i="1"/>
  <c r="R1224" i="1"/>
  <c r="Q1224" i="1"/>
  <c r="P1224" i="1"/>
  <c r="I1224" i="1"/>
  <c r="H1224" i="1"/>
  <c r="U1223" i="1"/>
  <c r="T1223" i="1"/>
  <c r="S1223" i="1"/>
  <c r="R1223" i="1"/>
  <c r="Q1223" i="1"/>
  <c r="P1223" i="1"/>
  <c r="I1223" i="1"/>
  <c r="H1223" i="1"/>
  <c r="U1222" i="1"/>
  <c r="T1222" i="1"/>
  <c r="S1222" i="1"/>
  <c r="R1222" i="1"/>
  <c r="Q1222" i="1"/>
  <c r="P1222" i="1"/>
  <c r="I1222" i="1"/>
  <c r="H1222" i="1"/>
  <c r="U1221" i="1"/>
  <c r="T1221" i="1"/>
  <c r="S1221" i="1"/>
  <c r="R1221" i="1"/>
  <c r="Q1221" i="1"/>
  <c r="P1221" i="1"/>
  <c r="I1221" i="1"/>
  <c r="H1221" i="1"/>
  <c r="U1220" i="1"/>
  <c r="T1220" i="1"/>
  <c r="S1220" i="1"/>
  <c r="R1220" i="1"/>
  <c r="Q1220" i="1"/>
  <c r="P1220" i="1"/>
  <c r="I1220" i="1"/>
  <c r="H1220" i="1"/>
  <c r="U1219" i="1"/>
  <c r="T1219" i="1"/>
  <c r="S1219" i="1"/>
  <c r="R1219" i="1"/>
  <c r="Q1219" i="1"/>
  <c r="P1219" i="1"/>
  <c r="I1219" i="1"/>
  <c r="H1219" i="1"/>
  <c r="U1218" i="1"/>
  <c r="T1218" i="1"/>
  <c r="S1218" i="1"/>
  <c r="R1218" i="1"/>
  <c r="Q1218" i="1"/>
  <c r="P1218" i="1"/>
  <c r="I1218" i="1"/>
  <c r="H1218" i="1"/>
  <c r="U1217" i="1"/>
  <c r="T1217" i="1"/>
  <c r="S1217" i="1"/>
  <c r="R1217" i="1"/>
  <c r="Q1217" i="1"/>
  <c r="P1217" i="1"/>
  <c r="I1217" i="1"/>
  <c r="H1217" i="1"/>
  <c r="U1216" i="1"/>
  <c r="T1216" i="1"/>
  <c r="S1216" i="1"/>
  <c r="R1216" i="1"/>
  <c r="Q1216" i="1"/>
  <c r="P1216" i="1"/>
  <c r="I1216" i="1"/>
  <c r="H1216" i="1"/>
  <c r="O1237" i="1"/>
  <c r="N1237" i="1"/>
  <c r="O1236" i="1"/>
  <c r="N1236" i="1"/>
  <c r="O1235" i="1"/>
  <c r="N1235" i="1"/>
  <c r="O1234" i="1"/>
  <c r="N1234" i="1"/>
  <c r="O1233" i="1"/>
  <c r="N1233" i="1"/>
  <c r="O1232" i="1"/>
  <c r="N1232" i="1"/>
  <c r="O1231" i="1"/>
  <c r="N1231" i="1"/>
  <c r="O1230" i="1"/>
  <c r="N1230" i="1"/>
  <c r="O1229" i="1"/>
  <c r="N1229" i="1"/>
  <c r="O1228" i="1"/>
  <c r="N1228" i="1"/>
  <c r="O1227" i="1"/>
  <c r="N1227" i="1"/>
  <c r="O1226" i="1"/>
  <c r="N1226" i="1"/>
  <c r="O1225" i="1"/>
  <c r="N1225" i="1"/>
  <c r="O1224" i="1"/>
  <c r="N1224" i="1"/>
  <c r="O1223" i="1"/>
  <c r="N1223" i="1"/>
  <c r="O1222" i="1"/>
  <c r="N1222" i="1"/>
  <c r="O1221" i="1"/>
  <c r="N1221" i="1"/>
  <c r="O1220" i="1"/>
  <c r="N1220" i="1"/>
  <c r="O1219" i="1"/>
  <c r="N1219" i="1"/>
  <c r="O1218" i="1"/>
  <c r="N1218" i="1"/>
  <c r="O1217" i="1"/>
  <c r="N1217" i="1"/>
  <c r="O1216" i="1"/>
  <c r="N1216" i="1"/>
  <c r="O1215" i="1"/>
  <c r="N1215" i="1"/>
  <c r="U1215" i="1" l="1"/>
  <c r="T1215" i="1"/>
  <c r="S1215" i="1"/>
  <c r="R1215" i="1"/>
  <c r="Q1215" i="1"/>
  <c r="P1215" i="1"/>
  <c r="I1215" i="1"/>
  <c r="H1215" i="1"/>
  <c r="U1214" i="1" l="1"/>
  <c r="T1214" i="1"/>
  <c r="S1214" i="1"/>
  <c r="R1214" i="1"/>
  <c r="Q1214" i="1"/>
  <c r="P1214" i="1"/>
  <c r="I1214" i="1"/>
  <c r="H1214" i="1"/>
  <c r="U1213" i="1"/>
  <c r="T1213" i="1"/>
  <c r="S1213" i="1"/>
  <c r="R1213" i="1"/>
  <c r="Q1213" i="1"/>
  <c r="P1213" i="1"/>
  <c r="I1213" i="1"/>
  <c r="H1213" i="1"/>
  <c r="U1212" i="1"/>
  <c r="T1212" i="1"/>
  <c r="S1212" i="1"/>
  <c r="R1212" i="1"/>
  <c r="Q1212" i="1"/>
  <c r="P1212" i="1"/>
  <c r="I1212" i="1"/>
  <c r="H1212" i="1"/>
  <c r="U1211" i="1"/>
  <c r="T1211" i="1"/>
  <c r="S1211" i="1"/>
  <c r="R1211" i="1"/>
  <c r="Q1211" i="1"/>
  <c r="P1211" i="1"/>
  <c r="I1211" i="1"/>
  <c r="H1211" i="1"/>
  <c r="U1210" i="1"/>
  <c r="T1210" i="1"/>
  <c r="S1210" i="1"/>
  <c r="R1210" i="1"/>
  <c r="Q1210" i="1"/>
  <c r="P1210" i="1"/>
  <c r="I1210" i="1"/>
  <c r="H1210" i="1"/>
  <c r="U1209" i="1"/>
  <c r="T1209" i="1"/>
  <c r="S1209" i="1"/>
  <c r="R1209" i="1"/>
  <c r="Q1209" i="1"/>
  <c r="P1209" i="1"/>
  <c r="I1209" i="1"/>
  <c r="H1209" i="1"/>
  <c r="U1208" i="1"/>
  <c r="T1208" i="1"/>
  <c r="S1208" i="1"/>
  <c r="R1208" i="1"/>
  <c r="Q1208" i="1"/>
  <c r="P1208" i="1"/>
  <c r="I1208" i="1"/>
  <c r="H1208" i="1"/>
  <c r="U1207" i="1"/>
  <c r="T1207" i="1"/>
  <c r="S1207" i="1"/>
  <c r="R1207" i="1"/>
  <c r="Q1207" i="1"/>
  <c r="P1207" i="1"/>
  <c r="I1207" i="1"/>
  <c r="H1207" i="1"/>
  <c r="U1206" i="1"/>
  <c r="T1206" i="1"/>
  <c r="S1206" i="1"/>
  <c r="R1206" i="1"/>
  <c r="Q1206" i="1"/>
  <c r="P1206" i="1"/>
  <c r="I1206" i="1"/>
  <c r="H1206" i="1"/>
  <c r="U1205" i="1"/>
  <c r="T1205" i="1"/>
  <c r="S1205" i="1"/>
  <c r="R1205" i="1"/>
  <c r="Q1205" i="1"/>
  <c r="P1205" i="1"/>
  <c r="I1205" i="1"/>
  <c r="H1205" i="1"/>
  <c r="U1204" i="1"/>
  <c r="T1204" i="1"/>
  <c r="S1204" i="1"/>
  <c r="R1204" i="1"/>
  <c r="Q1204" i="1"/>
  <c r="P1204" i="1"/>
  <c r="I1204" i="1"/>
  <c r="H1204" i="1"/>
  <c r="U1203" i="1"/>
  <c r="T1203" i="1"/>
  <c r="S1203" i="1"/>
  <c r="R1203" i="1"/>
  <c r="Q1203" i="1"/>
  <c r="P1203" i="1"/>
  <c r="I1203" i="1"/>
  <c r="H1203" i="1"/>
  <c r="U1202" i="1"/>
  <c r="T1202" i="1"/>
  <c r="S1202" i="1"/>
  <c r="R1202" i="1"/>
  <c r="Q1202" i="1"/>
  <c r="P1202" i="1"/>
  <c r="I1202" i="1"/>
  <c r="H1202" i="1"/>
  <c r="U1201" i="1"/>
  <c r="T1201" i="1"/>
  <c r="S1201" i="1"/>
  <c r="R1201" i="1"/>
  <c r="Q1201" i="1"/>
  <c r="P1201" i="1"/>
  <c r="I1201" i="1"/>
  <c r="H1201" i="1"/>
  <c r="U1200" i="1"/>
  <c r="T1200" i="1"/>
  <c r="S1200" i="1"/>
  <c r="R1200" i="1"/>
  <c r="Q1200" i="1"/>
  <c r="P1200" i="1"/>
  <c r="I1200" i="1"/>
  <c r="H1200" i="1"/>
  <c r="U1199" i="1"/>
  <c r="T1199" i="1"/>
  <c r="S1199" i="1"/>
  <c r="R1199" i="1"/>
  <c r="Q1199" i="1"/>
  <c r="P1199" i="1"/>
  <c r="I1199" i="1"/>
  <c r="H1199" i="1"/>
  <c r="U1198" i="1"/>
  <c r="T1198" i="1"/>
  <c r="S1198" i="1"/>
  <c r="R1198" i="1"/>
  <c r="Q1198" i="1"/>
  <c r="P1198" i="1"/>
  <c r="I1198" i="1"/>
  <c r="H1198" i="1"/>
  <c r="U1197" i="1"/>
  <c r="T1197" i="1"/>
  <c r="S1197" i="1"/>
  <c r="R1197" i="1"/>
  <c r="Q1197" i="1"/>
  <c r="P1197" i="1"/>
  <c r="I1197" i="1"/>
  <c r="H1197" i="1"/>
  <c r="U1196" i="1"/>
  <c r="T1196" i="1"/>
  <c r="S1196" i="1"/>
  <c r="R1196" i="1"/>
  <c r="Q1196" i="1"/>
  <c r="P1196" i="1"/>
  <c r="I1196" i="1"/>
  <c r="H1196" i="1"/>
  <c r="U1195" i="1"/>
  <c r="T1195" i="1"/>
  <c r="S1195" i="1"/>
  <c r="R1195" i="1"/>
  <c r="Q1195" i="1"/>
  <c r="P1195" i="1"/>
  <c r="I1195" i="1"/>
  <c r="H1195" i="1"/>
  <c r="O1194" i="1"/>
  <c r="O1195" i="1" s="1"/>
  <c r="O1196" i="1" s="1"/>
  <c r="O1197" i="1" s="1"/>
  <c r="O1198" i="1" s="1"/>
  <c r="O1199" i="1" s="1"/>
  <c r="O1200" i="1" s="1"/>
  <c r="O1201" i="1" s="1"/>
  <c r="O1202" i="1" s="1"/>
  <c r="O1203" i="1" s="1"/>
  <c r="O1204" i="1" s="1"/>
  <c r="O1205" i="1" s="1"/>
  <c r="O1206" i="1" s="1"/>
  <c r="O1207" i="1" s="1"/>
  <c r="O1208" i="1" s="1"/>
  <c r="O1209" i="1" s="1"/>
  <c r="O1210" i="1" s="1"/>
  <c r="O1211" i="1" s="1"/>
  <c r="O1212" i="1" s="1"/>
  <c r="O1213" i="1" s="1"/>
  <c r="O1214" i="1" s="1"/>
  <c r="N1194" i="1"/>
  <c r="N1195" i="1" s="1"/>
  <c r="N1196" i="1" s="1"/>
  <c r="N1197" i="1" s="1"/>
  <c r="N1198" i="1" s="1"/>
  <c r="N1199" i="1" s="1"/>
  <c r="N1200" i="1" s="1"/>
  <c r="N1201" i="1" s="1"/>
  <c r="N1202" i="1" s="1"/>
  <c r="N1203" i="1" s="1"/>
  <c r="N1204" i="1" s="1"/>
  <c r="N1205" i="1" s="1"/>
  <c r="N1206" i="1" s="1"/>
  <c r="N1207" i="1" s="1"/>
  <c r="N1208" i="1" s="1"/>
  <c r="N1209" i="1" s="1"/>
  <c r="N1210" i="1" s="1"/>
  <c r="N1211" i="1" s="1"/>
  <c r="N1212" i="1" s="1"/>
  <c r="N1213" i="1" s="1"/>
  <c r="N1214" i="1" s="1"/>
  <c r="U1194" i="1" l="1"/>
  <c r="T1194" i="1"/>
  <c r="S1194" i="1"/>
  <c r="R1194" i="1"/>
  <c r="Q1194" i="1"/>
  <c r="P1194" i="1"/>
  <c r="I1194" i="1"/>
  <c r="H1194" i="1"/>
  <c r="U1193" i="1" l="1"/>
  <c r="T1193" i="1"/>
  <c r="S1193" i="1"/>
  <c r="R1193" i="1"/>
  <c r="Q1193" i="1"/>
  <c r="P1193" i="1"/>
  <c r="I1193" i="1"/>
  <c r="H1193" i="1"/>
  <c r="U1192" i="1"/>
  <c r="T1192" i="1"/>
  <c r="S1192" i="1"/>
  <c r="R1192" i="1"/>
  <c r="Q1192" i="1"/>
  <c r="P1192" i="1"/>
  <c r="I1192" i="1"/>
  <c r="H1192" i="1"/>
  <c r="U1191" i="1"/>
  <c r="T1191" i="1"/>
  <c r="S1191" i="1"/>
  <c r="R1191" i="1"/>
  <c r="Q1191" i="1"/>
  <c r="P1191" i="1"/>
  <c r="I1191" i="1"/>
  <c r="H1191" i="1"/>
  <c r="U1190" i="1"/>
  <c r="T1190" i="1"/>
  <c r="S1190" i="1"/>
  <c r="R1190" i="1"/>
  <c r="Q1190" i="1"/>
  <c r="P1190" i="1"/>
  <c r="I1190" i="1"/>
  <c r="H1190" i="1"/>
  <c r="U1189" i="1"/>
  <c r="T1189" i="1"/>
  <c r="S1189" i="1"/>
  <c r="R1189" i="1"/>
  <c r="Q1189" i="1"/>
  <c r="P1189" i="1"/>
  <c r="I1189" i="1"/>
  <c r="H1189" i="1"/>
  <c r="U1188" i="1"/>
  <c r="T1188" i="1"/>
  <c r="S1188" i="1"/>
  <c r="R1188" i="1"/>
  <c r="Q1188" i="1"/>
  <c r="P1188" i="1"/>
  <c r="I1188" i="1"/>
  <c r="H1188" i="1"/>
  <c r="U1187" i="1"/>
  <c r="T1187" i="1"/>
  <c r="S1187" i="1"/>
  <c r="R1187" i="1"/>
  <c r="Q1187" i="1"/>
  <c r="P1187" i="1"/>
  <c r="I1187" i="1"/>
  <c r="H1187" i="1"/>
  <c r="U1186" i="1"/>
  <c r="T1186" i="1"/>
  <c r="S1186" i="1"/>
  <c r="R1186" i="1"/>
  <c r="Q1186" i="1"/>
  <c r="P1186" i="1"/>
  <c r="I1186" i="1"/>
  <c r="H1186" i="1"/>
  <c r="U1185" i="1"/>
  <c r="T1185" i="1"/>
  <c r="S1185" i="1"/>
  <c r="R1185" i="1"/>
  <c r="Q1185" i="1"/>
  <c r="P1185" i="1"/>
  <c r="I1185" i="1"/>
  <c r="H1185" i="1"/>
  <c r="U1184" i="1"/>
  <c r="T1184" i="1"/>
  <c r="S1184" i="1"/>
  <c r="R1184" i="1"/>
  <c r="Q1184" i="1"/>
  <c r="P1184" i="1"/>
  <c r="I1184" i="1"/>
  <c r="H1184" i="1"/>
  <c r="U1183" i="1"/>
  <c r="T1183" i="1"/>
  <c r="S1183" i="1"/>
  <c r="R1183" i="1"/>
  <c r="Q1183" i="1"/>
  <c r="P1183" i="1"/>
  <c r="I1183" i="1"/>
  <c r="H1183" i="1"/>
  <c r="U1182" i="1"/>
  <c r="T1182" i="1"/>
  <c r="S1182" i="1"/>
  <c r="R1182" i="1"/>
  <c r="Q1182" i="1"/>
  <c r="P1182" i="1"/>
  <c r="I1182" i="1"/>
  <c r="H1182" i="1"/>
  <c r="U1181" i="1"/>
  <c r="T1181" i="1"/>
  <c r="S1181" i="1"/>
  <c r="R1181" i="1"/>
  <c r="Q1181" i="1"/>
  <c r="P1181" i="1"/>
  <c r="I1181" i="1"/>
  <c r="H1181" i="1"/>
  <c r="U1180" i="1"/>
  <c r="T1180" i="1"/>
  <c r="S1180" i="1"/>
  <c r="R1180" i="1"/>
  <c r="Q1180" i="1"/>
  <c r="P1180" i="1"/>
  <c r="I1180" i="1"/>
  <c r="H1180" i="1"/>
  <c r="U1179" i="1"/>
  <c r="T1179" i="1"/>
  <c r="S1179" i="1"/>
  <c r="R1179" i="1"/>
  <c r="Q1179" i="1"/>
  <c r="P1179" i="1"/>
  <c r="I1179" i="1"/>
  <c r="H1179" i="1"/>
  <c r="U1178" i="1"/>
  <c r="T1178" i="1"/>
  <c r="S1178" i="1"/>
  <c r="R1178" i="1"/>
  <c r="Q1178" i="1"/>
  <c r="P1178" i="1"/>
  <c r="I1178" i="1"/>
  <c r="H1178" i="1"/>
  <c r="U1177" i="1"/>
  <c r="T1177" i="1"/>
  <c r="S1177" i="1"/>
  <c r="R1177" i="1"/>
  <c r="Q1177" i="1"/>
  <c r="P1177" i="1"/>
  <c r="I1177" i="1"/>
  <c r="H1177" i="1"/>
  <c r="O1176" i="1"/>
  <c r="O1177" i="1" s="1"/>
  <c r="O1178" i="1" s="1"/>
  <c r="O1179" i="1" s="1"/>
  <c r="O1180" i="1" s="1"/>
  <c r="O1181" i="1" s="1"/>
  <c r="O1182" i="1" s="1"/>
  <c r="O1183" i="1" s="1"/>
  <c r="O1184" i="1" s="1"/>
  <c r="O1185" i="1" s="1"/>
  <c r="O1186" i="1" s="1"/>
  <c r="O1187" i="1" s="1"/>
  <c r="O1188" i="1" s="1"/>
  <c r="O1189" i="1" s="1"/>
  <c r="O1190" i="1" s="1"/>
  <c r="O1191" i="1" s="1"/>
  <c r="O1192" i="1" s="1"/>
  <c r="O1193" i="1" s="1"/>
  <c r="N1176" i="1"/>
  <c r="N1177" i="1" s="1"/>
  <c r="N1178" i="1" s="1"/>
  <c r="N1179" i="1" s="1"/>
  <c r="N1180" i="1" s="1"/>
  <c r="N1181" i="1" s="1"/>
  <c r="N1182" i="1" s="1"/>
  <c r="N1183" i="1" s="1"/>
  <c r="N1184" i="1" s="1"/>
  <c r="N1185" i="1" s="1"/>
  <c r="N1186" i="1" s="1"/>
  <c r="N1187" i="1" s="1"/>
  <c r="N1188" i="1" s="1"/>
  <c r="N1189" i="1" s="1"/>
  <c r="N1190" i="1" s="1"/>
  <c r="N1191" i="1" s="1"/>
  <c r="N1192" i="1" s="1"/>
  <c r="N1193" i="1" s="1"/>
  <c r="U1176" i="1" l="1"/>
  <c r="T1176" i="1"/>
  <c r="S1176" i="1"/>
  <c r="R1176" i="1"/>
  <c r="Q1176" i="1"/>
  <c r="P1176" i="1"/>
  <c r="I1176" i="1"/>
  <c r="H1176" i="1"/>
  <c r="U1175" i="1" l="1"/>
  <c r="T1175" i="1"/>
  <c r="S1175" i="1"/>
  <c r="R1175" i="1"/>
  <c r="Q1175" i="1"/>
  <c r="P1175" i="1"/>
  <c r="I1175" i="1"/>
  <c r="H1175" i="1"/>
  <c r="U1174" i="1"/>
  <c r="T1174" i="1"/>
  <c r="S1174" i="1"/>
  <c r="R1174" i="1"/>
  <c r="Q1174" i="1"/>
  <c r="P1174" i="1"/>
  <c r="I1174" i="1"/>
  <c r="H1174" i="1"/>
  <c r="U1173" i="1"/>
  <c r="T1173" i="1"/>
  <c r="S1173" i="1"/>
  <c r="R1173" i="1"/>
  <c r="Q1173" i="1"/>
  <c r="P1173" i="1"/>
  <c r="I1173" i="1"/>
  <c r="H1173" i="1"/>
  <c r="U1172" i="1"/>
  <c r="T1172" i="1"/>
  <c r="S1172" i="1"/>
  <c r="R1172" i="1"/>
  <c r="Q1172" i="1"/>
  <c r="P1172" i="1"/>
  <c r="I1172" i="1"/>
  <c r="H1172" i="1"/>
  <c r="U1171" i="1"/>
  <c r="T1171" i="1"/>
  <c r="S1171" i="1"/>
  <c r="R1171" i="1"/>
  <c r="Q1171" i="1"/>
  <c r="P1171" i="1"/>
  <c r="I1171" i="1"/>
  <c r="H1171" i="1"/>
  <c r="U1170" i="1"/>
  <c r="T1170" i="1"/>
  <c r="S1170" i="1"/>
  <c r="R1170" i="1"/>
  <c r="Q1170" i="1"/>
  <c r="P1170" i="1"/>
  <c r="I1170" i="1"/>
  <c r="H1170" i="1"/>
  <c r="U1169" i="1"/>
  <c r="T1169" i="1"/>
  <c r="S1169" i="1"/>
  <c r="R1169" i="1"/>
  <c r="Q1169" i="1"/>
  <c r="P1169" i="1"/>
  <c r="I1169" i="1"/>
  <c r="H1169" i="1"/>
  <c r="U1168" i="1"/>
  <c r="T1168" i="1"/>
  <c r="S1168" i="1"/>
  <c r="R1168" i="1"/>
  <c r="Q1168" i="1"/>
  <c r="P1168" i="1"/>
  <c r="I1168" i="1"/>
  <c r="H1168" i="1"/>
  <c r="U1167" i="1"/>
  <c r="T1167" i="1"/>
  <c r="S1167" i="1"/>
  <c r="R1167" i="1"/>
  <c r="Q1167" i="1"/>
  <c r="P1167" i="1"/>
  <c r="I1167" i="1"/>
  <c r="H1167" i="1"/>
  <c r="U1166" i="1"/>
  <c r="T1166" i="1"/>
  <c r="S1166" i="1"/>
  <c r="R1166" i="1"/>
  <c r="Q1166" i="1"/>
  <c r="P1166" i="1"/>
  <c r="I1166" i="1"/>
  <c r="H1166" i="1"/>
  <c r="U1165" i="1"/>
  <c r="T1165" i="1"/>
  <c r="S1165" i="1"/>
  <c r="R1165" i="1"/>
  <c r="Q1165" i="1"/>
  <c r="P1165" i="1"/>
  <c r="I1165" i="1"/>
  <c r="H1165" i="1"/>
  <c r="U1164" i="1"/>
  <c r="T1164" i="1"/>
  <c r="S1164" i="1"/>
  <c r="R1164" i="1"/>
  <c r="Q1164" i="1"/>
  <c r="P1164" i="1"/>
  <c r="I1164" i="1"/>
  <c r="H1164" i="1"/>
  <c r="U1163" i="1"/>
  <c r="T1163" i="1"/>
  <c r="S1163" i="1"/>
  <c r="R1163" i="1"/>
  <c r="Q1163" i="1"/>
  <c r="P1163" i="1"/>
  <c r="I1163" i="1"/>
  <c r="H1163" i="1"/>
  <c r="U1162" i="1"/>
  <c r="T1162" i="1"/>
  <c r="S1162" i="1"/>
  <c r="R1162" i="1"/>
  <c r="Q1162" i="1"/>
  <c r="P1162" i="1"/>
  <c r="I1162" i="1"/>
  <c r="H1162" i="1"/>
  <c r="U1161" i="1"/>
  <c r="T1161" i="1"/>
  <c r="S1161" i="1"/>
  <c r="R1161" i="1"/>
  <c r="Q1161" i="1"/>
  <c r="P1161" i="1"/>
  <c r="I1161" i="1"/>
  <c r="H1161" i="1"/>
  <c r="U1160" i="1"/>
  <c r="T1160" i="1"/>
  <c r="S1160" i="1"/>
  <c r="R1160" i="1"/>
  <c r="Q1160" i="1"/>
  <c r="P1160" i="1"/>
  <c r="I1160" i="1"/>
  <c r="H1160" i="1"/>
  <c r="U1159" i="1"/>
  <c r="T1159" i="1"/>
  <c r="S1159" i="1"/>
  <c r="R1159" i="1"/>
  <c r="Q1159" i="1"/>
  <c r="P1159" i="1"/>
  <c r="I1159" i="1"/>
  <c r="H1159" i="1"/>
  <c r="U1158" i="1"/>
  <c r="T1158" i="1"/>
  <c r="S1158" i="1"/>
  <c r="R1158" i="1"/>
  <c r="Q1158" i="1"/>
  <c r="P1158" i="1"/>
  <c r="I1158" i="1"/>
  <c r="H1158" i="1"/>
  <c r="U1157" i="1"/>
  <c r="T1157" i="1"/>
  <c r="S1157" i="1"/>
  <c r="R1157" i="1"/>
  <c r="Q1157" i="1"/>
  <c r="P1157" i="1"/>
  <c r="I1157" i="1"/>
  <c r="H1157" i="1"/>
  <c r="U1156" i="1"/>
  <c r="T1156" i="1"/>
  <c r="S1156" i="1"/>
  <c r="R1156" i="1"/>
  <c r="Q1156" i="1"/>
  <c r="P1156" i="1"/>
  <c r="I1156" i="1"/>
  <c r="H1156" i="1"/>
  <c r="O1155" i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N1155" i="1"/>
  <c r="N1156" i="1" s="1"/>
  <c r="N1157" i="1" s="1"/>
  <c r="N1158" i="1" s="1"/>
  <c r="N1159" i="1" s="1"/>
  <c r="N1160" i="1" s="1"/>
  <c r="N1161" i="1" s="1"/>
  <c r="N1162" i="1" s="1"/>
  <c r="N1163" i="1" s="1"/>
  <c r="N1164" i="1" s="1"/>
  <c r="N1165" i="1" s="1"/>
  <c r="N1166" i="1" s="1"/>
  <c r="N1167" i="1" s="1"/>
  <c r="N1168" i="1" s="1"/>
  <c r="N1169" i="1" s="1"/>
  <c r="N1170" i="1" s="1"/>
  <c r="N1171" i="1" s="1"/>
  <c r="N1172" i="1" s="1"/>
  <c r="N1173" i="1" s="1"/>
  <c r="N1174" i="1" s="1"/>
  <c r="N1175" i="1" s="1"/>
  <c r="U1155" i="1" l="1"/>
  <c r="T1155" i="1"/>
  <c r="S1155" i="1"/>
  <c r="R1155" i="1"/>
  <c r="Q1155" i="1"/>
  <c r="P1155" i="1"/>
  <c r="I1155" i="1"/>
  <c r="H1155" i="1"/>
  <c r="U1154" i="1" l="1"/>
  <c r="T1154" i="1"/>
  <c r="S1154" i="1"/>
  <c r="R1154" i="1"/>
  <c r="Q1154" i="1"/>
  <c r="P1154" i="1"/>
  <c r="I1154" i="1"/>
  <c r="H1154" i="1"/>
  <c r="U1153" i="1"/>
  <c r="T1153" i="1"/>
  <c r="S1153" i="1"/>
  <c r="R1153" i="1"/>
  <c r="Q1153" i="1"/>
  <c r="P1153" i="1"/>
  <c r="I1153" i="1"/>
  <c r="H1153" i="1"/>
  <c r="U1152" i="1"/>
  <c r="T1152" i="1"/>
  <c r="S1152" i="1"/>
  <c r="R1152" i="1"/>
  <c r="Q1152" i="1"/>
  <c r="P1152" i="1"/>
  <c r="I1152" i="1"/>
  <c r="H1152" i="1"/>
  <c r="U1151" i="1"/>
  <c r="T1151" i="1"/>
  <c r="S1151" i="1"/>
  <c r="R1151" i="1"/>
  <c r="Q1151" i="1"/>
  <c r="P1151" i="1"/>
  <c r="I1151" i="1"/>
  <c r="H1151" i="1"/>
  <c r="U1150" i="1"/>
  <c r="T1150" i="1"/>
  <c r="S1150" i="1"/>
  <c r="R1150" i="1"/>
  <c r="Q1150" i="1"/>
  <c r="P1150" i="1"/>
  <c r="I1150" i="1"/>
  <c r="H1150" i="1"/>
  <c r="U1149" i="1"/>
  <c r="T1149" i="1"/>
  <c r="S1149" i="1"/>
  <c r="R1149" i="1"/>
  <c r="Q1149" i="1"/>
  <c r="P1149" i="1"/>
  <c r="I1149" i="1"/>
  <c r="H1149" i="1"/>
  <c r="U1148" i="1"/>
  <c r="T1148" i="1"/>
  <c r="S1148" i="1"/>
  <c r="R1148" i="1"/>
  <c r="Q1148" i="1"/>
  <c r="P1148" i="1"/>
  <c r="I1148" i="1"/>
  <c r="H1148" i="1"/>
  <c r="U1147" i="1"/>
  <c r="T1147" i="1"/>
  <c r="S1147" i="1"/>
  <c r="R1147" i="1"/>
  <c r="Q1147" i="1"/>
  <c r="P1147" i="1"/>
  <c r="I1147" i="1"/>
  <c r="H1147" i="1"/>
  <c r="U1146" i="1"/>
  <c r="T1146" i="1"/>
  <c r="S1146" i="1"/>
  <c r="R1146" i="1"/>
  <c r="Q1146" i="1"/>
  <c r="P1146" i="1"/>
  <c r="I1146" i="1"/>
  <c r="H1146" i="1"/>
  <c r="U1145" i="1"/>
  <c r="T1145" i="1"/>
  <c r="S1145" i="1"/>
  <c r="R1145" i="1"/>
  <c r="Q1145" i="1"/>
  <c r="P1145" i="1"/>
  <c r="I1145" i="1"/>
  <c r="H1145" i="1"/>
  <c r="U1144" i="1"/>
  <c r="T1144" i="1"/>
  <c r="S1144" i="1"/>
  <c r="R1144" i="1"/>
  <c r="Q1144" i="1"/>
  <c r="P1144" i="1"/>
  <c r="I1144" i="1"/>
  <c r="H1144" i="1"/>
  <c r="U1143" i="1"/>
  <c r="T1143" i="1"/>
  <c r="S1143" i="1"/>
  <c r="R1143" i="1"/>
  <c r="Q1143" i="1"/>
  <c r="P1143" i="1"/>
  <c r="I1143" i="1"/>
  <c r="H1143" i="1"/>
  <c r="U1142" i="1"/>
  <c r="T1142" i="1"/>
  <c r="S1142" i="1"/>
  <c r="R1142" i="1"/>
  <c r="Q1142" i="1"/>
  <c r="P1142" i="1"/>
  <c r="I1142" i="1"/>
  <c r="H1142" i="1"/>
  <c r="U1141" i="1"/>
  <c r="T1141" i="1"/>
  <c r="S1141" i="1"/>
  <c r="R1141" i="1"/>
  <c r="Q1141" i="1"/>
  <c r="P1141" i="1"/>
  <c r="I1141" i="1"/>
  <c r="H1141" i="1"/>
  <c r="U1140" i="1"/>
  <c r="T1140" i="1"/>
  <c r="S1140" i="1"/>
  <c r="R1140" i="1"/>
  <c r="Q1140" i="1"/>
  <c r="P1140" i="1"/>
  <c r="I1140" i="1"/>
  <c r="H1140" i="1"/>
  <c r="U1139" i="1"/>
  <c r="T1139" i="1"/>
  <c r="S1139" i="1"/>
  <c r="R1139" i="1"/>
  <c r="Q1139" i="1"/>
  <c r="P1139" i="1"/>
  <c r="I1139" i="1"/>
  <c r="H1139" i="1"/>
  <c r="U1138" i="1"/>
  <c r="T1138" i="1"/>
  <c r="S1138" i="1"/>
  <c r="R1138" i="1"/>
  <c r="Q1138" i="1"/>
  <c r="P1138" i="1"/>
  <c r="I1138" i="1"/>
  <c r="H1138" i="1"/>
  <c r="U1137" i="1"/>
  <c r="T1137" i="1"/>
  <c r="S1137" i="1"/>
  <c r="R1137" i="1"/>
  <c r="Q1137" i="1"/>
  <c r="P1137" i="1"/>
  <c r="I1137" i="1"/>
  <c r="H1137" i="1"/>
  <c r="U1136" i="1"/>
  <c r="T1136" i="1"/>
  <c r="S1136" i="1"/>
  <c r="R1136" i="1"/>
  <c r="Q1136" i="1"/>
  <c r="P1136" i="1"/>
  <c r="I1136" i="1"/>
  <c r="H1136" i="1"/>
  <c r="U1135" i="1"/>
  <c r="T1135" i="1"/>
  <c r="S1135" i="1"/>
  <c r="R1135" i="1"/>
  <c r="Q1135" i="1"/>
  <c r="P1135" i="1"/>
  <c r="I1135" i="1"/>
  <c r="H1135" i="1"/>
  <c r="U1134" i="1"/>
  <c r="T1134" i="1"/>
  <c r="S1134" i="1"/>
  <c r="R1134" i="1"/>
  <c r="Q1134" i="1"/>
  <c r="P1134" i="1"/>
  <c r="I1134" i="1"/>
  <c r="H1134" i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U1133" i="1" l="1"/>
  <c r="T1133" i="1"/>
  <c r="S1133" i="1"/>
  <c r="R1133" i="1"/>
  <c r="Q1133" i="1"/>
  <c r="P1133" i="1"/>
  <c r="I1133" i="1"/>
  <c r="H1133" i="1"/>
  <c r="U1132" i="1" l="1"/>
  <c r="T1132" i="1"/>
  <c r="S1132" i="1"/>
  <c r="R1132" i="1"/>
  <c r="Q1132" i="1"/>
  <c r="P1132" i="1"/>
  <c r="I1132" i="1"/>
  <c r="H1132" i="1"/>
  <c r="U1131" i="1"/>
  <c r="T1131" i="1"/>
  <c r="S1131" i="1"/>
  <c r="R1131" i="1"/>
  <c r="Q1131" i="1"/>
  <c r="P1131" i="1"/>
  <c r="I1131" i="1"/>
  <c r="H1131" i="1"/>
  <c r="U1130" i="1"/>
  <c r="T1130" i="1"/>
  <c r="S1130" i="1"/>
  <c r="R1130" i="1"/>
  <c r="Q1130" i="1"/>
  <c r="P1130" i="1"/>
  <c r="I1130" i="1"/>
  <c r="H1130" i="1"/>
  <c r="U1129" i="1"/>
  <c r="T1129" i="1"/>
  <c r="S1129" i="1"/>
  <c r="R1129" i="1"/>
  <c r="Q1129" i="1"/>
  <c r="P1129" i="1"/>
  <c r="I1129" i="1"/>
  <c r="H1129" i="1"/>
  <c r="U1128" i="1"/>
  <c r="T1128" i="1"/>
  <c r="S1128" i="1"/>
  <c r="R1128" i="1"/>
  <c r="Q1128" i="1"/>
  <c r="P1128" i="1"/>
  <c r="I1128" i="1"/>
  <c r="H1128" i="1"/>
  <c r="U1127" i="1"/>
  <c r="T1127" i="1"/>
  <c r="S1127" i="1"/>
  <c r="R1127" i="1"/>
  <c r="Q1127" i="1"/>
  <c r="P1127" i="1"/>
  <c r="I1127" i="1"/>
  <c r="H1127" i="1"/>
  <c r="U1126" i="1"/>
  <c r="T1126" i="1"/>
  <c r="S1126" i="1"/>
  <c r="R1126" i="1"/>
  <c r="Q1126" i="1"/>
  <c r="P1126" i="1"/>
  <c r="I1126" i="1"/>
  <c r="H1126" i="1"/>
  <c r="U1125" i="1"/>
  <c r="T1125" i="1"/>
  <c r="S1125" i="1"/>
  <c r="R1125" i="1"/>
  <c r="Q1125" i="1"/>
  <c r="P1125" i="1"/>
  <c r="I1125" i="1"/>
  <c r="H1125" i="1"/>
  <c r="U1124" i="1"/>
  <c r="T1124" i="1"/>
  <c r="S1124" i="1"/>
  <c r="R1124" i="1"/>
  <c r="Q1124" i="1"/>
  <c r="P1124" i="1"/>
  <c r="I1124" i="1"/>
  <c r="H1124" i="1"/>
  <c r="U1123" i="1"/>
  <c r="T1123" i="1"/>
  <c r="S1123" i="1"/>
  <c r="R1123" i="1"/>
  <c r="Q1123" i="1"/>
  <c r="P1123" i="1"/>
  <c r="I1123" i="1"/>
  <c r="H1123" i="1"/>
  <c r="U1122" i="1"/>
  <c r="T1122" i="1"/>
  <c r="S1122" i="1"/>
  <c r="R1122" i="1"/>
  <c r="Q1122" i="1"/>
  <c r="P1122" i="1"/>
  <c r="I1122" i="1"/>
  <c r="H1122" i="1"/>
  <c r="U1121" i="1"/>
  <c r="T1121" i="1"/>
  <c r="S1121" i="1"/>
  <c r="R1121" i="1"/>
  <c r="Q1121" i="1"/>
  <c r="P1121" i="1"/>
  <c r="I1121" i="1"/>
  <c r="H1121" i="1"/>
  <c r="U1120" i="1"/>
  <c r="T1120" i="1"/>
  <c r="S1120" i="1"/>
  <c r="R1120" i="1"/>
  <c r="Q1120" i="1"/>
  <c r="P1120" i="1"/>
  <c r="I1120" i="1"/>
  <c r="H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U1119" i="1" l="1"/>
  <c r="T1119" i="1"/>
  <c r="S1119" i="1"/>
  <c r="R1119" i="1"/>
  <c r="Q1119" i="1"/>
  <c r="P1119" i="1"/>
  <c r="I1119" i="1"/>
  <c r="H1119" i="1"/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<sst xmlns="http://schemas.openxmlformats.org/spreadsheetml/2006/main" count="15" uniqueCount="15">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</sst>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237"/>
  <sheetViews>
    <sheetView tabSelected="1" topLeftCell="A1215" workbookViewId="0">
      <selection activeCell="A1238" sqref="A1238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2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K61" s="2">
        <v>46171</v>
      </c>
      <c r="L61" s="2">
        <v>46148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2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K62" s="2">
        <v>46203</v>
      </c>
      <c r="L62" s="2">
        <v>46174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2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K63" s="2">
        <v>46234</v>
      </c>
      <c r="L63" s="2">
        <v>46204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237" si="132">SUM(P1024:P1037)/14</f>
        <v>1.0372619047051386</v>
      </c>
      <c r="R1037">
        <f t="shared" ref="R1037:R1237" si="133">P1037-Q1037</f>
        <v>3.2738068274089205E-2</v>
      </c>
      <c r="S1037">
        <f t="shared" ref="S1037:S1237" si="134">AVEDEV(P1024:P1037)</f>
        <v>2.2748304062149134E-2</v>
      </c>
      <c r="T1037">
        <f t="shared" ref="T1037:T1237" si="135">0.015*S1037</f>
        <v>3.4122456093223696E-4</v>
      </c>
      <c r="U1037">
        <f t="shared" ref="U1037:U1237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237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237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4" si="149">IF(A1134&lt;&gt;$K$59,MAX(N1133,VLOOKUP(A1134,A:C,3)),)</f>
        <v>1.0789999961853027</v>
      </c>
      <c r="O1134">
        <f t="shared" ref="O1134:O1154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144"/>
        <v>1153</v>
      </c>
      <c r="I1155">
        <f>SUM($F$3:F1155)/H1155</f>
        <v>4111894.0858900696</v>
      </c>
      <c r="N1155">
        <f>VLOOKUP(L60,A:C,3)</f>
        <v>1.0640000104904175</v>
      </c>
      <c r="O1155">
        <f>VLOOKUP(L60,A:D,4)</f>
        <v>1.0460000038146973</v>
      </c>
      <c r="P1155">
        <f t="shared" si="143"/>
        <v>1.0546666781107585</v>
      </c>
      <c r="Q1155">
        <f t="shared" si="132"/>
        <v>1.0705714367684862</v>
      </c>
      <c r="R1155">
        <f t="shared" si="133"/>
        <v>-1.5904758657727669E-2</v>
      </c>
      <c r="S1155">
        <f t="shared" si="134"/>
        <v>1.1809527873992904E-2</v>
      </c>
      <c r="T1155">
        <f t="shared" si="135"/>
        <v>1.7714291810989356E-4</v>
      </c>
      <c r="U1155">
        <f t="shared" si="136"/>
        <v>-89.784897005371036</v>
      </c>
    </row>
    <row r="1156" spans="1:21" x14ac:dyDescent="0.15">
      <c r="A1156" s="1">
        <v>46113</v>
      </c>
      <c r="B1156">
        <v>1.0570000410079956</v>
      </c>
      <c r="C1156">
        <v>1.0640000104904175</v>
      </c>
      <c r="D1156">
        <v>1.0460000038146973</v>
      </c>
      <c r="E1156">
        <v>1.062000036239624</v>
      </c>
      <c r="F1156">
        <v>1203514</v>
      </c>
      <c r="G1156">
        <v>12035.1396484375</v>
      </c>
      <c r="H1156">
        <f t="shared" si="144"/>
        <v>1154</v>
      </c>
      <c r="I1156">
        <f>SUM($F$3:F1156)/H1156</f>
        <v>4109373.8258503033</v>
      </c>
      <c r="N1156">
        <f t="shared" ref="N1156:N1175" si="151">IF(A1156&lt;&gt;$K$60,MAX(N1155,VLOOKUP(A1156,A:C,3)),)</f>
        <v>1.0640000104904175</v>
      </c>
      <c r="O1156">
        <f t="shared" ref="O1156:O1175" si="152">IF(A1156&lt;&gt;$K$60,MIN(O1155,VLOOKUP(A1156,A:D,4)),)</f>
        <v>1.0460000038146973</v>
      </c>
      <c r="P1156">
        <f t="shared" si="143"/>
        <v>1.0573333501815796</v>
      </c>
      <c r="Q1156">
        <f t="shared" si="132"/>
        <v>1.0687619135493323</v>
      </c>
      <c r="R1156">
        <f t="shared" si="133"/>
        <v>-1.1428563367752664E-2</v>
      </c>
      <c r="S1156">
        <f t="shared" si="134"/>
        <v>1.1632656564517856E-2</v>
      </c>
      <c r="T1156">
        <f t="shared" si="135"/>
        <v>1.7448984846776784E-4</v>
      </c>
      <c r="U1156">
        <f t="shared" si="136"/>
        <v>-65.497010101786955</v>
      </c>
    </row>
    <row r="1157" spans="1:21" x14ac:dyDescent="0.15">
      <c r="A1157" s="1">
        <v>46114</v>
      </c>
      <c r="B1157">
        <v>1.0559999942779541</v>
      </c>
      <c r="C1157">
        <v>1.0579999685287476</v>
      </c>
      <c r="D1157">
        <v>1.0440000295639038</v>
      </c>
      <c r="E1157">
        <v>1.0470000505447388</v>
      </c>
      <c r="F1157">
        <v>1625206</v>
      </c>
      <c r="G1157">
        <v>16252.0595703125</v>
      </c>
      <c r="H1157">
        <f t="shared" si="144"/>
        <v>1155</v>
      </c>
      <c r="I1157">
        <f>SUM($F$3:F1157)/H1157</f>
        <v>4107223.0311958874</v>
      </c>
      <c r="N1157">
        <f t="shared" si="151"/>
        <v>1.0640000104904175</v>
      </c>
      <c r="O1157">
        <f t="shared" si="152"/>
        <v>1.0440000295639038</v>
      </c>
      <c r="P1157">
        <f t="shared" si="143"/>
        <v>1.0496666828791301</v>
      </c>
      <c r="Q1157">
        <f t="shared" si="132"/>
        <v>1.0663571528026035</v>
      </c>
      <c r="R1157">
        <f t="shared" si="133"/>
        <v>-1.6690469923473339E-2</v>
      </c>
      <c r="S1157">
        <f t="shared" si="134"/>
        <v>1.1598640558670928E-2</v>
      </c>
      <c r="T1157">
        <f t="shared" si="135"/>
        <v>1.7397960838006391E-4</v>
      </c>
      <c r="U1157">
        <f t="shared" si="136"/>
        <v>-95.933483693172164</v>
      </c>
    </row>
    <row r="1158" spans="1:21" x14ac:dyDescent="0.15">
      <c r="A1158" s="1">
        <v>46115</v>
      </c>
      <c r="B1158">
        <v>1.0540000200271606</v>
      </c>
      <c r="C1158">
        <v>1.0540000200271606</v>
      </c>
      <c r="D1158">
        <v>1.0349999666213989</v>
      </c>
      <c r="E1158">
        <v>1.0390000343322754</v>
      </c>
      <c r="F1158">
        <v>1729633</v>
      </c>
      <c r="G1158">
        <v>17296.330078125</v>
      </c>
      <c r="H1158">
        <f t="shared" si="144"/>
        <v>1156</v>
      </c>
      <c r="I1158">
        <f>SUM($F$3:F1158)/H1158</f>
        <v>4105166.2924145763</v>
      </c>
      <c r="N1158">
        <f t="shared" si="151"/>
        <v>1.0640000104904175</v>
      </c>
      <c r="O1158">
        <f t="shared" si="152"/>
        <v>1.0349999666213989</v>
      </c>
      <c r="P1158">
        <f t="shared" si="143"/>
        <v>1.0426666736602783</v>
      </c>
      <c r="Q1158">
        <f t="shared" si="132"/>
        <v>1.0633095332554408</v>
      </c>
      <c r="R1158">
        <f t="shared" si="133"/>
        <v>-2.0642859595162433E-2</v>
      </c>
      <c r="S1158">
        <f t="shared" si="134"/>
        <v>1.1115650741421401E-2</v>
      </c>
      <c r="T1158">
        <f t="shared" si="135"/>
        <v>1.66734761121321E-4</v>
      </c>
      <c r="U1158">
        <f t="shared" si="136"/>
        <v>-123.8065743240073</v>
      </c>
    </row>
    <row r="1159" spans="1:21" x14ac:dyDescent="0.15">
      <c r="A1159" s="1">
        <v>46119</v>
      </c>
      <c r="B1159">
        <v>1.0379999876022339</v>
      </c>
      <c r="C1159">
        <v>1.0429999828338623</v>
      </c>
      <c r="D1159">
        <v>1.031000018119812</v>
      </c>
      <c r="E1159">
        <v>1.0379999876022339</v>
      </c>
      <c r="F1159">
        <v>1343500</v>
      </c>
      <c r="G1159">
        <v>13435</v>
      </c>
      <c r="H1159">
        <f t="shared" si="144"/>
        <v>1157</v>
      </c>
      <c r="I1159">
        <f>SUM($F$3:F1159)/H1159</f>
        <v>4102779.372542135</v>
      </c>
      <c r="N1159">
        <f t="shared" si="151"/>
        <v>1.0640000104904175</v>
      </c>
      <c r="O1159">
        <f t="shared" si="152"/>
        <v>1.031000018119812</v>
      </c>
      <c r="P1159">
        <f t="shared" si="143"/>
        <v>1.037333329518636</v>
      </c>
      <c r="Q1159">
        <f t="shared" si="132"/>
        <v>1.0599047711917331</v>
      </c>
      <c r="R1159">
        <f t="shared" si="133"/>
        <v>-2.2571441673097103E-2</v>
      </c>
      <c r="S1159">
        <f t="shared" si="134"/>
        <v>1.095239037559145E-2</v>
      </c>
      <c r="T1159">
        <f t="shared" si="135"/>
        <v>1.6428585563387174E-4</v>
      </c>
      <c r="U1159">
        <f t="shared" si="136"/>
        <v>-137.39126588840324</v>
      </c>
    </row>
    <row r="1160" spans="1:21" x14ac:dyDescent="0.15">
      <c r="A1160" s="1">
        <v>46120</v>
      </c>
      <c r="B1160">
        <v>1.0449999570846558</v>
      </c>
      <c r="C1160">
        <v>1.0829999446868896</v>
      </c>
      <c r="D1160">
        <v>1.0449999570846558</v>
      </c>
      <c r="E1160">
        <v>1.0829999446868896</v>
      </c>
      <c r="F1160">
        <v>1582716</v>
      </c>
      <c r="G1160">
        <v>15827.16015625</v>
      </c>
      <c r="H1160">
        <f t="shared" si="144"/>
        <v>1158</v>
      </c>
      <c r="I1160">
        <f>SUM($F$3:F1160)/H1160</f>
        <v>4100603.1520131691</v>
      </c>
      <c r="N1160">
        <f t="shared" si="151"/>
        <v>1.0829999446868896</v>
      </c>
      <c r="O1160">
        <f t="shared" si="152"/>
        <v>1.031000018119812</v>
      </c>
      <c r="P1160">
        <f t="shared" si="143"/>
        <v>1.0703332821528118</v>
      </c>
      <c r="Q1160">
        <f t="shared" si="132"/>
        <v>1.0590952407746086</v>
      </c>
      <c r="R1160">
        <f t="shared" si="133"/>
        <v>1.1238041378203167E-2</v>
      </c>
      <c r="S1160">
        <f t="shared" si="134"/>
        <v>1.0142859958467023E-2</v>
      </c>
      <c r="T1160">
        <f t="shared" si="135"/>
        <v>1.5214289937700535E-4</v>
      </c>
      <c r="U1160">
        <f t="shared" si="136"/>
        <v>73.865040197213887</v>
      </c>
    </row>
    <row r="1161" spans="1:21" x14ac:dyDescent="0.15">
      <c r="A1161" s="1">
        <v>46121</v>
      </c>
      <c r="B1161">
        <v>1.0729999542236328</v>
      </c>
      <c r="C1161">
        <v>1.0820000171661377</v>
      </c>
      <c r="D1161">
        <v>1.0729999542236328</v>
      </c>
      <c r="E1161">
        <v>1.0779999494552612</v>
      </c>
      <c r="F1161">
        <v>1711200</v>
      </c>
      <c r="G1161">
        <v>17112</v>
      </c>
      <c r="H1161">
        <f t="shared" si="144"/>
        <v>1159</v>
      </c>
      <c r="I1161">
        <f>SUM($F$3:F1161)/H1161</f>
        <v>4098541.5444618207</v>
      </c>
      <c r="N1161">
        <f t="shared" si="151"/>
        <v>1.0829999446868896</v>
      </c>
      <c r="O1161">
        <f t="shared" si="152"/>
        <v>1.031000018119812</v>
      </c>
      <c r="P1161">
        <f t="shared" si="143"/>
        <v>1.0776666402816772</v>
      </c>
      <c r="Q1161">
        <f t="shared" si="132"/>
        <v>1.0591428563708349</v>
      </c>
      <c r="R1161">
        <f t="shared" si="133"/>
        <v>1.8523783910842306E-2</v>
      </c>
      <c r="S1161">
        <f t="shared" si="134"/>
        <v>1.0190475554693308E-2</v>
      </c>
      <c r="T1161">
        <f t="shared" si="135"/>
        <v>1.5285713332039962E-4</v>
      </c>
      <c r="U1161">
        <f t="shared" si="136"/>
        <v>121.1836406222215</v>
      </c>
    </row>
    <row r="1162" spans="1:21" x14ac:dyDescent="0.15">
      <c r="A1162" s="1">
        <v>46122</v>
      </c>
      <c r="B1162">
        <v>1.0880000591278076</v>
      </c>
      <c r="C1162">
        <v>1.1150000095367432</v>
      </c>
      <c r="D1162">
        <v>1.0859999656677246</v>
      </c>
      <c r="E1162">
        <v>1.1080000400543213</v>
      </c>
      <c r="F1162">
        <v>3152132</v>
      </c>
      <c r="G1162">
        <v>31521.3203125</v>
      </c>
      <c r="H1162">
        <f t="shared" si="144"/>
        <v>1160</v>
      </c>
      <c r="I1162">
        <f>SUM($F$3:F1162)/H1162</f>
        <v>4097725.6741648708</v>
      </c>
      <c r="N1162">
        <f t="shared" si="151"/>
        <v>1.1150000095367432</v>
      </c>
      <c r="O1162">
        <f t="shared" si="152"/>
        <v>1.031000018119812</v>
      </c>
      <c r="P1162">
        <f t="shared" si="143"/>
        <v>1.1030000050862629</v>
      </c>
      <c r="Q1162">
        <f t="shared" si="132"/>
        <v>1.0606666661444166</v>
      </c>
      <c r="R1162">
        <f t="shared" si="133"/>
        <v>4.2333338941846321E-2</v>
      </c>
      <c r="S1162">
        <f t="shared" si="134"/>
        <v>1.1714285328274676E-2</v>
      </c>
      <c r="T1162">
        <f t="shared" si="135"/>
        <v>1.7571427992412014E-4</v>
      </c>
      <c r="U1162">
        <f t="shared" si="136"/>
        <v>240.9214490713413</v>
      </c>
    </row>
    <row r="1163" spans="1:21" x14ac:dyDescent="0.15">
      <c r="A1163" s="1">
        <v>46125</v>
      </c>
      <c r="B1163">
        <v>1.1000000238418579</v>
      </c>
      <c r="C1163">
        <v>1.1200000047683716</v>
      </c>
      <c r="D1163">
        <v>1.1000000238418579</v>
      </c>
      <c r="E1163">
        <v>1.1180000305175781</v>
      </c>
      <c r="F1163">
        <v>2531061</v>
      </c>
      <c r="G1163">
        <v>25310.609375</v>
      </c>
      <c r="H1163">
        <f t="shared" si="144"/>
        <v>1161</v>
      </c>
      <c r="I1163">
        <f>SUM($F$3:F1163)/H1163</f>
        <v>4096376.2644541343</v>
      </c>
      <c r="N1163">
        <f t="shared" si="151"/>
        <v>1.1200000047683716</v>
      </c>
      <c r="O1163">
        <f t="shared" si="152"/>
        <v>1.031000018119812</v>
      </c>
      <c r="P1163">
        <f t="shared" si="143"/>
        <v>1.1126666863759358</v>
      </c>
      <c r="Q1163">
        <f t="shared" si="132"/>
        <v>1.0649047635850453</v>
      </c>
      <c r="R1163">
        <f t="shared" si="133"/>
        <v>4.7761922790890532E-2</v>
      </c>
      <c r="S1163">
        <f t="shared" si="134"/>
        <v>1.5401350397641964E-2</v>
      </c>
      <c r="T1163">
        <f t="shared" si="135"/>
        <v>2.3102025596462945E-4</v>
      </c>
      <c r="U1163">
        <f t="shared" si="136"/>
        <v>206.74344157164799</v>
      </c>
    </row>
    <row r="1164" spans="1:21" x14ac:dyDescent="0.15">
      <c r="A1164" s="1">
        <v>46126</v>
      </c>
      <c r="B1164">
        <v>1.1210000514984131</v>
      </c>
      <c r="C1164">
        <v>1.1349999904632568</v>
      </c>
      <c r="D1164">
        <v>1.1200000047683716</v>
      </c>
      <c r="E1164">
        <v>1.1349999904632568</v>
      </c>
      <c r="F1164">
        <v>4068838</v>
      </c>
      <c r="G1164">
        <v>40688.37890625</v>
      </c>
      <c r="H1164">
        <f t="shared" si="144"/>
        <v>1162</v>
      </c>
      <c r="I1164">
        <f>SUM($F$3:F1164)/H1164</f>
        <v>4096352.5654313685</v>
      </c>
      <c r="N1164">
        <f t="shared" si="151"/>
        <v>1.1349999904632568</v>
      </c>
      <c r="O1164">
        <f t="shared" si="152"/>
        <v>1.031000018119812</v>
      </c>
      <c r="P1164">
        <f t="shared" si="143"/>
        <v>1.1299999952316284</v>
      </c>
      <c r="Q1164">
        <f t="shared" si="132"/>
        <v>1.0707857183047704</v>
      </c>
      <c r="R1164">
        <f t="shared" si="133"/>
        <v>5.9214276926857989E-2</v>
      </c>
      <c r="S1164">
        <f t="shared" si="134"/>
        <v>2.002720767948905E-2</v>
      </c>
      <c r="T1164">
        <f t="shared" si="135"/>
        <v>3.0040811519233576E-4</v>
      </c>
      <c r="U1164">
        <f t="shared" si="136"/>
        <v>197.11277403057557</v>
      </c>
    </row>
    <row r="1165" spans="1:21" x14ac:dyDescent="0.15">
      <c r="A1165" s="1">
        <v>46127</v>
      </c>
      <c r="B1165">
        <v>1.1399999856948853</v>
      </c>
      <c r="C1165">
        <v>1.1399999856948853</v>
      </c>
      <c r="D1165">
        <v>1.1189999580383301</v>
      </c>
      <c r="E1165">
        <v>1.1230000257492065</v>
      </c>
      <c r="F1165">
        <v>1070707</v>
      </c>
      <c r="G1165">
        <v>10707.0703125</v>
      </c>
      <c r="H1165">
        <f t="shared" si="144"/>
        <v>1163</v>
      </c>
      <c r="I1165">
        <f>SUM($F$3:F1165)/H1165</f>
        <v>4093750.9785307394</v>
      </c>
      <c r="N1165">
        <f t="shared" si="151"/>
        <v>1.1399999856948853</v>
      </c>
      <c r="O1165">
        <f t="shared" si="152"/>
        <v>1.031000018119812</v>
      </c>
      <c r="P1165">
        <f t="shared" si="143"/>
        <v>1.1273333231608074</v>
      </c>
      <c r="Q1165">
        <f t="shared" si="132"/>
        <v>1.07497619447254</v>
      </c>
      <c r="R1165">
        <f t="shared" si="133"/>
        <v>5.2357128688267363E-2</v>
      </c>
      <c r="S1165">
        <f t="shared" si="134"/>
        <v>2.5112239681944537E-2</v>
      </c>
      <c r="T1165">
        <f t="shared" si="135"/>
        <v>3.7668359522916804E-4</v>
      </c>
      <c r="U1165">
        <f t="shared" si="136"/>
        <v>138.99497974265154</v>
      </c>
    </row>
    <row r="1166" spans="1:21" x14ac:dyDescent="0.15">
      <c r="A1166" s="1">
        <v>46128</v>
      </c>
      <c r="B1166">
        <v>1.1289999485015869</v>
      </c>
      <c r="C1166">
        <v>1.1499999761581421</v>
      </c>
      <c r="D1166">
        <v>1.1289999485015869</v>
      </c>
      <c r="E1166">
        <v>1.1499999761581421</v>
      </c>
      <c r="F1166">
        <v>7802622</v>
      </c>
      <c r="G1166">
        <v>78026.21875</v>
      </c>
      <c r="H1166">
        <f t="shared" si="144"/>
        <v>1164</v>
      </c>
      <c r="I1166">
        <f>SUM($F$3:F1166)/H1166</f>
        <v>4096937.29384128</v>
      </c>
      <c r="N1166">
        <f t="shared" si="151"/>
        <v>1.1499999761581421</v>
      </c>
      <c r="O1166">
        <f t="shared" si="152"/>
        <v>1.031000018119812</v>
      </c>
      <c r="P1166">
        <f t="shared" si="143"/>
        <v>1.1429999669392903</v>
      </c>
      <c r="Q1166">
        <f t="shared" si="132"/>
        <v>1.0806428563027155</v>
      </c>
      <c r="R1166">
        <f t="shared" si="133"/>
        <v>6.2357110636574786E-2</v>
      </c>
      <c r="S1166">
        <f t="shared" si="134"/>
        <v>3.0397956468621059E-2</v>
      </c>
      <c r="T1166">
        <f t="shared" si="135"/>
        <v>4.5596934702931584E-4</v>
      </c>
      <c r="U1166">
        <f t="shared" si="136"/>
        <v>136.75724265860711</v>
      </c>
    </row>
    <row r="1167" spans="1:21" x14ac:dyDescent="0.15">
      <c r="A1167" s="1">
        <v>46129</v>
      </c>
      <c r="B1167">
        <v>1.1519999504089355</v>
      </c>
      <c r="C1167">
        <v>1.159000039100647</v>
      </c>
      <c r="D1167">
        <v>1.1449999809265137</v>
      </c>
      <c r="E1167">
        <v>1.156000018119812</v>
      </c>
      <c r="F1167">
        <v>2073127</v>
      </c>
      <c r="G1167">
        <v>20731.26953125</v>
      </c>
      <c r="H1167">
        <f t="shared" si="144"/>
        <v>1165</v>
      </c>
      <c r="I1167">
        <f>SUM($F$3:F1167)/H1167</f>
        <v>4095200.1176233906</v>
      </c>
      <c r="N1167">
        <f t="shared" si="151"/>
        <v>1.159000039100647</v>
      </c>
      <c r="O1167">
        <f t="shared" si="152"/>
        <v>1.031000018119812</v>
      </c>
      <c r="P1167">
        <f t="shared" si="143"/>
        <v>1.153333346048991</v>
      </c>
      <c r="Q1167">
        <f t="shared" si="132"/>
        <v>1.0871428563481287</v>
      </c>
      <c r="R1167">
        <f t="shared" si="133"/>
        <v>6.6190489700862276E-2</v>
      </c>
      <c r="S1167">
        <f t="shared" si="134"/>
        <v>3.5210883536306366E-2</v>
      </c>
      <c r="T1167">
        <f t="shared" si="135"/>
        <v>5.2816325304459548E-4</v>
      </c>
      <c r="U1167">
        <f t="shared" si="136"/>
        <v>125.32202745894834</v>
      </c>
    </row>
    <row r="1168" spans="1:21" x14ac:dyDescent="0.15">
      <c r="A1168" s="1">
        <v>46132</v>
      </c>
      <c r="B1168">
        <v>1.156999945640564</v>
      </c>
      <c r="C1168">
        <v>1.1649999618530273</v>
      </c>
      <c r="D1168">
        <v>1.1529999971389771</v>
      </c>
      <c r="E1168">
        <v>1.1610000133514404</v>
      </c>
      <c r="F1168">
        <v>1331406</v>
      </c>
      <c r="G1168">
        <v>13314.0595703125</v>
      </c>
      <c r="H1168">
        <f t="shared" si="144"/>
        <v>1166</v>
      </c>
      <c r="I1168">
        <f>SUM($F$3:F1168)/H1168</f>
        <v>4092829.7967677959</v>
      </c>
      <c r="N1168">
        <f t="shared" si="151"/>
        <v>1.1649999618530273</v>
      </c>
      <c r="O1168">
        <f t="shared" si="152"/>
        <v>1.031000018119812</v>
      </c>
      <c r="P1168">
        <f t="shared" si="143"/>
        <v>1.1596666574478149</v>
      </c>
      <c r="Q1168">
        <f t="shared" si="132"/>
        <v>1.0941904726482574</v>
      </c>
      <c r="R1168">
        <f t="shared" si="133"/>
        <v>6.5476184799557524E-2</v>
      </c>
      <c r="S1168">
        <f t="shared" si="134"/>
        <v>3.8523810250418511E-2</v>
      </c>
      <c r="T1168">
        <f t="shared" si="135"/>
        <v>5.7785715375627766E-4</v>
      </c>
      <c r="U1168">
        <f t="shared" si="136"/>
        <v>113.30859949373122</v>
      </c>
    </row>
    <row r="1169" spans="1:21" x14ac:dyDescent="0.15">
      <c r="A1169" s="1">
        <v>46133</v>
      </c>
      <c r="B1169">
        <v>1.156000018119812</v>
      </c>
      <c r="C1169">
        <v>1.1660000085830688</v>
      </c>
      <c r="D1169">
        <v>1.1480000019073486</v>
      </c>
      <c r="E1169">
        <v>1.1640000343322754</v>
      </c>
      <c r="F1169">
        <v>787504</v>
      </c>
      <c r="G1169">
        <v>7875.0400390625</v>
      </c>
      <c r="H1169">
        <f t="shared" si="144"/>
        <v>1167</v>
      </c>
      <c r="I1169">
        <f>SUM($F$3:F1169)/H1169</f>
        <v>4089997.4696068983</v>
      </c>
      <c r="N1169">
        <f t="shared" si="151"/>
        <v>1.1660000085830688</v>
      </c>
      <c r="O1169">
        <f t="shared" si="152"/>
        <v>1.031000018119812</v>
      </c>
      <c r="P1169">
        <f t="shared" si="143"/>
        <v>1.159333348274231</v>
      </c>
      <c r="Q1169">
        <f t="shared" si="132"/>
        <v>1.1016666633742196</v>
      </c>
      <c r="R1169">
        <f t="shared" si="133"/>
        <v>5.7666684900011367E-2</v>
      </c>
      <c r="S1169">
        <f t="shared" si="134"/>
        <v>3.9285717367314961E-2</v>
      </c>
      <c r="T1169">
        <f t="shared" si="135"/>
        <v>5.8928576050972436E-4</v>
      </c>
      <c r="U1169">
        <f t="shared" si="136"/>
        <v>97.858609123917148</v>
      </c>
    </row>
    <row r="1170" spans="1:21" x14ac:dyDescent="0.15">
      <c r="A1170" s="1">
        <v>46134</v>
      </c>
      <c r="B1170">
        <v>1.1629999876022339</v>
      </c>
      <c r="C1170">
        <v>1.1829999685287476</v>
      </c>
      <c r="D1170">
        <v>1.1599999666213989</v>
      </c>
      <c r="E1170">
        <v>1.1829999685287476</v>
      </c>
      <c r="F1170">
        <v>1108120</v>
      </c>
      <c r="G1170">
        <v>11081.2001953125</v>
      </c>
      <c r="H1170">
        <f t="shared" si="144"/>
        <v>1168</v>
      </c>
      <c r="I1170">
        <f>SUM($F$3:F1170)/H1170</f>
        <v>4087444.4923212756</v>
      </c>
      <c r="N1170">
        <f t="shared" si="151"/>
        <v>1.1829999685287476</v>
      </c>
      <c r="O1170">
        <f t="shared" si="152"/>
        <v>1.031000018119812</v>
      </c>
      <c r="P1170">
        <f t="shared" si="143"/>
        <v>1.1753333012262981</v>
      </c>
      <c r="Q1170">
        <f t="shared" si="132"/>
        <v>1.1100952313059851</v>
      </c>
      <c r="R1170">
        <f t="shared" si="133"/>
        <v>6.5238069920313002E-2</v>
      </c>
      <c r="S1170">
        <f t="shared" si="134"/>
        <v>3.9986396322445016E-2</v>
      </c>
      <c r="T1170">
        <f t="shared" si="135"/>
        <v>5.9979594483667523E-4</v>
      </c>
      <c r="U1170">
        <f t="shared" si="136"/>
        <v>108.76710735027955</v>
      </c>
    </row>
    <row r="1171" spans="1:21" x14ac:dyDescent="0.15">
      <c r="A1171" s="1">
        <v>46135</v>
      </c>
      <c r="B1171">
        <v>1.187999963760376</v>
      </c>
      <c r="C1171">
        <v>1.1909999847412109</v>
      </c>
      <c r="D1171">
        <v>1.1649999618530273</v>
      </c>
      <c r="E1171">
        <v>1.1770000457763672</v>
      </c>
      <c r="F1171">
        <v>2312708</v>
      </c>
      <c r="G1171">
        <v>23127.080078125</v>
      </c>
      <c r="H1171">
        <f t="shared" si="144"/>
        <v>1169</v>
      </c>
      <c r="I1171">
        <f>SUM($F$3:F1171)/H1171</f>
        <v>4085926.3259463217</v>
      </c>
      <c r="N1171">
        <f t="shared" si="151"/>
        <v>1.1909999847412109</v>
      </c>
      <c r="O1171">
        <f t="shared" si="152"/>
        <v>1.031000018119812</v>
      </c>
      <c r="P1171">
        <f t="shared" si="143"/>
        <v>1.1776666641235352</v>
      </c>
      <c r="Q1171">
        <f t="shared" si="132"/>
        <v>1.119238087109157</v>
      </c>
      <c r="R1171">
        <f t="shared" si="133"/>
        <v>5.8428577014378202E-2</v>
      </c>
      <c r="S1171">
        <f t="shared" si="134"/>
        <v>3.8823129368477156E-2</v>
      </c>
      <c r="T1171">
        <f t="shared" si="135"/>
        <v>5.8234694052715732E-4</v>
      </c>
      <c r="U1171">
        <f t="shared" si="136"/>
        <v>100.3329337688062</v>
      </c>
    </row>
    <row r="1172" spans="1:21" x14ac:dyDescent="0.15">
      <c r="A1172" s="1">
        <v>46136</v>
      </c>
      <c r="B1172">
        <v>1.1720000505447388</v>
      </c>
      <c r="C1172">
        <v>1.1729999780654907</v>
      </c>
      <c r="D1172">
        <v>1.156999945640564</v>
      </c>
      <c r="E1172">
        <v>1.1670000553131104</v>
      </c>
      <c r="F1172">
        <v>2117903</v>
      </c>
      <c r="G1172">
        <v>21179.029296875</v>
      </c>
      <c r="H1172">
        <f t="shared" si="144"/>
        <v>1170</v>
      </c>
      <c r="I1172">
        <f>SUM($F$3:F1172)/H1172</f>
        <v>4084244.2547275643</v>
      </c>
      <c r="N1172">
        <f t="shared" si="151"/>
        <v>1.1909999847412109</v>
      </c>
      <c r="O1172">
        <f t="shared" si="152"/>
        <v>1.031000018119812</v>
      </c>
      <c r="P1172">
        <f t="shared" si="143"/>
        <v>1.1656666596730549</v>
      </c>
      <c r="Q1172">
        <f t="shared" si="132"/>
        <v>1.1280238003957839</v>
      </c>
      <c r="R1172">
        <f t="shared" si="133"/>
        <v>3.7642859277271068E-2</v>
      </c>
      <c r="S1172">
        <f t="shared" si="134"/>
        <v>3.425850511408178E-2</v>
      </c>
      <c r="T1172">
        <f t="shared" si="135"/>
        <v>5.1387757671122667E-4</v>
      </c>
      <c r="U1172">
        <f t="shared" si="136"/>
        <v>73.25258190517323</v>
      </c>
    </row>
    <row r="1173" spans="1:21" x14ac:dyDescent="0.15">
      <c r="A1173" s="1">
        <v>46139</v>
      </c>
      <c r="B1173">
        <v>1.1670000553131104</v>
      </c>
      <c r="C1173">
        <v>1.1770000457763672</v>
      </c>
      <c r="D1173">
        <v>1.1670000553131104</v>
      </c>
      <c r="E1173">
        <v>1.1690000295639038</v>
      </c>
      <c r="F1173">
        <v>1376903</v>
      </c>
      <c r="G1173">
        <v>13769.0302734375</v>
      </c>
      <c r="H1173">
        <f t="shared" si="144"/>
        <v>1171</v>
      </c>
      <c r="I1173">
        <f>SUM($F$3:F1173)/H1173</f>
        <v>4081932.2639037147</v>
      </c>
      <c r="N1173">
        <f t="shared" si="151"/>
        <v>1.1909999847412109</v>
      </c>
      <c r="O1173">
        <f t="shared" si="152"/>
        <v>1.031000018119812</v>
      </c>
      <c r="P1173">
        <f t="shared" si="143"/>
        <v>1.1710000435511272</v>
      </c>
      <c r="Q1173">
        <f t="shared" si="132"/>
        <v>1.137571422826676</v>
      </c>
      <c r="R1173">
        <f t="shared" si="133"/>
        <v>3.3428620724451186E-2</v>
      </c>
      <c r="S1173">
        <f t="shared" si="134"/>
        <v>2.9204086381561929E-2</v>
      </c>
      <c r="T1173">
        <f t="shared" si="135"/>
        <v>4.3806129572342893E-4</v>
      </c>
      <c r="U1173">
        <f t="shared" si="136"/>
        <v>76.310372659712044</v>
      </c>
    </row>
    <row r="1174" spans="1:21" x14ac:dyDescent="0.15">
      <c r="A1174" s="1">
        <v>46140</v>
      </c>
      <c r="B1174">
        <v>1.159000039100647</v>
      </c>
      <c r="C1174">
        <v>1.1649999618530273</v>
      </c>
      <c r="D1174">
        <v>1.1549999713897705</v>
      </c>
      <c r="E1174">
        <v>1.156999945640564</v>
      </c>
      <c r="F1174">
        <v>1329318</v>
      </c>
      <c r="G1174">
        <v>13293.1796875</v>
      </c>
      <c r="H1174">
        <f t="shared" si="144"/>
        <v>1172</v>
      </c>
      <c r="I1174">
        <f>SUM($F$3:F1174)/H1174</f>
        <v>4079583.6169208619</v>
      </c>
      <c r="N1174">
        <f t="shared" si="151"/>
        <v>1.1909999847412109</v>
      </c>
      <c r="O1174">
        <f t="shared" si="152"/>
        <v>1.031000018119812</v>
      </c>
      <c r="P1174">
        <f t="shared" si="143"/>
        <v>1.1589999596277873</v>
      </c>
      <c r="Q1174">
        <f t="shared" si="132"/>
        <v>1.1439047569320313</v>
      </c>
      <c r="R1174">
        <f t="shared" si="133"/>
        <v>1.5095202695756038E-2</v>
      </c>
      <c r="S1174">
        <f t="shared" si="134"/>
        <v>2.4251703502369635E-2</v>
      </c>
      <c r="T1174">
        <f t="shared" si="135"/>
        <v>3.6377555253554449E-4</v>
      </c>
      <c r="U1174">
        <f t="shared" si="136"/>
        <v>41.495924040363008</v>
      </c>
    </row>
    <row r="1175" spans="1:21" x14ac:dyDescent="0.15">
      <c r="A1175" s="1">
        <v>46141</v>
      </c>
      <c r="B1175">
        <v>1.1529999971389771</v>
      </c>
      <c r="C1175">
        <v>1.1790000200271606</v>
      </c>
      <c r="D1175">
        <v>1.1529999971389771</v>
      </c>
      <c r="E1175">
        <v>1.1770000457763672</v>
      </c>
      <c r="F1175">
        <v>526604</v>
      </c>
      <c r="G1175">
        <v>5266.0400390625</v>
      </c>
      <c r="H1175">
        <f t="shared" si="144"/>
        <v>1173</v>
      </c>
      <c r="I1175">
        <f>SUM($F$3:F1175)/H1175</f>
        <v>4076554.6487904945</v>
      </c>
      <c r="N1175">
        <f t="shared" si="151"/>
        <v>1.1909999847412109</v>
      </c>
      <c r="O1175">
        <f t="shared" si="152"/>
        <v>1.031000018119812</v>
      </c>
      <c r="P1175">
        <f t="shared" si="143"/>
        <v>1.1696666876475017</v>
      </c>
      <c r="Q1175">
        <f t="shared" si="132"/>
        <v>1.1504761888867332</v>
      </c>
      <c r="R1175">
        <f t="shared" si="133"/>
        <v>1.9190498760768504E-2</v>
      </c>
      <c r="S1175">
        <f t="shared" si="134"/>
        <v>1.9482995377105978E-2</v>
      </c>
      <c r="T1175">
        <f t="shared" si="135"/>
        <v>2.9224493065658965E-4</v>
      </c>
      <c r="U1175">
        <f t="shared" si="136"/>
        <v>65.665805451793517</v>
      </c>
    </row>
    <row r="1176" spans="1:21" x14ac:dyDescent="0.15">
      <c r="A1176" s="1">
        <v>46142</v>
      </c>
      <c r="B1176">
        <v>1.1809999942779541</v>
      </c>
      <c r="C1176">
        <v>1.1859999895095825</v>
      </c>
      <c r="D1176">
        <v>1.1740000247955322</v>
      </c>
      <c r="E1176">
        <v>1.1770000457763672</v>
      </c>
      <c r="F1176">
        <v>1531906</v>
      </c>
      <c r="G1176">
        <v>15319.0595703125</v>
      </c>
      <c r="H1176">
        <f t="shared" si="144"/>
        <v>1174</v>
      </c>
      <c r="I1176">
        <f>SUM($F$3:F1176)/H1176</f>
        <v>4074387.1456824956</v>
      </c>
      <c r="N1176">
        <f>VLOOKUP(L61,A:C,3)</f>
        <v>1.2000000476837158</v>
      </c>
      <c r="O1176">
        <f>VLOOKUP(L61,A:D,4)</f>
        <v>1.1660000085830688</v>
      </c>
      <c r="P1176">
        <f t="shared" si="143"/>
        <v>1.1790000200271606</v>
      </c>
      <c r="Q1176">
        <f t="shared" si="132"/>
        <v>1.1559047613825117</v>
      </c>
      <c r="R1176">
        <f t="shared" si="133"/>
        <v>2.3095258644648897E-2</v>
      </c>
      <c r="S1176">
        <f t="shared" si="134"/>
        <v>1.6170069879415081E-2</v>
      </c>
      <c r="T1176">
        <f t="shared" si="135"/>
        <v>2.4255104819122621E-4</v>
      </c>
      <c r="U1176">
        <f t="shared" si="136"/>
        <v>95.218135798121537</v>
      </c>
    </row>
    <row r="1177" spans="1:21" x14ac:dyDescent="0.15">
      <c r="A1177" s="1">
        <v>46148</v>
      </c>
      <c r="B1177">
        <v>1.1660000085830688</v>
      </c>
      <c r="C1177">
        <v>1.2000000476837158</v>
      </c>
      <c r="D1177">
        <v>1.1660000085830688</v>
      </c>
      <c r="E1177">
        <v>1.1929999589920044</v>
      </c>
      <c r="F1177">
        <v>2577800</v>
      </c>
      <c r="G1177">
        <v>25778</v>
      </c>
      <c r="H1177">
        <f t="shared" si="144"/>
        <v>1175</v>
      </c>
      <c r="I1177">
        <f>SUM($F$3:F1177)/H1177</f>
        <v>4073113.4544946807</v>
      </c>
      <c r="N1177">
        <f t="shared" ref="N1177:N1193" si="153">IF(A1177&lt;&gt;$K$61,MAX(N1176,VLOOKUP(A1177,A:C,3)),)</f>
        <v>1.2000000476837158</v>
      </c>
      <c r="O1177">
        <f t="shared" ref="O1177:O1193" si="154">IF(A1177&lt;&gt;$K$61,MIN(O1176,VLOOKUP(A1177,A:D,4)),)</f>
        <v>1.1660000085830688</v>
      </c>
      <c r="P1177">
        <f t="shared" si="143"/>
        <v>1.1863333384195964</v>
      </c>
      <c r="Q1177">
        <f t="shared" si="132"/>
        <v>1.161166665099916</v>
      </c>
      <c r="R1177">
        <f t="shared" si="133"/>
        <v>2.5166673319680477E-2</v>
      </c>
      <c r="S1177">
        <f t="shared" si="134"/>
        <v>1.378572270983742E-2</v>
      </c>
      <c r="T1177">
        <f t="shared" si="135"/>
        <v>2.0678584064756129E-4</v>
      </c>
      <c r="U1177">
        <f t="shared" si="136"/>
        <v>121.7040453102091</v>
      </c>
    </row>
    <row r="1178" spans="1:21" x14ac:dyDescent="0.15">
      <c r="A1178" s="1">
        <v>46149</v>
      </c>
      <c r="B1178">
        <v>1.1929999589920044</v>
      </c>
      <c r="C1178">
        <v>1.2059999704360962</v>
      </c>
      <c r="D1178">
        <v>1.1890000104904175</v>
      </c>
      <c r="E1178">
        <v>1.2050000429153442</v>
      </c>
      <c r="F1178">
        <v>2515003</v>
      </c>
      <c r="G1178">
        <v>25150.029296875</v>
      </c>
      <c r="H1178">
        <f t="shared" si="144"/>
        <v>1176</v>
      </c>
      <c r="I1178">
        <f>SUM($F$3:F1178)/H1178</f>
        <v>4071788.5306388182</v>
      </c>
      <c r="N1178">
        <f t="shared" si="153"/>
        <v>1.2059999704360962</v>
      </c>
      <c r="O1178">
        <f t="shared" si="154"/>
        <v>1.1660000085830688</v>
      </c>
      <c r="P1178">
        <f t="shared" si="143"/>
        <v>1.2000000079472859</v>
      </c>
      <c r="Q1178">
        <f t="shared" si="132"/>
        <v>1.1661666660081771</v>
      </c>
      <c r="R1178">
        <f t="shared" si="133"/>
        <v>3.3833341939108807E-2</v>
      </c>
      <c r="S1178">
        <f t="shared" si="134"/>
        <v>1.3690485840752022E-2</v>
      </c>
      <c r="T1178">
        <f t="shared" si="135"/>
        <v>2.0535728761128034E-4</v>
      </c>
      <c r="U1178">
        <f t="shared" si="136"/>
        <v>164.75354896170887</v>
      </c>
    </row>
    <row r="1179" spans="1:21" x14ac:dyDescent="0.15">
      <c r="A1179" s="1">
        <v>46150</v>
      </c>
      <c r="B1179">
        <v>1.1970000267028809</v>
      </c>
      <c r="C1179">
        <v>1.2050000429153442</v>
      </c>
      <c r="D1179">
        <v>1.1950000524520874</v>
      </c>
      <c r="E1179">
        <v>1.1959999799728394</v>
      </c>
      <c r="F1179">
        <v>585700</v>
      </c>
      <c r="G1179">
        <v>5857</v>
      </c>
      <c r="H1179">
        <f t="shared" si="144"/>
        <v>1177</v>
      </c>
      <c r="I1179">
        <f>SUM($F$3:F1179)/H1179</f>
        <v>4068826.6882168651</v>
      </c>
      <c r="N1179">
        <f t="shared" si="153"/>
        <v>1.2059999704360962</v>
      </c>
      <c r="O1179">
        <f t="shared" si="154"/>
        <v>1.1660000085830688</v>
      </c>
      <c r="P1179">
        <f t="shared" si="143"/>
        <v>1.1986666917800903</v>
      </c>
      <c r="Q1179">
        <f t="shared" si="132"/>
        <v>1.1712619066238403</v>
      </c>
      <c r="R1179">
        <f t="shared" si="133"/>
        <v>2.740478515625E-2</v>
      </c>
      <c r="S1179">
        <f t="shared" si="134"/>
        <v>1.2775511968703492E-2</v>
      </c>
      <c r="T1179">
        <f t="shared" si="135"/>
        <v>1.9163267953055236E-4</v>
      </c>
      <c r="U1179">
        <f t="shared" si="136"/>
        <v>143.00684634470605</v>
      </c>
    </row>
    <row r="1180" spans="1:21" x14ac:dyDescent="0.15">
      <c r="A1180" s="1">
        <v>46153</v>
      </c>
      <c r="B1180">
        <v>1.2070000171661377</v>
      </c>
      <c r="C1180">
        <v>1.2259999513626099</v>
      </c>
      <c r="D1180">
        <v>1.2039999961853027</v>
      </c>
      <c r="E1180">
        <v>1.2239999771118164</v>
      </c>
      <c r="F1180">
        <v>1827702.875</v>
      </c>
      <c r="G1180">
        <v>18277.029296875</v>
      </c>
      <c r="H1180">
        <f t="shared" si="144"/>
        <v>1178</v>
      </c>
      <c r="I1180">
        <f>SUM($F$3:F1180)/H1180</f>
        <v>4066924.2062022495</v>
      </c>
      <c r="N1180">
        <f t="shared" si="153"/>
        <v>1.2259999513626099</v>
      </c>
      <c r="O1180">
        <f t="shared" si="154"/>
        <v>1.1660000085830688</v>
      </c>
      <c r="P1180">
        <f t="shared" si="143"/>
        <v>1.2179999748865764</v>
      </c>
      <c r="Q1180">
        <f t="shared" si="132"/>
        <v>1.1766190500486464</v>
      </c>
      <c r="R1180">
        <f t="shared" si="133"/>
        <v>4.1380924837929989E-2</v>
      </c>
      <c r="S1180">
        <f t="shared" si="134"/>
        <v>1.4278913841766541E-2</v>
      </c>
      <c r="T1180">
        <f t="shared" si="135"/>
        <v>2.1418370762649809E-4</v>
      </c>
      <c r="U1180">
        <f t="shared" si="136"/>
        <v>193.2029531867646</v>
      </c>
    </row>
    <row r="1181" spans="1:21" x14ac:dyDescent="0.15">
      <c r="A1181" s="1">
        <v>46154</v>
      </c>
      <c r="B1181">
        <v>1.2300000190734863</v>
      </c>
      <c r="C1181">
        <v>1.2300000190734863</v>
      </c>
      <c r="D1181">
        <v>1.2100000381469727</v>
      </c>
      <c r="E1181">
        <v>1.2220000028610229</v>
      </c>
      <c r="F1181">
        <v>2837503</v>
      </c>
      <c r="G1181">
        <v>28375.029296875</v>
      </c>
      <c r="H1181">
        <f t="shared" si="144"/>
        <v>1179</v>
      </c>
      <c r="I1181">
        <f>SUM($F$3:F1181)/H1181</f>
        <v>4065881.4401240456</v>
      </c>
      <c r="N1181">
        <f t="shared" si="153"/>
        <v>1.2300000190734863</v>
      </c>
      <c r="O1181">
        <f t="shared" si="154"/>
        <v>1.1660000085830688</v>
      </c>
      <c r="P1181">
        <f t="shared" si="143"/>
        <v>1.2206666866938274</v>
      </c>
      <c r="Q1181">
        <f t="shared" si="132"/>
        <v>1.1814285743804205</v>
      </c>
      <c r="R1181">
        <f t="shared" si="133"/>
        <v>3.9238112313406903E-2</v>
      </c>
      <c r="S1181">
        <f t="shared" si="134"/>
        <v>1.6646261117896244E-2</v>
      </c>
      <c r="T1181">
        <f t="shared" si="135"/>
        <v>2.4969391676844365E-4</v>
      </c>
      <c r="U1181">
        <f t="shared" si="136"/>
        <v>157.14484686382966</v>
      </c>
    </row>
    <row r="1182" spans="1:21" x14ac:dyDescent="0.15">
      <c r="A1182" s="1">
        <v>46155</v>
      </c>
      <c r="B1182">
        <v>1.2220000028610229</v>
      </c>
      <c r="C1182">
        <v>1.2430000305175781</v>
      </c>
      <c r="D1182">
        <v>1.2150000333786011</v>
      </c>
      <c r="E1182">
        <v>1.2430000305175781</v>
      </c>
      <c r="F1182">
        <v>3813105.75</v>
      </c>
      <c r="G1182">
        <v>38131.05859375</v>
      </c>
      <c r="H1182">
        <f t="shared" si="144"/>
        <v>1180</v>
      </c>
      <c r="I1182">
        <f>SUM($F$3:F1182)/H1182</f>
        <v>4065667.2234375002</v>
      </c>
      <c r="N1182">
        <f t="shared" si="153"/>
        <v>1.2430000305175781</v>
      </c>
      <c r="O1182">
        <f t="shared" si="154"/>
        <v>1.1660000085830688</v>
      </c>
      <c r="P1182">
        <f t="shared" si="143"/>
        <v>1.2336666981379192</v>
      </c>
      <c r="Q1182">
        <f t="shared" si="132"/>
        <v>1.1867142915725708</v>
      </c>
      <c r="R1182">
        <f t="shared" si="133"/>
        <v>4.6952406565348381E-2</v>
      </c>
      <c r="S1182">
        <f t="shared" si="134"/>
        <v>1.9632657368977853E-2</v>
      </c>
      <c r="T1182">
        <f t="shared" si="135"/>
        <v>2.9448986053466777E-4</v>
      </c>
      <c r="U1182">
        <f t="shared" si="136"/>
        <v>159.43641142721475</v>
      </c>
    </row>
    <row r="1183" spans="1:21" x14ac:dyDescent="0.15">
      <c r="A1183" s="1">
        <v>46156</v>
      </c>
      <c r="B1183">
        <v>1.2389999628067017</v>
      </c>
      <c r="C1183">
        <v>1.2560000419616699</v>
      </c>
      <c r="D1183">
        <v>1.2150000333786011</v>
      </c>
      <c r="E1183">
        <v>1.2239999771118164</v>
      </c>
      <c r="F1183">
        <v>1523502</v>
      </c>
      <c r="G1183">
        <v>15235.01953125</v>
      </c>
      <c r="H1183">
        <f t="shared" si="144"/>
        <v>1181</v>
      </c>
      <c r="I1183">
        <f>SUM($F$3:F1183)/H1183</f>
        <v>4063514.6703270534</v>
      </c>
      <c r="N1183">
        <f t="shared" si="153"/>
        <v>1.2560000419616699</v>
      </c>
      <c r="O1183">
        <f t="shared" si="154"/>
        <v>1.1660000085830688</v>
      </c>
      <c r="P1183">
        <f t="shared" si="143"/>
        <v>1.2316666841506958</v>
      </c>
      <c r="Q1183">
        <f t="shared" si="132"/>
        <v>1.1918809584208898</v>
      </c>
      <c r="R1183">
        <f t="shared" si="133"/>
        <v>3.9785725729805987E-2</v>
      </c>
      <c r="S1183">
        <f t="shared" si="134"/>
        <v>2.1625856153008081E-2</v>
      </c>
      <c r="T1183">
        <f t="shared" si="135"/>
        <v>3.2438784229512122E-4</v>
      </c>
      <c r="U1183">
        <f t="shared" si="136"/>
        <v>122.64863395715605</v>
      </c>
    </row>
    <row r="1184" spans="1:21" x14ac:dyDescent="0.15">
      <c r="A1184" s="1">
        <v>46157</v>
      </c>
      <c r="B1184">
        <v>1.218999981880188</v>
      </c>
      <c r="C1184">
        <v>1.2319999933242798</v>
      </c>
      <c r="D1184">
        <v>1.2000000476837158</v>
      </c>
      <c r="E1184">
        <v>1.2100000381469727</v>
      </c>
      <c r="F1184">
        <v>2310300</v>
      </c>
      <c r="G1184">
        <v>23103</v>
      </c>
      <c r="H1184">
        <f t="shared" si="144"/>
        <v>1182</v>
      </c>
      <c r="I1184">
        <f>SUM($F$3:F1184)/H1184</f>
        <v>4062031.4091846445</v>
      </c>
      <c r="N1184">
        <f t="shared" si="153"/>
        <v>1.2560000419616699</v>
      </c>
      <c r="O1184">
        <f t="shared" si="154"/>
        <v>1.1660000085830688</v>
      </c>
      <c r="P1184">
        <f t="shared" si="143"/>
        <v>1.2140000263849895</v>
      </c>
      <c r="Q1184">
        <f t="shared" si="132"/>
        <v>1.1946428673607963</v>
      </c>
      <c r="R1184">
        <f t="shared" si="133"/>
        <v>1.9357159024193216E-2</v>
      </c>
      <c r="S1184">
        <f t="shared" si="134"/>
        <v>2.2023814065115794E-2</v>
      </c>
      <c r="T1184">
        <f t="shared" si="135"/>
        <v>3.3035721097673688E-4</v>
      </c>
      <c r="U1184">
        <f t="shared" si="136"/>
        <v>58.594631450488635</v>
      </c>
    </row>
    <row r="1185" spans="1:21" x14ac:dyDescent="0.15">
      <c r="A1185" s="1">
        <v>46160</v>
      </c>
      <c r="B1185">
        <v>1.2009999752044678</v>
      </c>
      <c r="C1185">
        <v>1.2150000333786011</v>
      </c>
      <c r="D1185">
        <v>1.1959999799728394</v>
      </c>
      <c r="E1185">
        <v>1.2029999494552612</v>
      </c>
      <c r="F1185">
        <v>1285802</v>
      </c>
      <c r="G1185">
        <v>12858.01953125</v>
      </c>
      <c r="H1185">
        <f t="shared" si="144"/>
        <v>1183</v>
      </c>
      <c r="I1185">
        <f>SUM($F$3:F1185)/H1185</f>
        <v>4059684.6387626794</v>
      </c>
      <c r="N1185">
        <f t="shared" si="153"/>
        <v>1.2560000419616699</v>
      </c>
      <c r="O1185">
        <f t="shared" si="154"/>
        <v>1.1660000085830688</v>
      </c>
      <c r="P1185">
        <f t="shared" si="143"/>
        <v>1.2046666542689006</v>
      </c>
      <c r="Q1185">
        <f t="shared" si="132"/>
        <v>1.1965714380854651</v>
      </c>
      <c r="R1185">
        <f t="shared" si="133"/>
        <v>8.0952161834355607E-3</v>
      </c>
      <c r="S1185">
        <f t="shared" si="134"/>
        <v>2.1251702795223339E-2</v>
      </c>
      <c r="T1185">
        <f t="shared" si="135"/>
        <v>3.1877554192835011E-4</v>
      </c>
      <c r="U1185">
        <f t="shared" si="136"/>
        <v>25.39472173575691</v>
      </c>
    </row>
    <row r="1186" spans="1:21" x14ac:dyDescent="0.15">
      <c r="A1186" s="1">
        <v>46161</v>
      </c>
      <c r="B1186">
        <v>1.1929999589920044</v>
      </c>
      <c r="C1186">
        <v>1.2029999494552612</v>
      </c>
      <c r="D1186">
        <v>1.1779999732971191</v>
      </c>
      <c r="E1186">
        <v>1.2029999494552612</v>
      </c>
      <c r="F1186">
        <v>1353000</v>
      </c>
      <c r="G1186">
        <v>13530</v>
      </c>
      <c r="H1186">
        <f t="shared" si="144"/>
        <v>1184</v>
      </c>
      <c r="I1186">
        <f>SUM($F$3:F1186)/H1186</f>
        <v>4057398.5875475085</v>
      </c>
      <c r="N1186">
        <f t="shared" si="153"/>
        <v>1.2560000419616699</v>
      </c>
      <c r="O1186">
        <f t="shared" si="154"/>
        <v>1.1660000085830688</v>
      </c>
      <c r="P1186">
        <f t="shared" si="143"/>
        <v>1.1946666240692139</v>
      </c>
      <c r="Q1186">
        <f t="shared" si="132"/>
        <v>1.1986428641137619</v>
      </c>
      <c r="R1186">
        <f t="shared" si="133"/>
        <v>-3.9762400445479962E-3</v>
      </c>
      <c r="S1186">
        <f t="shared" si="134"/>
        <v>1.8884358762883875E-2</v>
      </c>
      <c r="T1186">
        <f t="shared" si="135"/>
        <v>2.832653814432581E-4</v>
      </c>
      <c r="U1186">
        <f t="shared" si="136"/>
        <v>-14.037154926199449</v>
      </c>
    </row>
    <row r="1187" spans="1:21" x14ac:dyDescent="0.15">
      <c r="A1187" s="1">
        <v>46162</v>
      </c>
      <c r="B1187">
        <v>1.1940000057220459</v>
      </c>
      <c r="C1187">
        <v>1.2050000429153442</v>
      </c>
      <c r="D1187">
        <v>1.1909999847412109</v>
      </c>
      <c r="E1187">
        <v>1.1990000009536743</v>
      </c>
      <c r="F1187">
        <v>1973003.875</v>
      </c>
      <c r="G1187">
        <v>19730.0390625</v>
      </c>
      <c r="H1187">
        <f t="shared" si="144"/>
        <v>1185</v>
      </c>
      <c r="I1187">
        <f>SUM($F$3:F1187)/H1187</f>
        <v>4055639.6046677213</v>
      </c>
      <c r="N1187">
        <f t="shared" si="153"/>
        <v>1.2560000419616699</v>
      </c>
      <c r="O1187">
        <f t="shared" si="154"/>
        <v>1.1660000085830688</v>
      </c>
      <c r="P1187">
        <f t="shared" si="143"/>
        <v>1.1983333428700764</v>
      </c>
      <c r="Q1187">
        <f t="shared" si="132"/>
        <v>1.200595242636544</v>
      </c>
      <c r="R1187">
        <f t="shared" si="133"/>
        <v>-2.2618997664676233E-3</v>
      </c>
      <c r="S1187">
        <f t="shared" si="134"/>
        <v>1.7013609814806024E-2</v>
      </c>
      <c r="T1187">
        <f t="shared" si="135"/>
        <v>2.5520414722209034E-4</v>
      </c>
      <c r="U1187">
        <f t="shared" si="136"/>
        <v>-8.8630995659299163</v>
      </c>
    </row>
    <row r="1188" spans="1:21" x14ac:dyDescent="0.15">
      <c r="A1188" s="1">
        <v>46163</v>
      </c>
      <c r="B1188">
        <v>1.2109999656677246</v>
      </c>
      <c r="C1188">
        <v>1.2319999933242798</v>
      </c>
      <c r="D1188">
        <v>1.1859999895095825</v>
      </c>
      <c r="E1188">
        <v>1.1859999895095825</v>
      </c>
      <c r="F1188">
        <v>4589602</v>
      </c>
      <c r="G1188">
        <v>45896.01953125</v>
      </c>
      <c r="H1188">
        <f t="shared" si="144"/>
        <v>1186</v>
      </c>
      <c r="I1188">
        <f>SUM($F$3:F1188)/H1188</f>
        <v>4056089.8259116779</v>
      </c>
      <c r="N1188">
        <f t="shared" si="153"/>
        <v>1.2560000419616699</v>
      </c>
      <c r="O1188">
        <f t="shared" si="154"/>
        <v>1.1660000085830688</v>
      </c>
      <c r="P1188">
        <f t="shared" si="143"/>
        <v>1.2013333241144817</v>
      </c>
      <c r="Q1188">
        <f t="shared" si="132"/>
        <v>1.203619054385594</v>
      </c>
      <c r="R1188">
        <f t="shared" si="133"/>
        <v>-2.2857302711123406E-3</v>
      </c>
      <c r="S1188">
        <f t="shared" si="134"/>
        <v>1.4421771172763569E-2</v>
      </c>
      <c r="T1188">
        <f t="shared" si="135"/>
        <v>2.1632656759145352E-4</v>
      </c>
      <c r="U1188">
        <f t="shared" si="136"/>
        <v>-10.56610982442567</v>
      </c>
    </row>
    <row r="1189" spans="1:21" x14ac:dyDescent="0.15">
      <c r="A1189" s="1">
        <v>46164</v>
      </c>
      <c r="B1189">
        <v>1.190000057220459</v>
      </c>
      <c r="C1189">
        <v>1.2150000333786011</v>
      </c>
      <c r="D1189">
        <v>1.190000057220459</v>
      </c>
      <c r="E1189">
        <v>1.2150000333786011</v>
      </c>
      <c r="F1189">
        <v>3018704</v>
      </c>
      <c r="G1189">
        <v>30187.0390625</v>
      </c>
      <c r="H1189">
        <f t="shared" si="144"/>
        <v>1187</v>
      </c>
      <c r="I1189">
        <f>SUM($F$3:F1189)/H1189</f>
        <v>4055215.8698662594</v>
      </c>
      <c r="N1189">
        <f t="shared" si="153"/>
        <v>1.2560000419616699</v>
      </c>
      <c r="O1189">
        <f t="shared" si="154"/>
        <v>1.1660000085830688</v>
      </c>
      <c r="P1189">
        <f t="shared" si="143"/>
        <v>1.2066667079925537</v>
      </c>
      <c r="Q1189">
        <f t="shared" si="132"/>
        <v>1.206261912981669</v>
      </c>
      <c r="R1189">
        <f t="shared" si="133"/>
        <v>4.0479501088475089E-4</v>
      </c>
      <c r="S1189">
        <f t="shared" si="134"/>
        <v>1.2442185765221001E-2</v>
      </c>
      <c r="T1189">
        <f t="shared" si="135"/>
        <v>1.8663278647831501E-4</v>
      </c>
      <c r="U1189">
        <f t="shared" si="136"/>
        <v>2.1689383656701944</v>
      </c>
    </row>
    <row r="1190" spans="1:21" x14ac:dyDescent="0.15">
      <c r="A1190" s="1">
        <v>46167</v>
      </c>
      <c r="B1190">
        <v>1.2239999771118164</v>
      </c>
      <c r="C1190">
        <v>1.2380000352859497</v>
      </c>
      <c r="D1190">
        <v>1.2109999656677246</v>
      </c>
      <c r="E1190">
        <v>1.2359999418258667</v>
      </c>
      <c r="F1190">
        <v>1636907</v>
      </c>
      <c r="G1190">
        <v>16369.0703125</v>
      </c>
      <c r="H1190">
        <f t="shared" si="144"/>
        <v>1188</v>
      </c>
      <c r="I1190">
        <f>SUM($F$3:F1190)/H1190</f>
        <v>4053180.2563394359</v>
      </c>
      <c r="N1190">
        <f t="shared" si="153"/>
        <v>1.2560000419616699</v>
      </c>
      <c r="O1190">
        <f t="shared" si="154"/>
        <v>1.1660000085830688</v>
      </c>
      <c r="P1190">
        <f t="shared" si="143"/>
        <v>1.2283333142598469</v>
      </c>
      <c r="Q1190">
        <f t="shared" si="132"/>
        <v>1.2097857197125752</v>
      </c>
      <c r="R1190">
        <f t="shared" si="133"/>
        <v>1.8547594547271729E-2</v>
      </c>
      <c r="S1190">
        <f t="shared" si="134"/>
        <v>1.2517009462629045E-2</v>
      </c>
      <c r="T1190">
        <f t="shared" si="135"/>
        <v>1.8775514193943566E-4</v>
      </c>
      <c r="U1190">
        <f t="shared" si="136"/>
        <v>98.786080400688263</v>
      </c>
    </row>
    <row r="1191" spans="1:21" x14ac:dyDescent="0.15">
      <c r="A1191" s="1">
        <v>46168</v>
      </c>
      <c r="B1191">
        <v>1.2630000114440918</v>
      </c>
      <c r="C1191">
        <v>1.2630000114440918</v>
      </c>
      <c r="D1191">
        <v>1.2130000591278076</v>
      </c>
      <c r="E1191">
        <v>1.2450000047683716</v>
      </c>
      <c r="F1191">
        <v>2589104</v>
      </c>
      <c r="G1191">
        <v>25891.0390625</v>
      </c>
      <c r="H1191">
        <f t="shared" si="144"/>
        <v>1189</v>
      </c>
      <c r="I1191">
        <f>SUM($F$3:F1191)/H1191</f>
        <v>4051948.905408957</v>
      </c>
      <c r="N1191">
        <f t="shared" si="153"/>
        <v>1.2630000114440918</v>
      </c>
      <c r="O1191">
        <f t="shared" si="154"/>
        <v>1.1660000085830688</v>
      </c>
      <c r="P1191">
        <f t="shared" si="143"/>
        <v>1.2403333584467571</v>
      </c>
      <c r="Q1191">
        <f t="shared" si="132"/>
        <v>1.2136428640002297</v>
      </c>
      <c r="R1191">
        <f t="shared" si="133"/>
        <v>2.669049444652738E-2</v>
      </c>
      <c r="S1191">
        <f t="shared" si="134"/>
        <v>1.3023813565572124E-2</v>
      </c>
      <c r="T1191">
        <f t="shared" si="135"/>
        <v>1.9535720348358185E-4</v>
      </c>
      <c r="U1191">
        <f t="shared" si="136"/>
        <v>136.62406080035075</v>
      </c>
    </row>
    <row r="1192" spans="1:21" x14ac:dyDescent="0.15">
      <c r="A1192" s="1">
        <v>46169</v>
      </c>
      <c r="B1192">
        <v>1.2439999580383301</v>
      </c>
      <c r="C1192">
        <v>1.2640000581741333</v>
      </c>
      <c r="D1192">
        <v>1.2350000143051147</v>
      </c>
      <c r="E1192">
        <v>1.2389999628067017</v>
      </c>
      <c r="F1192">
        <v>1705300</v>
      </c>
      <c r="G1192">
        <v>17053</v>
      </c>
      <c r="H1192">
        <f t="shared" si="144"/>
        <v>1190</v>
      </c>
      <c r="I1192">
        <f>SUM($F$3:F1192)/H1192</f>
        <v>4049976.9315388654</v>
      </c>
      <c r="N1192">
        <f t="shared" si="153"/>
        <v>1.2640000581741333</v>
      </c>
      <c r="O1192">
        <f t="shared" si="154"/>
        <v>1.1660000085830688</v>
      </c>
      <c r="P1192">
        <f t="shared" si="143"/>
        <v>1.2460000117619832</v>
      </c>
      <c r="Q1192">
        <f t="shared" si="132"/>
        <v>1.2169285785584223</v>
      </c>
      <c r="R1192">
        <f t="shared" si="133"/>
        <v>2.907143320356087E-2</v>
      </c>
      <c r="S1192">
        <f t="shared" si="134"/>
        <v>1.4309525489807129E-2</v>
      </c>
      <c r="T1192">
        <f t="shared" si="135"/>
        <v>2.1464288234710691E-4</v>
      </c>
      <c r="U1192">
        <f t="shared" si="136"/>
        <v>135.44093745698208</v>
      </c>
    </row>
    <row r="1193" spans="1:21" x14ac:dyDescent="0.15">
      <c r="A1193" s="1">
        <v>46170</v>
      </c>
      <c r="B1193">
        <v>1.25</v>
      </c>
      <c r="C1193">
        <v>1.2680000066757202</v>
      </c>
      <c r="D1193">
        <v>1.2209999561309814</v>
      </c>
      <c r="E1193">
        <v>1.2519999742507935</v>
      </c>
      <c r="F1193">
        <v>2592805</v>
      </c>
      <c r="G1193">
        <v>25928.05078125</v>
      </c>
      <c r="H1193">
        <f t="shared" si="144"/>
        <v>1191</v>
      </c>
      <c r="I1193">
        <f>SUM($F$3:F1193)/H1193</f>
        <v>4048753.4454502519</v>
      </c>
      <c r="N1193">
        <f t="shared" si="153"/>
        <v>1.2680000066757202</v>
      </c>
      <c r="O1193">
        <f t="shared" si="154"/>
        <v>1.1660000085830688</v>
      </c>
      <c r="P1193">
        <f t="shared" si="143"/>
        <v>1.246999979019165</v>
      </c>
      <c r="Q1193">
        <f t="shared" si="132"/>
        <v>1.2203809562183563</v>
      </c>
      <c r="R1193">
        <f t="shared" si="133"/>
        <v>2.6619022800808745E-2</v>
      </c>
      <c r="S1193">
        <f t="shared" si="134"/>
        <v>1.5000005563100169E-2</v>
      </c>
      <c r="T1193">
        <f t="shared" si="135"/>
        <v>2.2500008344650252E-4</v>
      </c>
      <c r="U1193">
        <f t="shared" si="136"/>
        <v>118.30672412678396</v>
      </c>
    </row>
    <row r="1194" spans="1:21" x14ac:dyDescent="0.15">
      <c r="A1194" s="1">
        <v>46171</v>
      </c>
      <c r="B1194">
        <v>1.2519999742507935</v>
      </c>
      <c r="C1194">
        <v>1.2680000066757202</v>
      </c>
      <c r="D1194">
        <v>1.2369999885559082</v>
      </c>
      <c r="E1194">
        <v>1.2450000047683716</v>
      </c>
      <c r="F1194">
        <v>2806705</v>
      </c>
      <c r="G1194">
        <v>28067.05078125</v>
      </c>
      <c r="H1194">
        <f t="shared" si="144"/>
        <v>1192</v>
      </c>
      <c r="I1194">
        <f>SUM($F$3:F1194)/H1194</f>
        <v>4047711.4584993706</v>
      </c>
      <c r="N1194">
        <f>VLOOKUP(L62,A:C,3)</f>
        <v>1.2489999532699585</v>
      </c>
      <c r="O1194">
        <f>VLOOKUP(L62,A:D,4)</f>
        <v>1.218000054359436</v>
      </c>
      <c r="P1194">
        <f t="shared" si="143"/>
        <v>1.25</v>
      </c>
      <c r="Q1194">
        <f t="shared" si="132"/>
        <v>1.2226666722978865</v>
      </c>
      <c r="R1194">
        <f t="shared" si="133"/>
        <v>2.7333327702113497E-2</v>
      </c>
      <c r="S1194">
        <f t="shared" si="134"/>
        <v>1.6904762813023142E-2</v>
      </c>
      <c r="T1194">
        <f t="shared" si="135"/>
        <v>2.5357144219534714E-4</v>
      </c>
      <c r="U1194">
        <f t="shared" si="136"/>
        <v>107.7933992308817</v>
      </c>
    </row>
    <row r="1195" spans="1:21" x14ac:dyDescent="0.15">
      <c r="A1195" s="1">
        <v>46174</v>
      </c>
      <c r="B1195">
        <v>1.2410000562667847</v>
      </c>
      <c r="C1195">
        <v>1.2489999532699585</v>
      </c>
      <c r="D1195">
        <v>1.218000054359436</v>
      </c>
      <c r="E1195">
        <v>1.2209999561309814</v>
      </c>
      <c r="F1195">
        <v>2885709</v>
      </c>
      <c r="G1195">
        <v>28857.08984375</v>
      </c>
      <c r="H1195">
        <f t="shared" si="144"/>
        <v>1193</v>
      </c>
      <c r="I1195">
        <f>SUM($F$3:F1195)/H1195</f>
        <v>4046737.4413505867</v>
      </c>
      <c r="N1195">
        <f t="shared" ref="N1195:N1214" si="155">IF(A1195&lt;&gt;$K$62,MAX(N1194,VLOOKUP(A1195,A:C,3)),)</f>
        <v>1.2489999532699585</v>
      </c>
      <c r="O1195">
        <f t="shared" ref="O1195:O1214" si="156">IF(A1195&lt;&gt;$K$62,MIN(O1194,VLOOKUP(A1195,A:D,4)),)</f>
        <v>1.218000054359436</v>
      </c>
      <c r="P1195">
        <f t="shared" si="143"/>
        <v>1.2293333212534587</v>
      </c>
      <c r="Q1195">
        <f t="shared" si="132"/>
        <v>1.2232857176235743</v>
      </c>
      <c r="R1195">
        <f t="shared" si="133"/>
        <v>6.0476036298844349E-3</v>
      </c>
      <c r="S1195">
        <f t="shared" si="134"/>
        <v>1.7149660863032965E-2</v>
      </c>
      <c r="T1195">
        <f t="shared" si="135"/>
        <v>2.5724491294549449E-4</v>
      </c>
      <c r="U1195">
        <f t="shared" si="136"/>
        <v>23.509128171431758</v>
      </c>
    </row>
    <row r="1196" spans="1:21" x14ac:dyDescent="0.15">
      <c r="A1196" s="1">
        <v>46175</v>
      </c>
      <c r="B1196">
        <v>1.2350000143051147</v>
      </c>
      <c r="C1196">
        <v>1.2519999742507935</v>
      </c>
      <c r="D1196">
        <v>1.2170000076293945</v>
      </c>
      <c r="E1196">
        <v>1.2489999532699585</v>
      </c>
      <c r="F1196">
        <v>4139100</v>
      </c>
      <c r="G1196">
        <v>41391</v>
      </c>
      <c r="H1196">
        <f t="shared" si="144"/>
        <v>1194</v>
      </c>
      <c r="I1196">
        <f>SUM($F$3:F1196)/H1196</f>
        <v>4046814.796927345</v>
      </c>
      <c r="N1196">
        <f t="shared" si="155"/>
        <v>1.2519999742507935</v>
      </c>
      <c r="O1196">
        <f t="shared" si="156"/>
        <v>1.2170000076293945</v>
      </c>
      <c r="P1196">
        <f t="shared" si="143"/>
        <v>1.2393333117167156</v>
      </c>
      <c r="Q1196">
        <f t="shared" si="132"/>
        <v>1.2236904757363456</v>
      </c>
      <c r="R1196">
        <f t="shared" si="133"/>
        <v>1.5642835980369973E-2</v>
      </c>
      <c r="S1196">
        <f t="shared" si="134"/>
        <v>1.7496596388265378E-2</v>
      </c>
      <c r="T1196">
        <f t="shared" si="135"/>
        <v>2.6244894582398064E-4</v>
      </c>
      <c r="U1196">
        <f t="shared" si="136"/>
        <v>59.6033484960588</v>
      </c>
    </row>
    <row r="1197" spans="1:21" x14ac:dyDescent="0.15">
      <c r="A1197" s="1">
        <v>46176</v>
      </c>
      <c r="B1197">
        <v>1.2539999485015869</v>
      </c>
      <c r="C1197">
        <v>1.281000018119812</v>
      </c>
      <c r="D1197">
        <v>1.2480000257492065</v>
      </c>
      <c r="E1197">
        <v>1.2560000419616699</v>
      </c>
      <c r="F1197">
        <v>4913218</v>
      </c>
      <c r="G1197">
        <v>49132.1796875</v>
      </c>
      <c r="H1197">
        <f t="shared" si="144"/>
        <v>1195</v>
      </c>
      <c r="I1197">
        <f>SUM($F$3:F1197)/H1197</f>
        <v>4047539.8205282427</v>
      </c>
      <c r="N1197">
        <f t="shared" si="155"/>
        <v>1.281000018119812</v>
      </c>
      <c r="O1197">
        <f t="shared" si="156"/>
        <v>1.2170000076293945</v>
      </c>
      <c r="P1197">
        <f t="shared" si="143"/>
        <v>1.2616666952768962</v>
      </c>
      <c r="Q1197">
        <f t="shared" si="132"/>
        <v>1.2258333336739313</v>
      </c>
      <c r="R1197">
        <f t="shared" si="133"/>
        <v>3.5833361602964908E-2</v>
      </c>
      <c r="S1197">
        <f t="shared" si="134"/>
        <v>1.9333331763338877E-2</v>
      </c>
      <c r="T1197">
        <f t="shared" si="135"/>
        <v>2.8999997645008316E-4</v>
      </c>
      <c r="U1197">
        <f t="shared" si="136"/>
        <v>123.56332590645158</v>
      </c>
    </row>
    <row r="1198" spans="1:21" x14ac:dyDescent="0.15">
      <c r="A1198" s="1">
        <v>46177</v>
      </c>
      <c r="B1198">
        <v>1.2699999809265137</v>
      </c>
      <c r="C1198">
        <v>1.2699999809265137</v>
      </c>
      <c r="D1198">
        <v>1.25</v>
      </c>
      <c r="E1198">
        <v>1.2560000419616699</v>
      </c>
      <c r="F1198">
        <v>2417115</v>
      </c>
      <c r="G1198">
        <v>24171.150390625</v>
      </c>
      <c r="H1198">
        <f t="shared" si="144"/>
        <v>1196</v>
      </c>
      <c r="I1198">
        <f>SUM($F$3:F1198)/H1198</f>
        <v>4046176.5890729516</v>
      </c>
      <c r="N1198">
        <f t="shared" si="155"/>
        <v>1.281000018119812</v>
      </c>
      <c r="O1198">
        <f t="shared" si="156"/>
        <v>1.2170000076293945</v>
      </c>
      <c r="P1198">
        <f t="shared" si="143"/>
        <v>1.2586666742960613</v>
      </c>
      <c r="Q1198">
        <f t="shared" si="132"/>
        <v>1.229023808524722</v>
      </c>
      <c r="R1198">
        <f t="shared" si="133"/>
        <v>2.9642865771339233E-2</v>
      </c>
      <c r="S1198">
        <f t="shared" si="134"/>
        <v>2.0020411939037124E-2</v>
      </c>
      <c r="T1198">
        <f t="shared" si="135"/>
        <v>3.0030617908555684E-4</v>
      </c>
      <c r="U1198">
        <f t="shared" si="136"/>
        <v>98.708810659849988</v>
      </c>
    </row>
    <row r="1199" spans="1:21" x14ac:dyDescent="0.15">
      <c r="A1199" s="1">
        <v>46178</v>
      </c>
      <c r="B1199">
        <v>1.2560000419616699</v>
      </c>
      <c r="C1199">
        <v>1.2599999904632568</v>
      </c>
      <c r="D1199">
        <v>1.218000054359436</v>
      </c>
      <c r="E1199">
        <v>1.2239999771118164</v>
      </c>
      <c r="F1199">
        <v>2687302</v>
      </c>
      <c r="G1199">
        <v>26873.01953125</v>
      </c>
      <c r="H1199">
        <f t="shared" si="144"/>
        <v>1197</v>
      </c>
      <c r="I1199">
        <f>SUM($F$3:F1199)/H1199</f>
        <v>4045041.3554981202</v>
      </c>
      <c r="N1199">
        <f t="shared" si="155"/>
        <v>1.281000018119812</v>
      </c>
      <c r="O1199">
        <f t="shared" si="156"/>
        <v>1.2170000076293945</v>
      </c>
      <c r="P1199">
        <f t="shared" si="143"/>
        <v>1.2340000073115032</v>
      </c>
      <c r="Q1199">
        <f t="shared" si="132"/>
        <v>1.2311190480277652</v>
      </c>
      <c r="R1199">
        <f t="shared" si="133"/>
        <v>2.8809592837379938E-3</v>
      </c>
      <c r="S1199">
        <f t="shared" si="134"/>
        <v>1.8292521943851416E-2</v>
      </c>
      <c r="T1199">
        <f t="shared" si="135"/>
        <v>2.7438782915777121E-4</v>
      </c>
      <c r="U1199">
        <f t="shared" si="136"/>
        <v>10.49958845689712</v>
      </c>
    </row>
    <row r="1200" spans="1:21" x14ac:dyDescent="0.15">
      <c r="A1200" s="1">
        <v>46181</v>
      </c>
      <c r="B1200">
        <v>1.2120000123977661</v>
      </c>
      <c r="C1200">
        <v>1.2120000123977661</v>
      </c>
      <c r="D1200">
        <v>1.1829999685287476</v>
      </c>
      <c r="E1200">
        <v>1.1890000104904175</v>
      </c>
      <c r="F1200">
        <v>2282700</v>
      </c>
      <c r="G1200">
        <v>22827</v>
      </c>
      <c r="H1200">
        <f t="shared" si="144"/>
        <v>1198</v>
      </c>
      <c r="I1200">
        <f>SUM($F$3:F1200)/H1200</f>
        <v>4043570.2859192402</v>
      </c>
      <c r="N1200">
        <f t="shared" si="155"/>
        <v>1.281000018119812</v>
      </c>
      <c r="O1200">
        <f t="shared" si="156"/>
        <v>1.1829999685287476</v>
      </c>
      <c r="P1200">
        <f t="shared" si="143"/>
        <v>1.1946666638056438</v>
      </c>
      <c r="Q1200">
        <f t="shared" si="132"/>
        <v>1.2311190508660814</v>
      </c>
      <c r="R1200">
        <f t="shared" si="133"/>
        <v>-3.645238706043763E-2</v>
      </c>
      <c r="S1200">
        <f t="shared" si="134"/>
        <v>1.8292518700061242E-2</v>
      </c>
      <c r="T1200">
        <f t="shared" si="135"/>
        <v>2.7438778050091863E-4</v>
      </c>
      <c r="U1200">
        <f t="shared" si="136"/>
        <v>-132.84989219961125</v>
      </c>
    </row>
    <row r="1201" spans="1:21" x14ac:dyDescent="0.15">
      <c r="A1201" s="1">
        <v>46182</v>
      </c>
      <c r="B1201">
        <v>1.2000000476837158</v>
      </c>
      <c r="C1201">
        <v>1.2300000190734863</v>
      </c>
      <c r="D1201">
        <v>1.1929999589920044</v>
      </c>
      <c r="E1201">
        <v>1.2230000495910645</v>
      </c>
      <c r="F1201">
        <v>3061100</v>
      </c>
      <c r="G1201">
        <v>30611</v>
      </c>
      <c r="H1201">
        <f t="shared" si="144"/>
        <v>1199</v>
      </c>
      <c r="I1201">
        <f>SUM($F$3:F1201)/H1201</f>
        <v>4042750.8778409092</v>
      </c>
      <c r="N1201">
        <f t="shared" si="155"/>
        <v>1.281000018119812</v>
      </c>
      <c r="O1201">
        <f t="shared" si="156"/>
        <v>1.1829999685287476</v>
      </c>
      <c r="P1201">
        <f t="shared" si="143"/>
        <v>1.2153333425521851</v>
      </c>
      <c r="Q1201">
        <f t="shared" si="132"/>
        <v>1.2323333365576605</v>
      </c>
      <c r="R1201">
        <f t="shared" si="133"/>
        <v>-1.6999994005475472E-2</v>
      </c>
      <c r="S1201">
        <f t="shared" si="134"/>
        <v>1.6904763623970753E-2</v>
      </c>
      <c r="T1201">
        <f t="shared" si="135"/>
        <v>2.5357145435956128E-4</v>
      </c>
      <c r="U1201">
        <f t="shared" si="136"/>
        <v>-67.042223062575829</v>
      </c>
    </row>
    <row r="1202" spans="1:21" x14ac:dyDescent="0.15">
      <c r="A1202" s="1">
        <v>46183</v>
      </c>
      <c r="B1202">
        <v>1.2109999656677246</v>
      </c>
      <c r="C1202">
        <v>1.2289999723434448</v>
      </c>
      <c r="D1202">
        <v>1.190000057220459</v>
      </c>
      <c r="E1202">
        <v>1.1970000267028809</v>
      </c>
      <c r="F1202">
        <v>2207300</v>
      </c>
      <c r="G1202">
        <v>22073</v>
      </c>
      <c r="H1202">
        <f t="shared" si="144"/>
        <v>1200</v>
      </c>
      <c r="I1202">
        <f>SUM($F$3:F1202)/H1202</f>
        <v>4041221.3354427083</v>
      </c>
      <c r="N1202">
        <f t="shared" si="155"/>
        <v>1.281000018119812</v>
      </c>
      <c r="O1202">
        <f t="shared" si="156"/>
        <v>1.1829999685287476</v>
      </c>
      <c r="P1202">
        <f t="shared" si="143"/>
        <v>1.2053333520889282</v>
      </c>
      <c r="Q1202">
        <f t="shared" si="132"/>
        <v>1.2326190528415495</v>
      </c>
      <c r="R1202">
        <f t="shared" si="133"/>
        <v>-2.7285700752621267E-2</v>
      </c>
      <c r="S1202">
        <f t="shared" si="134"/>
        <v>1.6578230728097578E-2</v>
      </c>
      <c r="T1202">
        <f t="shared" si="135"/>
        <v>2.4867346092146368E-4</v>
      </c>
      <c r="U1202">
        <f t="shared" si="136"/>
        <v>-109.72502112414266</v>
      </c>
    </row>
    <row r="1203" spans="1:21" x14ac:dyDescent="0.15">
      <c r="A1203" s="1">
        <v>46184</v>
      </c>
      <c r="B1203">
        <v>1.1940000057220459</v>
      </c>
      <c r="C1203">
        <v>1.2059999704360962</v>
      </c>
      <c r="D1203">
        <v>1.1710000038146973</v>
      </c>
      <c r="E1203">
        <v>1.1809999942779541</v>
      </c>
      <c r="F1203">
        <v>2693002</v>
      </c>
      <c r="G1203">
        <v>26930.01953125</v>
      </c>
      <c r="H1203">
        <f t="shared" si="144"/>
        <v>1201</v>
      </c>
      <c r="I1203">
        <f>SUM($F$3:F1203)/H1203</f>
        <v>4040098.7548136967</v>
      </c>
      <c r="N1203">
        <f t="shared" si="155"/>
        <v>1.281000018119812</v>
      </c>
      <c r="O1203">
        <f t="shared" si="156"/>
        <v>1.1710000038146973</v>
      </c>
      <c r="P1203">
        <f t="shared" si="143"/>
        <v>1.1859999895095825</v>
      </c>
      <c r="Q1203">
        <f t="shared" si="132"/>
        <v>1.2311428586641944</v>
      </c>
      <c r="R1203">
        <f t="shared" si="133"/>
        <v>-4.5142869154611853E-2</v>
      </c>
      <c r="S1203">
        <f t="shared" si="134"/>
        <v>1.8265309787931967E-2</v>
      </c>
      <c r="T1203">
        <f t="shared" si="135"/>
        <v>2.7397964681897949E-4</v>
      </c>
      <c r="U1203">
        <f t="shared" si="136"/>
        <v>-164.76723610216968</v>
      </c>
    </row>
    <row r="1204" spans="1:21" x14ac:dyDescent="0.15">
      <c r="A1204" s="1">
        <v>46185</v>
      </c>
      <c r="B1204">
        <v>1.1990000009536743</v>
      </c>
      <c r="C1204">
        <v>1.2070000171661377</v>
      </c>
      <c r="D1204">
        <v>1.1909999847412109</v>
      </c>
      <c r="E1204">
        <v>1.1940000057220459</v>
      </c>
      <c r="F1204">
        <v>3299102</v>
      </c>
      <c r="G1204">
        <v>32991.01953125</v>
      </c>
      <c r="H1204">
        <f t="shared" si="144"/>
        <v>1202</v>
      </c>
      <c r="I1204">
        <f>SUM($F$3:F1204)/H1204</f>
        <v>4039482.284967762</v>
      </c>
      <c r="N1204">
        <f t="shared" si="155"/>
        <v>1.281000018119812</v>
      </c>
      <c r="O1204">
        <f t="shared" si="156"/>
        <v>1.1710000038146973</v>
      </c>
      <c r="P1204">
        <f t="shared" si="143"/>
        <v>1.1973333358764648</v>
      </c>
      <c r="Q1204">
        <f t="shared" si="132"/>
        <v>1.2289285744939531</v>
      </c>
      <c r="R1204">
        <f t="shared" si="133"/>
        <v>-3.1595238617488253E-2</v>
      </c>
      <c r="S1204">
        <f t="shared" si="134"/>
        <v>2.0853741233851673E-2</v>
      </c>
      <c r="T1204">
        <f t="shared" si="135"/>
        <v>3.128061185077751E-4</v>
      </c>
      <c r="U1204">
        <f t="shared" si="136"/>
        <v>-101.00582037273328</v>
      </c>
    </row>
    <row r="1205" spans="1:21" x14ac:dyDescent="0.15">
      <c r="A1205" s="1">
        <v>46188</v>
      </c>
      <c r="B1205">
        <v>1.2070000171661377</v>
      </c>
      <c r="C1205">
        <v>1.2339999675750732</v>
      </c>
      <c r="D1205">
        <v>1.2070000171661377</v>
      </c>
      <c r="E1205">
        <v>1.2330000400543213</v>
      </c>
      <c r="F1205">
        <v>3050800</v>
      </c>
      <c r="G1205">
        <v>30508</v>
      </c>
      <c r="H1205">
        <f t="shared" si="144"/>
        <v>1203</v>
      </c>
      <c r="I1205">
        <f>SUM($F$3:F1205)/H1205</f>
        <v>4038660.437681837</v>
      </c>
      <c r="N1205">
        <f t="shared" si="155"/>
        <v>1.281000018119812</v>
      </c>
      <c r="O1205">
        <f t="shared" si="156"/>
        <v>1.1710000038146973</v>
      </c>
      <c r="P1205">
        <f t="shared" si="143"/>
        <v>1.224666674931844</v>
      </c>
      <c r="Q1205">
        <f t="shared" si="132"/>
        <v>1.2278095256714592</v>
      </c>
      <c r="R1205">
        <f t="shared" si="133"/>
        <v>-3.1428507396151772E-3</v>
      </c>
      <c r="S1205">
        <f t="shared" si="134"/>
        <v>2.0503399323444027E-2</v>
      </c>
      <c r="T1205">
        <f t="shared" si="135"/>
        <v>3.075509898516604E-4</v>
      </c>
      <c r="U1205">
        <f t="shared" si="136"/>
        <v>-10.218958297390145</v>
      </c>
    </row>
    <row r="1206" spans="1:21" x14ac:dyDescent="0.15">
      <c r="A1206" s="1">
        <v>46189</v>
      </c>
      <c r="B1206">
        <v>1.2400000095367432</v>
      </c>
      <c r="C1206">
        <v>1.2460000514984131</v>
      </c>
      <c r="D1206">
        <v>1.2350000143051147</v>
      </c>
      <c r="E1206">
        <v>1.2410000562667847</v>
      </c>
      <c r="F1206">
        <v>618100</v>
      </c>
      <c r="G1206">
        <v>6181</v>
      </c>
      <c r="H1206">
        <f t="shared" si="144"/>
        <v>1204</v>
      </c>
      <c r="I1206">
        <f>SUM($F$3:F1206)/H1206</f>
        <v>4035819.4406405729</v>
      </c>
      <c r="N1206">
        <f t="shared" si="155"/>
        <v>1.281000018119812</v>
      </c>
      <c r="O1206">
        <f t="shared" si="156"/>
        <v>1.1710000038146973</v>
      </c>
      <c r="P1206">
        <f t="shared" si="143"/>
        <v>1.2406667073567708</v>
      </c>
      <c r="Q1206">
        <f t="shared" si="132"/>
        <v>1.2274285753568015</v>
      </c>
      <c r="R1206">
        <f t="shared" si="133"/>
        <v>1.323813199996926E-2</v>
      </c>
      <c r="S1206">
        <f t="shared" si="134"/>
        <v>2.0176870482308523E-2</v>
      </c>
      <c r="T1206">
        <f t="shared" si="135"/>
        <v>3.0265305723462785E-4</v>
      </c>
      <c r="U1206">
        <f t="shared" si="136"/>
        <v>43.740288371534838</v>
      </c>
    </row>
    <row r="1207" spans="1:21" x14ac:dyDescent="0.15">
      <c r="A1207" s="1">
        <v>46190</v>
      </c>
      <c r="B1207">
        <v>1.2339999675750732</v>
      </c>
      <c r="C1207">
        <v>1.2569999694824219</v>
      </c>
      <c r="D1207">
        <v>1.2330000400543213</v>
      </c>
      <c r="E1207">
        <v>1.2560000419616699</v>
      </c>
      <c r="F1207">
        <v>1950400</v>
      </c>
      <c r="G1207">
        <v>19504</v>
      </c>
      <c r="H1207">
        <f t="shared" si="144"/>
        <v>1205</v>
      </c>
      <c r="I1207">
        <f>SUM($F$3:F1207)/H1207</f>
        <v>4034088.8021006226</v>
      </c>
      <c r="N1207">
        <f t="shared" si="155"/>
        <v>1.281000018119812</v>
      </c>
      <c r="O1207">
        <f t="shared" si="156"/>
        <v>1.1710000038146973</v>
      </c>
      <c r="P1207">
        <f t="shared" si="143"/>
        <v>1.2486666838328044</v>
      </c>
      <c r="Q1207">
        <f t="shared" si="132"/>
        <v>1.2275476257006328</v>
      </c>
      <c r="R1207">
        <f t="shared" si="133"/>
        <v>2.1119058132171631E-2</v>
      </c>
      <c r="S1207">
        <f t="shared" si="134"/>
        <v>2.0278913634164009E-2</v>
      </c>
      <c r="T1207">
        <f t="shared" si="135"/>
        <v>3.0418370451246011E-4</v>
      </c>
      <c r="U1207">
        <f t="shared" si="136"/>
        <v>69.42863085325645</v>
      </c>
    </row>
    <row r="1208" spans="1:21" x14ac:dyDescent="0.15">
      <c r="A1208" s="1">
        <v>46191</v>
      </c>
      <c r="B1208">
        <v>1.2649999856948853</v>
      </c>
      <c r="C1208">
        <v>1.2760000228881836</v>
      </c>
      <c r="D1208">
        <v>1.2619999647140503</v>
      </c>
      <c r="E1208">
        <v>1.2719999551773071</v>
      </c>
      <c r="F1208">
        <v>1272900</v>
      </c>
      <c r="G1208">
        <v>12729</v>
      </c>
      <c r="H1208">
        <f t="shared" si="144"/>
        <v>1206</v>
      </c>
      <c r="I1208">
        <f>SUM($F$3:F1208)/H1208</f>
        <v>4031799.2591469735</v>
      </c>
      <c r="N1208">
        <f t="shared" si="155"/>
        <v>1.281000018119812</v>
      </c>
      <c r="O1208">
        <f t="shared" si="156"/>
        <v>1.1710000038146973</v>
      </c>
      <c r="P1208">
        <f t="shared" si="143"/>
        <v>1.2699999809265137</v>
      </c>
      <c r="Q1208">
        <f t="shared" si="132"/>
        <v>1.2289761957668124</v>
      </c>
      <c r="R1208">
        <f t="shared" si="133"/>
        <v>4.1023785159701287E-2</v>
      </c>
      <c r="S1208">
        <f t="shared" si="134"/>
        <v>2.1503402262317901E-2</v>
      </c>
      <c r="T1208">
        <f t="shared" si="135"/>
        <v>3.2255103393476848E-4</v>
      </c>
      <c r="U1208">
        <f t="shared" si="136"/>
        <v>127.18540895453395</v>
      </c>
    </row>
    <row r="1209" spans="1:21" x14ac:dyDescent="0.15">
      <c r="A1209" s="1">
        <v>46195</v>
      </c>
      <c r="B1209">
        <v>1.2669999599456787</v>
      </c>
      <c r="C1209">
        <v>1.2970000505447388</v>
      </c>
      <c r="D1209">
        <v>1.2619999647140503</v>
      </c>
      <c r="E1209">
        <v>1.2960000038146973</v>
      </c>
      <c r="F1209">
        <v>3210112</v>
      </c>
      <c r="G1209">
        <v>32101.119140625</v>
      </c>
      <c r="H1209">
        <f t="shared" si="144"/>
        <v>1207</v>
      </c>
      <c r="I1209">
        <f>SUM($F$3:F1209)/H1209</f>
        <v>4031118.4909123862</v>
      </c>
      <c r="N1209">
        <f t="shared" si="155"/>
        <v>1.2970000505447388</v>
      </c>
      <c r="O1209">
        <f t="shared" si="156"/>
        <v>1.1710000038146973</v>
      </c>
      <c r="P1209">
        <f t="shared" si="143"/>
        <v>1.2850000063578289</v>
      </c>
      <c r="Q1209">
        <f t="shared" si="132"/>
        <v>1.2329523875599817</v>
      </c>
      <c r="R1209">
        <f t="shared" si="133"/>
        <v>5.2047618797847139E-2</v>
      </c>
      <c r="S1209">
        <f t="shared" si="134"/>
        <v>2.4911566656463009E-2</v>
      </c>
      <c r="T1209">
        <f t="shared" si="135"/>
        <v>3.7367349984694512E-4</v>
      </c>
      <c r="U1209">
        <f t="shared" si="136"/>
        <v>139.28635244181243</v>
      </c>
    </row>
    <row r="1210" spans="1:21" x14ac:dyDescent="0.15">
      <c r="A1210" s="1">
        <v>46196</v>
      </c>
      <c r="B1210">
        <v>1.2910000085830688</v>
      </c>
      <c r="C1210">
        <v>1.2910000085830688</v>
      </c>
      <c r="D1210">
        <v>1.246999979019165</v>
      </c>
      <c r="E1210">
        <v>1.2549999952316284</v>
      </c>
      <c r="F1210">
        <v>3099306</v>
      </c>
      <c r="G1210">
        <v>30993.060546875</v>
      </c>
      <c r="H1210">
        <f t="shared" si="144"/>
        <v>1208</v>
      </c>
      <c r="I1210">
        <f>SUM($F$3:F1210)/H1210</f>
        <v>4030347.1229563328</v>
      </c>
      <c r="N1210">
        <f t="shared" si="155"/>
        <v>1.2970000505447388</v>
      </c>
      <c r="O1210">
        <f t="shared" si="156"/>
        <v>1.1710000038146973</v>
      </c>
      <c r="P1210">
        <f t="shared" si="143"/>
        <v>1.2643333276112874</v>
      </c>
      <c r="Q1210">
        <f t="shared" si="132"/>
        <v>1.2347381029810225</v>
      </c>
      <c r="R1210">
        <f t="shared" si="133"/>
        <v>2.9595224630264871E-2</v>
      </c>
      <c r="S1210">
        <f t="shared" si="134"/>
        <v>2.6547622113000786E-2</v>
      </c>
      <c r="T1210">
        <f t="shared" si="135"/>
        <v>3.9821433169501177E-4</v>
      </c>
      <c r="U1210">
        <f t="shared" si="136"/>
        <v>74.319838023638852</v>
      </c>
    </row>
    <row r="1211" spans="1:21" x14ac:dyDescent="0.15">
      <c r="A1211" s="1">
        <v>46197</v>
      </c>
      <c r="B1211">
        <v>1.2539999485015869</v>
      </c>
      <c r="C1211">
        <v>1.2630000114440918</v>
      </c>
      <c r="D1211">
        <v>1.2419999837875366</v>
      </c>
      <c r="E1211">
        <v>1.2610000371932983</v>
      </c>
      <c r="F1211">
        <v>3049700</v>
      </c>
      <c r="G1211">
        <v>30497</v>
      </c>
      <c r="H1211">
        <f t="shared" si="144"/>
        <v>1209</v>
      </c>
      <c r="I1211">
        <f>SUM($F$3:F1211)/H1211</f>
        <v>4029536.0004394129</v>
      </c>
      <c r="N1211">
        <f t="shared" si="155"/>
        <v>1.2970000505447388</v>
      </c>
      <c r="O1211">
        <f t="shared" si="156"/>
        <v>1.1710000038146973</v>
      </c>
      <c r="P1211">
        <f t="shared" si="143"/>
        <v>1.2553333441416423</v>
      </c>
      <c r="Q1211">
        <f t="shared" si="132"/>
        <v>1.2342857207570757</v>
      </c>
      <c r="R1211">
        <f t="shared" si="133"/>
        <v>2.1047623384566672E-2</v>
      </c>
      <c r="S1211">
        <f t="shared" si="134"/>
        <v>2.6095239889054076E-2</v>
      </c>
      <c r="T1211">
        <f t="shared" si="135"/>
        <v>3.9142859833581111E-4</v>
      </c>
      <c r="U1211">
        <f t="shared" si="136"/>
        <v>53.771296921206748</v>
      </c>
    </row>
    <row r="1212" spans="1:21" x14ac:dyDescent="0.15">
      <c r="A1212" s="1">
        <v>46198</v>
      </c>
      <c r="B1212">
        <v>1.2619999647140503</v>
      </c>
      <c r="C1212">
        <v>1.2920000553131104</v>
      </c>
      <c r="D1212">
        <v>1.2619999647140503</v>
      </c>
      <c r="E1212">
        <v>1.2920000553131104</v>
      </c>
      <c r="F1212">
        <v>2589909</v>
      </c>
      <c r="G1212">
        <v>25899.08984375</v>
      </c>
      <c r="H1212">
        <f t="shared" si="144"/>
        <v>1210</v>
      </c>
      <c r="I1212">
        <f>SUM($F$3:F1212)/H1212</f>
        <v>4028346.2260588845</v>
      </c>
      <c r="N1212">
        <f t="shared" si="155"/>
        <v>1.2970000505447388</v>
      </c>
      <c r="O1212">
        <f t="shared" si="156"/>
        <v>1.1710000038146973</v>
      </c>
      <c r="P1212">
        <f t="shared" si="143"/>
        <v>1.2820000251134236</v>
      </c>
      <c r="Q1212">
        <f t="shared" si="132"/>
        <v>1.2359523886726016</v>
      </c>
      <c r="R1212">
        <f t="shared" si="133"/>
        <v>4.6047636440821993E-2</v>
      </c>
      <c r="S1212">
        <f t="shared" si="134"/>
        <v>2.7761907804579957E-2</v>
      </c>
      <c r="T1212">
        <f t="shared" si="135"/>
        <v>4.1642861706869935E-4</v>
      </c>
      <c r="U1212">
        <f t="shared" si="136"/>
        <v>110.57750249000152</v>
      </c>
    </row>
    <row r="1213" spans="1:21" x14ac:dyDescent="0.15">
      <c r="A1213" s="1">
        <v>46199</v>
      </c>
      <c r="B1213">
        <v>1.2790000438690186</v>
      </c>
      <c r="C1213">
        <v>1.2790000438690186</v>
      </c>
      <c r="D1213">
        <v>1.2359999418258667</v>
      </c>
      <c r="E1213">
        <v>1.2400000095367432</v>
      </c>
      <c r="F1213">
        <v>2505511</v>
      </c>
      <c r="G1213">
        <v>25055.109375</v>
      </c>
      <c r="H1213">
        <f t="shared" si="144"/>
        <v>1211</v>
      </c>
      <c r="I1213">
        <f>SUM($F$3:F1213)/H1213</f>
        <v>4027088.7238078034</v>
      </c>
      <c r="N1213">
        <f t="shared" si="155"/>
        <v>1.2970000505447388</v>
      </c>
      <c r="O1213">
        <f t="shared" si="156"/>
        <v>1.1710000038146973</v>
      </c>
      <c r="P1213">
        <f t="shared" si="143"/>
        <v>1.2516666650772095</v>
      </c>
      <c r="Q1213">
        <f t="shared" si="132"/>
        <v>1.2372142927987235</v>
      </c>
      <c r="R1213">
        <f t="shared" si="133"/>
        <v>1.4452372278485948E-2</v>
      </c>
      <c r="S1213">
        <f t="shared" si="134"/>
        <v>2.8564628289670355E-2</v>
      </c>
      <c r="T1213">
        <f t="shared" si="135"/>
        <v>4.284694243450553E-4</v>
      </c>
      <c r="U1213">
        <f t="shared" si="136"/>
        <v>33.730230110532119</v>
      </c>
    </row>
    <row r="1214" spans="1:21" x14ac:dyDescent="0.15">
      <c r="A1214" s="1">
        <v>46202</v>
      </c>
      <c r="B1214">
        <v>1.2369999885559082</v>
      </c>
      <c r="C1214">
        <v>1.2489999532699585</v>
      </c>
      <c r="D1214">
        <v>1.2209999561309814</v>
      </c>
      <c r="E1214">
        <v>1.2450000047683716</v>
      </c>
      <c r="F1214">
        <v>4012905</v>
      </c>
      <c r="G1214">
        <v>40129.05078125</v>
      </c>
      <c r="H1214">
        <f t="shared" si="144"/>
        <v>1212</v>
      </c>
      <c r="I1214">
        <f>SUM($F$3:F1214)/H1214</f>
        <v>4027077.0210653879</v>
      </c>
      <c r="N1214">
        <f t="shared" si="155"/>
        <v>1.2970000505447388</v>
      </c>
      <c r="O1214">
        <f t="shared" si="156"/>
        <v>1.1710000038146973</v>
      </c>
      <c r="P1214">
        <f t="shared" si="143"/>
        <v>1.2383333047231038</v>
      </c>
      <c r="Q1214">
        <f t="shared" si="132"/>
        <v>1.240333338578542</v>
      </c>
      <c r="R1214">
        <f t="shared" si="133"/>
        <v>-2.0000338554382324E-3</v>
      </c>
      <c r="S1214">
        <f t="shared" si="134"/>
        <v>2.5000004541306291E-2</v>
      </c>
      <c r="T1214">
        <f t="shared" si="135"/>
        <v>3.7500006811959434E-4</v>
      </c>
      <c r="U1214">
        <f t="shared" si="136"/>
        <v>-5.3334226456737213</v>
      </c>
    </row>
    <row r="1215" spans="1:21" x14ac:dyDescent="0.15">
      <c r="A1215" s="1">
        <v>46203</v>
      </c>
      <c r="B1215">
        <v>1.2549999952316284</v>
      </c>
      <c r="C1215">
        <v>1.2790000438690186</v>
      </c>
      <c r="D1215">
        <v>1.2510000467300415</v>
      </c>
      <c r="E1215">
        <v>1.2760000228881836</v>
      </c>
      <c r="F1215">
        <v>3094800</v>
      </c>
      <c r="G1215">
        <v>30948</v>
      </c>
      <c r="H1215">
        <f t="shared" si="144"/>
        <v>1213</v>
      </c>
      <c r="I1215">
        <f>SUM($F$3:F1215)/H1215</f>
        <v>4026308.4497372219</v>
      </c>
      <c r="N1215">
        <f>VLOOKUP(L63,A:C,3)</f>
        <v>1.281999945640564</v>
      </c>
      <c r="O1215">
        <f>VLOOKUP(L63,A:D,4)</f>
        <v>1.253000020980835</v>
      </c>
      <c r="P1215">
        <f t="shared" si="143"/>
        <v>1.2686667044957478</v>
      </c>
      <c r="Q1215">
        <f t="shared" si="132"/>
        <v>1.2441428644316535</v>
      </c>
      <c r="R1215">
        <f t="shared" si="133"/>
        <v>2.452384006409436E-2</v>
      </c>
      <c r="S1215">
        <f t="shared" si="134"/>
        <v>2.464626030046118E-2</v>
      </c>
      <c r="T1215">
        <f t="shared" si="135"/>
        <v>3.696939045069177E-4</v>
      </c>
      <c r="U1215">
        <f t="shared" si="136"/>
        <v>66.335527216233743</v>
      </c>
    </row>
    <row r="1216" spans="1:21" x14ac:dyDescent="0.15">
      <c r="A1216" s="1">
        <v>46204</v>
      </c>
      <c r="B1216">
        <v>1.2799999713897705</v>
      </c>
      <c r="C1216">
        <v>1.281999945640564</v>
      </c>
      <c r="D1216">
        <v>1.253000020980835</v>
      </c>
      <c r="E1216">
        <v>1.2640000581741333</v>
      </c>
      <c r="F1216">
        <v>2671700</v>
      </c>
      <c r="G1216">
        <v>26717</v>
      </c>
      <c r="H1216">
        <f t="shared" si="144"/>
        <v>1214</v>
      </c>
      <c r="I1216">
        <f>SUM($F$3:F1216)/H1216</f>
        <v>4025192.6272909804</v>
      </c>
      <c r="N1216">
        <f t="shared" ref="N1216:N1237" si="157">IF(A1216&lt;&gt;$K$63,MAX(N1215,VLOOKUP(A1216,A:C,3)),)</f>
        <v>1.281999945640564</v>
      </c>
      <c r="O1216">
        <f t="shared" ref="O1216:O1237" si="158">IF(A1216&lt;&gt;$K$63,MIN(O1215,VLOOKUP(A1216,A:D,4)),)</f>
        <v>1.253000020980835</v>
      </c>
      <c r="P1216">
        <f t="shared" si="143"/>
        <v>1.2663333415985107</v>
      </c>
      <c r="Q1216">
        <f t="shared" si="132"/>
        <v>1.2485000065394811</v>
      </c>
      <c r="R1216">
        <f t="shared" si="133"/>
        <v>1.783333505902962E-2</v>
      </c>
      <c r="S1216">
        <f t="shared" si="134"/>
        <v>2.2214288614234134E-2</v>
      </c>
      <c r="T1216">
        <f t="shared" si="135"/>
        <v>3.33214329213512E-4</v>
      </c>
      <c r="U1216">
        <f t="shared" si="136"/>
        <v>53.519112161598095</v>
      </c>
    </row>
    <row r="1217" spans="1:21" x14ac:dyDescent="0.15">
      <c r="A1217" s="1">
        <v>46205</v>
      </c>
      <c r="B1217">
        <v>1.2510000467300415</v>
      </c>
      <c r="C1217">
        <v>1.2510000467300415</v>
      </c>
      <c r="D1217">
        <v>1.2100000381469727</v>
      </c>
      <c r="E1217">
        <v>1.2130000591278076</v>
      </c>
      <c r="F1217">
        <v>2174700</v>
      </c>
      <c r="G1217">
        <v>21747</v>
      </c>
      <c r="H1217">
        <f t="shared" si="144"/>
        <v>1215</v>
      </c>
      <c r="I1217">
        <f>SUM($F$3:F1217)/H1217</f>
        <v>4023669.5880915639</v>
      </c>
      <c r="N1217">
        <f t="shared" si="157"/>
        <v>1.281999945640564</v>
      </c>
      <c r="O1217">
        <f t="shared" si="158"/>
        <v>1.2100000381469727</v>
      </c>
      <c r="P1217">
        <f t="shared" si="143"/>
        <v>1.2246667146682739</v>
      </c>
      <c r="Q1217">
        <f t="shared" si="132"/>
        <v>1.2512619154793876</v>
      </c>
      <c r="R1217">
        <f t="shared" si="133"/>
        <v>-2.6595200811113662E-2</v>
      </c>
      <c r="S1217">
        <f t="shared" si="134"/>
        <v>1.9034010212437637E-2</v>
      </c>
      <c r="T1217">
        <f t="shared" si="135"/>
        <v>2.8551015318656456E-4</v>
      </c>
      <c r="U1217">
        <f t="shared" si="136"/>
        <v>-93.149754971183881</v>
      </c>
    </row>
    <row r="1218" spans="1:21" x14ac:dyDescent="0.15">
      <c r="A1218" s="1">
        <v>46206</v>
      </c>
      <c r="B1218">
        <v>1.1959999799728394</v>
      </c>
      <c r="C1218">
        <v>1.2430000305175781</v>
      </c>
      <c r="D1218">
        <v>1.1959999799728394</v>
      </c>
      <c r="E1218">
        <v>1.2230000495910645</v>
      </c>
      <c r="F1218">
        <v>1760400</v>
      </c>
      <c r="G1218">
        <v>17604</v>
      </c>
      <c r="H1218">
        <f t="shared" si="144"/>
        <v>1216</v>
      </c>
      <c r="I1218">
        <f>SUM($F$3:F1218)/H1218</f>
        <v>4021808.3466539886</v>
      </c>
      <c r="N1218">
        <f t="shared" si="157"/>
        <v>1.281999945640564</v>
      </c>
      <c r="O1218">
        <f t="shared" si="158"/>
        <v>1.1959999799728394</v>
      </c>
      <c r="P1218">
        <f t="shared" si="143"/>
        <v>1.2206666866938274</v>
      </c>
      <c r="Q1218">
        <f t="shared" si="132"/>
        <v>1.2529285833949135</v>
      </c>
      <c r="R1218">
        <f t="shared" si="133"/>
        <v>-3.2261896701086146E-2</v>
      </c>
      <c r="S1218">
        <f t="shared" si="134"/>
        <v>1.7309520925794328E-2</v>
      </c>
      <c r="T1218">
        <f t="shared" si="135"/>
        <v>2.5964281388691493E-4</v>
      </c>
      <c r="U1218">
        <f t="shared" si="136"/>
        <v>-124.25491858649137</v>
      </c>
    </row>
    <row r="1219" spans="1:21" x14ac:dyDescent="0.15">
      <c r="A1219" s="1">
        <v>46209</v>
      </c>
      <c r="B1219">
        <v>1.2230000495910645</v>
      </c>
      <c r="C1219">
        <v>1.2319999933242798</v>
      </c>
      <c r="D1219">
        <v>1.2029999494552612</v>
      </c>
      <c r="E1219">
        <v>1.2120000123977661</v>
      </c>
      <c r="F1219">
        <v>1715600</v>
      </c>
      <c r="G1219">
        <v>17156</v>
      </c>
      <c r="H1219">
        <f t="shared" si="144"/>
        <v>1217</v>
      </c>
      <c r="I1219">
        <f>SUM($F$3:F1219)/H1219</f>
        <v>4019913.3521209941</v>
      </c>
      <c r="N1219">
        <f t="shared" si="157"/>
        <v>1.281999945640564</v>
      </c>
      <c r="O1219">
        <f t="shared" si="158"/>
        <v>1.1959999799728394</v>
      </c>
      <c r="P1219">
        <f t="shared" si="143"/>
        <v>1.215666651725769</v>
      </c>
      <c r="Q1219">
        <f t="shared" si="132"/>
        <v>1.2522857245944796</v>
      </c>
      <c r="R1219">
        <f t="shared" si="133"/>
        <v>-3.6619072868710578E-2</v>
      </c>
      <c r="S1219">
        <f t="shared" si="134"/>
        <v>1.7952379726228256E-2</v>
      </c>
      <c r="T1219">
        <f t="shared" si="135"/>
        <v>2.692856958934238E-4</v>
      </c>
      <c r="U1219">
        <f t="shared" si="136"/>
        <v>-135.98595628043847</v>
      </c>
    </row>
    <row r="1220" spans="1:21" x14ac:dyDescent="0.15">
      <c r="A1220" s="1">
        <v>46210</v>
      </c>
      <c r="B1220">
        <v>1.2170000076293945</v>
      </c>
      <c r="C1220">
        <v>1.2170000076293945</v>
      </c>
      <c r="D1220">
        <v>1.187999963760376</v>
      </c>
      <c r="E1220">
        <v>1.2000000476837158</v>
      </c>
      <c r="F1220">
        <v>3616800</v>
      </c>
      <c r="G1220">
        <v>36168</v>
      </c>
      <c r="H1220">
        <f t="shared" si="144"/>
        <v>1218</v>
      </c>
      <c r="I1220">
        <f>SUM($F$3:F1220)/H1220</f>
        <v>4019582.3887777096</v>
      </c>
      <c r="N1220">
        <f t="shared" si="157"/>
        <v>1.281999945640564</v>
      </c>
      <c r="O1220">
        <f t="shared" si="158"/>
        <v>1.187999963760376</v>
      </c>
      <c r="P1220">
        <f t="shared" si="143"/>
        <v>1.2016666730244954</v>
      </c>
      <c r="Q1220">
        <f t="shared" si="132"/>
        <v>1.2495000078564598</v>
      </c>
      <c r="R1220">
        <f t="shared" si="133"/>
        <v>-4.7833334831964391E-2</v>
      </c>
      <c r="S1220">
        <f t="shared" si="134"/>
        <v>2.1047618924355027E-2</v>
      </c>
      <c r="T1220">
        <f t="shared" si="135"/>
        <v>3.1571428386532538E-4</v>
      </c>
      <c r="U1220">
        <f t="shared" si="136"/>
        <v>-151.50830126003649</v>
      </c>
    </row>
    <row r="1221" spans="1:21" x14ac:dyDescent="0.15">
      <c r="A1221" s="1">
        <v>46211</v>
      </c>
      <c r="B1221">
        <v>1.1990000009536743</v>
      </c>
      <c r="C1221">
        <v>1.2109999656677246</v>
      </c>
      <c r="D1221">
        <v>1.1799999475479126</v>
      </c>
      <c r="E1221">
        <v>1.184999942779541</v>
      </c>
      <c r="F1221">
        <v>2669500</v>
      </c>
      <c r="G1221">
        <v>26695</v>
      </c>
      <c r="H1221">
        <f t="shared" si="144"/>
        <v>1219</v>
      </c>
      <c r="I1221">
        <f>SUM($F$3:F1221)/H1221</f>
        <v>4018474.856055168</v>
      </c>
      <c r="N1221">
        <f t="shared" si="157"/>
        <v>1.281999945640564</v>
      </c>
      <c r="O1221">
        <f t="shared" si="158"/>
        <v>1.1799999475479126</v>
      </c>
      <c r="P1221">
        <f t="shared" si="143"/>
        <v>1.1919999519983928</v>
      </c>
      <c r="Q1221">
        <f t="shared" si="132"/>
        <v>1.2454523841540019</v>
      </c>
      <c r="R1221">
        <f t="shared" si="133"/>
        <v>-5.3452432155609131E-2</v>
      </c>
      <c r="S1221">
        <f t="shared" si="134"/>
        <v>2.5673474584306973E-2</v>
      </c>
      <c r="T1221">
        <f t="shared" si="135"/>
        <v>3.8510211876460456E-4</v>
      </c>
      <c r="U1221">
        <f t="shared" si="136"/>
        <v>-138.80067013674929</v>
      </c>
    </row>
    <row r="1222" spans="1:21" x14ac:dyDescent="0.15">
      <c r="A1222" s="1">
        <v>46212</v>
      </c>
      <c r="B1222">
        <v>1.184999942779541</v>
      </c>
      <c r="C1222">
        <v>1.2269999980926514</v>
      </c>
      <c r="D1222">
        <v>1.1799999475479126</v>
      </c>
      <c r="E1222">
        <v>1.2250000238418579</v>
      </c>
      <c r="F1222">
        <v>3158901</v>
      </c>
      <c r="G1222">
        <v>31589.009765625</v>
      </c>
      <c r="H1222">
        <f t="shared" si="144"/>
        <v>1220</v>
      </c>
      <c r="I1222">
        <f>SUM($F$3:F1222)/H1222</f>
        <v>4017770.2873206967</v>
      </c>
      <c r="N1222">
        <f t="shared" si="157"/>
        <v>1.281999945640564</v>
      </c>
      <c r="O1222">
        <f t="shared" si="158"/>
        <v>1.1799999475479126</v>
      </c>
      <c r="P1222">
        <f t="shared" si="143"/>
        <v>1.2106666564941406</v>
      </c>
      <c r="Q1222">
        <f t="shared" si="132"/>
        <v>1.2412142895516893</v>
      </c>
      <c r="R1222">
        <f t="shared" si="133"/>
        <v>-3.0547633057548707E-2</v>
      </c>
      <c r="S1222">
        <f t="shared" si="134"/>
        <v>2.6404769647689088E-2</v>
      </c>
      <c r="T1222">
        <f t="shared" si="135"/>
        <v>3.9607154471533632E-4</v>
      </c>
      <c r="U1222">
        <f t="shared" si="136"/>
        <v>-77.126553182465642</v>
      </c>
    </row>
    <row r="1223" spans="1:21" x14ac:dyDescent="0.15">
      <c r="A1223" s="1">
        <v>46213</v>
      </c>
      <c r="B1223">
        <v>1.2250000238418579</v>
      </c>
      <c r="C1223">
        <v>1.2319999933242798</v>
      </c>
      <c r="D1223">
        <v>1.187999963760376</v>
      </c>
      <c r="E1223">
        <v>1.187999963760376</v>
      </c>
      <c r="F1223">
        <v>2479200</v>
      </c>
      <c r="G1223">
        <v>24792</v>
      </c>
      <c r="H1223">
        <f t="shared" si="144"/>
        <v>1221</v>
      </c>
      <c r="I1223">
        <f>SUM($F$3:F1223)/H1223</f>
        <v>4016510.1969952909</v>
      </c>
      <c r="N1223">
        <f t="shared" si="157"/>
        <v>1.281999945640564</v>
      </c>
      <c r="O1223">
        <f t="shared" si="158"/>
        <v>1.1799999475479126</v>
      </c>
      <c r="P1223">
        <f t="shared" si="143"/>
        <v>1.2026666402816772</v>
      </c>
      <c r="Q1223">
        <f t="shared" si="132"/>
        <v>1.2353333348319642</v>
      </c>
      <c r="R1223">
        <f t="shared" si="133"/>
        <v>-3.2666694550286923E-2</v>
      </c>
      <c r="S1223">
        <f t="shared" si="134"/>
        <v>2.5619052705310619E-2</v>
      </c>
      <c r="T1223">
        <f t="shared" si="135"/>
        <v>3.8428579057965924E-4</v>
      </c>
      <c r="U1223">
        <f t="shared" si="136"/>
        <v>-85.006251469803928</v>
      </c>
    </row>
    <row r="1224" spans="1:21" x14ac:dyDescent="0.15">
      <c r="A1224" s="1">
        <v>46216</v>
      </c>
      <c r="B1224">
        <v>1.1759999990463257</v>
      </c>
      <c r="C1224">
        <v>1.1909999847412109</v>
      </c>
      <c r="D1224">
        <v>1.156999945640564</v>
      </c>
      <c r="E1224">
        <v>1.1610000133514404</v>
      </c>
      <c r="F1224">
        <v>4942000</v>
      </c>
      <c r="G1224">
        <v>49420</v>
      </c>
      <c r="H1224">
        <f t="shared" si="144"/>
        <v>1222</v>
      </c>
      <c r="I1224">
        <f>SUM($F$3:F1224)/H1224</f>
        <v>4017267.5536262277</v>
      </c>
      <c r="N1224">
        <f t="shared" si="157"/>
        <v>1.281999945640564</v>
      </c>
      <c r="O1224">
        <f t="shared" si="158"/>
        <v>1.156999945640564</v>
      </c>
      <c r="P1224">
        <f t="shared" si="143"/>
        <v>1.1696666479110718</v>
      </c>
      <c r="Q1224">
        <f t="shared" si="132"/>
        <v>1.2285714291390917</v>
      </c>
      <c r="R1224">
        <f t="shared" si="133"/>
        <v>-5.8904781228019898E-2</v>
      </c>
      <c r="S1224">
        <f t="shared" si="134"/>
        <v>2.7272115759298061E-2</v>
      </c>
      <c r="T1224">
        <f t="shared" si="135"/>
        <v>4.0908173638947088E-4</v>
      </c>
      <c r="U1224">
        <f t="shared" si="136"/>
        <v>-143.99269385113524</v>
      </c>
    </row>
    <row r="1225" spans="1:21" x14ac:dyDescent="0.15">
      <c r="A1225" s="1">
        <v>46217</v>
      </c>
      <c r="B1225">
        <v>1.1649999618530273</v>
      </c>
      <c r="C1225">
        <v>1.1979999542236328</v>
      </c>
      <c r="D1225">
        <v>1.156000018119812</v>
      </c>
      <c r="E1225">
        <v>1.1970000267028809</v>
      </c>
      <c r="F1225">
        <v>4192600</v>
      </c>
      <c r="G1225">
        <v>41926</v>
      </c>
      <c r="H1225">
        <f t="shared" si="144"/>
        <v>1223</v>
      </c>
      <c r="I1225">
        <f>SUM($F$3:F1225)/H1225</f>
        <v>4017410.9162152493</v>
      </c>
      <c r="N1225">
        <f t="shared" si="157"/>
        <v>1.281999945640564</v>
      </c>
      <c r="O1225">
        <f t="shared" si="158"/>
        <v>1.156000018119812</v>
      </c>
      <c r="P1225">
        <f t="shared" si="143"/>
        <v>1.1836666663487752</v>
      </c>
      <c r="Q1225">
        <f t="shared" si="132"/>
        <v>1.2234523807253157</v>
      </c>
      <c r="R1225">
        <f t="shared" si="133"/>
        <v>-3.9785714376540549E-2</v>
      </c>
      <c r="S1225">
        <f t="shared" si="134"/>
        <v>2.7278924474910808E-2</v>
      </c>
      <c r="T1225">
        <f t="shared" si="135"/>
        <v>4.0918386712366213E-4</v>
      </c>
      <c r="U1225">
        <f t="shared" si="136"/>
        <v>-97.23187440456114</v>
      </c>
    </row>
    <row r="1226" spans="1:21" x14ac:dyDescent="0.15">
      <c r="A1226" s="1">
        <v>46218</v>
      </c>
      <c r="B1226">
        <v>1.2020000219345093</v>
      </c>
      <c r="C1226">
        <v>1.2100000381469727</v>
      </c>
      <c r="D1226">
        <v>1.190000057220459</v>
      </c>
      <c r="E1226">
        <v>1.1929999589920044</v>
      </c>
      <c r="F1226">
        <v>3501201.25</v>
      </c>
      <c r="G1226">
        <v>35012.01171875</v>
      </c>
      <c r="H1226">
        <f t="shared" si="144"/>
        <v>1224</v>
      </c>
      <c r="I1226">
        <f>SUM($F$3:F1226)/H1226</f>
        <v>4016989.1762918709</v>
      </c>
      <c r="N1226">
        <f t="shared" si="157"/>
        <v>1.281999945640564</v>
      </c>
      <c r="O1226">
        <f t="shared" si="158"/>
        <v>1.156000018119812</v>
      </c>
      <c r="P1226">
        <f t="shared" si="143"/>
        <v>1.1976666847864788</v>
      </c>
      <c r="Q1226">
        <f t="shared" si="132"/>
        <v>1.2174285707019623</v>
      </c>
      <c r="R1226">
        <f t="shared" si="133"/>
        <v>-1.9761885915483557E-2</v>
      </c>
      <c r="S1226">
        <f t="shared" si="134"/>
        <v>2.368028472069978E-2</v>
      </c>
      <c r="T1226">
        <f t="shared" si="135"/>
        <v>3.5520427081049672E-4</v>
      </c>
      <c r="U1226">
        <f t="shared" si="136"/>
        <v>-55.635271136778151</v>
      </c>
    </row>
    <row r="1227" spans="1:21" x14ac:dyDescent="0.15">
      <c r="A1227" s="1">
        <v>46219</v>
      </c>
      <c r="B1227">
        <v>1.1829999685287476</v>
      </c>
      <c r="C1227">
        <v>1.1950000524520874</v>
      </c>
      <c r="D1227">
        <v>1.1649999618530273</v>
      </c>
      <c r="E1227">
        <v>1.1749999523162842</v>
      </c>
      <c r="F1227">
        <v>2815900</v>
      </c>
      <c r="G1227">
        <v>28159</v>
      </c>
      <c r="H1227">
        <f t="shared" si="144"/>
        <v>1225</v>
      </c>
      <c r="I1227">
        <f>SUM($F$3:F1227)/H1227</f>
        <v>4016008.6953316326</v>
      </c>
      <c r="N1227">
        <f t="shared" si="157"/>
        <v>1.281999945640564</v>
      </c>
      <c r="O1227">
        <f t="shared" si="158"/>
        <v>1.156000018119812</v>
      </c>
      <c r="P1227">
        <f t="shared" si="143"/>
        <v>1.178333322207133</v>
      </c>
      <c r="Q1227">
        <f t="shared" si="132"/>
        <v>1.2121904747826713</v>
      </c>
      <c r="R1227">
        <f t="shared" si="133"/>
        <v>-3.385715257553823E-2</v>
      </c>
      <c r="S1227">
        <f t="shared" si="134"/>
        <v>2.3027222172743604E-2</v>
      </c>
      <c r="T1227">
        <f t="shared" si="135"/>
        <v>3.4540833259115406E-4</v>
      </c>
      <c r="U1227">
        <f t="shared" si="136"/>
        <v>-98.020659552569555</v>
      </c>
    </row>
    <row r="1228" spans="1:21" x14ac:dyDescent="0.15">
      <c r="A1228" s="1">
        <v>46220</v>
      </c>
      <c r="B1228">
        <v>1.1629999876022339</v>
      </c>
      <c r="C1228">
        <v>1.1629999876022339</v>
      </c>
      <c r="D1228">
        <v>1.1059999465942383</v>
      </c>
      <c r="E1228">
        <v>1.1160000562667847</v>
      </c>
      <c r="F1228">
        <v>4126103</v>
      </c>
      <c r="G1228">
        <v>41261.03125</v>
      </c>
      <c r="H1228">
        <f t="shared" si="144"/>
        <v>1226</v>
      </c>
      <c r="I1228">
        <f>SUM($F$3:F1228)/H1228</f>
        <v>4016098.4949276103</v>
      </c>
      <c r="N1228">
        <f t="shared" si="157"/>
        <v>1.281999945640564</v>
      </c>
      <c r="O1228">
        <f t="shared" si="158"/>
        <v>1.1059999465942383</v>
      </c>
      <c r="P1228">
        <f t="shared" si="143"/>
        <v>1.1283333301544189</v>
      </c>
      <c r="Q1228">
        <f t="shared" si="132"/>
        <v>1.2043333337420508</v>
      </c>
      <c r="R1228">
        <f t="shared" si="133"/>
        <v>-7.6000003587631815E-2</v>
      </c>
      <c r="S1228">
        <f t="shared" si="134"/>
        <v>2.5809536174851995E-2</v>
      </c>
      <c r="T1228">
        <f t="shared" si="135"/>
        <v>3.8714304262277993E-4</v>
      </c>
      <c r="U1228">
        <f t="shared" si="136"/>
        <v>-196.30987831462554</v>
      </c>
    </row>
    <row r="1229" spans="1:21" x14ac:dyDescent="0.15">
      <c r="A1229" s="1">
        <v>46223</v>
      </c>
      <c r="B1229">
        <v>1.1319999694824219</v>
      </c>
      <c r="C1229">
        <v>1.1430000066757202</v>
      </c>
      <c r="D1229">
        <v>1.1000000238418579</v>
      </c>
      <c r="E1229">
        <v>1.1239999532699585</v>
      </c>
      <c r="F1229">
        <v>5773200</v>
      </c>
      <c r="G1229">
        <v>57732</v>
      </c>
      <c r="H1229">
        <f t="shared" si="144"/>
        <v>1227</v>
      </c>
      <c r="I1229">
        <f>SUM($F$3:F1229)/H1229</f>
        <v>4017530.5254940912</v>
      </c>
      <c r="N1229">
        <f t="shared" si="157"/>
        <v>1.281999945640564</v>
      </c>
      <c r="O1229">
        <f t="shared" si="158"/>
        <v>1.1000000238418579</v>
      </c>
      <c r="P1229">
        <f t="shared" si="143"/>
        <v>1.1223333279291789</v>
      </c>
      <c r="Q1229">
        <f t="shared" si="132"/>
        <v>1.1938809497015817</v>
      </c>
      <c r="R1229">
        <f t="shared" si="133"/>
        <v>-7.1547621772402703E-2</v>
      </c>
      <c r="S1229">
        <f t="shared" si="134"/>
        <v>2.699320738007422E-2</v>
      </c>
      <c r="T1229">
        <f t="shared" si="135"/>
        <v>4.0489811070111331E-4</v>
      </c>
      <c r="U1229">
        <f t="shared" si="136"/>
        <v>-176.70524974421912</v>
      </c>
    </row>
    <row r="1230" spans="1:21" x14ac:dyDescent="0.15">
      <c r="A1230" s="1">
        <v>46224</v>
      </c>
      <c r="B1230">
        <v>1.125</v>
      </c>
      <c r="C1230">
        <v>1.1740000247955322</v>
      </c>
      <c r="D1230">
        <v>1.1089999675750732</v>
      </c>
      <c r="E1230">
        <v>1.1720000505447388</v>
      </c>
      <c r="F1230">
        <v>5936101</v>
      </c>
      <c r="G1230">
        <v>59361.01171875</v>
      </c>
      <c r="H1230">
        <f t="shared" si="144"/>
        <v>1228</v>
      </c>
      <c r="I1230">
        <f>SUM($F$3:F1230)/H1230</f>
        <v>4019092.8793006921</v>
      </c>
      <c r="N1230">
        <f t="shared" si="157"/>
        <v>1.281999945640564</v>
      </c>
      <c r="O1230">
        <f t="shared" si="158"/>
        <v>1.1000000238418579</v>
      </c>
      <c r="P1230">
        <f t="shared" si="143"/>
        <v>1.1516666809717815</v>
      </c>
      <c r="Q1230">
        <f t="shared" si="132"/>
        <v>1.1856904739425296</v>
      </c>
      <c r="R1230">
        <f t="shared" si="133"/>
        <v>-3.402379297074809E-2</v>
      </c>
      <c r="S1230">
        <f t="shared" si="134"/>
        <v>2.5734695447545475E-2</v>
      </c>
      <c r="T1230">
        <f t="shared" si="135"/>
        <v>3.8602043171318212E-4</v>
      </c>
      <c r="U1230">
        <f t="shared" si="136"/>
        <v>-88.139875963944263</v>
      </c>
    </row>
    <row r="1231" spans="1:21" x14ac:dyDescent="0.15">
      <c r="A1231" s="1">
        <v>46225</v>
      </c>
      <c r="B1231">
        <v>1.1599999666213989</v>
      </c>
      <c r="C1231">
        <v>1.1759999990463257</v>
      </c>
      <c r="D1231">
        <v>1.1469999551773071</v>
      </c>
      <c r="E1231">
        <v>1.1529999971389771</v>
      </c>
      <c r="F1231">
        <v>4089700</v>
      </c>
      <c r="G1231">
        <v>40897</v>
      </c>
      <c r="H1231">
        <f t="shared" si="144"/>
        <v>1229</v>
      </c>
      <c r="I1231">
        <f>SUM($F$3:F1231)/H1231</f>
        <v>4019150.3301718878</v>
      </c>
      <c r="N1231">
        <f t="shared" si="157"/>
        <v>1.281999945640564</v>
      </c>
      <c r="O1231">
        <f t="shared" si="158"/>
        <v>1.1000000238418579</v>
      </c>
      <c r="P1231">
        <f t="shared" si="143"/>
        <v>1.1586666504542034</v>
      </c>
      <c r="Q1231">
        <f t="shared" si="132"/>
        <v>1.1809761836415245</v>
      </c>
      <c r="R1231">
        <f t="shared" si="133"/>
        <v>-2.2309533187321096E-2</v>
      </c>
      <c r="S1231">
        <f t="shared" si="134"/>
        <v>2.5265306031622851E-2</v>
      </c>
      <c r="T1231">
        <f t="shared" si="135"/>
        <v>3.7897959047434275E-4</v>
      </c>
      <c r="U1231">
        <f t="shared" si="136"/>
        <v>-58.867373726901185</v>
      </c>
    </row>
    <row r="1232" spans="1:21" x14ac:dyDescent="0.15">
      <c r="A1232" s="1">
        <v>46226</v>
      </c>
      <c r="B1232">
        <v>1.156000018119812</v>
      </c>
      <c r="C1232">
        <v>1.1640000343322754</v>
      </c>
      <c r="D1232">
        <v>1.1529999971389771</v>
      </c>
      <c r="E1232">
        <v>1.1579999923706055</v>
      </c>
      <c r="F1232">
        <v>1158500</v>
      </c>
      <c r="G1232">
        <v>11585</v>
      </c>
      <c r="H1232">
        <f t="shared" si="144"/>
        <v>1230</v>
      </c>
      <c r="I1232">
        <f>SUM($F$3:F1232)/H1232</f>
        <v>4016824.5981961382</v>
      </c>
      <c r="N1232">
        <f t="shared" si="157"/>
        <v>1.281999945640564</v>
      </c>
      <c r="O1232">
        <f t="shared" si="158"/>
        <v>1.1000000238418579</v>
      </c>
      <c r="P1232">
        <f t="shared" si="143"/>
        <v>1.1583333412806194</v>
      </c>
      <c r="Q1232">
        <f t="shared" si="132"/>
        <v>1.1765238018262953</v>
      </c>
      <c r="R1232">
        <f t="shared" si="133"/>
        <v>-1.8190460545675968E-2</v>
      </c>
      <c r="S1232">
        <f t="shared" si="134"/>
        <v>2.4306118893785533E-2</v>
      </c>
      <c r="T1232">
        <f t="shared" si="135"/>
        <v>3.6459178340678296E-4</v>
      </c>
      <c r="U1232">
        <f t="shared" si="136"/>
        <v>-49.892678259785349</v>
      </c>
    </row>
    <row r="1233" spans="1:21" x14ac:dyDescent="0.15">
      <c r="A1233" s="1">
        <v>46227</v>
      </c>
      <c r="B1233">
        <v>1.1649999618530273</v>
      </c>
      <c r="C1233">
        <v>1.1929999589920044</v>
      </c>
      <c r="D1233">
        <v>1.1349999904632568</v>
      </c>
      <c r="E1233">
        <v>1.1349999904632568</v>
      </c>
      <c r="F1233">
        <v>558600</v>
      </c>
      <c r="G1233">
        <v>5586</v>
      </c>
      <c r="H1233">
        <f t="shared" si="144"/>
        <v>1231</v>
      </c>
      <c r="I1233">
        <f>SUM($F$3:F1233)/H1233</f>
        <v>4014015.3174502435</v>
      </c>
      <c r="N1233">
        <f t="shared" si="157"/>
        <v>1.281999945640564</v>
      </c>
      <c r="O1233">
        <f t="shared" si="158"/>
        <v>1.1000000238418579</v>
      </c>
      <c r="P1233">
        <f t="shared" si="143"/>
        <v>1.1543333133061726</v>
      </c>
      <c r="Q1233">
        <f t="shared" si="132"/>
        <v>1.1721428490820383</v>
      </c>
      <c r="R1233">
        <f t="shared" si="133"/>
        <v>-1.7809535775865637E-2</v>
      </c>
      <c r="S1233">
        <f t="shared" si="134"/>
        <v>2.3095235938117607E-2</v>
      </c>
      <c r="T1233">
        <f t="shared" si="135"/>
        <v>3.4642853907176409E-4</v>
      </c>
      <c r="U1233">
        <f t="shared" si="136"/>
        <v>-51.408974051575811</v>
      </c>
    </row>
    <row r="1234" spans="1:21" x14ac:dyDescent="0.15">
      <c r="A1234" s="1">
        <v>46230</v>
      </c>
      <c r="B1234">
        <v>1.1529999971389771</v>
      </c>
      <c r="C1234">
        <v>1.1610000133514404</v>
      </c>
      <c r="D1234">
        <v>1.1289999485015869</v>
      </c>
      <c r="E1234">
        <v>1.1610000133514404</v>
      </c>
      <c r="F1234">
        <v>5191200</v>
      </c>
      <c r="G1234">
        <v>51912</v>
      </c>
      <c r="H1234">
        <f t="shared" si="144"/>
        <v>1232</v>
      </c>
      <c r="I1234">
        <f>SUM($F$3:F1234)/H1234</f>
        <v>4014970.8244977677</v>
      </c>
      <c r="N1234">
        <f t="shared" si="157"/>
        <v>1.281999945640564</v>
      </c>
      <c r="O1234">
        <f t="shared" si="158"/>
        <v>1.1000000238418579</v>
      </c>
      <c r="P1234">
        <f t="shared" si="143"/>
        <v>1.150333325068156</v>
      </c>
      <c r="Q1234">
        <f t="shared" si="132"/>
        <v>1.1684761813708715</v>
      </c>
      <c r="R1234">
        <f t="shared" si="133"/>
        <v>-1.8142856302715504E-2</v>
      </c>
      <c r="S1234">
        <f t="shared" si="134"/>
        <v>2.2190471490224191E-2</v>
      </c>
      <c r="T1234">
        <f t="shared" si="135"/>
        <v>3.3285707235336287E-4</v>
      </c>
      <c r="U1234">
        <f t="shared" si="136"/>
        <v>-54.506446789434442</v>
      </c>
    </row>
    <row r="1235" spans="1:21" x14ac:dyDescent="0.15">
      <c r="A1235" s="1">
        <v>46231</v>
      </c>
      <c r="B1235">
        <v>1.1380000114440918</v>
      </c>
      <c r="C1235">
        <v>1.1410000324249268</v>
      </c>
      <c r="D1235">
        <v>1.1009999513626099</v>
      </c>
      <c r="E1235">
        <v>1.1030000448226929</v>
      </c>
      <c r="F1235">
        <v>2865200</v>
      </c>
      <c r="G1235">
        <v>28652</v>
      </c>
      <c r="H1235">
        <f t="shared" si="144"/>
        <v>1233</v>
      </c>
      <c r="I1235">
        <f>SUM($F$3:F1235)/H1235</f>
        <v>4014038.3258566502</v>
      </c>
      <c r="N1235">
        <f t="shared" si="157"/>
        <v>1.281999945640564</v>
      </c>
      <c r="O1235">
        <f t="shared" si="158"/>
        <v>1.1000000238418579</v>
      </c>
      <c r="P1235">
        <f t="shared" si="143"/>
        <v>1.1150000095367432</v>
      </c>
      <c r="Q1235">
        <f t="shared" si="132"/>
        <v>1.1629761854807534</v>
      </c>
      <c r="R1235">
        <f t="shared" si="133"/>
        <v>-4.7976175944010269E-2</v>
      </c>
      <c r="S1235">
        <f t="shared" si="134"/>
        <v>2.3544215020679254E-2</v>
      </c>
      <c r="T1235">
        <f t="shared" si="135"/>
        <v>3.5316322531018878E-4</v>
      </c>
      <c r="U1235">
        <f t="shared" si="136"/>
        <v>-135.84703192658876</v>
      </c>
    </row>
    <row r="1236" spans="1:21" x14ac:dyDescent="0.15">
      <c r="A1236" s="1">
        <v>46232</v>
      </c>
      <c r="B1236">
        <v>1.1119999885559082</v>
      </c>
      <c r="C1236">
        <v>1.1269999742507935</v>
      </c>
      <c r="D1236">
        <v>1.0880000591278076</v>
      </c>
      <c r="E1236">
        <v>1.1200000047683716</v>
      </c>
      <c r="F1236">
        <v>3663200</v>
      </c>
      <c r="G1236">
        <v>36632</v>
      </c>
      <c r="H1236">
        <f t="shared" si="144"/>
        <v>1234</v>
      </c>
      <c r="I1236">
        <f>SUM($F$3:F1236)/H1236</f>
        <v>4013754.0160301863</v>
      </c>
      <c r="N1236">
        <f t="shared" si="157"/>
        <v>1.281999945640564</v>
      </c>
      <c r="O1236">
        <f t="shared" si="158"/>
        <v>1.0880000591278076</v>
      </c>
      <c r="P1236">
        <f t="shared" si="143"/>
        <v>1.1116666793823242</v>
      </c>
      <c r="Q1236">
        <f t="shared" si="132"/>
        <v>1.1559047585441953</v>
      </c>
      <c r="R1236">
        <f t="shared" si="133"/>
        <v>-4.4238079161871058E-2</v>
      </c>
      <c r="S1236">
        <f t="shared" si="134"/>
        <v>2.2523806208655954E-2</v>
      </c>
      <c r="T1236">
        <f t="shared" si="135"/>
        <v>3.3785709312983929E-4</v>
      </c>
      <c r="U1236">
        <f t="shared" si="136"/>
        <v>-130.93725146350636</v>
      </c>
    </row>
    <row r="1237" spans="1:21" x14ac:dyDescent="0.15">
      <c r="A1237" s="1">
        <v>46233</v>
      </c>
      <c r="B1237">
        <v>1.0989999771118164</v>
      </c>
      <c r="C1237">
        <v>1.1109999418258667</v>
      </c>
      <c r="D1237">
        <v>1.0750000476837158</v>
      </c>
      <c r="E1237">
        <v>1.090999960899353</v>
      </c>
      <c r="F1237">
        <v>2797904</v>
      </c>
      <c r="G1237">
        <v>27979.0390625</v>
      </c>
      <c r="H1237">
        <f t="shared" si="144"/>
        <v>1235</v>
      </c>
      <c r="I1237">
        <f>SUM($F$3:F1237)/H1237</f>
        <v>4012769.5220900811</v>
      </c>
      <c r="N1237">
        <f t="shared" si="157"/>
        <v>1.281999945640564</v>
      </c>
      <c r="O1237">
        <f t="shared" si="158"/>
        <v>1.0750000476837158</v>
      </c>
      <c r="P1237">
        <f t="shared" si="143"/>
        <v>1.0923333168029785</v>
      </c>
      <c r="Q1237">
        <f t="shared" si="132"/>
        <v>1.1480238068671453</v>
      </c>
      <c r="R1237">
        <f t="shared" si="133"/>
        <v>-5.569049006416682E-2</v>
      </c>
      <c r="S1237">
        <f t="shared" si="134"/>
        <v>2.4350338647154746E-2</v>
      </c>
      <c r="T1237">
        <f t="shared" si="135"/>
        <v>3.6525507970732119E-4</v>
      </c>
      <c r="U1237">
        <f t="shared" si="136"/>
        <v>-152.47013158254117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2026-08-01T03:12:45Z</dcterms:modified>
</cp:coreProperties>
</file>