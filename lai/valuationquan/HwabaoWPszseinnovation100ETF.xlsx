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P1280" i="1" l="1"/>
  <c r="O1280" i="1"/>
  <c r="N1280" i="1"/>
  <c r="P1279" i="1" l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O1259" i="1"/>
  <c r="O1260" i="1" s="1"/>
  <c r="O1261" i="1" s="1"/>
  <c r="O1262" i="1" s="1"/>
  <c r="O1263" i="1" s="1"/>
  <c r="O1264" i="1" s="1"/>
  <c r="O1265" i="1" s="1"/>
  <c r="O1266" i="1" s="1"/>
  <c r="O1267" i="1" s="1"/>
  <c r="O1268" i="1" s="1"/>
  <c r="O1269" i="1" s="1"/>
  <c r="O1270" i="1" s="1"/>
  <c r="O1271" i="1" s="1"/>
  <c r="O1272" i="1" s="1"/>
  <c r="O1273" i="1" s="1"/>
  <c r="O1274" i="1" s="1"/>
  <c r="O1275" i="1" s="1"/>
  <c r="O1276" i="1" s="1"/>
  <c r="O1277" i="1" s="1"/>
  <c r="O1278" i="1" s="1"/>
  <c r="O1279" i="1" s="1"/>
  <c r="N1259" i="1"/>
  <c r="N1260" i="1" s="1"/>
  <c r="N1261" i="1" s="1"/>
  <c r="N1262" i="1" s="1"/>
  <c r="N1263" i="1" s="1"/>
  <c r="N1264" i="1" s="1"/>
  <c r="N1265" i="1" s="1"/>
  <c r="N1266" i="1" s="1"/>
  <c r="N1267" i="1" s="1"/>
  <c r="N1268" i="1" s="1"/>
  <c r="N1269" i="1" s="1"/>
  <c r="N1270" i="1" s="1"/>
  <c r="N1271" i="1" s="1"/>
  <c r="N1272" i="1" s="1"/>
  <c r="N1273" i="1" s="1"/>
  <c r="N1274" i="1" s="1"/>
  <c r="N1275" i="1" s="1"/>
  <c r="N1276" i="1" s="1"/>
  <c r="N1277" i="1" s="1"/>
  <c r="N1278" i="1" s="1"/>
  <c r="N1279" i="1" s="1"/>
  <c r="Q1273" i="1" l="1"/>
  <c r="R1273" i="1" s="1"/>
  <c r="U1273" i="1" s="1"/>
  <c r="S1273" i="1"/>
  <c r="T1273" i="1" s="1"/>
  <c r="Q1274" i="1"/>
  <c r="R1274" i="1" s="1"/>
  <c r="U1274" i="1" s="1"/>
  <c r="S1274" i="1"/>
  <c r="T1274" i="1" s="1"/>
  <c r="Q1275" i="1"/>
  <c r="R1275" i="1" s="1"/>
  <c r="U1275" i="1" s="1"/>
  <c r="S1275" i="1"/>
  <c r="T1275" i="1" s="1"/>
  <c r="Q1276" i="1"/>
  <c r="R1276" i="1" s="1"/>
  <c r="U1276" i="1" s="1"/>
  <c r="S1276" i="1"/>
  <c r="T1276" i="1" s="1"/>
  <c r="Q1277" i="1"/>
  <c r="R1277" i="1" s="1"/>
  <c r="U1277" i="1" s="1"/>
  <c r="S1277" i="1"/>
  <c r="T1277" i="1" s="1"/>
  <c r="Q1278" i="1"/>
  <c r="R1278" i="1" s="1"/>
  <c r="U1278" i="1" s="1"/>
  <c r="S1278" i="1"/>
  <c r="T1278" i="1" s="1"/>
  <c r="Q1279" i="1"/>
  <c r="R1279" i="1" s="1"/>
  <c r="U1279" i="1" s="1"/>
  <c r="S1279" i="1"/>
  <c r="T1279" i="1" s="1"/>
  <c r="S1280" i="1"/>
  <c r="T1280" i="1" s="1"/>
  <c r="Q1280" i="1"/>
  <c r="R1280" i="1" s="1"/>
  <c r="U1280" i="1" s="1"/>
  <c r="P1259" i="1"/>
  <c r="S1272" i="1" l="1"/>
  <c r="T1272" i="1" s="1"/>
  <c r="Q1272" i="1"/>
  <c r="R1272" i="1" s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O1238" i="1"/>
  <c r="O1239" i="1" s="1"/>
  <c r="O1240" i="1" s="1"/>
  <c r="O1241" i="1" s="1"/>
  <c r="O1242" i="1" s="1"/>
  <c r="O1243" i="1" s="1"/>
  <c r="O1244" i="1" s="1"/>
  <c r="O1245" i="1" s="1"/>
  <c r="O1246" i="1" s="1"/>
  <c r="O1247" i="1" s="1"/>
  <c r="O1248" i="1" s="1"/>
  <c r="O1249" i="1" s="1"/>
  <c r="O1250" i="1" s="1"/>
  <c r="O1251" i="1" s="1"/>
  <c r="O1252" i="1" s="1"/>
  <c r="O1253" i="1" s="1"/>
  <c r="O1254" i="1" s="1"/>
  <c r="O1255" i="1" s="1"/>
  <c r="O1256" i="1" s="1"/>
  <c r="O1257" i="1" s="1"/>
  <c r="O1258" i="1" s="1"/>
  <c r="N1238" i="1"/>
  <c r="N1239" i="1" s="1"/>
  <c r="N1240" i="1" s="1"/>
  <c r="N1241" i="1" s="1"/>
  <c r="N1242" i="1" s="1"/>
  <c r="N1243" i="1" s="1"/>
  <c r="N1244" i="1" s="1"/>
  <c r="N1245" i="1" s="1"/>
  <c r="N1246" i="1" s="1"/>
  <c r="N1247" i="1" s="1"/>
  <c r="N1248" i="1" s="1"/>
  <c r="N1249" i="1" s="1"/>
  <c r="N1250" i="1" s="1"/>
  <c r="N1251" i="1" s="1"/>
  <c r="N1252" i="1" s="1"/>
  <c r="N1253" i="1" s="1"/>
  <c r="N1254" i="1" s="1"/>
  <c r="N1255" i="1" s="1"/>
  <c r="N1256" i="1" s="1"/>
  <c r="N1257" i="1" s="1"/>
  <c r="N1258" i="1" s="1"/>
  <c r="Q1252" i="1" l="1"/>
  <c r="S1252" i="1"/>
  <c r="T1252" i="1" s="1"/>
  <c r="Q1253" i="1"/>
  <c r="S1253" i="1"/>
  <c r="T1253" i="1" s="1"/>
  <c r="Q1254" i="1"/>
  <c r="S1254" i="1"/>
  <c r="T1254" i="1" s="1"/>
  <c r="Q1255" i="1"/>
  <c r="S1255" i="1"/>
  <c r="T1255" i="1" s="1"/>
  <c r="Q1256" i="1"/>
  <c r="S1256" i="1"/>
  <c r="T1256" i="1" s="1"/>
  <c r="Q1257" i="1"/>
  <c r="S1257" i="1"/>
  <c r="T1257" i="1" s="1"/>
  <c r="Q1258" i="1"/>
  <c r="S1258" i="1"/>
  <c r="T1258" i="1" s="1"/>
  <c r="U1272" i="1"/>
  <c r="S1259" i="1"/>
  <c r="T1259" i="1" s="1"/>
  <c r="Q1259" i="1"/>
  <c r="R1259" i="1" s="1"/>
  <c r="S1260" i="1"/>
  <c r="T1260" i="1" s="1"/>
  <c r="Q1260" i="1"/>
  <c r="R1260" i="1" s="1"/>
  <c r="U1260" i="1" s="1"/>
  <c r="S1261" i="1"/>
  <c r="T1261" i="1" s="1"/>
  <c r="Q1261" i="1"/>
  <c r="R1261" i="1" s="1"/>
  <c r="S1262" i="1"/>
  <c r="T1262" i="1" s="1"/>
  <c r="Q1262" i="1"/>
  <c r="R1262" i="1" s="1"/>
  <c r="U1262" i="1" s="1"/>
  <c r="S1263" i="1"/>
  <c r="T1263" i="1" s="1"/>
  <c r="Q1263" i="1"/>
  <c r="R1263" i="1" s="1"/>
  <c r="S1264" i="1"/>
  <c r="T1264" i="1" s="1"/>
  <c r="Q1264" i="1"/>
  <c r="R1264" i="1" s="1"/>
  <c r="U1264" i="1" s="1"/>
  <c r="S1265" i="1"/>
  <c r="T1265" i="1" s="1"/>
  <c r="Q1265" i="1"/>
  <c r="R1265" i="1" s="1"/>
  <c r="R1252" i="1"/>
  <c r="U1252" i="1" s="1"/>
  <c r="S1266" i="1"/>
  <c r="T1266" i="1" s="1"/>
  <c r="Q1266" i="1"/>
  <c r="R1266" i="1" s="1"/>
  <c r="U1266" i="1" s="1"/>
  <c r="R1253" i="1"/>
  <c r="U1253" i="1" s="1"/>
  <c r="S1267" i="1"/>
  <c r="T1267" i="1" s="1"/>
  <c r="Q1267" i="1"/>
  <c r="R1267" i="1" s="1"/>
  <c r="R1254" i="1"/>
  <c r="U1254" i="1" s="1"/>
  <c r="S1268" i="1"/>
  <c r="T1268" i="1" s="1"/>
  <c r="Q1268" i="1"/>
  <c r="R1268" i="1" s="1"/>
  <c r="U1268" i="1" s="1"/>
  <c r="R1255" i="1"/>
  <c r="U1255" i="1" s="1"/>
  <c r="S1269" i="1"/>
  <c r="T1269" i="1" s="1"/>
  <c r="Q1269" i="1"/>
  <c r="R1269" i="1" s="1"/>
  <c r="R1256" i="1"/>
  <c r="U1256" i="1" s="1"/>
  <c r="S1270" i="1"/>
  <c r="T1270" i="1" s="1"/>
  <c r="Q1270" i="1"/>
  <c r="R1270" i="1" s="1"/>
  <c r="U1270" i="1" s="1"/>
  <c r="R1257" i="1"/>
  <c r="U1257" i="1" s="1"/>
  <c r="S1271" i="1"/>
  <c r="T1271" i="1" s="1"/>
  <c r="Q1271" i="1"/>
  <c r="R1271" i="1" s="1"/>
  <c r="R1258" i="1"/>
  <c r="U1258" i="1" s="1"/>
  <c r="P1238" i="1"/>
  <c r="S1251" i="1" l="1"/>
  <c r="T1251" i="1" s="1"/>
  <c r="Q1251" i="1"/>
  <c r="R1251" i="1" s="1"/>
  <c r="U1251" i="1" s="1"/>
  <c r="U1271" i="1"/>
  <c r="U1269" i="1"/>
  <c r="U1267" i="1"/>
  <c r="U1265" i="1"/>
  <c r="U1263" i="1"/>
  <c r="U1261" i="1"/>
  <c r="U1259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O1215" i="1"/>
  <c r="O1216" i="1" s="1"/>
  <c r="O1217" i="1" s="1"/>
  <c r="O1218" i="1" s="1"/>
  <c r="O1219" i="1" s="1"/>
  <c r="O1220" i="1" s="1"/>
  <c r="O1221" i="1" s="1"/>
  <c r="O1222" i="1" s="1"/>
  <c r="O1223" i="1" s="1"/>
  <c r="O1224" i="1" s="1"/>
  <c r="O1225" i="1" s="1"/>
  <c r="O1226" i="1" s="1"/>
  <c r="O1227" i="1" s="1"/>
  <c r="O1228" i="1" s="1"/>
  <c r="O1229" i="1" s="1"/>
  <c r="O1230" i="1" s="1"/>
  <c r="O1231" i="1" s="1"/>
  <c r="O1232" i="1" s="1"/>
  <c r="O1233" i="1" s="1"/>
  <c r="O1234" i="1" s="1"/>
  <c r="O1235" i="1" s="1"/>
  <c r="O1236" i="1" s="1"/>
  <c r="O1237" i="1" s="1"/>
  <c r="N1215" i="1"/>
  <c r="N1216" i="1" s="1"/>
  <c r="N1217" i="1" s="1"/>
  <c r="N1218" i="1" s="1"/>
  <c r="N1219" i="1" s="1"/>
  <c r="N1220" i="1" s="1"/>
  <c r="N1221" i="1" s="1"/>
  <c r="N1222" i="1" s="1"/>
  <c r="N1223" i="1" s="1"/>
  <c r="N1224" i="1" s="1"/>
  <c r="N1225" i="1" s="1"/>
  <c r="N1226" i="1" s="1"/>
  <c r="N1227" i="1" s="1"/>
  <c r="N1228" i="1" s="1"/>
  <c r="N1229" i="1" s="1"/>
  <c r="N1230" i="1" s="1"/>
  <c r="N1231" i="1" s="1"/>
  <c r="N1232" i="1" s="1"/>
  <c r="N1233" i="1" s="1"/>
  <c r="N1234" i="1" s="1"/>
  <c r="N1235" i="1" s="1"/>
  <c r="N1236" i="1" s="1"/>
  <c r="N1237" i="1" s="1"/>
  <c r="S1240" i="1" l="1"/>
  <c r="T1240" i="1" s="1"/>
  <c r="Q1240" i="1"/>
  <c r="R1240" i="1" s="1"/>
  <c r="U1240" i="1" s="1"/>
  <c r="S1242" i="1"/>
  <c r="T1242" i="1" s="1"/>
  <c r="Q1242" i="1"/>
  <c r="R1242" i="1" s="1"/>
  <c r="S1244" i="1"/>
  <c r="T1244" i="1" s="1"/>
  <c r="Q1244" i="1"/>
  <c r="R1244" i="1" s="1"/>
  <c r="S1246" i="1"/>
  <c r="T1246" i="1" s="1"/>
  <c r="Q1246" i="1"/>
  <c r="R1246" i="1" s="1"/>
  <c r="S1248" i="1"/>
  <c r="T1248" i="1" s="1"/>
  <c r="Q1248" i="1"/>
  <c r="R1248" i="1" s="1"/>
  <c r="S1250" i="1"/>
  <c r="T1250" i="1" s="1"/>
  <c r="Q1250" i="1"/>
  <c r="R1250" i="1" s="1"/>
  <c r="S1239" i="1"/>
  <c r="T1239" i="1" s="1"/>
  <c r="Q1239" i="1"/>
  <c r="R1239" i="1" s="1"/>
  <c r="S1241" i="1"/>
  <c r="T1241" i="1" s="1"/>
  <c r="Q1241" i="1"/>
  <c r="R1241" i="1" s="1"/>
  <c r="S1243" i="1"/>
  <c r="T1243" i="1" s="1"/>
  <c r="Q1243" i="1"/>
  <c r="R1243" i="1" s="1"/>
  <c r="S1245" i="1"/>
  <c r="T1245" i="1" s="1"/>
  <c r="Q1245" i="1"/>
  <c r="R1245" i="1" s="1"/>
  <c r="S1247" i="1"/>
  <c r="T1247" i="1" s="1"/>
  <c r="Q1247" i="1"/>
  <c r="R1247" i="1" s="1"/>
  <c r="S1249" i="1"/>
  <c r="T1249" i="1" s="1"/>
  <c r="Q1249" i="1"/>
  <c r="R1249" i="1" s="1"/>
  <c r="Q1229" i="1"/>
  <c r="R1229" i="1" s="1"/>
  <c r="U1229" i="1" s="1"/>
  <c r="S1229" i="1"/>
  <c r="T1229" i="1" s="1"/>
  <c r="Q1230" i="1"/>
  <c r="R1230" i="1" s="1"/>
  <c r="U1230" i="1" s="1"/>
  <c r="S1230" i="1"/>
  <c r="T1230" i="1" s="1"/>
  <c r="Q1231" i="1"/>
  <c r="R1231" i="1" s="1"/>
  <c r="U1231" i="1" s="1"/>
  <c r="S1231" i="1"/>
  <c r="T1231" i="1" s="1"/>
  <c r="Q1232" i="1"/>
  <c r="R1232" i="1" s="1"/>
  <c r="U1232" i="1" s="1"/>
  <c r="S1232" i="1"/>
  <c r="T1232" i="1" s="1"/>
  <c r="Q1233" i="1"/>
  <c r="R1233" i="1" s="1"/>
  <c r="U1233" i="1" s="1"/>
  <c r="S1233" i="1"/>
  <c r="T1233" i="1" s="1"/>
  <c r="Q1234" i="1"/>
  <c r="R1234" i="1" s="1"/>
  <c r="U1234" i="1" s="1"/>
  <c r="S1234" i="1"/>
  <c r="T1234" i="1" s="1"/>
  <c r="Q1235" i="1"/>
  <c r="R1235" i="1" s="1"/>
  <c r="U1235" i="1" s="1"/>
  <c r="S1235" i="1"/>
  <c r="T1235" i="1" s="1"/>
  <c r="Q1236" i="1"/>
  <c r="R1236" i="1" s="1"/>
  <c r="U1236" i="1" s="1"/>
  <c r="S1236" i="1"/>
  <c r="T1236" i="1" s="1"/>
  <c r="Q1237" i="1"/>
  <c r="R1237" i="1" s="1"/>
  <c r="U1237" i="1" s="1"/>
  <c r="S1237" i="1"/>
  <c r="T1237" i="1" s="1"/>
  <c r="S1238" i="1"/>
  <c r="T1238" i="1" s="1"/>
  <c r="Q1238" i="1"/>
  <c r="R1238" i="1" s="1"/>
  <c r="P1215" i="1"/>
  <c r="U1238" i="1" l="1"/>
  <c r="U1249" i="1"/>
  <c r="U1247" i="1"/>
  <c r="U1245" i="1"/>
  <c r="U1243" i="1"/>
  <c r="U1241" i="1"/>
  <c r="U1239" i="1"/>
  <c r="U1250" i="1"/>
  <c r="U1248" i="1"/>
  <c r="U1246" i="1"/>
  <c r="U1244" i="1"/>
  <c r="U1242" i="1"/>
  <c r="S1228" i="1"/>
  <c r="T1228" i="1" s="1"/>
  <c r="Q1228" i="1"/>
  <c r="R1228" i="1" s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O1194" i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N1194" i="1"/>
  <c r="N1195" i="1" s="1"/>
  <c r="N1196" i="1" s="1"/>
  <c r="N1197" i="1" s="1"/>
  <c r="N1198" i="1" s="1"/>
  <c r="N1199" i="1" s="1"/>
  <c r="N1200" i="1" s="1"/>
  <c r="N1201" i="1" s="1"/>
  <c r="N1202" i="1" s="1"/>
  <c r="N1203" i="1" s="1"/>
  <c r="N1204" i="1" s="1"/>
  <c r="N1205" i="1" s="1"/>
  <c r="N1206" i="1" s="1"/>
  <c r="N1207" i="1" s="1"/>
  <c r="N1208" i="1" s="1"/>
  <c r="N1209" i="1" s="1"/>
  <c r="N1210" i="1" s="1"/>
  <c r="N1211" i="1" s="1"/>
  <c r="N1212" i="1" s="1"/>
  <c r="N1213" i="1" s="1"/>
  <c r="N1214" i="1" s="1"/>
  <c r="U1228" i="1" l="1"/>
  <c r="Q1208" i="1"/>
  <c r="S1208" i="1"/>
  <c r="T1208" i="1" s="1"/>
  <c r="Q1209" i="1"/>
  <c r="S1209" i="1"/>
  <c r="T1209" i="1" s="1"/>
  <c r="Q1210" i="1"/>
  <c r="S1210" i="1"/>
  <c r="T1210" i="1" s="1"/>
  <c r="Q1211" i="1"/>
  <c r="S1211" i="1"/>
  <c r="T1211" i="1" s="1"/>
  <c r="Q1212" i="1"/>
  <c r="S1212" i="1"/>
  <c r="T1212" i="1" s="1"/>
  <c r="Q1213" i="1"/>
  <c r="S1213" i="1"/>
  <c r="T1213" i="1" s="1"/>
  <c r="Q1214" i="1"/>
  <c r="S1214" i="1"/>
  <c r="T1214" i="1" s="1"/>
  <c r="Q1215" i="1"/>
  <c r="R1215" i="1" s="1"/>
  <c r="S1215" i="1"/>
  <c r="T1215" i="1" s="1"/>
  <c r="Q1216" i="1"/>
  <c r="R1216" i="1" s="1"/>
  <c r="S1216" i="1"/>
  <c r="T1216" i="1" s="1"/>
  <c r="S1217" i="1"/>
  <c r="T1217" i="1" s="1"/>
  <c r="Q1217" i="1"/>
  <c r="R1217" i="1" s="1"/>
  <c r="U1217" i="1" s="1"/>
  <c r="S1218" i="1"/>
  <c r="T1218" i="1" s="1"/>
  <c r="Q1218" i="1"/>
  <c r="R1218" i="1" s="1"/>
  <c r="S1219" i="1"/>
  <c r="T1219" i="1" s="1"/>
  <c r="Q1219" i="1"/>
  <c r="R1219" i="1" s="1"/>
  <c r="U1219" i="1" s="1"/>
  <c r="S1220" i="1"/>
  <c r="T1220" i="1" s="1"/>
  <c r="Q1220" i="1"/>
  <c r="R1220" i="1" s="1"/>
  <c r="S1221" i="1"/>
  <c r="T1221" i="1" s="1"/>
  <c r="Q1221" i="1"/>
  <c r="R1221" i="1" s="1"/>
  <c r="U1221" i="1" s="1"/>
  <c r="R1208" i="1"/>
  <c r="U1208" i="1" s="1"/>
  <c r="S1222" i="1"/>
  <c r="T1222" i="1" s="1"/>
  <c r="Q1222" i="1"/>
  <c r="R1222" i="1" s="1"/>
  <c r="R1209" i="1"/>
  <c r="U1209" i="1" s="1"/>
  <c r="S1223" i="1"/>
  <c r="T1223" i="1" s="1"/>
  <c r="Q1223" i="1"/>
  <c r="R1223" i="1" s="1"/>
  <c r="U1223" i="1" s="1"/>
  <c r="R1210" i="1"/>
  <c r="U1210" i="1" s="1"/>
  <c r="S1224" i="1"/>
  <c r="T1224" i="1" s="1"/>
  <c r="Q1224" i="1"/>
  <c r="R1224" i="1" s="1"/>
  <c r="R1211" i="1"/>
  <c r="U1211" i="1" s="1"/>
  <c r="S1225" i="1"/>
  <c r="T1225" i="1" s="1"/>
  <c r="Q1225" i="1"/>
  <c r="R1225" i="1" s="1"/>
  <c r="U1225" i="1" s="1"/>
  <c r="R1212" i="1"/>
  <c r="U1212" i="1" s="1"/>
  <c r="S1226" i="1"/>
  <c r="T1226" i="1" s="1"/>
  <c r="Q1226" i="1"/>
  <c r="R1226" i="1" s="1"/>
  <c r="R1213" i="1"/>
  <c r="U1213" i="1" s="1"/>
  <c r="S1227" i="1"/>
  <c r="T1227" i="1" s="1"/>
  <c r="Q1227" i="1"/>
  <c r="R1227" i="1" s="1"/>
  <c r="U1227" i="1" s="1"/>
  <c r="R1214" i="1"/>
  <c r="U1214" i="1" s="1"/>
  <c r="P1194" i="1"/>
  <c r="U1216" i="1" l="1"/>
  <c r="S1207" i="1"/>
  <c r="T1207" i="1" s="1"/>
  <c r="Q1207" i="1"/>
  <c r="R1207" i="1" s="1"/>
  <c r="U1226" i="1"/>
  <c r="U1224" i="1"/>
  <c r="U1222" i="1"/>
  <c r="U1220" i="1"/>
  <c r="U1218" i="1"/>
  <c r="U1215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O1176" i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N1176" i="1"/>
  <c r="N1177" i="1" s="1"/>
  <c r="N1178" i="1" s="1"/>
  <c r="N1179" i="1" s="1"/>
  <c r="N1180" i="1" s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Q1190" i="1" l="1"/>
  <c r="S1190" i="1"/>
  <c r="T1190" i="1" s="1"/>
  <c r="Q1191" i="1"/>
  <c r="S1191" i="1"/>
  <c r="T1191" i="1" s="1"/>
  <c r="Q1192" i="1"/>
  <c r="S1192" i="1"/>
  <c r="T1192" i="1" s="1"/>
  <c r="Q1193" i="1"/>
  <c r="S1193" i="1"/>
  <c r="T1193" i="1" s="1"/>
  <c r="U1207" i="1"/>
  <c r="S1194" i="1"/>
  <c r="T1194" i="1" s="1"/>
  <c r="Q1194" i="1"/>
  <c r="R1194" i="1" s="1"/>
  <c r="S1195" i="1"/>
  <c r="T1195" i="1" s="1"/>
  <c r="Q1195" i="1"/>
  <c r="R1195" i="1" s="1"/>
  <c r="S1196" i="1"/>
  <c r="T1196" i="1" s="1"/>
  <c r="Q1196" i="1"/>
  <c r="R1196" i="1" s="1"/>
  <c r="S1197" i="1"/>
  <c r="T1197" i="1" s="1"/>
  <c r="Q1197" i="1"/>
  <c r="R1197" i="1" s="1"/>
  <c r="S1198" i="1"/>
  <c r="T1198" i="1" s="1"/>
  <c r="Q1198" i="1"/>
  <c r="R1198" i="1" s="1"/>
  <c r="S1199" i="1"/>
  <c r="T1199" i="1" s="1"/>
  <c r="Q1199" i="1"/>
  <c r="R1199" i="1" s="1"/>
  <c r="S1200" i="1"/>
  <c r="T1200" i="1" s="1"/>
  <c r="Q1200" i="1"/>
  <c r="R1200" i="1" s="1"/>
  <c r="S1201" i="1"/>
  <c r="T1201" i="1" s="1"/>
  <c r="Q1201" i="1"/>
  <c r="R1201" i="1" s="1"/>
  <c r="S1202" i="1"/>
  <c r="T1202" i="1" s="1"/>
  <c r="Q1202" i="1"/>
  <c r="R1202" i="1" s="1"/>
  <c r="S1203" i="1"/>
  <c r="T1203" i="1" s="1"/>
  <c r="Q1203" i="1"/>
  <c r="R1203" i="1" s="1"/>
  <c r="R1190" i="1"/>
  <c r="U1190" i="1" s="1"/>
  <c r="S1204" i="1"/>
  <c r="T1204" i="1" s="1"/>
  <c r="Q1204" i="1"/>
  <c r="R1204" i="1" s="1"/>
  <c r="R1191" i="1"/>
  <c r="U1191" i="1" s="1"/>
  <c r="S1205" i="1"/>
  <c r="T1205" i="1" s="1"/>
  <c r="Q1205" i="1"/>
  <c r="R1205" i="1" s="1"/>
  <c r="R1192" i="1"/>
  <c r="U1192" i="1" s="1"/>
  <c r="S1206" i="1"/>
  <c r="T1206" i="1" s="1"/>
  <c r="Q1206" i="1"/>
  <c r="R1206" i="1" s="1"/>
  <c r="R1193" i="1"/>
  <c r="U1193" i="1" s="1"/>
  <c r="P1176" i="1"/>
  <c r="U1205" i="1" l="1"/>
  <c r="U1203" i="1"/>
  <c r="U1201" i="1"/>
  <c r="U1199" i="1"/>
  <c r="U1197" i="1"/>
  <c r="U1195" i="1"/>
  <c r="S1189" i="1"/>
  <c r="T1189" i="1" s="1"/>
  <c r="Q1189" i="1"/>
  <c r="R1189" i="1" s="1"/>
  <c r="U1206" i="1"/>
  <c r="U1204" i="1"/>
  <c r="U1202" i="1"/>
  <c r="U1200" i="1"/>
  <c r="U1198" i="1"/>
  <c r="U1196" i="1"/>
  <c r="U1194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S1175" i="1" s="1"/>
  <c r="T1175" i="1" s="1"/>
  <c r="P1161" i="1"/>
  <c r="S1174" i="1" s="1"/>
  <c r="T1174" i="1" s="1"/>
  <c r="P1160" i="1"/>
  <c r="S1173" i="1" s="1"/>
  <c r="T1173" i="1" s="1"/>
  <c r="P1159" i="1"/>
  <c r="S1172" i="1" s="1"/>
  <c r="T1172" i="1" s="1"/>
  <c r="P1158" i="1"/>
  <c r="S1171" i="1" s="1"/>
  <c r="T1171" i="1" s="1"/>
  <c r="P1157" i="1"/>
  <c r="S1170" i="1" s="1"/>
  <c r="T1170" i="1" s="1"/>
  <c r="P1156" i="1"/>
  <c r="S1169" i="1" s="1"/>
  <c r="T1169" i="1" s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S1176" i="1" l="1"/>
  <c r="T1176" i="1" s="1"/>
  <c r="Q1176" i="1"/>
  <c r="R1176" i="1" s="1"/>
  <c r="S1177" i="1"/>
  <c r="T1177" i="1" s="1"/>
  <c r="Q1177" i="1"/>
  <c r="R1177" i="1" s="1"/>
  <c r="S1178" i="1"/>
  <c r="T1178" i="1" s="1"/>
  <c r="Q1178" i="1"/>
  <c r="R1178" i="1" s="1"/>
  <c r="S1179" i="1"/>
  <c r="T1179" i="1" s="1"/>
  <c r="Q1179" i="1"/>
  <c r="R1179" i="1" s="1"/>
  <c r="S1180" i="1"/>
  <c r="T1180" i="1" s="1"/>
  <c r="Q1180" i="1"/>
  <c r="R1180" i="1" s="1"/>
  <c r="S1181" i="1"/>
  <c r="T1181" i="1" s="1"/>
  <c r="Q1181" i="1"/>
  <c r="R1181" i="1" s="1"/>
  <c r="S1182" i="1"/>
  <c r="T1182" i="1" s="1"/>
  <c r="Q1182" i="1"/>
  <c r="R1182" i="1" s="1"/>
  <c r="S1183" i="1"/>
  <c r="T1183" i="1" s="1"/>
  <c r="Q1183" i="1"/>
  <c r="R1183" i="1" s="1"/>
  <c r="S1184" i="1"/>
  <c r="T1184" i="1" s="1"/>
  <c r="Q1184" i="1"/>
  <c r="R1184" i="1" s="1"/>
  <c r="S1185" i="1"/>
  <c r="T1185" i="1" s="1"/>
  <c r="Q1185" i="1"/>
  <c r="R1185" i="1" s="1"/>
  <c r="S1186" i="1"/>
  <c r="T1186" i="1" s="1"/>
  <c r="Q1186" i="1"/>
  <c r="R1186" i="1" s="1"/>
  <c r="S1187" i="1"/>
  <c r="T1187" i="1" s="1"/>
  <c r="Q1187" i="1"/>
  <c r="R1187" i="1" s="1"/>
  <c r="S1188" i="1"/>
  <c r="T1188" i="1" s="1"/>
  <c r="Q1188" i="1"/>
  <c r="R1188" i="1" s="1"/>
  <c r="U1189" i="1"/>
  <c r="Q1169" i="1"/>
  <c r="R1169" i="1" s="1"/>
  <c r="U1169" i="1" s="1"/>
  <c r="Q1170" i="1"/>
  <c r="R1170" i="1" s="1"/>
  <c r="U1170" i="1" s="1"/>
  <c r="Q1171" i="1"/>
  <c r="R1171" i="1" s="1"/>
  <c r="U1171" i="1" s="1"/>
  <c r="Q1172" i="1"/>
  <c r="R1172" i="1" s="1"/>
  <c r="U1172" i="1" s="1"/>
  <c r="Q1173" i="1"/>
  <c r="R1173" i="1" s="1"/>
  <c r="U1173" i="1" s="1"/>
  <c r="Q1174" i="1"/>
  <c r="R1174" i="1" s="1"/>
  <c r="U1174" i="1" s="1"/>
  <c r="Q1175" i="1"/>
  <c r="R1175" i="1" s="1"/>
  <c r="U1175" i="1" s="1"/>
  <c r="P1155" i="1"/>
  <c r="U1188" i="1" l="1"/>
  <c r="U1186" i="1"/>
  <c r="S1168" i="1"/>
  <c r="T1168" i="1" s="1"/>
  <c r="Q1168" i="1"/>
  <c r="R1168" i="1" s="1"/>
  <c r="U1187" i="1"/>
  <c r="U1185" i="1"/>
  <c r="U1183" i="1"/>
  <c r="U1181" i="1"/>
  <c r="U1179" i="1"/>
  <c r="U1177" i="1"/>
  <c r="U1184" i="1"/>
  <c r="U1182" i="1"/>
  <c r="U1180" i="1"/>
  <c r="U1178" i="1"/>
  <c r="U1176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S1154" i="1" s="1"/>
  <c r="T1154" i="1" s="1"/>
  <c r="P1140" i="1"/>
  <c r="S1153" i="1" s="1"/>
  <c r="T1153" i="1" s="1"/>
  <c r="P1139" i="1"/>
  <c r="S1152" i="1" s="1"/>
  <c r="T1152" i="1" s="1"/>
  <c r="P1138" i="1"/>
  <c r="S1151" i="1" s="1"/>
  <c r="T1151" i="1" s="1"/>
  <c r="P1137" i="1"/>
  <c r="S1150" i="1" s="1"/>
  <c r="T1150" i="1" s="1"/>
  <c r="P1136" i="1"/>
  <c r="S1149" i="1" s="1"/>
  <c r="T1149" i="1" s="1"/>
  <c r="P1135" i="1"/>
  <c r="S1148" i="1" s="1"/>
  <c r="T1148" i="1" s="1"/>
  <c r="P1134" i="1"/>
  <c r="S1147" i="1" s="1"/>
  <c r="T1147" i="1" s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68" i="1" l="1"/>
  <c r="S1155" i="1"/>
  <c r="T1155" i="1" s="1"/>
  <c r="Q1155" i="1"/>
  <c r="R1155" i="1" s="1"/>
  <c r="S1156" i="1"/>
  <c r="T1156" i="1" s="1"/>
  <c r="Q1156" i="1"/>
  <c r="R1156" i="1" s="1"/>
  <c r="S1157" i="1"/>
  <c r="T1157" i="1" s="1"/>
  <c r="Q1157" i="1"/>
  <c r="R1157" i="1" s="1"/>
  <c r="S1158" i="1"/>
  <c r="T1158" i="1" s="1"/>
  <c r="Q1158" i="1"/>
  <c r="R1158" i="1" s="1"/>
  <c r="S1159" i="1"/>
  <c r="T1159" i="1" s="1"/>
  <c r="Q1159" i="1"/>
  <c r="R1159" i="1" s="1"/>
  <c r="S1160" i="1"/>
  <c r="T1160" i="1" s="1"/>
  <c r="Q1160" i="1"/>
  <c r="R1160" i="1" s="1"/>
  <c r="S1161" i="1"/>
  <c r="T1161" i="1" s="1"/>
  <c r="Q1161" i="1"/>
  <c r="R1161" i="1" s="1"/>
  <c r="S1162" i="1"/>
  <c r="T1162" i="1" s="1"/>
  <c r="Q1162" i="1"/>
  <c r="R1162" i="1" s="1"/>
  <c r="S1163" i="1"/>
  <c r="T1163" i="1" s="1"/>
  <c r="Q1163" i="1"/>
  <c r="R1163" i="1" s="1"/>
  <c r="S1164" i="1"/>
  <c r="T1164" i="1" s="1"/>
  <c r="Q1164" i="1"/>
  <c r="R1164" i="1" s="1"/>
  <c r="S1165" i="1"/>
  <c r="T1165" i="1" s="1"/>
  <c r="Q1165" i="1"/>
  <c r="R1165" i="1" s="1"/>
  <c r="S1166" i="1"/>
  <c r="T1166" i="1" s="1"/>
  <c r="Q1166" i="1"/>
  <c r="R1166" i="1" s="1"/>
  <c r="S1167" i="1"/>
  <c r="T1167" i="1" s="1"/>
  <c r="Q1167" i="1"/>
  <c r="R1167" i="1" s="1"/>
  <c r="Q1147" i="1"/>
  <c r="R1147" i="1" s="1"/>
  <c r="U1147" i="1" s="1"/>
  <c r="Q1148" i="1"/>
  <c r="R1148" i="1" s="1"/>
  <c r="U1148" i="1" s="1"/>
  <c r="Q1149" i="1"/>
  <c r="R1149" i="1" s="1"/>
  <c r="U1149" i="1" s="1"/>
  <c r="Q1150" i="1"/>
  <c r="R1150" i="1" s="1"/>
  <c r="U1150" i="1" s="1"/>
  <c r="Q1151" i="1"/>
  <c r="R1151" i="1" s="1"/>
  <c r="U1151" i="1" s="1"/>
  <c r="Q1152" i="1"/>
  <c r="R1152" i="1" s="1"/>
  <c r="U1152" i="1" s="1"/>
  <c r="Q1153" i="1"/>
  <c r="R1153" i="1" s="1"/>
  <c r="U1153" i="1" s="1"/>
  <c r="Q1154" i="1"/>
  <c r="R1154" i="1" s="1"/>
  <c r="U1154" i="1" s="1"/>
  <c r="P1133" i="1"/>
  <c r="U1166" i="1" l="1"/>
  <c r="U1164" i="1"/>
  <c r="U1162" i="1"/>
  <c r="U1160" i="1"/>
  <c r="U1158" i="1"/>
  <c r="U1156" i="1"/>
  <c r="S1146" i="1"/>
  <c r="T1146" i="1" s="1"/>
  <c r="Q1146" i="1"/>
  <c r="R1146" i="1" s="1"/>
  <c r="U1167" i="1"/>
  <c r="U1165" i="1"/>
  <c r="U1163" i="1"/>
  <c r="U1161" i="1"/>
  <c r="U1159" i="1"/>
  <c r="U1157" i="1"/>
  <c r="U1155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S1133" i="1" l="1"/>
  <c r="T1133" i="1" s="1"/>
  <c r="Q1133" i="1"/>
  <c r="R1133" i="1" s="1"/>
  <c r="S1134" i="1"/>
  <c r="T1134" i="1" s="1"/>
  <c r="Q1134" i="1"/>
  <c r="R1134" i="1" s="1"/>
  <c r="S1135" i="1"/>
  <c r="T1135" i="1" s="1"/>
  <c r="Q1135" i="1"/>
  <c r="R1135" i="1" s="1"/>
  <c r="S1136" i="1"/>
  <c r="T1136" i="1" s="1"/>
  <c r="Q1136" i="1"/>
  <c r="R1136" i="1" s="1"/>
  <c r="S1137" i="1"/>
  <c r="T1137" i="1" s="1"/>
  <c r="Q1137" i="1"/>
  <c r="R1137" i="1" s="1"/>
  <c r="S1138" i="1"/>
  <c r="T1138" i="1" s="1"/>
  <c r="Q1138" i="1"/>
  <c r="R1138" i="1" s="1"/>
  <c r="S1139" i="1"/>
  <c r="T1139" i="1" s="1"/>
  <c r="Q1139" i="1"/>
  <c r="R1139" i="1" s="1"/>
  <c r="S1140" i="1"/>
  <c r="T1140" i="1" s="1"/>
  <c r="Q1140" i="1"/>
  <c r="R1140" i="1" s="1"/>
  <c r="S1141" i="1"/>
  <c r="T1141" i="1" s="1"/>
  <c r="Q1141" i="1"/>
  <c r="R1141" i="1" s="1"/>
  <c r="S1142" i="1"/>
  <c r="T1142" i="1" s="1"/>
  <c r="Q1142" i="1"/>
  <c r="R1142" i="1" s="1"/>
  <c r="S1143" i="1"/>
  <c r="T1143" i="1" s="1"/>
  <c r="Q1143" i="1"/>
  <c r="R1143" i="1" s="1"/>
  <c r="S1144" i="1"/>
  <c r="T1144" i="1" s="1"/>
  <c r="Q1144" i="1"/>
  <c r="R1144" i="1" s="1"/>
  <c r="S1145" i="1"/>
  <c r="T1145" i="1" s="1"/>
  <c r="Q1145" i="1"/>
  <c r="R1145" i="1" s="1"/>
  <c r="U1146" i="1"/>
  <c r="P1119" i="1"/>
  <c r="U1144" i="1" l="1"/>
  <c r="U1142" i="1"/>
  <c r="U1140" i="1"/>
  <c r="U1138" i="1"/>
  <c r="U1136" i="1"/>
  <c r="U1134" i="1"/>
  <c r="S1132" i="1"/>
  <c r="T1132" i="1" s="1"/>
  <c r="Q1132" i="1"/>
  <c r="R1132" i="1" s="1"/>
  <c r="U1145" i="1"/>
  <c r="U1143" i="1"/>
  <c r="U1141" i="1"/>
  <c r="U1139" i="1"/>
  <c r="U1137" i="1"/>
  <c r="U1135" i="1"/>
  <c r="U1133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S1118" i="1" s="1"/>
  <c r="T1118" i="1" s="1"/>
  <c r="P1104" i="1"/>
  <c r="S1117" i="1" s="1"/>
  <c r="T1117" i="1" s="1"/>
  <c r="P1103" i="1"/>
  <c r="S1116" i="1" s="1"/>
  <c r="T1116" i="1" s="1"/>
  <c r="P1102" i="1"/>
  <c r="S1115" i="1" s="1"/>
  <c r="T1115" i="1" s="1"/>
  <c r="P1101" i="1"/>
  <c r="S1114" i="1" s="1"/>
  <c r="T1114" i="1" s="1"/>
  <c r="P1100" i="1"/>
  <c r="S1113" i="1" s="1"/>
  <c r="T1113" i="1" s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S1119" i="1" l="1"/>
  <c r="T1119" i="1" s="1"/>
  <c r="Q1119" i="1"/>
  <c r="R1119" i="1" s="1"/>
  <c r="S1120" i="1"/>
  <c r="T1120" i="1" s="1"/>
  <c r="Q1120" i="1"/>
  <c r="R1120" i="1" s="1"/>
  <c r="S1121" i="1"/>
  <c r="T1121" i="1" s="1"/>
  <c r="Q1121" i="1"/>
  <c r="R1121" i="1" s="1"/>
  <c r="S1122" i="1"/>
  <c r="T1122" i="1" s="1"/>
  <c r="Q1122" i="1"/>
  <c r="R1122" i="1" s="1"/>
  <c r="S1123" i="1"/>
  <c r="T1123" i="1" s="1"/>
  <c r="Q1123" i="1"/>
  <c r="R1123" i="1" s="1"/>
  <c r="S1124" i="1"/>
  <c r="T1124" i="1" s="1"/>
  <c r="Q1124" i="1"/>
  <c r="R1124" i="1" s="1"/>
  <c r="S1125" i="1"/>
  <c r="T1125" i="1" s="1"/>
  <c r="Q1125" i="1"/>
  <c r="R1125" i="1" s="1"/>
  <c r="S1126" i="1"/>
  <c r="T1126" i="1" s="1"/>
  <c r="Q1126" i="1"/>
  <c r="R1126" i="1" s="1"/>
  <c r="S1127" i="1"/>
  <c r="T1127" i="1" s="1"/>
  <c r="Q1127" i="1"/>
  <c r="R1127" i="1" s="1"/>
  <c r="S1128" i="1"/>
  <c r="T1128" i="1" s="1"/>
  <c r="Q1128" i="1"/>
  <c r="R1128" i="1" s="1"/>
  <c r="S1129" i="1"/>
  <c r="T1129" i="1" s="1"/>
  <c r="Q1129" i="1"/>
  <c r="R1129" i="1" s="1"/>
  <c r="S1130" i="1"/>
  <c r="T1130" i="1" s="1"/>
  <c r="Q1130" i="1"/>
  <c r="R1130" i="1" s="1"/>
  <c r="S1131" i="1"/>
  <c r="T1131" i="1" s="1"/>
  <c r="Q1131" i="1"/>
  <c r="R1131" i="1" s="1"/>
  <c r="U1132" i="1"/>
  <c r="Q1113" i="1"/>
  <c r="R1113" i="1" s="1"/>
  <c r="U1113" i="1" s="1"/>
  <c r="Q1114" i="1"/>
  <c r="R1114" i="1" s="1"/>
  <c r="U1114" i="1" s="1"/>
  <c r="Q1115" i="1"/>
  <c r="R1115" i="1" s="1"/>
  <c r="U1115" i="1" s="1"/>
  <c r="Q1116" i="1"/>
  <c r="R1116" i="1" s="1"/>
  <c r="U1116" i="1" s="1"/>
  <c r="Q1117" i="1"/>
  <c r="R1117" i="1" s="1"/>
  <c r="U1117" i="1" s="1"/>
  <c r="Q1118" i="1"/>
  <c r="R1118" i="1" s="1"/>
  <c r="U1118" i="1" s="1"/>
  <c r="P1099" i="1"/>
  <c r="U1129" i="1" l="1"/>
  <c r="U1127" i="1"/>
  <c r="U1125" i="1"/>
  <c r="U1123" i="1"/>
  <c r="S1112" i="1"/>
  <c r="T1112" i="1" s="1"/>
  <c r="Q1112" i="1"/>
  <c r="R1112" i="1" s="1"/>
  <c r="U1131" i="1"/>
  <c r="U1121" i="1"/>
  <c r="U1119" i="1"/>
  <c r="U1130" i="1"/>
  <c r="U1128" i="1"/>
  <c r="U1126" i="1"/>
  <c r="U1124" i="1"/>
  <c r="U1122" i="1"/>
  <c r="U1120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S1098" i="1" s="1"/>
  <c r="T1098" i="1" s="1"/>
  <c r="P1084" i="1"/>
  <c r="S1097" i="1" s="1"/>
  <c r="T1097" i="1" s="1"/>
  <c r="P1083" i="1"/>
  <c r="S1096" i="1" s="1"/>
  <c r="T1096" i="1" s="1"/>
  <c r="P1082" i="1"/>
  <c r="S1095" i="1" s="1"/>
  <c r="T1095" i="1" s="1"/>
  <c r="P1081" i="1"/>
  <c r="S1094" i="1" s="1"/>
  <c r="T1094" i="1" s="1"/>
  <c r="P1080" i="1"/>
  <c r="S1093" i="1" s="1"/>
  <c r="T1093" i="1" s="1"/>
  <c r="P1079" i="1"/>
  <c r="S1092" i="1" s="1"/>
  <c r="T1092" i="1" s="1"/>
  <c r="P1078" i="1"/>
  <c r="S1091" i="1" s="1"/>
  <c r="T1091" i="1" s="1"/>
  <c r="P1077" i="1"/>
  <c r="S1090" i="1" s="1"/>
  <c r="T1090" i="1" s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S1099" i="1" l="1"/>
  <c r="T1099" i="1" s="1"/>
  <c r="Q1099" i="1"/>
  <c r="R1099" i="1" s="1"/>
  <c r="S1100" i="1"/>
  <c r="T1100" i="1" s="1"/>
  <c r="Q1100" i="1"/>
  <c r="R1100" i="1" s="1"/>
  <c r="S1101" i="1"/>
  <c r="T1101" i="1" s="1"/>
  <c r="Q1101" i="1"/>
  <c r="R1101" i="1" s="1"/>
  <c r="S1102" i="1"/>
  <c r="T1102" i="1" s="1"/>
  <c r="Q1102" i="1"/>
  <c r="R1102" i="1" s="1"/>
  <c r="S1103" i="1"/>
  <c r="T1103" i="1" s="1"/>
  <c r="Q1103" i="1"/>
  <c r="R1103" i="1" s="1"/>
  <c r="S1104" i="1"/>
  <c r="T1104" i="1" s="1"/>
  <c r="Q1104" i="1"/>
  <c r="R1104" i="1" s="1"/>
  <c r="S1105" i="1"/>
  <c r="T1105" i="1" s="1"/>
  <c r="Q1105" i="1"/>
  <c r="R1105" i="1" s="1"/>
  <c r="S1106" i="1"/>
  <c r="T1106" i="1" s="1"/>
  <c r="Q1106" i="1"/>
  <c r="R1106" i="1" s="1"/>
  <c r="S1107" i="1"/>
  <c r="T1107" i="1" s="1"/>
  <c r="Q1107" i="1"/>
  <c r="R1107" i="1" s="1"/>
  <c r="S1108" i="1"/>
  <c r="T1108" i="1" s="1"/>
  <c r="Q1108" i="1"/>
  <c r="R1108" i="1" s="1"/>
  <c r="S1109" i="1"/>
  <c r="T1109" i="1" s="1"/>
  <c r="Q1109" i="1"/>
  <c r="R1109" i="1" s="1"/>
  <c r="S1110" i="1"/>
  <c r="T1110" i="1" s="1"/>
  <c r="Q1110" i="1"/>
  <c r="R1110" i="1" s="1"/>
  <c r="S1111" i="1"/>
  <c r="T1111" i="1" s="1"/>
  <c r="Q1111" i="1"/>
  <c r="R1111" i="1" s="1"/>
  <c r="U1112" i="1"/>
  <c r="Q1090" i="1"/>
  <c r="R1090" i="1" s="1"/>
  <c r="U1090" i="1" s="1"/>
  <c r="Q1091" i="1"/>
  <c r="R1091" i="1" s="1"/>
  <c r="U1091" i="1" s="1"/>
  <c r="Q1092" i="1"/>
  <c r="R1092" i="1" s="1"/>
  <c r="U1092" i="1" s="1"/>
  <c r="Q1093" i="1"/>
  <c r="R1093" i="1" s="1"/>
  <c r="U1093" i="1" s="1"/>
  <c r="Q1094" i="1"/>
  <c r="R1094" i="1" s="1"/>
  <c r="U1094" i="1" s="1"/>
  <c r="Q1095" i="1"/>
  <c r="R1095" i="1" s="1"/>
  <c r="U1095" i="1" s="1"/>
  <c r="Q1096" i="1"/>
  <c r="R1096" i="1" s="1"/>
  <c r="U1096" i="1" s="1"/>
  <c r="Q1097" i="1"/>
  <c r="R1097" i="1" s="1"/>
  <c r="U1097" i="1" s="1"/>
  <c r="Q1098" i="1"/>
  <c r="R1098" i="1" s="1"/>
  <c r="U1098" i="1" s="1"/>
  <c r="P1076" i="1"/>
  <c r="U1110" i="1" l="1"/>
  <c r="U1108" i="1"/>
  <c r="U1106" i="1"/>
  <c r="U1104" i="1"/>
  <c r="U1102" i="1"/>
  <c r="U1100" i="1"/>
  <c r="S1089" i="1"/>
  <c r="T1089" i="1" s="1"/>
  <c r="Q1089" i="1"/>
  <c r="R1089" i="1" s="1"/>
  <c r="U1111" i="1"/>
  <c r="U1109" i="1"/>
  <c r="U1107" i="1"/>
  <c r="U1105" i="1"/>
  <c r="U1103" i="1"/>
  <c r="U1101" i="1"/>
  <c r="U1099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S1075" i="1" s="1"/>
  <c r="T1075" i="1" s="1"/>
  <c r="P1061" i="1"/>
  <c r="P1060" i="1"/>
  <c r="S1073" i="1" s="1"/>
  <c r="T1073" i="1" s="1"/>
  <c r="P1059" i="1"/>
  <c r="P1058" i="1"/>
  <c r="S1071" i="1" s="1"/>
  <c r="T1071" i="1" s="1"/>
  <c r="P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S1070" i="1" l="1"/>
  <c r="T1070" i="1" s="1"/>
  <c r="S1072" i="1"/>
  <c r="T1072" i="1" s="1"/>
  <c r="S1074" i="1"/>
  <c r="T1074" i="1" s="1"/>
  <c r="S1076" i="1"/>
  <c r="T1076" i="1" s="1"/>
  <c r="Q1076" i="1"/>
  <c r="R1076" i="1" s="1"/>
  <c r="S1077" i="1"/>
  <c r="T1077" i="1" s="1"/>
  <c r="Q1077" i="1"/>
  <c r="R1077" i="1" s="1"/>
  <c r="U1077" i="1" s="1"/>
  <c r="S1078" i="1"/>
  <c r="T1078" i="1" s="1"/>
  <c r="Q1078" i="1"/>
  <c r="R1078" i="1" s="1"/>
  <c r="S1079" i="1"/>
  <c r="T1079" i="1" s="1"/>
  <c r="Q1079" i="1"/>
  <c r="R1079" i="1" s="1"/>
  <c r="S1080" i="1"/>
  <c r="T1080" i="1" s="1"/>
  <c r="Q1080" i="1"/>
  <c r="R1080" i="1" s="1"/>
  <c r="S1081" i="1"/>
  <c r="T1081" i="1" s="1"/>
  <c r="Q1081" i="1"/>
  <c r="R1081" i="1" s="1"/>
  <c r="S1082" i="1"/>
  <c r="T1082" i="1" s="1"/>
  <c r="Q1082" i="1"/>
  <c r="R1082" i="1" s="1"/>
  <c r="S1083" i="1"/>
  <c r="T1083" i="1" s="1"/>
  <c r="Q1083" i="1"/>
  <c r="R1083" i="1" s="1"/>
  <c r="S1084" i="1"/>
  <c r="T1084" i="1" s="1"/>
  <c r="Q1084" i="1"/>
  <c r="R1084" i="1" s="1"/>
  <c r="S1085" i="1"/>
  <c r="T1085" i="1" s="1"/>
  <c r="Q1085" i="1"/>
  <c r="R1085" i="1" s="1"/>
  <c r="S1086" i="1"/>
  <c r="T1086" i="1" s="1"/>
  <c r="Q1086" i="1"/>
  <c r="R1086" i="1" s="1"/>
  <c r="S1087" i="1"/>
  <c r="T1087" i="1" s="1"/>
  <c r="Q1087" i="1"/>
  <c r="R1087" i="1" s="1"/>
  <c r="S1088" i="1"/>
  <c r="T1088" i="1" s="1"/>
  <c r="Q1088" i="1"/>
  <c r="R1088" i="1" s="1"/>
  <c r="Q1070" i="1"/>
  <c r="R1070" i="1" s="1"/>
  <c r="U1070" i="1" s="1"/>
  <c r="Q1071" i="1"/>
  <c r="R1071" i="1" s="1"/>
  <c r="U1071" i="1" s="1"/>
  <c r="Q1072" i="1"/>
  <c r="R1072" i="1" s="1"/>
  <c r="U1072" i="1" s="1"/>
  <c r="Q1073" i="1"/>
  <c r="R1073" i="1" s="1"/>
  <c r="U1073" i="1" s="1"/>
  <c r="Q1074" i="1"/>
  <c r="R1074" i="1" s="1"/>
  <c r="U1074" i="1" s="1"/>
  <c r="Q1075" i="1"/>
  <c r="R1075" i="1" s="1"/>
  <c r="U1075" i="1" s="1"/>
  <c r="U1089" i="1"/>
  <c r="P1056" i="1"/>
  <c r="U1087" i="1" l="1"/>
  <c r="U1085" i="1"/>
  <c r="U1083" i="1"/>
  <c r="U1081" i="1"/>
  <c r="U1079" i="1"/>
  <c r="S1069" i="1"/>
  <c r="T1069" i="1" s="1"/>
  <c r="Q1069" i="1"/>
  <c r="R1069" i="1" s="1"/>
  <c r="U1088" i="1"/>
  <c r="U1086" i="1"/>
  <c r="U1084" i="1"/>
  <c r="U1082" i="1"/>
  <c r="U1080" i="1"/>
  <c r="U1078" i="1"/>
  <c r="U107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S1055" i="1" s="1"/>
  <c r="T1055" i="1" s="1"/>
  <c r="P1041" i="1"/>
  <c r="S1054" i="1" s="1"/>
  <c r="T1054" i="1" s="1"/>
  <c r="P1040" i="1"/>
  <c r="S1053" i="1" s="1"/>
  <c r="T1053" i="1" s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69" i="1" l="1"/>
  <c r="S1056" i="1"/>
  <c r="T1056" i="1" s="1"/>
  <c r="Q1056" i="1"/>
  <c r="R1056" i="1" s="1"/>
  <c r="S1057" i="1"/>
  <c r="T1057" i="1" s="1"/>
  <c r="Q1057" i="1"/>
  <c r="R1057" i="1" s="1"/>
  <c r="S1058" i="1"/>
  <c r="T1058" i="1" s="1"/>
  <c r="Q1058" i="1"/>
  <c r="R1058" i="1" s="1"/>
  <c r="S1059" i="1"/>
  <c r="T1059" i="1" s="1"/>
  <c r="Q1059" i="1"/>
  <c r="R1059" i="1" s="1"/>
  <c r="S1060" i="1"/>
  <c r="T1060" i="1" s="1"/>
  <c r="Q1060" i="1"/>
  <c r="R1060" i="1" s="1"/>
  <c r="S1061" i="1"/>
  <c r="T1061" i="1" s="1"/>
  <c r="Q1061" i="1"/>
  <c r="R1061" i="1" s="1"/>
  <c r="S1062" i="1"/>
  <c r="T1062" i="1" s="1"/>
  <c r="Q1062" i="1"/>
  <c r="R1062" i="1" s="1"/>
  <c r="S1063" i="1"/>
  <c r="T1063" i="1" s="1"/>
  <c r="Q1063" i="1"/>
  <c r="R1063" i="1" s="1"/>
  <c r="S1064" i="1"/>
  <c r="T1064" i="1" s="1"/>
  <c r="Q1064" i="1"/>
  <c r="R1064" i="1" s="1"/>
  <c r="S1065" i="1"/>
  <c r="T1065" i="1" s="1"/>
  <c r="Q1065" i="1"/>
  <c r="R1065" i="1" s="1"/>
  <c r="S1066" i="1"/>
  <c r="T1066" i="1" s="1"/>
  <c r="Q1066" i="1"/>
  <c r="R1066" i="1" s="1"/>
  <c r="S1067" i="1"/>
  <c r="T1067" i="1" s="1"/>
  <c r="Q1067" i="1"/>
  <c r="R1067" i="1" s="1"/>
  <c r="S1068" i="1"/>
  <c r="T1068" i="1" s="1"/>
  <c r="Q1068" i="1"/>
  <c r="R1068" i="1" s="1"/>
  <c r="R1055" i="1"/>
  <c r="U1055" i="1" s="1"/>
  <c r="Q1053" i="1"/>
  <c r="R1053" i="1" s="1"/>
  <c r="U1053" i="1" s="1"/>
  <c r="Q1054" i="1"/>
  <c r="R1054" i="1" s="1"/>
  <c r="U1054" i="1" s="1"/>
  <c r="Q1055" i="1"/>
  <c r="P1039" i="1"/>
  <c r="U1067" i="1" l="1"/>
  <c r="U1065" i="1"/>
  <c r="U1063" i="1"/>
  <c r="U1061" i="1"/>
  <c r="U1059" i="1"/>
  <c r="U1057" i="1"/>
  <c r="S1052" i="1"/>
  <c r="T1052" i="1" s="1"/>
  <c r="Q1052" i="1"/>
  <c r="R1052" i="1" s="1"/>
  <c r="U1068" i="1"/>
  <c r="U1066" i="1"/>
  <c r="U1064" i="1"/>
  <c r="U1062" i="1"/>
  <c r="U1060" i="1"/>
  <c r="U1058" i="1"/>
  <c r="U1056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S1038" i="1" s="1"/>
  <c r="T1038" i="1" s="1"/>
  <c r="P1024" i="1"/>
  <c r="S1037" i="1" s="1"/>
  <c r="T1037" i="1" s="1"/>
  <c r="P1023" i="1"/>
  <c r="S1036" i="1" s="1"/>
  <c r="T1036" i="1" s="1"/>
  <c r="P1022" i="1"/>
  <c r="S1035" i="1" s="1"/>
  <c r="T1035" i="1" s="1"/>
  <c r="P1021" i="1"/>
  <c r="S1034" i="1" s="1"/>
  <c r="T1034" i="1" s="1"/>
  <c r="P1020" i="1"/>
  <c r="S1033" i="1" s="1"/>
  <c r="T1033" i="1" s="1"/>
  <c r="P1019" i="1"/>
  <c r="S1032" i="1" s="1"/>
  <c r="T1032" i="1" s="1"/>
  <c r="P1018" i="1"/>
  <c r="S1031" i="1" s="1"/>
  <c r="T1031" i="1" s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Q1039" i="1" l="1"/>
  <c r="R1039" i="1" s="1"/>
  <c r="S1039" i="1"/>
  <c r="T1039" i="1" s="1"/>
  <c r="S1040" i="1"/>
  <c r="T1040" i="1" s="1"/>
  <c r="Q1040" i="1"/>
  <c r="R1040" i="1" s="1"/>
  <c r="S1041" i="1"/>
  <c r="T1041" i="1" s="1"/>
  <c r="Q1041" i="1"/>
  <c r="R1041" i="1" s="1"/>
  <c r="S1042" i="1"/>
  <c r="T1042" i="1" s="1"/>
  <c r="Q1042" i="1"/>
  <c r="R1042" i="1" s="1"/>
  <c r="S1043" i="1"/>
  <c r="T1043" i="1" s="1"/>
  <c r="Q1043" i="1"/>
  <c r="R1043" i="1" s="1"/>
  <c r="S1044" i="1"/>
  <c r="T1044" i="1" s="1"/>
  <c r="Q1044" i="1"/>
  <c r="R1044" i="1" s="1"/>
  <c r="S1045" i="1"/>
  <c r="T1045" i="1" s="1"/>
  <c r="Q1045" i="1"/>
  <c r="R1045" i="1" s="1"/>
  <c r="S1046" i="1"/>
  <c r="T1046" i="1" s="1"/>
  <c r="Q1046" i="1"/>
  <c r="R1046" i="1" s="1"/>
  <c r="S1047" i="1"/>
  <c r="T1047" i="1" s="1"/>
  <c r="Q1047" i="1"/>
  <c r="R1047" i="1" s="1"/>
  <c r="S1048" i="1"/>
  <c r="T1048" i="1" s="1"/>
  <c r="Q1048" i="1"/>
  <c r="R1048" i="1" s="1"/>
  <c r="S1049" i="1"/>
  <c r="T1049" i="1" s="1"/>
  <c r="Q1049" i="1"/>
  <c r="R1049" i="1" s="1"/>
  <c r="S1050" i="1"/>
  <c r="T1050" i="1" s="1"/>
  <c r="Q1050" i="1"/>
  <c r="R1050" i="1" s="1"/>
  <c r="S1051" i="1"/>
  <c r="T1051" i="1" s="1"/>
  <c r="Q1051" i="1"/>
  <c r="R1051" i="1" s="1"/>
  <c r="U1052" i="1"/>
  <c r="Q1031" i="1"/>
  <c r="R1031" i="1" s="1"/>
  <c r="U1031" i="1" s="1"/>
  <c r="Q1032" i="1"/>
  <c r="R1032" i="1" s="1"/>
  <c r="U1032" i="1" s="1"/>
  <c r="Q1033" i="1"/>
  <c r="R1033" i="1" s="1"/>
  <c r="U1033" i="1" s="1"/>
  <c r="Q1034" i="1"/>
  <c r="R1034" i="1" s="1"/>
  <c r="U1034" i="1" s="1"/>
  <c r="Q1035" i="1"/>
  <c r="R1035" i="1" s="1"/>
  <c r="U1035" i="1" s="1"/>
  <c r="Q1036" i="1"/>
  <c r="R1036" i="1" s="1"/>
  <c r="U1036" i="1" s="1"/>
  <c r="Q1037" i="1"/>
  <c r="R1037" i="1" s="1"/>
  <c r="U1037" i="1" s="1"/>
  <c r="Q1038" i="1"/>
  <c r="R1038" i="1" s="1"/>
  <c r="U1038" i="1" s="1"/>
  <c r="P1017" i="1"/>
  <c r="U1051" i="1" l="1"/>
  <c r="S1030" i="1"/>
  <c r="T1030" i="1" s="1"/>
  <c r="Q1030" i="1"/>
  <c r="R1030" i="1" s="1"/>
  <c r="U1049" i="1"/>
  <c r="U1047" i="1"/>
  <c r="U1045" i="1"/>
  <c r="U1043" i="1"/>
  <c r="U1041" i="1"/>
  <c r="U1050" i="1"/>
  <c r="U1048" i="1"/>
  <c r="U1046" i="1"/>
  <c r="U1044" i="1"/>
  <c r="U1042" i="1"/>
  <c r="U1040" i="1"/>
  <c r="U1039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Q1010" i="1" l="1"/>
  <c r="S1010" i="1"/>
  <c r="T1010" i="1" s="1"/>
  <c r="Q1011" i="1"/>
  <c r="S1011" i="1"/>
  <c r="T1011" i="1" s="1"/>
  <c r="Q1012" i="1"/>
  <c r="S1012" i="1"/>
  <c r="T1012" i="1" s="1"/>
  <c r="Q1013" i="1"/>
  <c r="S1013" i="1"/>
  <c r="T1013" i="1" s="1"/>
  <c r="Q1014" i="1"/>
  <c r="S1014" i="1"/>
  <c r="T1014" i="1" s="1"/>
  <c r="Q1015" i="1"/>
  <c r="S1015" i="1"/>
  <c r="T1015" i="1" s="1"/>
  <c r="Q1016" i="1"/>
  <c r="S1016" i="1"/>
  <c r="T1016" i="1" s="1"/>
  <c r="U1030" i="1"/>
  <c r="S1017" i="1"/>
  <c r="T1017" i="1" s="1"/>
  <c r="Q1017" i="1"/>
  <c r="R1017" i="1" s="1"/>
  <c r="S1018" i="1"/>
  <c r="T1018" i="1" s="1"/>
  <c r="Q1018" i="1"/>
  <c r="R1018" i="1" s="1"/>
  <c r="S1019" i="1"/>
  <c r="T1019" i="1" s="1"/>
  <c r="Q1019" i="1"/>
  <c r="R1019" i="1" s="1"/>
  <c r="S1020" i="1"/>
  <c r="T1020" i="1" s="1"/>
  <c r="Q1020" i="1"/>
  <c r="R1020" i="1" s="1"/>
  <c r="S1021" i="1"/>
  <c r="T1021" i="1" s="1"/>
  <c r="Q1021" i="1"/>
  <c r="R1021" i="1" s="1"/>
  <c r="S1022" i="1"/>
  <c r="T1022" i="1" s="1"/>
  <c r="Q1022" i="1"/>
  <c r="R1022" i="1" s="1"/>
  <c r="S1023" i="1"/>
  <c r="T1023" i="1" s="1"/>
  <c r="Q1023" i="1"/>
  <c r="R1023" i="1" s="1"/>
  <c r="R1010" i="1"/>
  <c r="U1010" i="1" s="1"/>
  <c r="S1024" i="1"/>
  <c r="T1024" i="1" s="1"/>
  <c r="Q1024" i="1"/>
  <c r="R1024" i="1" s="1"/>
  <c r="U1024" i="1" s="1"/>
  <c r="R1011" i="1"/>
  <c r="U1011" i="1" s="1"/>
  <c r="S1025" i="1"/>
  <c r="T1025" i="1" s="1"/>
  <c r="Q1025" i="1"/>
  <c r="R1025" i="1" s="1"/>
  <c r="R1012" i="1"/>
  <c r="U1012" i="1" s="1"/>
  <c r="S1026" i="1"/>
  <c r="T1026" i="1" s="1"/>
  <c r="Q1026" i="1"/>
  <c r="R1026" i="1" s="1"/>
  <c r="U1026" i="1" s="1"/>
  <c r="R1013" i="1"/>
  <c r="U1013" i="1" s="1"/>
  <c r="S1027" i="1"/>
  <c r="T1027" i="1" s="1"/>
  <c r="Q1027" i="1"/>
  <c r="R1027" i="1" s="1"/>
  <c r="R1014" i="1"/>
  <c r="U1014" i="1" s="1"/>
  <c r="S1028" i="1"/>
  <c r="T1028" i="1" s="1"/>
  <c r="Q1028" i="1"/>
  <c r="R1028" i="1" s="1"/>
  <c r="U1028" i="1" s="1"/>
  <c r="R1015" i="1"/>
  <c r="U1015" i="1" s="1"/>
  <c r="S1029" i="1"/>
  <c r="T1029" i="1" s="1"/>
  <c r="Q1029" i="1"/>
  <c r="R1029" i="1" s="1"/>
  <c r="R1016" i="1"/>
  <c r="U1016" i="1" s="1"/>
  <c r="P996" i="1"/>
  <c r="U1022" i="1" l="1"/>
  <c r="U1020" i="1"/>
  <c r="U1018" i="1"/>
  <c r="U1029" i="1"/>
  <c r="U1027" i="1"/>
  <c r="U1025" i="1"/>
  <c r="U1023" i="1"/>
  <c r="U1021" i="1"/>
  <c r="U1019" i="1"/>
  <c r="U1017" i="1"/>
  <c r="S1009" i="1"/>
  <c r="T1009" i="1" s="1"/>
  <c r="Q1009" i="1"/>
  <c r="R1009" i="1" s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S995" i="1" s="1"/>
  <c r="T995" i="1" s="1"/>
  <c r="P981" i="1"/>
  <c r="S994" i="1" s="1"/>
  <c r="T994" i="1" s="1"/>
  <c r="P980" i="1"/>
  <c r="S993" i="1" s="1"/>
  <c r="T993" i="1" s="1"/>
  <c r="P979" i="1"/>
  <c r="S992" i="1" s="1"/>
  <c r="T992" i="1" s="1"/>
  <c r="P978" i="1"/>
  <c r="S991" i="1" s="1"/>
  <c r="T991" i="1" s="1"/>
  <c r="P977" i="1"/>
  <c r="S990" i="1" s="1"/>
  <c r="T990" i="1" s="1"/>
  <c r="P976" i="1"/>
  <c r="S989" i="1" s="1"/>
  <c r="T989" i="1" s="1"/>
  <c r="P975" i="1"/>
  <c r="S988" i="1" s="1"/>
  <c r="T988" i="1" s="1"/>
  <c r="P974" i="1"/>
  <c r="S987" i="1" s="1"/>
  <c r="T987" i="1" s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1009" i="1" l="1"/>
  <c r="S996" i="1"/>
  <c r="T996" i="1" s="1"/>
  <c r="Q996" i="1"/>
  <c r="R996" i="1" s="1"/>
  <c r="S997" i="1"/>
  <c r="T997" i="1" s="1"/>
  <c r="Q997" i="1"/>
  <c r="R997" i="1" s="1"/>
  <c r="S998" i="1"/>
  <c r="T998" i="1" s="1"/>
  <c r="Q998" i="1"/>
  <c r="R998" i="1" s="1"/>
  <c r="S999" i="1"/>
  <c r="T999" i="1" s="1"/>
  <c r="Q999" i="1"/>
  <c r="R999" i="1" s="1"/>
  <c r="S1000" i="1"/>
  <c r="T1000" i="1" s="1"/>
  <c r="Q1000" i="1"/>
  <c r="R1000" i="1" s="1"/>
  <c r="S1001" i="1"/>
  <c r="T1001" i="1" s="1"/>
  <c r="Q1001" i="1"/>
  <c r="R1001" i="1" s="1"/>
  <c r="S1002" i="1"/>
  <c r="T1002" i="1" s="1"/>
  <c r="Q1002" i="1"/>
  <c r="R1002" i="1" s="1"/>
  <c r="S1003" i="1"/>
  <c r="T1003" i="1" s="1"/>
  <c r="Q1003" i="1"/>
  <c r="R1003" i="1" s="1"/>
  <c r="S1004" i="1"/>
  <c r="T1004" i="1" s="1"/>
  <c r="Q1004" i="1"/>
  <c r="R1004" i="1" s="1"/>
  <c r="S1005" i="1"/>
  <c r="T1005" i="1" s="1"/>
  <c r="Q1005" i="1"/>
  <c r="R1005" i="1" s="1"/>
  <c r="S1006" i="1"/>
  <c r="T1006" i="1" s="1"/>
  <c r="Q1006" i="1"/>
  <c r="R1006" i="1" s="1"/>
  <c r="S1007" i="1"/>
  <c r="T1007" i="1" s="1"/>
  <c r="Q1007" i="1"/>
  <c r="R1007" i="1" s="1"/>
  <c r="S1008" i="1"/>
  <c r="T1008" i="1" s="1"/>
  <c r="Q1008" i="1"/>
  <c r="R1008" i="1" s="1"/>
  <c r="Q987" i="1"/>
  <c r="R987" i="1" s="1"/>
  <c r="U987" i="1" s="1"/>
  <c r="Q988" i="1"/>
  <c r="R988" i="1" s="1"/>
  <c r="U988" i="1" s="1"/>
  <c r="Q989" i="1"/>
  <c r="R989" i="1" s="1"/>
  <c r="U989" i="1" s="1"/>
  <c r="Q990" i="1"/>
  <c r="R990" i="1" s="1"/>
  <c r="U990" i="1" s="1"/>
  <c r="Q991" i="1"/>
  <c r="R991" i="1" s="1"/>
  <c r="U991" i="1" s="1"/>
  <c r="Q992" i="1"/>
  <c r="R992" i="1" s="1"/>
  <c r="U992" i="1" s="1"/>
  <c r="Q993" i="1"/>
  <c r="R993" i="1" s="1"/>
  <c r="U993" i="1" s="1"/>
  <c r="Q994" i="1"/>
  <c r="R994" i="1" s="1"/>
  <c r="U994" i="1" s="1"/>
  <c r="Q995" i="1"/>
  <c r="R995" i="1" s="1"/>
  <c r="U995" i="1" s="1"/>
  <c r="P973" i="1"/>
  <c r="U1007" i="1" l="1"/>
  <c r="U1005" i="1"/>
  <c r="U1003" i="1"/>
  <c r="U1001" i="1"/>
  <c r="U999" i="1"/>
  <c r="U997" i="1"/>
  <c r="S986" i="1"/>
  <c r="T986" i="1" s="1"/>
  <c r="Q986" i="1"/>
  <c r="R986" i="1" s="1"/>
  <c r="U1008" i="1"/>
  <c r="U1006" i="1"/>
  <c r="U1004" i="1"/>
  <c r="U1002" i="1"/>
  <c r="U1000" i="1"/>
  <c r="U998" i="1"/>
  <c r="U996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74" i="1" l="1"/>
  <c r="T974" i="1" s="1"/>
  <c r="Q974" i="1"/>
  <c r="R974" i="1" s="1"/>
  <c r="U974" i="1" s="1"/>
  <c r="S976" i="1"/>
  <c r="T976" i="1" s="1"/>
  <c r="Q976" i="1"/>
  <c r="R976" i="1" s="1"/>
  <c r="S978" i="1"/>
  <c r="T978" i="1" s="1"/>
  <c r="Q978" i="1"/>
  <c r="R978" i="1" s="1"/>
  <c r="S980" i="1"/>
  <c r="T980" i="1" s="1"/>
  <c r="Q980" i="1"/>
  <c r="R980" i="1" s="1"/>
  <c r="S982" i="1"/>
  <c r="T982" i="1" s="1"/>
  <c r="Q982" i="1"/>
  <c r="R982" i="1" s="1"/>
  <c r="S984" i="1"/>
  <c r="T984" i="1" s="1"/>
  <c r="Q984" i="1"/>
  <c r="R984" i="1" s="1"/>
  <c r="U986" i="1"/>
  <c r="Q973" i="1"/>
  <c r="R973" i="1" s="1"/>
  <c r="S973" i="1"/>
  <c r="T973" i="1" s="1"/>
  <c r="S975" i="1"/>
  <c r="T975" i="1" s="1"/>
  <c r="Q975" i="1"/>
  <c r="R975" i="1" s="1"/>
  <c r="U975" i="1" s="1"/>
  <c r="S977" i="1"/>
  <c r="T977" i="1" s="1"/>
  <c r="Q977" i="1"/>
  <c r="R977" i="1" s="1"/>
  <c r="U977" i="1" s="1"/>
  <c r="S979" i="1"/>
  <c r="T979" i="1" s="1"/>
  <c r="Q979" i="1"/>
  <c r="R979" i="1" s="1"/>
  <c r="U979" i="1" s="1"/>
  <c r="S981" i="1"/>
  <c r="T981" i="1" s="1"/>
  <c r="Q981" i="1"/>
  <c r="R981" i="1" s="1"/>
  <c r="U981" i="1" s="1"/>
  <c r="S983" i="1"/>
  <c r="T983" i="1" s="1"/>
  <c r="Q983" i="1"/>
  <c r="R983" i="1" s="1"/>
  <c r="U983" i="1" s="1"/>
  <c r="S985" i="1"/>
  <c r="T985" i="1" s="1"/>
  <c r="Q985" i="1"/>
  <c r="R985" i="1" s="1"/>
  <c r="S967" i="1"/>
  <c r="T967" i="1" s="1"/>
  <c r="Q967" i="1"/>
  <c r="R967" i="1" s="1"/>
  <c r="S968" i="1"/>
  <c r="T968" i="1" s="1"/>
  <c r="Q968" i="1"/>
  <c r="R968" i="1" s="1"/>
  <c r="S969" i="1"/>
  <c r="T969" i="1" s="1"/>
  <c r="Q969" i="1"/>
  <c r="R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3" i="1" l="1"/>
  <c r="U984" i="1"/>
  <c r="U982" i="1"/>
  <c r="U980" i="1"/>
  <c r="U978" i="1"/>
  <c r="U976" i="1"/>
  <c r="U969" i="1"/>
  <c r="U968" i="1"/>
  <c r="U967" i="1"/>
  <c r="U985" i="1"/>
  <c r="U970" i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S955" i="1"/>
  <c r="T955" i="1" s="1"/>
  <c r="Q955" i="1"/>
  <c r="R955" i="1" s="1"/>
  <c r="S956" i="1"/>
  <c r="T956" i="1" s="1"/>
  <c r="Q956" i="1"/>
  <c r="R956" i="1" s="1"/>
  <c r="S957" i="1"/>
  <c r="T957" i="1" s="1"/>
  <c r="Q957" i="1"/>
  <c r="R957" i="1" s="1"/>
  <c r="S958" i="1"/>
  <c r="T958" i="1" s="1"/>
  <c r="Q958" i="1"/>
  <c r="R958" i="1" s="1"/>
  <c r="S959" i="1"/>
  <c r="T959" i="1" s="1"/>
  <c r="Q959" i="1"/>
  <c r="R959" i="1" s="1"/>
  <c r="S960" i="1"/>
  <c r="T960" i="1" s="1"/>
  <c r="Q960" i="1"/>
  <c r="R960" i="1" s="1"/>
  <c r="S961" i="1"/>
  <c r="T961" i="1" s="1"/>
  <c r="Q961" i="1"/>
  <c r="R961" i="1" s="1"/>
  <c r="S962" i="1"/>
  <c r="T962" i="1" s="1"/>
  <c r="Q962" i="1"/>
  <c r="R962" i="1" s="1"/>
  <c r="S963" i="1"/>
  <c r="T963" i="1" s="1"/>
  <c r="Q963" i="1"/>
  <c r="R963" i="1" s="1"/>
  <c r="S964" i="1"/>
  <c r="T964" i="1" s="1"/>
  <c r="Q964" i="1"/>
  <c r="R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U964" i="1" l="1"/>
  <c r="U962" i="1"/>
  <c r="U960" i="1"/>
  <c r="U958" i="1"/>
  <c r="U956" i="1"/>
  <c r="U954" i="1"/>
  <c r="S947" i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S936" i="1"/>
  <c r="T936" i="1" s="1"/>
  <c r="Q936" i="1"/>
  <c r="R936" i="1" s="1"/>
  <c r="S937" i="1"/>
  <c r="T937" i="1" s="1"/>
  <c r="Q937" i="1"/>
  <c r="R937" i="1" s="1"/>
  <c r="S938" i="1"/>
  <c r="T938" i="1" s="1"/>
  <c r="Q938" i="1"/>
  <c r="R938" i="1" s="1"/>
  <c r="S939" i="1"/>
  <c r="T939" i="1" s="1"/>
  <c r="Q939" i="1"/>
  <c r="R939" i="1" s="1"/>
  <c r="S940" i="1"/>
  <c r="T940" i="1" s="1"/>
  <c r="Q940" i="1"/>
  <c r="R940" i="1" s="1"/>
  <c r="S941" i="1"/>
  <c r="T941" i="1" s="1"/>
  <c r="Q941" i="1"/>
  <c r="R941" i="1" s="1"/>
  <c r="S942" i="1"/>
  <c r="T942" i="1" s="1"/>
  <c r="Q942" i="1"/>
  <c r="R942" i="1" s="1"/>
  <c r="S943" i="1"/>
  <c r="T943" i="1" s="1"/>
  <c r="Q943" i="1"/>
  <c r="R943" i="1" s="1"/>
  <c r="S944" i="1"/>
  <c r="T944" i="1" s="1"/>
  <c r="Q944" i="1"/>
  <c r="R944" i="1" s="1"/>
  <c r="S945" i="1"/>
  <c r="T945" i="1" s="1"/>
  <c r="Q945" i="1"/>
  <c r="R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U945" i="1" l="1"/>
  <c r="U943" i="1"/>
  <c r="U941" i="1"/>
  <c r="U939" i="1"/>
  <c r="U937" i="1"/>
  <c r="U935" i="1"/>
  <c r="S926" i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S909" i="1" s="1"/>
  <c r="T909" i="1" s="1"/>
  <c r="P895" i="1"/>
  <c r="P894" i="1"/>
  <c r="S907" i="1" s="1"/>
  <c r="T907" i="1" s="1"/>
  <c r="P893" i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1" i="1" l="1"/>
  <c r="T911" i="1" s="1"/>
  <c r="S906" i="1"/>
  <c r="T906" i="1" s="1"/>
  <c r="S908" i="1"/>
  <c r="T908" i="1" s="1"/>
  <c r="S910" i="1"/>
  <c r="T910" i="1" s="1"/>
  <c r="S912" i="1"/>
  <c r="T912" i="1" s="1"/>
  <c r="S913" i="1"/>
  <c r="T913" i="1" s="1"/>
  <c r="Q913" i="1"/>
  <c r="R913" i="1" s="1"/>
  <c r="S914" i="1"/>
  <c r="T914" i="1" s="1"/>
  <c r="Q914" i="1"/>
  <c r="R914" i="1" s="1"/>
  <c r="S915" i="1"/>
  <c r="T915" i="1" s="1"/>
  <c r="Q915" i="1"/>
  <c r="R915" i="1" s="1"/>
  <c r="S916" i="1"/>
  <c r="T916" i="1" s="1"/>
  <c r="Q916" i="1"/>
  <c r="R916" i="1" s="1"/>
  <c r="S917" i="1"/>
  <c r="T917" i="1" s="1"/>
  <c r="Q917" i="1"/>
  <c r="R917" i="1" s="1"/>
  <c r="S918" i="1"/>
  <c r="T918" i="1" s="1"/>
  <c r="Q918" i="1"/>
  <c r="R918" i="1" s="1"/>
  <c r="S919" i="1"/>
  <c r="T919" i="1" s="1"/>
  <c r="Q919" i="1"/>
  <c r="R919" i="1" s="1"/>
  <c r="S920" i="1"/>
  <c r="T920" i="1" s="1"/>
  <c r="Q920" i="1"/>
  <c r="R920" i="1" s="1"/>
  <c r="S921" i="1"/>
  <c r="T921" i="1" s="1"/>
  <c r="Q921" i="1"/>
  <c r="R921" i="1" s="1"/>
  <c r="S922" i="1"/>
  <c r="T922" i="1" s="1"/>
  <c r="Q922" i="1"/>
  <c r="R922" i="1" s="1"/>
  <c r="S923" i="1"/>
  <c r="T923" i="1" s="1"/>
  <c r="Q923" i="1"/>
  <c r="R923" i="1" s="1"/>
  <c r="S924" i="1"/>
  <c r="T924" i="1" s="1"/>
  <c r="Q924" i="1"/>
  <c r="R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U924" i="1" l="1"/>
  <c r="U922" i="1"/>
  <c r="U920" i="1"/>
  <c r="U918" i="1"/>
  <c r="U916" i="1"/>
  <c r="U914" i="1"/>
  <c r="S905" i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S893" i="1"/>
  <c r="T893" i="1" s="1"/>
  <c r="Q893" i="1"/>
  <c r="R893" i="1" s="1"/>
  <c r="S894" i="1"/>
  <c r="T894" i="1" s="1"/>
  <c r="Q894" i="1"/>
  <c r="R894" i="1" s="1"/>
  <c r="S895" i="1"/>
  <c r="T895" i="1" s="1"/>
  <c r="Q895" i="1"/>
  <c r="R895" i="1" s="1"/>
  <c r="S896" i="1"/>
  <c r="T896" i="1" s="1"/>
  <c r="Q896" i="1"/>
  <c r="R896" i="1" s="1"/>
  <c r="S897" i="1"/>
  <c r="T897" i="1" s="1"/>
  <c r="Q897" i="1"/>
  <c r="R897" i="1" s="1"/>
  <c r="S898" i="1"/>
  <c r="T898" i="1" s="1"/>
  <c r="Q898" i="1"/>
  <c r="R898" i="1" s="1"/>
  <c r="S899" i="1"/>
  <c r="T899" i="1" s="1"/>
  <c r="Q899" i="1"/>
  <c r="R899" i="1" s="1"/>
  <c r="S900" i="1"/>
  <c r="T900" i="1" s="1"/>
  <c r="Q900" i="1"/>
  <c r="R900" i="1" s="1"/>
  <c r="S901" i="1"/>
  <c r="T901" i="1" s="1"/>
  <c r="Q901" i="1"/>
  <c r="R901" i="1" s="1"/>
  <c r="S902" i="1"/>
  <c r="T902" i="1" s="1"/>
  <c r="Q902" i="1"/>
  <c r="R902" i="1" s="1"/>
  <c r="S903" i="1"/>
  <c r="T903" i="1" s="1"/>
  <c r="Q903" i="1"/>
  <c r="R903" i="1" s="1"/>
  <c r="S904" i="1"/>
  <c r="T904" i="1" s="1"/>
  <c r="Q904" i="1"/>
  <c r="R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U904" i="1" l="1"/>
  <c r="U902" i="1"/>
  <c r="U900" i="1"/>
  <c r="U898" i="1"/>
  <c r="U896" i="1"/>
  <c r="U894" i="1"/>
  <c r="U892" i="1"/>
  <c r="S887" i="1"/>
  <c r="T887" i="1" s="1"/>
  <c r="Q887" i="1"/>
  <c r="R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U887" i="1" l="1"/>
  <c r="Q870" i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S881" i="1"/>
  <c r="T881" i="1" s="1"/>
  <c r="Q881" i="1"/>
  <c r="R881" i="1" s="1"/>
  <c r="S882" i="1"/>
  <c r="T882" i="1" s="1"/>
  <c r="Q882" i="1"/>
  <c r="R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U882" i="1" l="1"/>
  <c r="U880" i="1"/>
  <c r="S869" i="1"/>
  <c r="T869" i="1" s="1"/>
  <c r="Q869" i="1"/>
  <c r="R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U869" i="1" l="1"/>
  <c r="Q848" i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R855" i="1"/>
  <c r="U855" i="1" s="1"/>
  <c r="P834" i="1"/>
  <c r="U868" i="1" l="1"/>
  <c r="U866" i="1"/>
  <c r="U864" i="1"/>
  <c r="U862" i="1"/>
  <c r="S847" i="1"/>
  <c r="T847" i="1" s="1"/>
  <c r="Q847" i="1"/>
  <c r="R847" i="1" s="1"/>
  <c r="U867" i="1"/>
  <c r="U865" i="1"/>
  <c r="U863" i="1"/>
  <c r="U861" i="1"/>
  <c r="U859" i="1"/>
  <c r="U857" i="1"/>
  <c r="U856" i="1"/>
  <c r="U847" i="1" l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S838" i="1"/>
  <c r="T838" i="1" s="1"/>
  <c r="Q838" i="1"/>
  <c r="R838" i="1" s="1"/>
  <c r="S840" i="1"/>
  <c r="T840" i="1" s="1"/>
  <c r="Q840" i="1"/>
  <c r="R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U844" i="1" l="1"/>
  <c r="U840" i="1"/>
  <c r="U836" i="1"/>
  <c r="S826" i="1"/>
  <c r="T826" i="1" s="1"/>
  <c r="Q826" i="1"/>
  <c r="R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U826" i="1" l="1"/>
  <c r="S813" i="1"/>
  <c r="T813" i="1" s="1"/>
  <c r="Q813" i="1"/>
  <c r="R813" i="1" s="1"/>
  <c r="S814" i="1"/>
  <c r="T814" i="1" s="1"/>
  <c r="Q814" i="1"/>
  <c r="R814" i="1" s="1"/>
  <c r="S815" i="1"/>
  <c r="T815" i="1" s="1"/>
  <c r="Q815" i="1"/>
  <c r="R815" i="1" s="1"/>
  <c r="S816" i="1"/>
  <c r="T816" i="1" s="1"/>
  <c r="Q816" i="1"/>
  <c r="R816" i="1" s="1"/>
  <c r="S817" i="1"/>
  <c r="T817" i="1" s="1"/>
  <c r="Q817" i="1"/>
  <c r="R817" i="1" s="1"/>
  <c r="S818" i="1"/>
  <c r="T818" i="1" s="1"/>
  <c r="Q818" i="1"/>
  <c r="R818" i="1" s="1"/>
  <c r="S819" i="1"/>
  <c r="T819" i="1" s="1"/>
  <c r="Q819" i="1"/>
  <c r="R819" i="1" s="1"/>
  <c r="S820" i="1"/>
  <c r="T820" i="1" s="1"/>
  <c r="Q820" i="1"/>
  <c r="R820" i="1" s="1"/>
  <c r="S821" i="1"/>
  <c r="T821" i="1" s="1"/>
  <c r="Q821" i="1"/>
  <c r="R821" i="1" s="1"/>
  <c r="S822" i="1"/>
  <c r="T822" i="1" s="1"/>
  <c r="Q822" i="1"/>
  <c r="R822" i="1" s="1"/>
  <c r="S823" i="1"/>
  <c r="T823" i="1" s="1"/>
  <c r="Q823" i="1"/>
  <c r="R823" i="1" s="1"/>
  <c r="S824" i="1"/>
  <c r="T824" i="1" s="1"/>
  <c r="Q824" i="1"/>
  <c r="R824" i="1" s="1"/>
  <c r="S825" i="1"/>
  <c r="T825" i="1" s="1"/>
  <c r="Q825" i="1"/>
  <c r="R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U813" i="1" l="1"/>
  <c r="U825" i="1"/>
  <c r="U823" i="1"/>
  <c r="U821" i="1"/>
  <c r="U819" i="1"/>
  <c r="U817" i="1"/>
  <c r="U815" i="1"/>
  <c r="S808" i="1"/>
  <c r="T808" i="1" s="1"/>
  <c r="Q808" i="1"/>
  <c r="R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U808" i="1" l="1"/>
  <c r="Q790" i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U805" i="1" l="1"/>
  <c r="U803" i="1"/>
  <c r="S789" i="1"/>
  <c r="T789" i="1" s="1"/>
  <c r="Q789" i="1"/>
  <c r="R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U789" i="1" l="1"/>
  <c r="Q768" i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R775" i="1"/>
  <c r="U775" i="1" s="1"/>
  <c r="P754" i="1"/>
  <c r="U788" i="1" l="1"/>
  <c r="U786" i="1"/>
  <c r="U784" i="1"/>
  <c r="U782" i="1"/>
  <c r="S767" i="1"/>
  <c r="T767" i="1" s="1"/>
  <c r="Q767" i="1"/>
  <c r="R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U767" i="1" l="1"/>
  <c r="Q754" i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S762" i="1"/>
  <c r="T762" i="1" s="1"/>
  <c r="Q762" i="1"/>
  <c r="R762" i="1" s="1"/>
  <c r="S763" i="1"/>
  <c r="T763" i="1" s="1"/>
  <c r="Q763" i="1"/>
  <c r="R763" i="1" s="1"/>
  <c r="S764" i="1"/>
  <c r="T764" i="1" s="1"/>
  <c r="Q764" i="1"/>
  <c r="R764" i="1" s="1"/>
  <c r="S765" i="1"/>
  <c r="T765" i="1" s="1"/>
  <c r="Q765" i="1"/>
  <c r="R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65" i="1" l="1"/>
  <c r="U763" i="1"/>
  <c r="U761" i="1"/>
  <c r="U757" i="1"/>
  <c r="U759" i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S733" i="1"/>
  <c r="T733" i="1" s="1"/>
  <c r="Q733" i="1"/>
  <c r="R733" i="1" s="1"/>
  <c r="S734" i="1"/>
  <c r="T734" i="1" s="1"/>
  <c r="Q734" i="1"/>
  <c r="R734" i="1" s="1"/>
  <c r="S735" i="1"/>
  <c r="T735" i="1" s="1"/>
  <c r="Q735" i="1"/>
  <c r="R735" i="1" s="1"/>
  <c r="S736" i="1"/>
  <c r="T736" i="1" s="1"/>
  <c r="Q736" i="1"/>
  <c r="R736" i="1" s="1"/>
  <c r="S737" i="1"/>
  <c r="T737" i="1" s="1"/>
  <c r="Q737" i="1"/>
  <c r="R737" i="1" s="1"/>
  <c r="S738" i="1"/>
  <c r="T738" i="1" s="1"/>
  <c r="Q738" i="1"/>
  <c r="R738" i="1" s="1"/>
  <c r="S739" i="1"/>
  <c r="T739" i="1" s="1"/>
  <c r="Q739" i="1"/>
  <c r="R739" i="1" s="1"/>
  <c r="S740" i="1"/>
  <c r="T740" i="1" s="1"/>
  <c r="Q740" i="1"/>
  <c r="R740" i="1" s="1"/>
  <c r="S741" i="1"/>
  <c r="T741" i="1" s="1"/>
  <c r="Q741" i="1"/>
  <c r="R741" i="1" s="1"/>
  <c r="S742" i="1"/>
  <c r="T742" i="1" s="1"/>
  <c r="Q742" i="1"/>
  <c r="R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U742" i="1" l="1"/>
  <c r="U740" i="1"/>
  <c r="U738" i="1"/>
  <c r="U736" i="1"/>
  <c r="U734" i="1"/>
  <c r="U732" i="1"/>
  <c r="S725" i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P696" i="1"/>
  <c r="S709" i="1" s="1"/>
  <c r="T709" i="1" s="1"/>
  <c r="P695" i="1"/>
  <c r="P694" i="1"/>
  <c r="S707" i="1" s="1"/>
  <c r="T707" i="1" s="1"/>
  <c r="P693" i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06" i="1" l="1"/>
  <c r="T706" i="1" s="1"/>
  <c r="S708" i="1"/>
  <c r="T708" i="1" s="1"/>
  <c r="S710" i="1"/>
  <c r="T710" i="1" s="1"/>
  <c r="S712" i="1"/>
  <c r="T712" i="1" s="1"/>
  <c r="Q712" i="1"/>
  <c r="R712" i="1" s="1"/>
  <c r="S713" i="1"/>
  <c r="T713" i="1" s="1"/>
  <c r="Q713" i="1"/>
  <c r="R713" i="1" s="1"/>
  <c r="S714" i="1"/>
  <c r="T714" i="1" s="1"/>
  <c r="Q714" i="1"/>
  <c r="R714" i="1" s="1"/>
  <c r="S715" i="1"/>
  <c r="T715" i="1" s="1"/>
  <c r="Q715" i="1"/>
  <c r="R715" i="1" s="1"/>
  <c r="S716" i="1"/>
  <c r="T716" i="1" s="1"/>
  <c r="Q716" i="1"/>
  <c r="R716" i="1" s="1"/>
  <c r="S717" i="1"/>
  <c r="T717" i="1" s="1"/>
  <c r="Q717" i="1"/>
  <c r="R717" i="1" s="1"/>
  <c r="S718" i="1"/>
  <c r="T718" i="1" s="1"/>
  <c r="Q718" i="1"/>
  <c r="R718" i="1" s="1"/>
  <c r="S719" i="1"/>
  <c r="T719" i="1" s="1"/>
  <c r="Q719" i="1"/>
  <c r="R719" i="1" s="1"/>
  <c r="S720" i="1"/>
  <c r="T720" i="1" s="1"/>
  <c r="Q720" i="1"/>
  <c r="R720" i="1" s="1"/>
  <c r="S721" i="1"/>
  <c r="T721" i="1" s="1"/>
  <c r="Q721" i="1"/>
  <c r="R721" i="1" s="1"/>
  <c r="S722" i="1"/>
  <c r="T722" i="1" s="1"/>
  <c r="Q722" i="1"/>
  <c r="R722" i="1" s="1"/>
  <c r="S723" i="1"/>
  <c r="T723" i="1" s="1"/>
  <c r="Q723" i="1"/>
  <c r="R723" i="1" s="1"/>
  <c r="S724" i="1"/>
  <c r="T724" i="1" s="1"/>
  <c r="Q724" i="1"/>
  <c r="R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U724" i="1" l="1"/>
  <c r="U722" i="1"/>
  <c r="U720" i="1"/>
  <c r="U718" i="1"/>
  <c r="U716" i="1"/>
  <c r="U714" i="1"/>
  <c r="U712" i="1"/>
  <c r="S705" i="1"/>
  <c r="T705" i="1" s="1"/>
  <c r="Q705" i="1"/>
  <c r="R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U705" i="1" l="1"/>
  <c r="Q686" i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R691" i="1"/>
  <c r="U691" i="1" s="1"/>
  <c r="P672" i="1"/>
  <c r="U704" i="1" l="1"/>
  <c r="U702" i="1"/>
  <c r="U700" i="1"/>
  <c r="S685" i="1"/>
  <c r="T685" i="1" s="1"/>
  <c r="Q685" i="1"/>
  <c r="R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U685" i="1" l="1"/>
  <c r="Q665" i="1"/>
  <c r="S665" i="1"/>
  <c r="T665" i="1" s="1"/>
  <c r="Q666" i="1"/>
  <c r="R666" i="1" s="1"/>
  <c r="S666" i="1"/>
  <c r="T666" i="1" s="1"/>
  <c r="Q667" i="1"/>
  <c r="S667" i="1"/>
  <c r="T667" i="1" s="1"/>
  <c r="Q668" i="1"/>
  <c r="R668" i="1" s="1"/>
  <c r="S668" i="1"/>
  <c r="T668" i="1" s="1"/>
  <c r="Q669" i="1"/>
  <c r="S669" i="1"/>
  <c r="T669" i="1" s="1"/>
  <c r="Q670" i="1"/>
  <c r="R670" i="1" s="1"/>
  <c r="S670" i="1"/>
  <c r="T670" i="1" s="1"/>
  <c r="Q671" i="1"/>
  <c r="S671" i="1"/>
  <c r="T671" i="1" s="1"/>
  <c r="S672" i="1"/>
  <c r="T672" i="1" s="1"/>
  <c r="Q672" i="1"/>
  <c r="R672" i="1" s="1"/>
  <c r="S673" i="1"/>
  <c r="T673" i="1" s="1"/>
  <c r="Q673" i="1"/>
  <c r="R673" i="1" s="1"/>
  <c r="S674" i="1"/>
  <c r="T674" i="1" s="1"/>
  <c r="Q674" i="1"/>
  <c r="R674" i="1" s="1"/>
  <c r="S675" i="1"/>
  <c r="T675" i="1" s="1"/>
  <c r="Q675" i="1"/>
  <c r="R675" i="1" s="1"/>
  <c r="S676" i="1"/>
  <c r="T676" i="1" s="1"/>
  <c r="Q676" i="1"/>
  <c r="R676" i="1" s="1"/>
  <c r="S677" i="1"/>
  <c r="T677" i="1" s="1"/>
  <c r="Q677" i="1"/>
  <c r="R677" i="1" s="1"/>
  <c r="S678" i="1"/>
  <c r="T678" i="1" s="1"/>
  <c r="Q678" i="1"/>
  <c r="R678" i="1" s="1"/>
  <c r="R665" i="1"/>
  <c r="U665" i="1" s="1"/>
  <c r="S679" i="1"/>
  <c r="T679" i="1" s="1"/>
  <c r="Q679" i="1"/>
  <c r="R679" i="1" s="1"/>
  <c r="S680" i="1"/>
  <c r="T680" i="1" s="1"/>
  <c r="Q680" i="1"/>
  <c r="R680" i="1" s="1"/>
  <c r="R667" i="1"/>
  <c r="U667" i="1" s="1"/>
  <c r="S681" i="1"/>
  <c r="T681" i="1" s="1"/>
  <c r="Q681" i="1"/>
  <c r="R681" i="1" s="1"/>
  <c r="S682" i="1"/>
  <c r="T682" i="1" s="1"/>
  <c r="Q682" i="1"/>
  <c r="R682" i="1" s="1"/>
  <c r="R669" i="1"/>
  <c r="U669" i="1" s="1"/>
  <c r="S683" i="1"/>
  <c r="T683" i="1" s="1"/>
  <c r="Q683" i="1"/>
  <c r="R683" i="1" s="1"/>
  <c r="S684" i="1"/>
  <c r="T684" i="1" s="1"/>
  <c r="Q684" i="1"/>
  <c r="R684" i="1" s="1"/>
  <c r="R671" i="1"/>
  <c r="U671" i="1" s="1"/>
  <c r="P651" i="1"/>
  <c r="U670" i="1" l="1"/>
  <c r="U668" i="1"/>
  <c r="U666" i="1"/>
  <c r="U684" i="1"/>
  <c r="U682" i="1"/>
  <c r="U680" i="1"/>
  <c r="U678" i="1"/>
  <c r="U676" i="1"/>
  <c r="U674" i="1"/>
  <c r="U672" i="1"/>
  <c r="S664" i="1"/>
  <c r="T664" i="1" s="1"/>
  <c r="Q664" i="1"/>
  <c r="R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U664" i="1" l="1"/>
  <c r="Q650" i="1"/>
  <c r="S650" i="1"/>
  <c r="T650" i="1" s="1"/>
  <c r="S651" i="1"/>
  <c r="T651" i="1" s="1"/>
  <c r="Q651" i="1"/>
  <c r="R651" i="1" s="1"/>
  <c r="S652" i="1"/>
  <c r="T652" i="1" s="1"/>
  <c r="Q652" i="1"/>
  <c r="R652" i="1" s="1"/>
  <c r="S653" i="1"/>
  <c r="T653" i="1" s="1"/>
  <c r="Q653" i="1"/>
  <c r="R653" i="1" s="1"/>
  <c r="S654" i="1"/>
  <c r="T654" i="1" s="1"/>
  <c r="Q654" i="1"/>
  <c r="R654" i="1" s="1"/>
  <c r="S655" i="1"/>
  <c r="T655" i="1" s="1"/>
  <c r="Q655" i="1"/>
  <c r="R655" i="1" s="1"/>
  <c r="S656" i="1"/>
  <c r="T656" i="1" s="1"/>
  <c r="Q656" i="1"/>
  <c r="R656" i="1" s="1"/>
  <c r="S657" i="1"/>
  <c r="T657" i="1" s="1"/>
  <c r="Q657" i="1"/>
  <c r="R657" i="1" s="1"/>
  <c r="S658" i="1"/>
  <c r="T658" i="1" s="1"/>
  <c r="Q658" i="1"/>
  <c r="R658" i="1" s="1"/>
  <c r="S659" i="1"/>
  <c r="T659" i="1" s="1"/>
  <c r="Q659" i="1"/>
  <c r="R659" i="1" s="1"/>
  <c r="S660" i="1"/>
  <c r="T660" i="1" s="1"/>
  <c r="Q660" i="1"/>
  <c r="R660" i="1" s="1"/>
  <c r="S661" i="1"/>
  <c r="T661" i="1" s="1"/>
  <c r="Q661" i="1"/>
  <c r="R661" i="1" s="1"/>
  <c r="S662" i="1"/>
  <c r="T662" i="1" s="1"/>
  <c r="Q662" i="1"/>
  <c r="R662" i="1" s="1"/>
  <c r="S663" i="1"/>
  <c r="T663" i="1" s="1"/>
  <c r="Q663" i="1"/>
  <c r="R663" i="1" s="1"/>
  <c r="R650" i="1"/>
  <c r="U650" i="1" s="1"/>
  <c r="P636" i="1"/>
  <c r="U652" i="1" l="1"/>
  <c r="U662" i="1"/>
  <c r="U660" i="1"/>
  <c r="U658" i="1"/>
  <c r="U656" i="1"/>
  <c r="U654" i="1"/>
  <c r="S649" i="1"/>
  <c r="T649" i="1" s="1"/>
  <c r="Q649" i="1"/>
  <c r="R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U649" i="1" l="1"/>
  <c r="S636" i="1"/>
  <c r="T636" i="1" s="1"/>
  <c r="Q636" i="1"/>
  <c r="R636" i="1" s="1"/>
  <c r="S637" i="1"/>
  <c r="T637" i="1" s="1"/>
  <c r="Q637" i="1"/>
  <c r="R637" i="1" s="1"/>
  <c r="S638" i="1"/>
  <c r="T638" i="1" s="1"/>
  <c r="Q638" i="1"/>
  <c r="R638" i="1" s="1"/>
  <c r="S639" i="1"/>
  <c r="T639" i="1" s="1"/>
  <c r="Q639" i="1"/>
  <c r="R639" i="1" s="1"/>
  <c r="S640" i="1"/>
  <c r="T640" i="1" s="1"/>
  <c r="Q640" i="1"/>
  <c r="R640" i="1" s="1"/>
  <c r="S641" i="1"/>
  <c r="T641" i="1" s="1"/>
  <c r="Q641" i="1"/>
  <c r="R641" i="1" s="1"/>
  <c r="S642" i="1"/>
  <c r="T642" i="1" s="1"/>
  <c r="Q642" i="1"/>
  <c r="R642" i="1" s="1"/>
  <c r="S643" i="1"/>
  <c r="T643" i="1" s="1"/>
  <c r="Q643" i="1"/>
  <c r="R643" i="1" s="1"/>
  <c r="S644" i="1"/>
  <c r="T644" i="1" s="1"/>
  <c r="Q644" i="1"/>
  <c r="R644" i="1" s="1"/>
  <c r="S645" i="1"/>
  <c r="T645" i="1" s="1"/>
  <c r="Q645" i="1"/>
  <c r="R645" i="1" s="1"/>
  <c r="S646" i="1"/>
  <c r="T646" i="1" s="1"/>
  <c r="Q646" i="1"/>
  <c r="R646" i="1" s="1"/>
  <c r="S647" i="1"/>
  <c r="T647" i="1" s="1"/>
  <c r="Q647" i="1"/>
  <c r="R647" i="1" s="1"/>
  <c r="S648" i="1"/>
  <c r="T648" i="1" s="1"/>
  <c r="Q648" i="1"/>
  <c r="R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U648" i="1" l="1"/>
  <c r="U646" i="1"/>
  <c r="U644" i="1"/>
  <c r="U642" i="1"/>
  <c r="U640" i="1"/>
  <c r="U638" i="1"/>
  <c r="U636" i="1"/>
  <c r="S627" i="1"/>
  <c r="T627" i="1" s="1"/>
  <c r="Q627" i="1"/>
  <c r="R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U627" i="1" l="1"/>
  <c r="Q614" i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S607" i="1"/>
  <c r="T607" i="1" s="1"/>
  <c r="Q607" i="1"/>
  <c r="R607" i="1" s="1"/>
  <c r="S608" i="1"/>
  <c r="T608" i="1" s="1"/>
  <c r="Q608" i="1"/>
  <c r="R608" i="1" s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P575" i="1"/>
  <c r="S588" i="1" s="1"/>
  <c r="T588" i="1" s="1"/>
  <c r="P574" i="1"/>
  <c r="P573" i="1"/>
  <c r="S586" i="1" s="1"/>
  <c r="T586" i="1" s="1"/>
  <c r="P572" i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U606" i="1" l="1"/>
  <c r="Q585" i="1"/>
  <c r="Q587" i="1"/>
  <c r="Q589" i="1"/>
  <c r="S585" i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6" i="1" l="1"/>
  <c r="T406" i="1" s="1"/>
  <c r="U421" i="1"/>
  <c r="S403" i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27" i="1" l="1"/>
  <c r="U332" i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65" i="1" l="1"/>
  <c r="I32" i="1"/>
  <c r="I57" i="1"/>
  <c r="I42" i="1"/>
  <c r="I53" i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l="1"/>
  <c r="H973" i="1"/>
  <c r="H974" i="1" l="1"/>
  <c r="I973" i="1"/>
  <c r="I974" i="1" l="1"/>
  <c r="H975" i="1"/>
  <c r="I975" i="1" l="1"/>
  <c r="H976" i="1"/>
  <c r="I976" i="1" l="1"/>
  <c r="H977" i="1"/>
  <c r="I977" i="1" l="1"/>
  <c r="H978" i="1"/>
  <c r="I978" i="1" l="1"/>
  <c r="H979" i="1"/>
  <c r="I979" i="1" l="1"/>
  <c r="H980" i="1"/>
  <c r="I980" i="1" l="1"/>
  <c r="H981" i="1"/>
  <c r="I981" i="1" l="1"/>
  <c r="H982" i="1"/>
  <c r="I982" i="1" l="1"/>
  <c r="H983" i="1"/>
  <c r="I983" i="1" l="1"/>
  <c r="H984" i="1"/>
  <c r="I984" i="1" l="1"/>
  <c r="H985" i="1"/>
  <c r="I985" i="1" l="1"/>
  <c r="H986" i="1"/>
  <c r="I986" i="1" l="1"/>
  <c r="H987" i="1"/>
  <c r="I987" i="1" l="1"/>
  <c r="H988" i="1"/>
  <c r="I988" i="1" l="1"/>
  <c r="H989" i="1"/>
  <c r="I989" i="1" l="1"/>
  <c r="H990" i="1"/>
  <c r="I990" i="1" l="1"/>
  <c r="H991" i="1"/>
  <c r="I991" i="1" l="1"/>
  <c r="H992" i="1"/>
  <c r="I992" i="1" l="1"/>
  <c r="H993" i="1"/>
  <c r="I993" i="1" l="1"/>
  <c r="H994" i="1"/>
  <c r="I994" i="1" l="1"/>
  <c r="H995" i="1"/>
  <c r="H996" i="1" l="1"/>
  <c r="I995" i="1"/>
  <c r="H997" i="1" l="1"/>
  <c r="I996" i="1"/>
  <c r="H998" i="1" l="1"/>
  <c r="I997" i="1"/>
  <c r="H999" i="1" l="1"/>
  <c r="I998" i="1"/>
  <c r="H1000" i="1" l="1"/>
  <c r="I999" i="1"/>
  <c r="H1001" i="1" l="1"/>
  <c r="I1000" i="1"/>
  <c r="H1002" i="1" l="1"/>
  <c r="I1001" i="1"/>
  <c r="H1003" i="1" l="1"/>
  <c r="I1002" i="1"/>
  <c r="H1004" i="1" l="1"/>
  <c r="I1003" i="1"/>
  <c r="H1005" i="1" l="1"/>
  <c r="I1004" i="1"/>
  <c r="H1006" i="1" l="1"/>
  <c r="I1005" i="1"/>
  <c r="H1007" i="1" l="1"/>
  <c r="I1006" i="1"/>
  <c r="H1008" i="1" l="1"/>
  <c r="I1007" i="1"/>
  <c r="H1009" i="1" l="1"/>
  <c r="I1008" i="1"/>
  <c r="H1010" i="1" l="1"/>
  <c r="I1009" i="1"/>
  <c r="H1011" i="1" l="1"/>
  <c r="I1010" i="1"/>
  <c r="H1012" i="1" l="1"/>
  <c r="I1011" i="1"/>
  <c r="H1013" i="1" l="1"/>
  <c r="I1012" i="1"/>
  <c r="H1014" i="1" l="1"/>
  <c r="I1013" i="1"/>
  <c r="H1015" i="1" l="1"/>
  <c r="I1014" i="1"/>
  <c r="H1016" i="1" l="1"/>
  <c r="I1015" i="1"/>
  <c r="H1017" i="1" l="1"/>
  <c r="I1016" i="1"/>
  <c r="H1018" i="1" l="1"/>
  <c r="I1017" i="1"/>
  <c r="I1018" i="1" l="1"/>
  <c r="H1019" i="1"/>
  <c r="I1019" i="1" l="1"/>
  <c r="H1020" i="1"/>
  <c r="I1020" i="1" l="1"/>
  <c r="H1021" i="1"/>
  <c r="I1021" i="1" l="1"/>
  <c r="H1022" i="1"/>
  <c r="I1022" i="1" l="1"/>
  <c r="H1023" i="1"/>
  <c r="I1023" i="1" l="1"/>
  <c r="H1024" i="1"/>
  <c r="I1024" i="1" l="1"/>
  <c r="H1025" i="1"/>
  <c r="I1025" i="1" l="1"/>
  <c r="H1026" i="1"/>
  <c r="I1026" i="1" l="1"/>
  <c r="H1027" i="1"/>
  <c r="I1027" i="1" l="1"/>
  <c r="H1028" i="1"/>
  <c r="I1028" i="1" l="1"/>
  <c r="H1029" i="1"/>
  <c r="I1029" i="1" l="1"/>
  <c r="H1030" i="1"/>
  <c r="I1030" i="1" l="1"/>
  <c r="H1031" i="1"/>
  <c r="I1031" i="1" l="1"/>
  <c r="H1032" i="1"/>
  <c r="I1032" i="1" l="1"/>
  <c r="H1033" i="1"/>
  <c r="I1033" i="1" l="1"/>
  <c r="H1034" i="1"/>
  <c r="I1034" i="1" l="1"/>
  <c r="H1035" i="1"/>
  <c r="I1035" i="1" l="1"/>
  <c r="H1036" i="1"/>
  <c r="I1036" i="1" l="1"/>
  <c r="H1037" i="1"/>
  <c r="I1037" i="1" l="1"/>
  <c r="H1038" i="1"/>
  <c r="H1039" i="1" l="1"/>
  <c r="I1038" i="1"/>
  <c r="H1040" i="1" l="1"/>
  <c r="I1039" i="1"/>
  <c r="I1040" i="1" l="1"/>
  <c r="H1041" i="1"/>
  <c r="I1041" i="1" l="1"/>
  <c r="H1042" i="1"/>
  <c r="I1042" i="1" l="1"/>
  <c r="H1043" i="1"/>
  <c r="I1043" i="1" l="1"/>
  <c r="H1044" i="1"/>
  <c r="I1044" i="1" l="1"/>
  <c r="H1045" i="1"/>
  <c r="I1045" i="1" l="1"/>
  <c r="H1046" i="1"/>
  <c r="I1046" i="1" l="1"/>
  <c r="H1047" i="1"/>
  <c r="I1047" i="1" l="1"/>
  <c r="H1048" i="1"/>
  <c r="I1048" i="1" l="1"/>
  <c r="H1049" i="1"/>
  <c r="I1049" i="1" l="1"/>
  <c r="H1050" i="1"/>
  <c r="I1050" i="1" l="1"/>
  <c r="H1051" i="1"/>
  <c r="I1051" i="1" l="1"/>
  <c r="H1052" i="1"/>
  <c r="I1052" i="1" l="1"/>
  <c r="H1053" i="1"/>
  <c r="I1053" i="1" l="1"/>
  <c r="H1054" i="1"/>
  <c r="I1054" i="1" l="1"/>
  <c r="H1055" i="1"/>
  <c r="H1056" i="1" l="1"/>
  <c r="I1055" i="1"/>
  <c r="H1057" i="1" l="1"/>
  <c r="I1056" i="1"/>
  <c r="I1057" i="1" l="1"/>
  <c r="H1058" i="1"/>
  <c r="I1058" i="1" l="1"/>
  <c r="H1059" i="1"/>
  <c r="I1059" i="1" l="1"/>
  <c r="H1060" i="1"/>
  <c r="I1060" i="1" l="1"/>
  <c r="H1061" i="1"/>
  <c r="I1061" i="1" l="1"/>
  <c r="H1062" i="1"/>
  <c r="I1062" i="1" l="1"/>
  <c r="H1063" i="1"/>
  <c r="I1063" i="1" l="1"/>
  <c r="H1064" i="1"/>
  <c r="I1064" i="1" l="1"/>
  <c r="H1065" i="1"/>
  <c r="I1065" i="1" l="1"/>
  <c r="H1066" i="1"/>
  <c r="I1066" i="1" l="1"/>
  <c r="H1067" i="1"/>
  <c r="I1067" i="1" l="1"/>
  <c r="H1068" i="1"/>
  <c r="I1068" i="1" l="1"/>
  <c r="H1069" i="1"/>
  <c r="I1069" i="1" l="1"/>
  <c r="H1070" i="1"/>
  <c r="I1070" i="1" l="1"/>
  <c r="H1071" i="1"/>
  <c r="I1071" i="1" l="1"/>
  <c r="H1072" i="1"/>
  <c r="I1072" i="1" l="1"/>
  <c r="H1073" i="1"/>
  <c r="I1073" i="1" l="1"/>
  <c r="H1074" i="1"/>
  <c r="I1074" i="1" l="1"/>
  <c r="H1075" i="1"/>
  <c r="H1076" i="1" l="1"/>
  <c r="I1075" i="1"/>
  <c r="H1077" i="1" l="1"/>
  <c r="I1076" i="1"/>
  <c r="I1077" i="1" l="1"/>
  <c r="H1078" i="1"/>
  <c r="I1078" i="1" l="1"/>
  <c r="H1079" i="1"/>
  <c r="I1079" i="1" l="1"/>
  <c r="H1080" i="1"/>
  <c r="I1080" i="1" l="1"/>
  <c r="H1081" i="1"/>
  <c r="I1081" i="1" l="1"/>
  <c r="H1082" i="1"/>
  <c r="I1082" i="1" l="1"/>
  <c r="H1083" i="1"/>
  <c r="I1083" i="1" l="1"/>
  <c r="H1084" i="1"/>
  <c r="I1084" i="1" l="1"/>
  <c r="H1085" i="1"/>
  <c r="I1085" i="1" l="1"/>
  <c r="H1086" i="1"/>
  <c r="I1086" i="1" l="1"/>
  <c r="H1087" i="1"/>
  <c r="I1087" i="1" l="1"/>
  <c r="H1088" i="1"/>
  <c r="I1088" i="1" l="1"/>
  <c r="H1089" i="1"/>
  <c r="I1089" i="1" l="1"/>
  <c r="H1090" i="1"/>
  <c r="I1090" i="1" l="1"/>
  <c r="H1091" i="1"/>
  <c r="I1091" i="1" l="1"/>
  <c r="H1092" i="1"/>
  <c r="I1092" i="1" l="1"/>
  <c r="H1093" i="1"/>
  <c r="I1093" i="1" l="1"/>
  <c r="H1094" i="1"/>
  <c r="I1094" i="1" l="1"/>
  <c r="H1095" i="1"/>
  <c r="I1095" i="1" l="1"/>
  <c r="H1096" i="1"/>
  <c r="I1096" i="1" l="1"/>
  <c r="H1097" i="1"/>
  <c r="I1097" i="1" l="1"/>
  <c r="H1098" i="1"/>
  <c r="H1099" i="1" l="1"/>
  <c r="I1098" i="1"/>
  <c r="H1100" i="1" l="1"/>
  <c r="I1099" i="1"/>
  <c r="I1100" i="1" l="1"/>
  <c r="H1101" i="1"/>
  <c r="I1101" i="1" l="1"/>
  <c r="H1102" i="1"/>
  <c r="I1102" i="1" l="1"/>
  <c r="H1103" i="1"/>
  <c r="I1103" i="1" l="1"/>
  <c r="H1104" i="1"/>
  <c r="I1104" i="1" l="1"/>
  <c r="H1105" i="1"/>
  <c r="I1105" i="1" l="1"/>
  <c r="H1106" i="1"/>
  <c r="I1106" i="1" l="1"/>
  <c r="H1107" i="1"/>
  <c r="I1107" i="1" l="1"/>
  <c r="H1108" i="1"/>
  <c r="I1108" i="1" l="1"/>
  <c r="H1109" i="1"/>
  <c r="I1109" i="1" l="1"/>
  <c r="H1110" i="1"/>
  <c r="I1110" i="1" l="1"/>
  <c r="H1111" i="1"/>
  <c r="I1111" i="1" l="1"/>
  <c r="H1112" i="1"/>
  <c r="I1112" i="1" l="1"/>
  <c r="H1113" i="1"/>
  <c r="I1113" i="1" l="1"/>
  <c r="H1114" i="1"/>
  <c r="I1114" i="1" l="1"/>
  <c r="H1115" i="1"/>
  <c r="I1115" i="1" l="1"/>
  <c r="H1116" i="1"/>
  <c r="I1116" i="1" l="1"/>
  <c r="H1117" i="1"/>
  <c r="I1117" i="1" l="1"/>
  <c r="H1118" i="1"/>
  <c r="H1119" i="1" l="1"/>
  <c r="I1118" i="1"/>
  <c r="H1120" i="1" l="1"/>
  <c r="I1119" i="1"/>
  <c r="I1120" i="1" l="1"/>
  <c r="H1121" i="1"/>
  <c r="I1121" i="1" l="1"/>
  <c r="H1122" i="1"/>
  <c r="I1122" i="1" l="1"/>
  <c r="H1123" i="1"/>
  <c r="I1123" i="1" l="1"/>
  <c r="H1124" i="1"/>
  <c r="I1124" i="1" l="1"/>
  <c r="H1125" i="1"/>
  <c r="I1125" i="1" l="1"/>
  <c r="H1126" i="1"/>
  <c r="I1126" i="1" l="1"/>
  <c r="H1127" i="1"/>
  <c r="I1127" i="1" l="1"/>
  <c r="H1128" i="1"/>
  <c r="I1128" i="1" l="1"/>
  <c r="H1129" i="1"/>
  <c r="I1129" i="1" l="1"/>
  <c r="H1130" i="1"/>
  <c r="I1130" i="1" l="1"/>
  <c r="H1131" i="1"/>
  <c r="I1131" i="1" l="1"/>
  <c r="H1132" i="1"/>
  <c r="H1133" i="1" l="1"/>
  <c r="I1132" i="1"/>
  <c r="H1134" i="1" l="1"/>
  <c r="I1133" i="1"/>
  <c r="I1134" i="1" l="1"/>
  <c r="H1135" i="1"/>
  <c r="I1135" i="1" l="1"/>
  <c r="H1136" i="1"/>
  <c r="I1136" i="1" l="1"/>
  <c r="H1137" i="1"/>
  <c r="I1137" i="1" l="1"/>
  <c r="H1138" i="1"/>
  <c r="I1138" i="1" l="1"/>
  <c r="H1139" i="1"/>
  <c r="I1139" i="1" l="1"/>
  <c r="H1140" i="1"/>
  <c r="I1140" i="1" l="1"/>
  <c r="H1141" i="1"/>
  <c r="I1141" i="1" l="1"/>
  <c r="H1142" i="1"/>
  <c r="I1142" i="1" l="1"/>
  <c r="H1143" i="1"/>
  <c r="I1143" i="1" l="1"/>
  <c r="H1144" i="1"/>
  <c r="I1144" i="1" l="1"/>
  <c r="H1145" i="1"/>
  <c r="I1145" i="1" l="1"/>
  <c r="H1146" i="1"/>
  <c r="I1146" i="1" l="1"/>
  <c r="H1147" i="1"/>
  <c r="I1147" i="1" l="1"/>
  <c r="H1148" i="1"/>
  <c r="I1148" i="1" l="1"/>
  <c r="H1149" i="1"/>
  <c r="I1149" i="1" l="1"/>
  <c r="H1150" i="1"/>
  <c r="I1150" i="1" l="1"/>
  <c r="H1151" i="1"/>
  <c r="I1151" i="1" l="1"/>
  <c r="H1152" i="1"/>
  <c r="I1152" i="1" l="1"/>
  <c r="H1153" i="1"/>
  <c r="I1153" i="1" l="1"/>
  <c r="H1154" i="1"/>
  <c r="H1155" i="1" l="1"/>
  <c r="I1154" i="1"/>
  <c r="H1156" i="1" l="1"/>
  <c r="I1155" i="1"/>
  <c r="I1156" i="1" l="1"/>
  <c r="H1157" i="1"/>
  <c r="I1157" i="1" l="1"/>
  <c r="H1158" i="1"/>
  <c r="I1158" i="1" l="1"/>
  <c r="H1159" i="1"/>
  <c r="I1159" i="1" l="1"/>
  <c r="H1160" i="1"/>
  <c r="I1160" i="1" l="1"/>
  <c r="H1161" i="1"/>
  <c r="I1161" i="1" l="1"/>
  <c r="H1162" i="1"/>
  <c r="I1162" i="1" l="1"/>
  <c r="H1163" i="1"/>
  <c r="I1163" i="1" l="1"/>
  <c r="H1164" i="1"/>
  <c r="I1164" i="1" l="1"/>
  <c r="H1165" i="1"/>
  <c r="I1165" i="1" l="1"/>
  <c r="H1166" i="1"/>
  <c r="I1166" i="1" l="1"/>
  <c r="H1167" i="1"/>
  <c r="I1167" i="1" l="1"/>
  <c r="H1168" i="1"/>
  <c r="I1168" i="1" l="1"/>
  <c r="H1169" i="1"/>
  <c r="I1169" i="1" l="1"/>
  <c r="H1170" i="1"/>
  <c r="I1170" i="1" l="1"/>
  <c r="H1171" i="1"/>
  <c r="I1171" i="1" l="1"/>
  <c r="H1172" i="1"/>
  <c r="I1172" i="1" l="1"/>
  <c r="H1173" i="1"/>
  <c r="I1173" i="1" l="1"/>
  <c r="H1174" i="1"/>
  <c r="I1174" i="1" l="1"/>
  <c r="H1175" i="1"/>
  <c r="H1176" i="1" l="1"/>
  <c r="I1175" i="1"/>
  <c r="H1177" i="1" l="1"/>
  <c r="I1176" i="1"/>
  <c r="H1178" i="1" l="1"/>
  <c r="I1177" i="1"/>
  <c r="H1179" i="1" l="1"/>
  <c r="I1178" i="1"/>
  <c r="H1180" i="1" l="1"/>
  <c r="I1179" i="1"/>
  <c r="H1181" i="1" l="1"/>
  <c r="I1180" i="1"/>
  <c r="H1182" i="1" l="1"/>
  <c r="I1181" i="1"/>
  <c r="H1183" i="1" l="1"/>
  <c r="I1182" i="1"/>
  <c r="H1184" i="1" l="1"/>
  <c r="I1183" i="1"/>
  <c r="H1185" i="1" l="1"/>
  <c r="I1184" i="1"/>
  <c r="H1186" i="1" l="1"/>
  <c r="I1185" i="1"/>
  <c r="H1187" i="1" l="1"/>
  <c r="I1186" i="1"/>
  <c r="H1188" i="1" l="1"/>
  <c r="I1187" i="1"/>
  <c r="H1189" i="1" l="1"/>
  <c r="I1188" i="1"/>
  <c r="H1190" i="1" l="1"/>
  <c r="I1189" i="1"/>
  <c r="H1191" i="1" l="1"/>
  <c r="I1190" i="1"/>
  <c r="H1192" i="1" l="1"/>
  <c r="I1191" i="1"/>
  <c r="H1193" i="1" l="1"/>
  <c r="I1192" i="1"/>
  <c r="H1194" i="1" l="1"/>
  <c r="I1193" i="1"/>
  <c r="H1195" i="1" l="1"/>
  <c r="I1194" i="1"/>
  <c r="H1196" i="1" l="1"/>
  <c r="I1195" i="1"/>
  <c r="H1197" i="1" l="1"/>
  <c r="I1196" i="1"/>
  <c r="H1198" i="1" l="1"/>
  <c r="I1197" i="1"/>
  <c r="H1199" i="1" l="1"/>
  <c r="I1198" i="1"/>
  <c r="H1200" i="1" l="1"/>
  <c r="I1199" i="1"/>
  <c r="H1201" i="1" l="1"/>
  <c r="I1200" i="1"/>
  <c r="H1202" i="1" l="1"/>
  <c r="I1201" i="1"/>
  <c r="H1203" i="1" l="1"/>
  <c r="I1202" i="1"/>
  <c r="H1204" i="1" l="1"/>
  <c r="I1203" i="1"/>
  <c r="H1205" i="1" l="1"/>
  <c r="I1204" i="1"/>
  <c r="H1206" i="1" l="1"/>
  <c r="I1205" i="1"/>
  <c r="H1207" i="1" l="1"/>
  <c r="I1206" i="1"/>
  <c r="H1208" i="1" l="1"/>
  <c r="I1207" i="1"/>
  <c r="H1209" i="1" l="1"/>
  <c r="I1208" i="1"/>
  <c r="H1210" i="1" l="1"/>
  <c r="I1209" i="1"/>
  <c r="H1211" i="1" l="1"/>
  <c r="I1210" i="1"/>
  <c r="H1212" i="1" l="1"/>
  <c r="I1211" i="1"/>
  <c r="H1213" i="1" l="1"/>
  <c r="I1212" i="1"/>
  <c r="H1214" i="1" l="1"/>
  <c r="I1213" i="1"/>
  <c r="H1215" i="1" l="1"/>
  <c r="I1214" i="1"/>
  <c r="H1216" i="1" l="1"/>
  <c r="I1215" i="1"/>
  <c r="H1217" i="1" l="1"/>
  <c r="I1216" i="1"/>
  <c r="H1218" i="1" l="1"/>
  <c r="I1217" i="1"/>
  <c r="H1219" i="1" l="1"/>
  <c r="I1218" i="1"/>
  <c r="H1220" i="1" l="1"/>
  <c r="I1219" i="1"/>
  <c r="H1221" i="1" l="1"/>
  <c r="I1220" i="1"/>
  <c r="H1222" i="1" l="1"/>
  <c r="I1221" i="1"/>
  <c r="H1223" i="1" l="1"/>
  <c r="I1222" i="1"/>
  <c r="H1224" i="1" l="1"/>
  <c r="I1223" i="1"/>
  <c r="H1225" i="1" l="1"/>
  <c r="I1224" i="1"/>
  <c r="H1226" i="1" l="1"/>
  <c r="I1225" i="1"/>
  <c r="H1227" i="1" l="1"/>
  <c r="I1226" i="1"/>
  <c r="H1228" i="1" l="1"/>
  <c r="I1227" i="1"/>
  <c r="H1229" i="1" l="1"/>
  <c r="I1228" i="1"/>
  <c r="H1230" i="1" l="1"/>
  <c r="I1229" i="1"/>
  <c r="H1231" i="1" l="1"/>
  <c r="I1230" i="1"/>
  <c r="H1232" i="1" l="1"/>
  <c r="I1231" i="1"/>
  <c r="H1233" i="1" l="1"/>
  <c r="I1232" i="1"/>
  <c r="H1234" i="1" l="1"/>
  <c r="I1233" i="1"/>
  <c r="H1235" i="1" l="1"/>
  <c r="I1234" i="1"/>
  <c r="H1236" i="1" l="1"/>
  <c r="I1235" i="1"/>
  <c r="H1237" i="1" l="1"/>
  <c r="I1236" i="1"/>
  <c r="H1238" i="1" l="1"/>
  <c r="I1237" i="1"/>
  <c r="I1238" i="1" l="1"/>
  <c r="H1239" i="1"/>
  <c r="H1240" i="1" l="1"/>
  <c r="I1239" i="1"/>
  <c r="H1241" i="1" l="1"/>
  <c r="I1240" i="1"/>
  <c r="H1242" i="1" l="1"/>
  <c r="I1241" i="1"/>
  <c r="H1243" i="1" l="1"/>
  <c r="I1242" i="1"/>
  <c r="H1244" i="1" l="1"/>
  <c r="I1243" i="1"/>
  <c r="H1245" i="1" l="1"/>
  <c r="I1244" i="1"/>
  <c r="H1246" i="1" l="1"/>
  <c r="I1245" i="1"/>
  <c r="H1247" i="1" l="1"/>
  <c r="I1246" i="1"/>
  <c r="H1248" i="1" l="1"/>
  <c r="I1247" i="1"/>
  <c r="H1249" i="1" l="1"/>
  <c r="I1248" i="1"/>
  <c r="H1250" i="1" l="1"/>
  <c r="I1249" i="1"/>
  <c r="H1251" i="1" l="1"/>
  <c r="I1250" i="1"/>
  <c r="H1252" i="1" l="1"/>
  <c r="I1251" i="1"/>
  <c r="H1253" i="1" l="1"/>
  <c r="I1252" i="1"/>
  <c r="H1254" i="1" l="1"/>
  <c r="I1253" i="1"/>
  <c r="H1255" i="1" l="1"/>
  <c r="I1254" i="1"/>
  <c r="H1256" i="1" l="1"/>
  <c r="I1255" i="1"/>
  <c r="H1257" i="1" l="1"/>
  <c r="I1256" i="1"/>
  <c r="H1258" i="1" l="1"/>
  <c r="I1257" i="1"/>
  <c r="H1259" i="1" l="1"/>
  <c r="I1258" i="1"/>
  <c r="H1260" i="1" l="1"/>
  <c r="I1259" i="1"/>
  <c r="H1261" i="1" l="1"/>
  <c r="I1260" i="1"/>
  <c r="H1262" i="1" l="1"/>
  <c r="I1261" i="1"/>
  <c r="H1263" i="1" l="1"/>
  <c r="I1262" i="1"/>
  <c r="H1264" i="1" l="1"/>
  <c r="I1263" i="1"/>
  <c r="H1265" i="1" l="1"/>
  <c r="I1264" i="1"/>
  <c r="H1266" i="1" l="1"/>
  <c r="I1265" i="1"/>
  <c r="H1267" i="1" l="1"/>
  <c r="I1266" i="1"/>
  <c r="H1268" i="1" l="1"/>
  <c r="I1267" i="1"/>
  <c r="H1269" i="1" l="1"/>
  <c r="I1268" i="1"/>
  <c r="H1270" i="1" l="1"/>
  <c r="I1269" i="1"/>
  <c r="H1271" i="1" l="1"/>
  <c r="I1270" i="1"/>
  <c r="H1272" i="1" l="1"/>
  <c r="I1271" i="1"/>
  <c r="H1273" i="1" l="1"/>
  <c r="I1272" i="1"/>
  <c r="H1274" i="1" l="1"/>
  <c r="I1273" i="1"/>
  <c r="H1275" i="1" l="1"/>
  <c r="I1274" i="1"/>
  <c r="H1276" i="1" l="1"/>
  <c r="I1275" i="1"/>
  <c r="H1277" i="1" l="1"/>
  <c r="I1276" i="1"/>
  <c r="H1278" i="1" l="1"/>
  <c r="I1277" i="1"/>
  <c r="H1279" i="1" l="1"/>
  <c r="I1278" i="1"/>
  <c r="H1280" i="1" l="1"/>
  <c r="I1280" i="1" s="1"/>
  <c r="I1279" i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<sst xmlns="http://schemas.openxmlformats.org/spreadsheetml/2006/main" count="15" uniqueCount="15">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</sst>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280"/>
  <sheetViews>
    <sheetView tabSelected="1" topLeftCell="A1268" workbookViewId="0">
      <selection activeCell="A1281" sqref="A1281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2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K62" s="2">
        <v>46203</v>
      </c>
      <c r="L62" s="2">
        <v>46174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2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K63" s="2">
        <v>46234</v>
      </c>
      <c r="L63" s="2">
        <v>46204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2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K64" s="2">
        <v>46265</v>
      </c>
      <c r="L64" s="2">
        <v>46237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2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K65" s="2">
        <v>46295</v>
      </c>
      <c r="L65" s="2">
        <v>46266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2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K66" s="2">
        <v>46325</v>
      </c>
      <c r="L66" s="2">
        <v>46303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280" si="132">SUM(P1024:P1037)/14</f>
        <v>1.0372619047051386</v>
      </c>
      <c r="R1037">
        <f t="shared" ref="R1037:R1280" si="133">P1037-Q1037</f>
        <v>3.2738068274089205E-2</v>
      </c>
      <c r="S1037">
        <f t="shared" ref="S1037:S1280" si="134">AVEDEV(P1024:P1037)</f>
        <v>2.2748304062149134E-2</v>
      </c>
      <c r="T1037">
        <f t="shared" ref="T1037:T1280" si="135">0.015*S1037</f>
        <v>3.4122456093223696E-4</v>
      </c>
      <c r="U1037">
        <f t="shared" ref="U1037:U1280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280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280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>VLOOKUP(L61,A:C,3)</f>
        <v>1.2000000476837158</v>
      </c>
      <c r="O1176">
        <f>VLOOKUP(L61,A:D,4)</f>
        <v>1.1660000085830688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  <row r="1177" spans="1:21" x14ac:dyDescent="0.15">
      <c r="A1177" s="1">
        <v>46148</v>
      </c>
      <c r="B1177">
        <v>1.1660000085830688</v>
      </c>
      <c r="C1177">
        <v>1.2000000476837158</v>
      </c>
      <c r="D1177">
        <v>1.1660000085830688</v>
      </c>
      <c r="E1177">
        <v>1.1929999589920044</v>
      </c>
      <c r="F1177">
        <v>2577800</v>
      </c>
      <c r="G1177">
        <v>25778</v>
      </c>
      <c r="H1177">
        <f t="shared" si="144"/>
        <v>1175</v>
      </c>
      <c r="I1177">
        <f>SUM($F$3:F1177)/H1177</f>
        <v>4073113.4544946807</v>
      </c>
      <c r="N1177">
        <f t="shared" ref="N1177:N1193" si="153">IF(A1177&lt;&gt;$K$61,MAX(N1176,VLOOKUP(A1177,A:C,3)),)</f>
        <v>1.2000000476837158</v>
      </c>
      <c r="O1177">
        <f t="shared" ref="O1177:O1193" si="154">IF(A1177&lt;&gt;$K$61,MIN(O1176,VLOOKUP(A1177,A:D,4)),)</f>
        <v>1.1660000085830688</v>
      </c>
      <c r="P1177">
        <f t="shared" si="143"/>
        <v>1.1863333384195964</v>
      </c>
      <c r="Q1177">
        <f t="shared" si="132"/>
        <v>1.161166665099916</v>
      </c>
      <c r="R1177">
        <f t="shared" si="133"/>
        <v>2.5166673319680477E-2</v>
      </c>
      <c r="S1177">
        <f t="shared" si="134"/>
        <v>1.378572270983742E-2</v>
      </c>
      <c r="T1177">
        <f t="shared" si="135"/>
        <v>2.0678584064756129E-4</v>
      </c>
      <c r="U1177">
        <f t="shared" si="136"/>
        <v>121.7040453102091</v>
      </c>
    </row>
    <row r="1178" spans="1:21" x14ac:dyDescent="0.15">
      <c r="A1178" s="1">
        <v>46149</v>
      </c>
      <c r="B1178">
        <v>1.1929999589920044</v>
      </c>
      <c r="C1178">
        <v>1.2059999704360962</v>
      </c>
      <c r="D1178">
        <v>1.1890000104904175</v>
      </c>
      <c r="E1178">
        <v>1.2050000429153442</v>
      </c>
      <c r="F1178">
        <v>2515003</v>
      </c>
      <c r="G1178">
        <v>25150.029296875</v>
      </c>
      <c r="H1178">
        <f t="shared" si="144"/>
        <v>1176</v>
      </c>
      <c r="I1178">
        <f>SUM($F$3:F1178)/H1178</f>
        <v>4071788.5306388182</v>
      </c>
      <c r="N1178">
        <f t="shared" si="153"/>
        <v>1.2059999704360962</v>
      </c>
      <c r="O1178">
        <f t="shared" si="154"/>
        <v>1.1660000085830688</v>
      </c>
      <c r="P1178">
        <f t="shared" si="143"/>
        <v>1.2000000079472859</v>
      </c>
      <c r="Q1178">
        <f t="shared" si="132"/>
        <v>1.1661666660081771</v>
      </c>
      <c r="R1178">
        <f t="shared" si="133"/>
        <v>3.3833341939108807E-2</v>
      </c>
      <c r="S1178">
        <f t="shared" si="134"/>
        <v>1.3690485840752022E-2</v>
      </c>
      <c r="T1178">
        <f t="shared" si="135"/>
        <v>2.0535728761128034E-4</v>
      </c>
      <c r="U1178">
        <f t="shared" si="136"/>
        <v>164.75354896170887</v>
      </c>
    </row>
    <row r="1179" spans="1:21" x14ac:dyDescent="0.15">
      <c r="A1179" s="1">
        <v>46150</v>
      </c>
      <c r="B1179">
        <v>1.1970000267028809</v>
      </c>
      <c r="C1179">
        <v>1.2050000429153442</v>
      </c>
      <c r="D1179">
        <v>1.1950000524520874</v>
      </c>
      <c r="E1179">
        <v>1.1959999799728394</v>
      </c>
      <c r="F1179">
        <v>585700</v>
      </c>
      <c r="G1179">
        <v>5857</v>
      </c>
      <c r="H1179">
        <f t="shared" si="144"/>
        <v>1177</v>
      </c>
      <c r="I1179">
        <f>SUM($F$3:F1179)/H1179</f>
        <v>4068826.6882168651</v>
      </c>
      <c r="N1179">
        <f t="shared" si="153"/>
        <v>1.2059999704360962</v>
      </c>
      <c r="O1179">
        <f t="shared" si="154"/>
        <v>1.1660000085830688</v>
      </c>
      <c r="P1179">
        <f t="shared" si="143"/>
        <v>1.1986666917800903</v>
      </c>
      <c r="Q1179">
        <f t="shared" si="132"/>
        <v>1.1712619066238403</v>
      </c>
      <c r="R1179">
        <f t="shared" si="133"/>
        <v>2.740478515625E-2</v>
      </c>
      <c r="S1179">
        <f t="shared" si="134"/>
        <v>1.2775511968703492E-2</v>
      </c>
      <c r="T1179">
        <f t="shared" si="135"/>
        <v>1.9163267953055236E-4</v>
      </c>
      <c r="U1179">
        <f t="shared" si="136"/>
        <v>143.00684634470605</v>
      </c>
    </row>
    <row r="1180" spans="1:21" x14ac:dyDescent="0.15">
      <c r="A1180" s="1">
        <v>46153</v>
      </c>
      <c r="B1180">
        <v>1.2070000171661377</v>
      </c>
      <c r="C1180">
        <v>1.2259999513626099</v>
      </c>
      <c r="D1180">
        <v>1.2039999961853027</v>
      </c>
      <c r="E1180">
        <v>1.2239999771118164</v>
      </c>
      <c r="F1180">
        <v>1827702.875</v>
      </c>
      <c r="G1180">
        <v>18277.029296875</v>
      </c>
      <c r="H1180">
        <f t="shared" si="144"/>
        <v>1178</v>
      </c>
      <c r="I1180">
        <f>SUM($F$3:F1180)/H1180</f>
        <v>4066924.2062022495</v>
      </c>
      <c r="N1180">
        <f t="shared" si="153"/>
        <v>1.2259999513626099</v>
      </c>
      <c r="O1180">
        <f t="shared" si="154"/>
        <v>1.1660000085830688</v>
      </c>
      <c r="P1180">
        <f t="shared" si="143"/>
        <v>1.2179999748865764</v>
      </c>
      <c r="Q1180">
        <f t="shared" si="132"/>
        <v>1.1766190500486464</v>
      </c>
      <c r="R1180">
        <f t="shared" si="133"/>
        <v>4.1380924837929989E-2</v>
      </c>
      <c r="S1180">
        <f t="shared" si="134"/>
        <v>1.4278913841766541E-2</v>
      </c>
      <c r="T1180">
        <f t="shared" si="135"/>
        <v>2.1418370762649809E-4</v>
      </c>
      <c r="U1180">
        <f t="shared" si="136"/>
        <v>193.2029531867646</v>
      </c>
    </row>
    <row r="1181" spans="1:21" x14ac:dyDescent="0.15">
      <c r="A1181" s="1">
        <v>46154</v>
      </c>
      <c r="B1181">
        <v>1.2300000190734863</v>
      </c>
      <c r="C1181">
        <v>1.2300000190734863</v>
      </c>
      <c r="D1181">
        <v>1.2100000381469727</v>
      </c>
      <c r="E1181">
        <v>1.2220000028610229</v>
      </c>
      <c r="F1181">
        <v>2837503</v>
      </c>
      <c r="G1181">
        <v>28375.029296875</v>
      </c>
      <c r="H1181">
        <f t="shared" si="144"/>
        <v>1179</v>
      </c>
      <c r="I1181">
        <f>SUM($F$3:F1181)/H1181</f>
        <v>4065881.4401240456</v>
      </c>
      <c r="N1181">
        <f t="shared" si="153"/>
        <v>1.2300000190734863</v>
      </c>
      <c r="O1181">
        <f t="shared" si="154"/>
        <v>1.1660000085830688</v>
      </c>
      <c r="P1181">
        <f t="shared" si="143"/>
        <v>1.2206666866938274</v>
      </c>
      <c r="Q1181">
        <f t="shared" si="132"/>
        <v>1.1814285743804205</v>
      </c>
      <c r="R1181">
        <f t="shared" si="133"/>
        <v>3.9238112313406903E-2</v>
      </c>
      <c r="S1181">
        <f t="shared" si="134"/>
        <v>1.6646261117896244E-2</v>
      </c>
      <c r="T1181">
        <f t="shared" si="135"/>
        <v>2.4969391676844365E-4</v>
      </c>
      <c r="U1181">
        <f t="shared" si="136"/>
        <v>157.14484686382966</v>
      </c>
    </row>
    <row r="1182" spans="1:21" x14ac:dyDescent="0.15">
      <c r="A1182" s="1">
        <v>46155</v>
      </c>
      <c r="B1182">
        <v>1.2220000028610229</v>
      </c>
      <c r="C1182">
        <v>1.2430000305175781</v>
      </c>
      <c r="D1182">
        <v>1.2150000333786011</v>
      </c>
      <c r="E1182">
        <v>1.2430000305175781</v>
      </c>
      <c r="F1182">
        <v>3813105.75</v>
      </c>
      <c r="G1182">
        <v>38131.05859375</v>
      </c>
      <c r="H1182">
        <f t="shared" si="144"/>
        <v>1180</v>
      </c>
      <c r="I1182">
        <f>SUM($F$3:F1182)/H1182</f>
        <v>4065667.2234375002</v>
      </c>
      <c r="N1182">
        <f t="shared" si="153"/>
        <v>1.2430000305175781</v>
      </c>
      <c r="O1182">
        <f t="shared" si="154"/>
        <v>1.1660000085830688</v>
      </c>
      <c r="P1182">
        <f t="shared" si="143"/>
        <v>1.2336666981379192</v>
      </c>
      <c r="Q1182">
        <f t="shared" si="132"/>
        <v>1.1867142915725708</v>
      </c>
      <c r="R1182">
        <f t="shared" si="133"/>
        <v>4.6952406565348381E-2</v>
      </c>
      <c r="S1182">
        <f t="shared" si="134"/>
        <v>1.9632657368977853E-2</v>
      </c>
      <c r="T1182">
        <f t="shared" si="135"/>
        <v>2.9448986053466777E-4</v>
      </c>
      <c r="U1182">
        <f t="shared" si="136"/>
        <v>159.43641142721475</v>
      </c>
    </row>
    <row r="1183" spans="1:21" x14ac:dyDescent="0.15">
      <c r="A1183" s="1">
        <v>46156</v>
      </c>
      <c r="B1183">
        <v>1.2389999628067017</v>
      </c>
      <c r="C1183">
        <v>1.2560000419616699</v>
      </c>
      <c r="D1183">
        <v>1.2150000333786011</v>
      </c>
      <c r="E1183">
        <v>1.2239999771118164</v>
      </c>
      <c r="F1183">
        <v>1523502</v>
      </c>
      <c r="G1183">
        <v>15235.01953125</v>
      </c>
      <c r="H1183">
        <f t="shared" si="144"/>
        <v>1181</v>
      </c>
      <c r="I1183">
        <f>SUM($F$3:F1183)/H1183</f>
        <v>4063514.6703270534</v>
      </c>
      <c r="N1183">
        <f t="shared" si="153"/>
        <v>1.2560000419616699</v>
      </c>
      <c r="O1183">
        <f t="shared" si="154"/>
        <v>1.1660000085830688</v>
      </c>
      <c r="P1183">
        <f t="shared" si="143"/>
        <v>1.2316666841506958</v>
      </c>
      <c r="Q1183">
        <f t="shared" si="132"/>
        <v>1.1918809584208898</v>
      </c>
      <c r="R1183">
        <f t="shared" si="133"/>
        <v>3.9785725729805987E-2</v>
      </c>
      <c r="S1183">
        <f t="shared" si="134"/>
        <v>2.1625856153008081E-2</v>
      </c>
      <c r="T1183">
        <f t="shared" si="135"/>
        <v>3.2438784229512122E-4</v>
      </c>
      <c r="U1183">
        <f t="shared" si="136"/>
        <v>122.64863395715605</v>
      </c>
    </row>
    <row r="1184" spans="1:21" x14ac:dyDescent="0.15">
      <c r="A1184" s="1">
        <v>46157</v>
      </c>
      <c r="B1184">
        <v>1.218999981880188</v>
      </c>
      <c r="C1184">
        <v>1.2319999933242798</v>
      </c>
      <c r="D1184">
        <v>1.2000000476837158</v>
      </c>
      <c r="E1184">
        <v>1.2100000381469727</v>
      </c>
      <c r="F1184">
        <v>2310300</v>
      </c>
      <c r="G1184">
        <v>23103</v>
      </c>
      <c r="H1184">
        <f t="shared" si="144"/>
        <v>1182</v>
      </c>
      <c r="I1184">
        <f>SUM($F$3:F1184)/H1184</f>
        <v>4062031.4091846445</v>
      </c>
      <c r="N1184">
        <f t="shared" si="153"/>
        <v>1.2560000419616699</v>
      </c>
      <c r="O1184">
        <f t="shared" si="154"/>
        <v>1.1660000085830688</v>
      </c>
      <c r="P1184">
        <f t="shared" si="143"/>
        <v>1.2140000263849895</v>
      </c>
      <c r="Q1184">
        <f t="shared" si="132"/>
        <v>1.1946428673607963</v>
      </c>
      <c r="R1184">
        <f t="shared" si="133"/>
        <v>1.9357159024193216E-2</v>
      </c>
      <c r="S1184">
        <f t="shared" si="134"/>
        <v>2.2023814065115794E-2</v>
      </c>
      <c r="T1184">
        <f t="shared" si="135"/>
        <v>3.3035721097673688E-4</v>
      </c>
      <c r="U1184">
        <f t="shared" si="136"/>
        <v>58.594631450488635</v>
      </c>
    </row>
    <row r="1185" spans="1:21" x14ac:dyDescent="0.15">
      <c r="A1185" s="1">
        <v>46160</v>
      </c>
      <c r="B1185">
        <v>1.2009999752044678</v>
      </c>
      <c r="C1185">
        <v>1.2150000333786011</v>
      </c>
      <c r="D1185">
        <v>1.1959999799728394</v>
      </c>
      <c r="E1185">
        <v>1.2029999494552612</v>
      </c>
      <c r="F1185">
        <v>1285802</v>
      </c>
      <c r="G1185">
        <v>12858.01953125</v>
      </c>
      <c r="H1185">
        <f t="shared" si="144"/>
        <v>1183</v>
      </c>
      <c r="I1185">
        <f>SUM($F$3:F1185)/H1185</f>
        <v>4059684.6387626794</v>
      </c>
      <c r="N1185">
        <f t="shared" si="153"/>
        <v>1.2560000419616699</v>
      </c>
      <c r="O1185">
        <f t="shared" si="154"/>
        <v>1.1660000085830688</v>
      </c>
      <c r="P1185">
        <f t="shared" si="143"/>
        <v>1.2046666542689006</v>
      </c>
      <c r="Q1185">
        <f t="shared" si="132"/>
        <v>1.1965714380854651</v>
      </c>
      <c r="R1185">
        <f t="shared" si="133"/>
        <v>8.0952161834355607E-3</v>
      </c>
      <c r="S1185">
        <f t="shared" si="134"/>
        <v>2.1251702795223339E-2</v>
      </c>
      <c r="T1185">
        <f t="shared" si="135"/>
        <v>3.1877554192835011E-4</v>
      </c>
      <c r="U1185">
        <f t="shared" si="136"/>
        <v>25.39472173575691</v>
      </c>
    </row>
    <row r="1186" spans="1:21" x14ac:dyDescent="0.15">
      <c r="A1186" s="1">
        <v>46161</v>
      </c>
      <c r="B1186">
        <v>1.1929999589920044</v>
      </c>
      <c r="C1186">
        <v>1.2029999494552612</v>
      </c>
      <c r="D1186">
        <v>1.1779999732971191</v>
      </c>
      <c r="E1186">
        <v>1.2029999494552612</v>
      </c>
      <c r="F1186">
        <v>1353000</v>
      </c>
      <c r="G1186">
        <v>13530</v>
      </c>
      <c r="H1186">
        <f t="shared" si="144"/>
        <v>1184</v>
      </c>
      <c r="I1186">
        <f>SUM($F$3:F1186)/H1186</f>
        <v>4057398.5875475085</v>
      </c>
      <c r="N1186">
        <f t="shared" si="153"/>
        <v>1.2560000419616699</v>
      </c>
      <c r="O1186">
        <f t="shared" si="154"/>
        <v>1.1660000085830688</v>
      </c>
      <c r="P1186">
        <f t="shared" si="143"/>
        <v>1.1946666240692139</v>
      </c>
      <c r="Q1186">
        <f t="shared" si="132"/>
        <v>1.1986428641137619</v>
      </c>
      <c r="R1186">
        <f t="shared" si="133"/>
        <v>-3.9762400445479962E-3</v>
      </c>
      <c r="S1186">
        <f t="shared" si="134"/>
        <v>1.8884358762883875E-2</v>
      </c>
      <c r="T1186">
        <f t="shared" si="135"/>
        <v>2.832653814432581E-4</v>
      </c>
      <c r="U1186">
        <f t="shared" si="136"/>
        <v>-14.037154926199449</v>
      </c>
    </row>
    <row r="1187" spans="1:21" x14ac:dyDescent="0.15">
      <c r="A1187" s="1">
        <v>46162</v>
      </c>
      <c r="B1187">
        <v>1.1940000057220459</v>
      </c>
      <c r="C1187">
        <v>1.2050000429153442</v>
      </c>
      <c r="D1187">
        <v>1.1909999847412109</v>
      </c>
      <c r="E1187">
        <v>1.1990000009536743</v>
      </c>
      <c r="F1187">
        <v>1973003.875</v>
      </c>
      <c r="G1187">
        <v>19730.0390625</v>
      </c>
      <c r="H1187">
        <f t="shared" si="144"/>
        <v>1185</v>
      </c>
      <c r="I1187">
        <f>SUM($F$3:F1187)/H1187</f>
        <v>4055639.6046677213</v>
      </c>
      <c r="N1187">
        <f t="shared" si="153"/>
        <v>1.2560000419616699</v>
      </c>
      <c r="O1187">
        <f t="shared" si="154"/>
        <v>1.1660000085830688</v>
      </c>
      <c r="P1187">
        <f t="shared" si="143"/>
        <v>1.1983333428700764</v>
      </c>
      <c r="Q1187">
        <f t="shared" si="132"/>
        <v>1.200595242636544</v>
      </c>
      <c r="R1187">
        <f t="shared" si="133"/>
        <v>-2.2618997664676233E-3</v>
      </c>
      <c r="S1187">
        <f t="shared" si="134"/>
        <v>1.7013609814806024E-2</v>
      </c>
      <c r="T1187">
        <f t="shared" si="135"/>
        <v>2.5520414722209034E-4</v>
      </c>
      <c r="U1187">
        <f t="shared" si="136"/>
        <v>-8.8630995659299163</v>
      </c>
    </row>
    <row r="1188" spans="1:21" x14ac:dyDescent="0.15">
      <c r="A1188" s="1">
        <v>46163</v>
      </c>
      <c r="B1188">
        <v>1.2109999656677246</v>
      </c>
      <c r="C1188">
        <v>1.2319999933242798</v>
      </c>
      <c r="D1188">
        <v>1.1859999895095825</v>
      </c>
      <c r="E1188">
        <v>1.1859999895095825</v>
      </c>
      <c r="F1188">
        <v>4589602</v>
      </c>
      <c r="G1188">
        <v>45896.01953125</v>
      </c>
      <c r="H1188">
        <f t="shared" si="144"/>
        <v>1186</v>
      </c>
      <c r="I1188">
        <f>SUM($F$3:F1188)/H1188</f>
        <v>4056089.8259116779</v>
      </c>
      <c r="N1188">
        <f t="shared" si="153"/>
        <v>1.2560000419616699</v>
      </c>
      <c r="O1188">
        <f t="shared" si="154"/>
        <v>1.1660000085830688</v>
      </c>
      <c r="P1188">
        <f t="shared" si="143"/>
        <v>1.2013333241144817</v>
      </c>
      <c r="Q1188">
        <f t="shared" si="132"/>
        <v>1.203619054385594</v>
      </c>
      <c r="R1188">
        <f t="shared" si="133"/>
        <v>-2.2857302711123406E-3</v>
      </c>
      <c r="S1188">
        <f t="shared" si="134"/>
        <v>1.4421771172763569E-2</v>
      </c>
      <c r="T1188">
        <f t="shared" si="135"/>
        <v>2.1632656759145352E-4</v>
      </c>
      <c r="U1188">
        <f t="shared" si="136"/>
        <v>-10.56610982442567</v>
      </c>
    </row>
    <row r="1189" spans="1:21" x14ac:dyDescent="0.15">
      <c r="A1189" s="1">
        <v>46164</v>
      </c>
      <c r="B1189">
        <v>1.190000057220459</v>
      </c>
      <c r="C1189">
        <v>1.2150000333786011</v>
      </c>
      <c r="D1189">
        <v>1.190000057220459</v>
      </c>
      <c r="E1189">
        <v>1.2150000333786011</v>
      </c>
      <c r="F1189">
        <v>3018704</v>
      </c>
      <c r="G1189">
        <v>30187.0390625</v>
      </c>
      <c r="H1189">
        <f t="shared" si="144"/>
        <v>1187</v>
      </c>
      <c r="I1189">
        <f>SUM($F$3:F1189)/H1189</f>
        <v>4055215.8698662594</v>
      </c>
      <c r="N1189">
        <f t="shared" si="153"/>
        <v>1.2560000419616699</v>
      </c>
      <c r="O1189">
        <f t="shared" si="154"/>
        <v>1.1660000085830688</v>
      </c>
      <c r="P1189">
        <f t="shared" si="143"/>
        <v>1.2066667079925537</v>
      </c>
      <c r="Q1189">
        <f t="shared" si="132"/>
        <v>1.206261912981669</v>
      </c>
      <c r="R1189">
        <f t="shared" si="133"/>
        <v>4.0479501088475089E-4</v>
      </c>
      <c r="S1189">
        <f t="shared" si="134"/>
        <v>1.2442185765221001E-2</v>
      </c>
      <c r="T1189">
        <f t="shared" si="135"/>
        <v>1.8663278647831501E-4</v>
      </c>
      <c r="U1189">
        <f t="shared" si="136"/>
        <v>2.1689383656701944</v>
      </c>
    </row>
    <row r="1190" spans="1:21" x14ac:dyDescent="0.15">
      <c r="A1190" s="1">
        <v>46167</v>
      </c>
      <c r="B1190">
        <v>1.2239999771118164</v>
      </c>
      <c r="C1190">
        <v>1.2380000352859497</v>
      </c>
      <c r="D1190">
        <v>1.2109999656677246</v>
      </c>
      <c r="E1190">
        <v>1.2359999418258667</v>
      </c>
      <c r="F1190">
        <v>1636907</v>
      </c>
      <c r="G1190">
        <v>16369.0703125</v>
      </c>
      <c r="H1190">
        <f t="shared" si="144"/>
        <v>1188</v>
      </c>
      <c r="I1190">
        <f>SUM($F$3:F1190)/H1190</f>
        <v>4053180.2563394359</v>
      </c>
      <c r="N1190">
        <f t="shared" si="153"/>
        <v>1.2560000419616699</v>
      </c>
      <c r="O1190">
        <f t="shared" si="154"/>
        <v>1.1660000085830688</v>
      </c>
      <c r="P1190">
        <f t="shared" si="143"/>
        <v>1.2283333142598469</v>
      </c>
      <c r="Q1190">
        <f t="shared" si="132"/>
        <v>1.2097857197125752</v>
      </c>
      <c r="R1190">
        <f t="shared" si="133"/>
        <v>1.8547594547271729E-2</v>
      </c>
      <c r="S1190">
        <f t="shared" si="134"/>
        <v>1.2517009462629045E-2</v>
      </c>
      <c r="T1190">
        <f t="shared" si="135"/>
        <v>1.8775514193943566E-4</v>
      </c>
      <c r="U1190">
        <f t="shared" si="136"/>
        <v>98.786080400688263</v>
      </c>
    </row>
    <row r="1191" spans="1:21" x14ac:dyDescent="0.15">
      <c r="A1191" s="1">
        <v>46168</v>
      </c>
      <c r="B1191">
        <v>1.2630000114440918</v>
      </c>
      <c r="C1191">
        <v>1.2630000114440918</v>
      </c>
      <c r="D1191">
        <v>1.2130000591278076</v>
      </c>
      <c r="E1191">
        <v>1.2450000047683716</v>
      </c>
      <c r="F1191">
        <v>2589104</v>
      </c>
      <c r="G1191">
        <v>25891.0390625</v>
      </c>
      <c r="H1191">
        <f t="shared" si="144"/>
        <v>1189</v>
      </c>
      <c r="I1191">
        <f>SUM($F$3:F1191)/H1191</f>
        <v>4051948.905408957</v>
      </c>
      <c r="N1191">
        <f t="shared" si="153"/>
        <v>1.2630000114440918</v>
      </c>
      <c r="O1191">
        <f t="shared" si="154"/>
        <v>1.1660000085830688</v>
      </c>
      <c r="P1191">
        <f t="shared" si="143"/>
        <v>1.2403333584467571</v>
      </c>
      <c r="Q1191">
        <f t="shared" si="132"/>
        <v>1.2136428640002297</v>
      </c>
      <c r="R1191">
        <f t="shared" si="133"/>
        <v>2.669049444652738E-2</v>
      </c>
      <c r="S1191">
        <f t="shared" si="134"/>
        <v>1.3023813565572124E-2</v>
      </c>
      <c r="T1191">
        <f t="shared" si="135"/>
        <v>1.9535720348358185E-4</v>
      </c>
      <c r="U1191">
        <f t="shared" si="136"/>
        <v>136.62406080035075</v>
      </c>
    </row>
    <row r="1192" spans="1:21" x14ac:dyDescent="0.15">
      <c r="A1192" s="1">
        <v>46169</v>
      </c>
      <c r="B1192">
        <v>1.2439999580383301</v>
      </c>
      <c r="C1192">
        <v>1.2640000581741333</v>
      </c>
      <c r="D1192">
        <v>1.2350000143051147</v>
      </c>
      <c r="E1192">
        <v>1.2389999628067017</v>
      </c>
      <c r="F1192">
        <v>1705300</v>
      </c>
      <c r="G1192">
        <v>17053</v>
      </c>
      <c r="H1192">
        <f t="shared" si="144"/>
        <v>1190</v>
      </c>
      <c r="I1192">
        <f>SUM($F$3:F1192)/H1192</f>
        <v>4049976.9315388654</v>
      </c>
      <c r="N1192">
        <f t="shared" si="153"/>
        <v>1.2640000581741333</v>
      </c>
      <c r="O1192">
        <f t="shared" si="154"/>
        <v>1.1660000085830688</v>
      </c>
      <c r="P1192">
        <f t="shared" si="143"/>
        <v>1.2460000117619832</v>
      </c>
      <c r="Q1192">
        <f t="shared" si="132"/>
        <v>1.2169285785584223</v>
      </c>
      <c r="R1192">
        <f t="shared" si="133"/>
        <v>2.907143320356087E-2</v>
      </c>
      <c r="S1192">
        <f t="shared" si="134"/>
        <v>1.4309525489807129E-2</v>
      </c>
      <c r="T1192">
        <f t="shared" si="135"/>
        <v>2.1464288234710691E-4</v>
      </c>
      <c r="U1192">
        <f t="shared" si="136"/>
        <v>135.44093745698208</v>
      </c>
    </row>
    <row r="1193" spans="1:21" x14ac:dyDescent="0.15">
      <c r="A1193" s="1">
        <v>46170</v>
      </c>
      <c r="B1193">
        <v>1.25</v>
      </c>
      <c r="C1193">
        <v>1.2680000066757202</v>
      </c>
      <c r="D1193">
        <v>1.2209999561309814</v>
      </c>
      <c r="E1193">
        <v>1.2519999742507935</v>
      </c>
      <c r="F1193">
        <v>2592805</v>
      </c>
      <c r="G1193">
        <v>25928.05078125</v>
      </c>
      <c r="H1193">
        <f t="shared" si="144"/>
        <v>1191</v>
      </c>
      <c r="I1193">
        <f>SUM($F$3:F1193)/H1193</f>
        <v>4048753.4454502519</v>
      </c>
      <c r="N1193">
        <f t="shared" si="153"/>
        <v>1.2680000066757202</v>
      </c>
      <c r="O1193">
        <f t="shared" si="154"/>
        <v>1.1660000085830688</v>
      </c>
      <c r="P1193">
        <f t="shared" si="143"/>
        <v>1.246999979019165</v>
      </c>
      <c r="Q1193">
        <f t="shared" si="132"/>
        <v>1.2203809562183563</v>
      </c>
      <c r="R1193">
        <f t="shared" si="133"/>
        <v>2.6619022800808745E-2</v>
      </c>
      <c r="S1193">
        <f t="shared" si="134"/>
        <v>1.5000005563100169E-2</v>
      </c>
      <c r="T1193">
        <f t="shared" si="135"/>
        <v>2.2500008344650252E-4</v>
      </c>
      <c r="U1193">
        <f t="shared" si="136"/>
        <v>118.30672412678396</v>
      </c>
    </row>
    <row r="1194" spans="1:21" x14ac:dyDescent="0.15">
      <c r="A1194" s="1">
        <v>46171</v>
      </c>
      <c r="B1194">
        <v>1.2519999742507935</v>
      </c>
      <c r="C1194">
        <v>1.2680000066757202</v>
      </c>
      <c r="D1194">
        <v>1.2369999885559082</v>
      </c>
      <c r="E1194">
        <v>1.2450000047683716</v>
      </c>
      <c r="F1194">
        <v>2806705</v>
      </c>
      <c r="G1194">
        <v>28067.05078125</v>
      </c>
      <c r="H1194">
        <f t="shared" si="144"/>
        <v>1192</v>
      </c>
      <c r="I1194">
        <f>SUM($F$3:F1194)/H1194</f>
        <v>4047711.4584993706</v>
      </c>
      <c r="N1194">
        <f>VLOOKUP(L62,A:C,3)</f>
        <v>1.2489999532699585</v>
      </c>
      <c r="O1194">
        <f>VLOOKUP(L62,A:D,4)</f>
        <v>1.218000054359436</v>
      </c>
      <c r="P1194">
        <f t="shared" si="143"/>
        <v>1.25</v>
      </c>
      <c r="Q1194">
        <f t="shared" si="132"/>
        <v>1.2226666722978865</v>
      </c>
      <c r="R1194">
        <f t="shared" si="133"/>
        <v>2.7333327702113497E-2</v>
      </c>
      <c r="S1194">
        <f t="shared" si="134"/>
        <v>1.6904762813023142E-2</v>
      </c>
      <c r="T1194">
        <f t="shared" si="135"/>
        <v>2.5357144219534714E-4</v>
      </c>
      <c r="U1194">
        <f t="shared" si="136"/>
        <v>107.7933992308817</v>
      </c>
    </row>
    <row r="1195" spans="1:21" x14ac:dyDescent="0.15">
      <c r="A1195" s="1">
        <v>46174</v>
      </c>
      <c r="B1195">
        <v>1.2410000562667847</v>
      </c>
      <c r="C1195">
        <v>1.2489999532699585</v>
      </c>
      <c r="D1195">
        <v>1.218000054359436</v>
      </c>
      <c r="E1195">
        <v>1.2209999561309814</v>
      </c>
      <c r="F1195">
        <v>2885709</v>
      </c>
      <c r="G1195">
        <v>28857.08984375</v>
      </c>
      <c r="H1195">
        <f t="shared" si="144"/>
        <v>1193</v>
      </c>
      <c r="I1195">
        <f>SUM($F$3:F1195)/H1195</f>
        <v>4046737.4413505867</v>
      </c>
      <c r="N1195">
        <f t="shared" ref="N1195:N1214" si="155">IF(A1195&lt;&gt;$K$62,MAX(N1194,VLOOKUP(A1195,A:C,3)),)</f>
        <v>1.2489999532699585</v>
      </c>
      <c r="O1195">
        <f t="shared" ref="O1195:O1214" si="156">IF(A1195&lt;&gt;$K$62,MIN(O1194,VLOOKUP(A1195,A:D,4)),)</f>
        <v>1.218000054359436</v>
      </c>
      <c r="P1195">
        <f t="shared" si="143"/>
        <v>1.2293333212534587</v>
      </c>
      <c r="Q1195">
        <f t="shared" si="132"/>
        <v>1.2232857176235743</v>
      </c>
      <c r="R1195">
        <f t="shared" si="133"/>
        <v>6.0476036298844349E-3</v>
      </c>
      <c r="S1195">
        <f t="shared" si="134"/>
        <v>1.7149660863032965E-2</v>
      </c>
      <c r="T1195">
        <f t="shared" si="135"/>
        <v>2.5724491294549449E-4</v>
      </c>
      <c r="U1195">
        <f t="shared" si="136"/>
        <v>23.509128171431758</v>
      </c>
    </row>
    <row r="1196" spans="1:21" x14ac:dyDescent="0.15">
      <c r="A1196" s="1">
        <v>46175</v>
      </c>
      <c r="B1196">
        <v>1.2350000143051147</v>
      </c>
      <c r="C1196">
        <v>1.2519999742507935</v>
      </c>
      <c r="D1196">
        <v>1.2170000076293945</v>
      </c>
      <c r="E1196">
        <v>1.2489999532699585</v>
      </c>
      <c r="F1196">
        <v>4139100</v>
      </c>
      <c r="G1196">
        <v>41391</v>
      </c>
      <c r="H1196">
        <f t="shared" si="144"/>
        <v>1194</v>
      </c>
      <c r="I1196">
        <f>SUM($F$3:F1196)/H1196</f>
        <v>4046814.796927345</v>
      </c>
      <c r="N1196">
        <f t="shared" si="155"/>
        <v>1.2519999742507935</v>
      </c>
      <c r="O1196">
        <f t="shared" si="156"/>
        <v>1.2170000076293945</v>
      </c>
      <c r="P1196">
        <f t="shared" si="143"/>
        <v>1.2393333117167156</v>
      </c>
      <c r="Q1196">
        <f t="shared" si="132"/>
        <v>1.2236904757363456</v>
      </c>
      <c r="R1196">
        <f t="shared" si="133"/>
        <v>1.5642835980369973E-2</v>
      </c>
      <c r="S1196">
        <f t="shared" si="134"/>
        <v>1.7496596388265378E-2</v>
      </c>
      <c r="T1196">
        <f t="shared" si="135"/>
        <v>2.6244894582398064E-4</v>
      </c>
      <c r="U1196">
        <f t="shared" si="136"/>
        <v>59.6033484960588</v>
      </c>
    </row>
    <row r="1197" spans="1:21" x14ac:dyDescent="0.15">
      <c r="A1197" s="1">
        <v>46176</v>
      </c>
      <c r="B1197">
        <v>1.2539999485015869</v>
      </c>
      <c r="C1197">
        <v>1.281000018119812</v>
      </c>
      <c r="D1197">
        <v>1.2480000257492065</v>
      </c>
      <c r="E1197">
        <v>1.2560000419616699</v>
      </c>
      <c r="F1197">
        <v>4913218</v>
      </c>
      <c r="G1197">
        <v>49132.1796875</v>
      </c>
      <c r="H1197">
        <f t="shared" si="144"/>
        <v>1195</v>
      </c>
      <c r="I1197">
        <f>SUM($F$3:F1197)/H1197</f>
        <v>4047539.8205282427</v>
      </c>
      <c r="N1197">
        <f t="shared" si="155"/>
        <v>1.281000018119812</v>
      </c>
      <c r="O1197">
        <f t="shared" si="156"/>
        <v>1.2170000076293945</v>
      </c>
      <c r="P1197">
        <f t="shared" si="143"/>
        <v>1.2616666952768962</v>
      </c>
      <c r="Q1197">
        <f t="shared" si="132"/>
        <v>1.2258333336739313</v>
      </c>
      <c r="R1197">
        <f t="shared" si="133"/>
        <v>3.5833361602964908E-2</v>
      </c>
      <c r="S1197">
        <f t="shared" si="134"/>
        <v>1.9333331763338877E-2</v>
      </c>
      <c r="T1197">
        <f t="shared" si="135"/>
        <v>2.8999997645008316E-4</v>
      </c>
      <c r="U1197">
        <f t="shared" si="136"/>
        <v>123.56332590645158</v>
      </c>
    </row>
    <row r="1198" spans="1:21" x14ac:dyDescent="0.15">
      <c r="A1198" s="1">
        <v>46177</v>
      </c>
      <c r="B1198">
        <v>1.2699999809265137</v>
      </c>
      <c r="C1198">
        <v>1.2699999809265137</v>
      </c>
      <c r="D1198">
        <v>1.25</v>
      </c>
      <c r="E1198">
        <v>1.2560000419616699</v>
      </c>
      <c r="F1198">
        <v>2417115</v>
      </c>
      <c r="G1198">
        <v>24171.150390625</v>
      </c>
      <c r="H1198">
        <f t="shared" si="144"/>
        <v>1196</v>
      </c>
      <c r="I1198">
        <f>SUM($F$3:F1198)/H1198</f>
        <v>4046176.5890729516</v>
      </c>
      <c r="N1198">
        <f t="shared" si="155"/>
        <v>1.281000018119812</v>
      </c>
      <c r="O1198">
        <f t="shared" si="156"/>
        <v>1.2170000076293945</v>
      </c>
      <c r="P1198">
        <f t="shared" si="143"/>
        <v>1.2586666742960613</v>
      </c>
      <c r="Q1198">
        <f t="shared" si="132"/>
        <v>1.229023808524722</v>
      </c>
      <c r="R1198">
        <f t="shared" si="133"/>
        <v>2.9642865771339233E-2</v>
      </c>
      <c r="S1198">
        <f t="shared" si="134"/>
        <v>2.0020411939037124E-2</v>
      </c>
      <c r="T1198">
        <f t="shared" si="135"/>
        <v>3.0030617908555684E-4</v>
      </c>
      <c r="U1198">
        <f t="shared" si="136"/>
        <v>98.708810659849988</v>
      </c>
    </row>
    <row r="1199" spans="1:21" x14ac:dyDescent="0.15">
      <c r="A1199" s="1">
        <v>46178</v>
      </c>
      <c r="B1199">
        <v>1.2560000419616699</v>
      </c>
      <c r="C1199">
        <v>1.2599999904632568</v>
      </c>
      <c r="D1199">
        <v>1.218000054359436</v>
      </c>
      <c r="E1199">
        <v>1.2239999771118164</v>
      </c>
      <c r="F1199">
        <v>2687302</v>
      </c>
      <c r="G1199">
        <v>26873.01953125</v>
      </c>
      <c r="H1199">
        <f t="shared" si="144"/>
        <v>1197</v>
      </c>
      <c r="I1199">
        <f>SUM($F$3:F1199)/H1199</f>
        <v>4045041.3554981202</v>
      </c>
      <c r="N1199">
        <f t="shared" si="155"/>
        <v>1.281000018119812</v>
      </c>
      <c r="O1199">
        <f t="shared" si="156"/>
        <v>1.2170000076293945</v>
      </c>
      <c r="P1199">
        <f t="shared" si="143"/>
        <v>1.2340000073115032</v>
      </c>
      <c r="Q1199">
        <f t="shared" si="132"/>
        <v>1.2311190480277652</v>
      </c>
      <c r="R1199">
        <f t="shared" si="133"/>
        <v>2.8809592837379938E-3</v>
      </c>
      <c r="S1199">
        <f t="shared" si="134"/>
        <v>1.8292521943851416E-2</v>
      </c>
      <c r="T1199">
        <f t="shared" si="135"/>
        <v>2.7438782915777121E-4</v>
      </c>
      <c r="U1199">
        <f t="shared" si="136"/>
        <v>10.49958845689712</v>
      </c>
    </row>
    <row r="1200" spans="1:21" x14ac:dyDescent="0.15">
      <c r="A1200" s="1">
        <v>46181</v>
      </c>
      <c r="B1200">
        <v>1.2120000123977661</v>
      </c>
      <c r="C1200">
        <v>1.2120000123977661</v>
      </c>
      <c r="D1200">
        <v>1.1829999685287476</v>
      </c>
      <c r="E1200">
        <v>1.1890000104904175</v>
      </c>
      <c r="F1200">
        <v>2282700</v>
      </c>
      <c r="G1200">
        <v>22827</v>
      </c>
      <c r="H1200">
        <f t="shared" si="144"/>
        <v>1198</v>
      </c>
      <c r="I1200">
        <f>SUM($F$3:F1200)/H1200</f>
        <v>4043570.2859192402</v>
      </c>
      <c r="N1200">
        <f t="shared" si="155"/>
        <v>1.281000018119812</v>
      </c>
      <c r="O1200">
        <f t="shared" si="156"/>
        <v>1.1829999685287476</v>
      </c>
      <c r="P1200">
        <f t="shared" si="143"/>
        <v>1.1946666638056438</v>
      </c>
      <c r="Q1200">
        <f t="shared" si="132"/>
        <v>1.2311190508660814</v>
      </c>
      <c r="R1200">
        <f t="shared" si="133"/>
        <v>-3.645238706043763E-2</v>
      </c>
      <c r="S1200">
        <f t="shared" si="134"/>
        <v>1.8292518700061242E-2</v>
      </c>
      <c r="T1200">
        <f t="shared" si="135"/>
        <v>2.7438778050091863E-4</v>
      </c>
      <c r="U1200">
        <f t="shared" si="136"/>
        <v>-132.84989219961125</v>
      </c>
    </row>
    <row r="1201" spans="1:21" x14ac:dyDescent="0.15">
      <c r="A1201" s="1">
        <v>46182</v>
      </c>
      <c r="B1201">
        <v>1.2000000476837158</v>
      </c>
      <c r="C1201">
        <v>1.2300000190734863</v>
      </c>
      <c r="D1201">
        <v>1.1929999589920044</v>
      </c>
      <c r="E1201">
        <v>1.2230000495910645</v>
      </c>
      <c r="F1201">
        <v>3061100</v>
      </c>
      <c r="G1201">
        <v>30611</v>
      </c>
      <c r="H1201">
        <f t="shared" si="144"/>
        <v>1199</v>
      </c>
      <c r="I1201">
        <f>SUM($F$3:F1201)/H1201</f>
        <v>4042750.8778409092</v>
      </c>
      <c r="N1201">
        <f t="shared" si="155"/>
        <v>1.281000018119812</v>
      </c>
      <c r="O1201">
        <f t="shared" si="156"/>
        <v>1.1829999685287476</v>
      </c>
      <c r="P1201">
        <f t="shared" si="143"/>
        <v>1.2153333425521851</v>
      </c>
      <c r="Q1201">
        <f t="shared" si="132"/>
        <v>1.2323333365576605</v>
      </c>
      <c r="R1201">
        <f t="shared" si="133"/>
        <v>-1.6999994005475472E-2</v>
      </c>
      <c r="S1201">
        <f t="shared" si="134"/>
        <v>1.6904763623970753E-2</v>
      </c>
      <c r="T1201">
        <f t="shared" si="135"/>
        <v>2.5357145435956128E-4</v>
      </c>
      <c r="U1201">
        <f t="shared" si="136"/>
        <v>-67.042223062575829</v>
      </c>
    </row>
    <row r="1202" spans="1:21" x14ac:dyDescent="0.15">
      <c r="A1202" s="1">
        <v>46183</v>
      </c>
      <c r="B1202">
        <v>1.2109999656677246</v>
      </c>
      <c r="C1202">
        <v>1.2289999723434448</v>
      </c>
      <c r="D1202">
        <v>1.190000057220459</v>
      </c>
      <c r="E1202">
        <v>1.1970000267028809</v>
      </c>
      <c r="F1202">
        <v>2207300</v>
      </c>
      <c r="G1202">
        <v>22073</v>
      </c>
      <c r="H1202">
        <f t="shared" si="144"/>
        <v>1200</v>
      </c>
      <c r="I1202">
        <f>SUM($F$3:F1202)/H1202</f>
        <v>4041221.3354427083</v>
      </c>
      <c r="N1202">
        <f t="shared" si="155"/>
        <v>1.281000018119812</v>
      </c>
      <c r="O1202">
        <f t="shared" si="156"/>
        <v>1.1829999685287476</v>
      </c>
      <c r="P1202">
        <f t="shared" si="143"/>
        <v>1.2053333520889282</v>
      </c>
      <c r="Q1202">
        <f t="shared" si="132"/>
        <v>1.2326190528415495</v>
      </c>
      <c r="R1202">
        <f t="shared" si="133"/>
        <v>-2.7285700752621267E-2</v>
      </c>
      <c r="S1202">
        <f t="shared" si="134"/>
        <v>1.6578230728097578E-2</v>
      </c>
      <c r="T1202">
        <f t="shared" si="135"/>
        <v>2.4867346092146368E-4</v>
      </c>
      <c r="U1202">
        <f t="shared" si="136"/>
        <v>-109.72502112414266</v>
      </c>
    </row>
    <row r="1203" spans="1:21" x14ac:dyDescent="0.15">
      <c r="A1203" s="1">
        <v>46184</v>
      </c>
      <c r="B1203">
        <v>1.1940000057220459</v>
      </c>
      <c r="C1203">
        <v>1.2059999704360962</v>
      </c>
      <c r="D1203">
        <v>1.1710000038146973</v>
      </c>
      <c r="E1203">
        <v>1.1809999942779541</v>
      </c>
      <c r="F1203">
        <v>2693002</v>
      </c>
      <c r="G1203">
        <v>26930.01953125</v>
      </c>
      <c r="H1203">
        <f t="shared" si="144"/>
        <v>1201</v>
      </c>
      <c r="I1203">
        <f>SUM($F$3:F1203)/H1203</f>
        <v>4040098.7548136967</v>
      </c>
      <c r="N1203">
        <f t="shared" si="155"/>
        <v>1.281000018119812</v>
      </c>
      <c r="O1203">
        <f t="shared" si="156"/>
        <v>1.1710000038146973</v>
      </c>
      <c r="P1203">
        <f t="shared" si="143"/>
        <v>1.1859999895095825</v>
      </c>
      <c r="Q1203">
        <f t="shared" si="132"/>
        <v>1.2311428586641944</v>
      </c>
      <c r="R1203">
        <f t="shared" si="133"/>
        <v>-4.5142869154611853E-2</v>
      </c>
      <c r="S1203">
        <f t="shared" si="134"/>
        <v>1.8265309787931967E-2</v>
      </c>
      <c r="T1203">
        <f t="shared" si="135"/>
        <v>2.7397964681897949E-4</v>
      </c>
      <c r="U1203">
        <f t="shared" si="136"/>
        <v>-164.76723610216968</v>
      </c>
    </row>
    <row r="1204" spans="1:21" x14ac:dyDescent="0.15">
      <c r="A1204" s="1">
        <v>46185</v>
      </c>
      <c r="B1204">
        <v>1.1990000009536743</v>
      </c>
      <c r="C1204">
        <v>1.2070000171661377</v>
      </c>
      <c r="D1204">
        <v>1.1909999847412109</v>
      </c>
      <c r="E1204">
        <v>1.1940000057220459</v>
      </c>
      <c r="F1204">
        <v>3299102</v>
      </c>
      <c r="G1204">
        <v>32991.01953125</v>
      </c>
      <c r="H1204">
        <f t="shared" si="144"/>
        <v>1202</v>
      </c>
      <c r="I1204">
        <f>SUM($F$3:F1204)/H1204</f>
        <v>4039482.284967762</v>
      </c>
      <c r="N1204">
        <f t="shared" si="155"/>
        <v>1.281000018119812</v>
      </c>
      <c r="O1204">
        <f t="shared" si="156"/>
        <v>1.1710000038146973</v>
      </c>
      <c r="P1204">
        <f t="shared" si="143"/>
        <v>1.1973333358764648</v>
      </c>
      <c r="Q1204">
        <f t="shared" si="132"/>
        <v>1.2289285744939531</v>
      </c>
      <c r="R1204">
        <f t="shared" si="133"/>
        <v>-3.1595238617488253E-2</v>
      </c>
      <c r="S1204">
        <f t="shared" si="134"/>
        <v>2.0853741233851673E-2</v>
      </c>
      <c r="T1204">
        <f t="shared" si="135"/>
        <v>3.128061185077751E-4</v>
      </c>
      <c r="U1204">
        <f t="shared" si="136"/>
        <v>-101.00582037273328</v>
      </c>
    </row>
    <row r="1205" spans="1:21" x14ac:dyDescent="0.15">
      <c r="A1205" s="1">
        <v>46188</v>
      </c>
      <c r="B1205">
        <v>1.2070000171661377</v>
      </c>
      <c r="C1205">
        <v>1.2339999675750732</v>
      </c>
      <c r="D1205">
        <v>1.2070000171661377</v>
      </c>
      <c r="E1205">
        <v>1.2330000400543213</v>
      </c>
      <c r="F1205">
        <v>3050800</v>
      </c>
      <c r="G1205">
        <v>30508</v>
      </c>
      <c r="H1205">
        <f t="shared" si="144"/>
        <v>1203</v>
      </c>
      <c r="I1205">
        <f>SUM($F$3:F1205)/H1205</f>
        <v>4038660.437681837</v>
      </c>
      <c r="N1205">
        <f t="shared" si="155"/>
        <v>1.281000018119812</v>
      </c>
      <c r="O1205">
        <f t="shared" si="156"/>
        <v>1.1710000038146973</v>
      </c>
      <c r="P1205">
        <f t="shared" si="143"/>
        <v>1.224666674931844</v>
      </c>
      <c r="Q1205">
        <f t="shared" si="132"/>
        <v>1.2278095256714592</v>
      </c>
      <c r="R1205">
        <f t="shared" si="133"/>
        <v>-3.1428507396151772E-3</v>
      </c>
      <c r="S1205">
        <f t="shared" si="134"/>
        <v>2.0503399323444027E-2</v>
      </c>
      <c r="T1205">
        <f t="shared" si="135"/>
        <v>3.075509898516604E-4</v>
      </c>
      <c r="U1205">
        <f t="shared" si="136"/>
        <v>-10.218958297390145</v>
      </c>
    </row>
    <row r="1206" spans="1:21" x14ac:dyDescent="0.15">
      <c r="A1206" s="1">
        <v>46189</v>
      </c>
      <c r="B1206">
        <v>1.2400000095367432</v>
      </c>
      <c r="C1206">
        <v>1.2460000514984131</v>
      </c>
      <c r="D1206">
        <v>1.2350000143051147</v>
      </c>
      <c r="E1206">
        <v>1.2410000562667847</v>
      </c>
      <c r="F1206">
        <v>618100</v>
      </c>
      <c r="G1206">
        <v>6181</v>
      </c>
      <c r="H1206">
        <f t="shared" si="144"/>
        <v>1204</v>
      </c>
      <c r="I1206">
        <f>SUM($F$3:F1206)/H1206</f>
        <v>4035819.4406405729</v>
      </c>
      <c r="N1206">
        <f t="shared" si="155"/>
        <v>1.281000018119812</v>
      </c>
      <c r="O1206">
        <f t="shared" si="156"/>
        <v>1.1710000038146973</v>
      </c>
      <c r="P1206">
        <f t="shared" si="143"/>
        <v>1.2406667073567708</v>
      </c>
      <c r="Q1206">
        <f t="shared" si="132"/>
        <v>1.2274285753568015</v>
      </c>
      <c r="R1206">
        <f t="shared" si="133"/>
        <v>1.323813199996926E-2</v>
      </c>
      <c r="S1206">
        <f t="shared" si="134"/>
        <v>2.0176870482308523E-2</v>
      </c>
      <c r="T1206">
        <f t="shared" si="135"/>
        <v>3.0265305723462785E-4</v>
      </c>
      <c r="U1206">
        <f t="shared" si="136"/>
        <v>43.740288371534838</v>
      </c>
    </row>
    <row r="1207" spans="1:21" x14ac:dyDescent="0.15">
      <c r="A1207" s="1">
        <v>46190</v>
      </c>
      <c r="B1207">
        <v>1.2339999675750732</v>
      </c>
      <c r="C1207">
        <v>1.2569999694824219</v>
      </c>
      <c r="D1207">
        <v>1.2330000400543213</v>
      </c>
      <c r="E1207">
        <v>1.2560000419616699</v>
      </c>
      <c r="F1207">
        <v>1950400</v>
      </c>
      <c r="G1207">
        <v>19504</v>
      </c>
      <c r="H1207">
        <f t="shared" si="144"/>
        <v>1205</v>
      </c>
      <c r="I1207">
        <f>SUM($F$3:F1207)/H1207</f>
        <v>4034088.8021006226</v>
      </c>
      <c r="N1207">
        <f t="shared" si="155"/>
        <v>1.281000018119812</v>
      </c>
      <c r="O1207">
        <f t="shared" si="156"/>
        <v>1.1710000038146973</v>
      </c>
      <c r="P1207">
        <f t="shared" si="143"/>
        <v>1.2486666838328044</v>
      </c>
      <c r="Q1207">
        <f t="shared" si="132"/>
        <v>1.2275476257006328</v>
      </c>
      <c r="R1207">
        <f t="shared" si="133"/>
        <v>2.1119058132171631E-2</v>
      </c>
      <c r="S1207">
        <f t="shared" si="134"/>
        <v>2.0278913634164009E-2</v>
      </c>
      <c r="T1207">
        <f t="shared" si="135"/>
        <v>3.0418370451246011E-4</v>
      </c>
      <c r="U1207">
        <f t="shared" si="136"/>
        <v>69.42863085325645</v>
      </c>
    </row>
    <row r="1208" spans="1:21" x14ac:dyDescent="0.15">
      <c r="A1208" s="1">
        <v>46191</v>
      </c>
      <c r="B1208">
        <v>1.2649999856948853</v>
      </c>
      <c r="C1208">
        <v>1.2760000228881836</v>
      </c>
      <c r="D1208">
        <v>1.2619999647140503</v>
      </c>
      <c r="E1208">
        <v>1.2719999551773071</v>
      </c>
      <c r="F1208">
        <v>1272900</v>
      </c>
      <c r="G1208">
        <v>12729</v>
      </c>
      <c r="H1208">
        <f t="shared" si="144"/>
        <v>1206</v>
      </c>
      <c r="I1208">
        <f>SUM($F$3:F1208)/H1208</f>
        <v>4031799.2591469735</v>
      </c>
      <c r="N1208">
        <f t="shared" si="155"/>
        <v>1.281000018119812</v>
      </c>
      <c r="O1208">
        <f t="shared" si="156"/>
        <v>1.1710000038146973</v>
      </c>
      <c r="P1208">
        <f t="shared" si="143"/>
        <v>1.2699999809265137</v>
      </c>
      <c r="Q1208">
        <f t="shared" si="132"/>
        <v>1.2289761957668124</v>
      </c>
      <c r="R1208">
        <f t="shared" si="133"/>
        <v>4.1023785159701287E-2</v>
      </c>
      <c r="S1208">
        <f t="shared" si="134"/>
        <v>2.1503402262317901E-2</v>
      </c>
      <c r="T1208">
        <f t="shared" si="135"/>
        <v>3.2255103393476848E-4</v>
      </c>
      <c r="U1208">
        <f t="shared" si="136"/>
        <v>127.18540895453395</v>
      </c>
    </row>
    <row r="1209" spans="1:21" x14ac:dyDescent="0.15">
      <c r="A1209" s="1">
        <v>46195</v>
      </c>
      <c r="B1209">
        <v>1.2669999599456787</v>
      </c>
      <c r="C1209">
        <v>1.2970000505447388</v>
      </c>
      <c r="D1209">
        <v>1.2619999647140503</v>
      </c>
      <c r="E1209">
        <v>1.2960000038146973</v>
      </c>
      <c r="F1209">
        <v>3210112</v>
      </c>
      <c r="G1209">
        <v>32101.119140625</v>
      </c>
      <c r="H1209">
        <f t="shared" si="144"/>
        <v>1207</v>
      </c>
      <c r="I1209">
        <f>SUM($F$3:F1209)/H1209</f>
        <v>4031118.4909123862</v>
      </c>
      <c r="N1209">
        <f t="shared" si="155"/>
        <v>1.2970000505447388</v>
      </c>
      <c r="O1209">
        <f t="shared" si="156"/>
        <v>1.1710000038146973</v>
      </c>
      <c r="P1209">
        <f t="shared" si="143"/>
        <v>1.2850000063578289</v>
      </c>
      <c r="Q1209">
        <f t="shared" si="132"/>
        <v>1.2329523875599817</v>
      </c>
      <c r="R1209">
        <f t="shared" si="133"/>
        <v>5.2047618797847139E-2</v>
      </c>
      <c r="S1209">
        <f t="shared" si="134"/>
        <v>2.4911566656463009E-2</v>
      </c>
      <c r="T1209">
        <f t="shared" si="135"/>
        <v>3.7367349984694512E-4</v>
      </c>
      <c r="U1209">
        <f t="shared" si="136"/>
        <v>139.28635244181243</v>
      </c>
    </row>
    <row r="1210" spans="1:21" x14ac:dyDescent="0.15">
      <c r="A1210" s="1">
        <v>46196</v>
      </c>
      <c r="B1210">
        <v>1.2910000085830688</v>
      </c>
      <c r="C1210">
        <v>1.2910000085830688</v>
      </c>
      <c r="D1210">
        <v>1.246999979019165</v>
      </c>
      <c r="E1210">
        <v>1.2549999952316284</v>
      </c>
      <c r="F1210">
        <v>3099306</v>
      </c>
      <c r="G1210">
        <v>30993.060546875</v>
      </c>
      <c r="H1210">
        <f t="shared" si="144"/>
        <v>1208</v>
      </c>
      <c r="I1210">
        <f>SUM($F$3:F1210)/H1210</f>
        <v>4030347.1229563328</v>
      </c>
      <c r="N1210">
        <f t="shared" si="155"/>
        <v>1.2970000505447388</v>
      </c>
      <c r="O1210">
        <f t="shared" si="156"/>
        <v>1.1710000038146973</v>
      </c>
      <c r="P1210">
        <f t="shared" si="143"/>
        <v>1.2643333276112874</v>
      </c>
      <c r="Q1210">
        <f t="shared" si="132"/>
        <v>1.2347381029810225</v>
      </c>
      <c r="R1210">
        <f t="shared" si="133"/>
        <v>2.9595224630264871E-2</v>
      </c>
      <c r="S1210">
        <f t="shared" si="134"/>
        <v>2.6547622113000786E-2</v>
      </c>
      <c r="T1210">
        <f t="shared" si="135"/>
        <v>3.9821433169501177E-4</v>
      </c>
      <c r="U1210">
        <f t="shared" si="136"/>
        <v>74.319838023638852</v>
      </c>
    </row>
    <row r="1211" spans="1:21" x14ac:dyDescent="0.15">
      <c r="A1211" s="1">
        <v>46197</v>
      </c>
      <c r="B1211">
        <v>1.2539999485015869</v>
      </c>
      <c r="C1211">
        <v>1.2630000114440918</v>
      </c>
      <c r="D1211">
        <v>1.2419999837875366</v>
      </c>
      <c r="E1211">
        <v>1.2610000371932983</v>
      </c>
      <c r="F1211">
        <v>3049700</v>
      </c>
      <c r="G1211">
        <v>30497</v>
      </c>
      <c r="H1211">
        <f t="shared" si="144"/>
        <v>1209</v>
      </c>
      <c r="I1211">
        <f>SUM($F$3:F1211)/H1211</f>
        <v>4029536.0004394129</v>
      </c>
      <c r="N1211">
        <f t="shared" si="155"/>
        <v>1.2970000505447388</v>
      </c>
      <c r="O1211">
        <f t="shared" si="156"/>
        <v>1.1710000038146973</v>
      </c>
      <c r="P1211">
        <f t="shared" si="143"/>
        <v>1.2553333441416423</v>
      </c>
      <c r="Q1211">
        <f t="shared" si="132"/>
        <v>1.2342857207570757</v>
      </c>
      <c r="R1211">
        <f t="shared" si="133"/>
        <v>2.1047623384566672E-2</v>
      </c>
      <c r="S1211">
        <f t="shared" si="134"/>
        <v>2.6095239889054076E-2</v>
      </c>
      <c r="T1211">
        <f t="shared" si="135"/>
        <v>3.9142859833581111E-4</v>
      </c>
      <c r="U1211">
        <f t="shared" si="136"/>
        <v>53.771296921206748</v>
      </c>
    </row>
    <row r="1212" spans="1:21" x14ac:dyDescent="0.15">
      <c r="A1212" s="1">
        <v>46198</v>
      </c>
      <c r="B1212">
        <v>1.2619999647140503</v>
      </c>
      <c r="C1212">
        <v>1.2920000553131104</v>
      </c>
      <c r="D1212">
        <v>1.2619999647140503</v>
      </c>
      <c r="E1212">
        <v>1.2920000553131104</v>
      </c>
      <c r="F1212">
        <v>2589909</v>
      </c>
      <c r="G1212">
        <v>25899.08984375</v>
      </c>
      <c r="H1212">
        <f t="shared" si="144"/>
        <v>1210</v>
      </c>
      <c r="I1212">
        <f>SUM($F$3:F1212)/H1212</f>
        <v>4028346.2260588845</v>
      </c>
      <c r="N1212">
        <f t="shared" si="155"/>
        <v>1.2970000505447388</v>
      </c>
      <c r="O1212">
        <f t="shared" si="156"/>
        <v>1.1710000038146973</v>
      </c>
      <c r="P1212">
        <f t="shared" si="143"/>
        <v>1.2820000251134236</v>
      </c>
      <c r="Q1212">
        <f t="shared" si="132"/>
        <v>1.2359523886726016</v>
      </c>
      <c r="R1212">
        <f t="shared" si="133"/>
        <v>4.6047636440821993E-2</v>
      </c>
      <c r="S1212">
        <f t="shared" si="134"/>
        <v>2.7761907804579957E-2</v>
      </c>
      <c r="T1212">
        <f t="shared" si="135"/>
        <v>4.1642861706869935E-4</v>
      </c>
      <c r="U1212">
        <f t="shared" si="136"/>
        <v>110.57750249000152</v>
      </c>
    </row>
    <row r="1213" spans="1:21" x14ac:dyDescent="0.15">
      <c r="A1213" s="1">
        <v>46199</v>
      </c>
      <c r="B1213">
        <v>1.2790000438690186</v>
      </c>
      <c r="C1213">
        <v>1.2790000438690186</v>
      </c>
      <c r="D1213">
        <v>1.2359999418258667</v>
      </c>
      <c r="E1213">
        <v>1.2400000095367432</v>
      </c>
      <c r="F1213">
        <v>2505511</v>
      </c>
      <c r="G1213">
        <v>25055.109375</v>
      </c>
      <c r="H1213">
        <f t="shared" si="144"/>
        <v>1211</v>
      </c>
      <c r="I1213">
        <f>SUM($F$3:F1213)/H1213</f>
        <v>4027088.7238078034</v>
      </c>
      <c r="N1213">
        <f t="shared" si="155"/>
        <v>1.2970000505447388</v>
      </c>
      <c r="O1213">
        <f t="shared" si="156"/>
        <v>1.1710000038146973</v>
      </c>
      <c r="P1213">
        <f t="shared" si="143"/>
        <v>1.2516666650772095</v>
      </c>
      <c r="Q1213">
        <f t="shared" si="132"/>
        <v>1.2372142927987235</v>
      </c>
      <c r="R1213">
        <f t="shared" si="133"/>
        <v>1.4452372278485948E-2</v>
      </c>
      <c r="S1213">
        <f t="shared" si="134"/>
        <v>2.8564628289670355E-2</v>
      </c>
      <c r="T1213">
        <f t="shared" si="135"/>
        <v>4.284694243450553E-4</v>
      </c>
      <c r="U1213">
        <f t="shared" si="136"/>
        <v>33.730230110532119</v>
      </c>
    </row>
    <row r="1214" spans="1:21" x14ac:dyDescent="0.15">
      <c r="A1214" s="1">
        <v>46202</v>
      </c>
      <c r="B1214">
        <v>1.2369999885559082</v>
      </c>
      <c r="C1214">
        <v>1.2489999532699585</v>
      </c>
      <c r="D1214">
        <v>1.2209999561309814</v>
      </c>
      <c r="E1214">
        <v>1.2450000047683716</v>
      </c>
      <c r="F1214">
        <v>4012905</v>
      </c>
      <c r="G1214">
        <v>40129.05078125</v>
      </c>
      <c r="H1214">
        <f t="shared" si="144"/>
        <v>1212</v>
      </c>
      <c r="I1214">
        <f>SUM($F$3:F1214)/H1214</f>
        <v>4027077.0210653879</v>
      </c>
      <c r="N1214">
        <f t="shared" si="155"/>
        <v>1.2970000505447388</v>
      </c>
      <c r="O1214">
        <f t="shared" si="156"/>
        <v>1.1710000038146973</v>
      </c>
      <c r="P1214">
        <f t="shared" si="143"/>
        <v>1.2383333047231038</v>
      </c>
      <c r="Q1214">
        <f t="shared" si="132"/>
        <v>1.240333338578542</v>
      </c>
      <c r="R1214">
        <f t="shared" si="133"/>
        <v>-2.0000338554382324E-3</v>
      </c>
      <c r="S1214">
        <f t="shared" si="134"/>
        <v>2.5000004541306291E-2</v>
      </c>
      <c r="T1214">
        <f t="shared" si="135"/>
        <v>3.7500006811959434E-4</v>
      </c>
      <c r="U1214">
        <f t="shared" si="136"/>
        <v>-5.3334226456737213</v>
      </c>
    </row>
    <row r="1215" spans="1:21" x14ac:dyDescent="0.15">
      <c r="A1215" s="1">
        <v>46203</v>
      </c>
      <c r="B1215">
        <v>1.2549999952316284</v>
      </c>
      <c r="C1215">
        <v>1.2790000438690186</v>
      </c>
      <c r="D1215">
        <v>1.2510000467300415</v>
      </c>
      <c r="E1215">
        <v>1.2760000228881836</v>
      </c>
      <c r="F1215">
        <v>3094800</v>
      </c>
      <c r="G1215">
        <v>30948</v>
      </c>
      <c r="H1215">
        <f t="shared" si="144"/>
        <v>1213</v>
      </c>
      <c r="I1215">
        <f>SUM($F$3:F1215)/H1215</f>
        <v>4026308.4497372219</v>
      </c>
      <c r="N1215">
        <f>VLOOKUP(L63,A:C,3)</f>
        <v>1.281999945640564</v>
      </c>
      <c r="O1215">
        <f>VLOOKUP(L63,A:D,4)</f>
        <v>1.253000020980835</v>
      </c>
      <c r="P1215">
        <f t="shared" si="143"/>
        <v>1.2686667044957478</v>
      </c>
      <c r="Q1215">
        <f t="shared" si="132"/>
        <v>1.2441428644316535</v>
      </c>
      <c r="R1215">
        <f t="shared" si="133"/>
        <v>2.452384006409436E-2</v>
      </c>
      <c r="S1215">
        <f t="shared" si="134"/>
        <v>2.464626030046118E-2</v>
      </c>
      <c r="T1215">
        <f t="shared" si="135"/>
        <v>3.696939045069177E-4</v>
      </c>
      <c r="U1215">
        <f t="shared" si="136"/>
        <v>66.335527216233743</v>
      </c>
    </row>
    <row r="1216" spans="1:21" x14ac:dyDescent="0.15">
      <c r="A1216" s="1">
        <v>46204</v>
      </c>
      <c r="B1216">
        <v>1.2799999713897705</v>
      </c>
      <c r="C1216">
        <v>1.281999945640564</v>
      </c>
      <c r="D1216">
        <v>1.253000020980835</v>
      </c>
      <c r="E1216">
        <v>1.2640000581741333</v>
      </c>
      <c r="F1216">
        <v>2671700</v>
      </c>
      <c r="G1216">
        <v>26717</v>
      </c>
      <c r="H1216">
        <f t="shared" si="144"/>
        <v>1214</v>
      </c>
      <c r="I1216">
        <f>SUM($F$3:F1216)/H1216</f>
        <v>4025192.6272909804</v>
      </c>
      <c r="N1216">
        <f t="shared" ref="N1216:N1237" si="157">IF(A1216&lt;&gt;$K$63,MAX(N1215,VLOOKUP(A1216,A:C,3)),)</f>
        <v>1.281999945640564</v>
      </c>
      <c r="O1216">
        <f t="shared" ref="O1216:O1237" si="158">IF(A1216&lt;&gt;$K$63,MIN(O1215,VLOOKUP(A1216,A:D,4)),)</f>
        <v>1.253000020980835</v>
      </c>
      <c r="P1216">
        <f t="shared" si="143"/>
        <v>1.2663333415985107</v>
      </c>
      <c r="Q1216">
        <f t="shared" si="132"/>
        <v>1.2485000065394811</v>
      </c>
      <c r="R1216">
        <f t="shared" si="133"/>
        <v>1.783333505902962E-2</v>
      </c>
      <c r="S1216">
        <f t="shared" si="134"/>
        <v>2.2214288614234134E-2</v>
      </c>
      <c r="T1216">
        <f t="shared" si="135"/>
        <v>3.33214329213512E-4</v>
      </c>
      <c r="U1216">
        <f t="shared" si="136"/>
        <v>53.519112161598095</v>
      </c>
    </row>
    <row r="1217" spans="1:21" x14ac:dyDescent="0.15">
      <c r="A1217" s="1">
        <v>46205</v>
      </c>
      <c r="B1217">
        <v>1.2510000467300415</v>
      </c>
      <c r="C1217">
        <v>1.2510000467300415</v>
      </c>
      <c r="D1217">
        <v>1.2100000381469727</v>
      </c>
      <c r="E1217">
        <v>1.2130000591278076</v>
      </c>
      <c r="F1217">
        <v>2174700</v>
      </c>
      <c r="G1217">
        <v>21747</v>
      </c>
      <c r="H1217">
        <f t="shared" si="144"/>
        <v>1215</v>
      </c>
      <c r="I1217">
        <f>SUM($F$3:F1217)/H1217</f>
        <v>4023669.5880915639</v>
      </c>
      <c r="N1217">
        <f t="shared" si="157"/>
        <v>1.281999945640564</v>
      </c>
      <c r="O1217">
        <f t="shared" si="158"/>
        <v>1.2100000381469727</v>
      </c>
      <c r="P1217">
        <f t="shared" si="143"/>
        <v>1.2246667146682739</v>
      </c>
      <c r="Q1217">
        <f t="shared" si="132"/>
        <v>1.2512619154793876</v>
      </c>
      <c r="R1217">
        <f t="shared" si="133"/>
        <v>-2.6595200811113662E-2</v>
      </c>
      <c r="S1217">
        <f t="shared" si="134"/>
        <v>1.9034010212437637E-2</v>
      </c>
      <c r="T1217">
        <f t="shared" si="135"/>
        <v>2.8551015318656456E-4</v>
      </c>
      <c r="U1217">
        <f t="shared" si="136"/>
        <v>-93.149754971183881</v>
      </c>
    </row>
    <row r="1218" spans="1:21" x14ac:dyDescent="0.15">
      <c r="A1218" s="1">
        <v>46206</v>
      </c>
      <c r="B1218">
        <v>1.1959999799728394</v>
      </c>
      <c r="C1218">
        <v>1.2430000305175781</v>
      </c>
      <c r="D1218">
        <v>1.1959999799728394</v>
      </c>
      <c r="E1218">
        <v>1.2230000495910645</v>
      </c>
      <c r="F1218">
        <v>1760400</v>
      </c>
      <c r="G1218">
        <v>17604</v>
      </c>
      <c r="H1218">
        <f t="shared" si="144"/>
        <v>1216</v>
      </c>
      <c r="I1218">
        <f>SUM($F$3:F1218)/H1218</f>
        <v>4021808.3466539886</v>
      </c>
      <c r="N1218">
        <f t="shared" si="157"/>
        <v>1.281999945640564</v>
      </c>
      <c r="O1218">
        <f t="shared" si="158"/>
        <v>1.1959999799728394</v>
      </c>
      <c r="P1218">
        <f t="shared" si="143"/>
        <v>1.2206666866938274</v>
      </c>
      <c r="Q1218">
        <f t="shared" si="132"/>
        <v>1.2529285833949135</v>
      </c>
      <c r="R1218">
        <f t="shared" si="133"/>
        <v>-3.2261896701086146E-2</v>
      </c>
      <c r="S1218">
        <f t="shared" si="134"/>
        <v>1.7309520925794328E-2</v>
      </c>
      <c r="T1218">
        <f t="shared" si="135"/>
        <v>2.5964281388691493E-4</v>
      </c>
      <c r="U1218">
        <f t="shared" si="136"/>
        <v>-124.25491858649137</v>
      </c>
    </row>
    <row r="1219" spans="1:21" x14ac:dyDescent="0.15">
      <c r="A1219" s="1">
        <v>46209</v>
      </c>
      <c r="B1219">
        <v>1.2230000495910645</v>
      </c>
      <c r="C1219">
        <v>1.2319999933242798</v>
      </c>
      <c r="D1219">
        <v>1.2029999494552612</v>
      </c>
      <c r="E1219">
        <v>1.2120000123977661</v>
      </c>
      <c r="F1219">
        <v>1715600</v>
      </c>
      <c r="G1219">
        <v>17156</v>
      </c>
      <c r="H1219">
        <f t="shared" si="144"/>
        <v>1217</v>
      </c>
      <c r="I1219">
        <f>SUM($F$3:F1219)/H1219</f>
        <v>4019913.3521209941</v>
      </c>
      <c r="N1219">
        <f t="shared" si="157"/>
        <v>1.281999945640564</v>
      </c>
      <c r="O1219">
        <f t="shared" si="158"/>
        <v>1.1959999799728394</v>
      </c>
      <c r="P1219">
        <f t="shared" si="143"/>
        <v>1.215666651725769</v>
      </c>
      <c r="Q1219">
        <f t="shared" si="132"/>
        <v>1.2522857245944796</v>
      </c>
      <c r="R1219">
        <f t="shared" si="133"/>
        <v>-3.6619072868710578E-2</v>
      </c>
      <c r="S1219">
        <f t="shared" si="134"/>
        <v>1.7952379726228256E-2</v>
      </c>
      <c r="T1219">
        <f t="shared" si="135"/>
        <v>2.692856958934238E-4</v>
      </c>
      <c r="U1219">
        <f t="shared" si="136"/>
        <v>-135.98595628043847</v>
      </c>
    </row>
    <row r="1220" spans="1:21" x14ac:dyDescent="0.15">
      <c r="A1220" s="1">
        <v>46210</v>
      </c>
      <c r="B1220">
        <v>1.2170000076293945</v>
      </c>
      <c r="C1220">
        <v>1.2170000076293945</v>
      </c>
      <c r="D1220">
        <v>1.187999963760376</v>
      </c>
      <c r="E1220">
        <v>1.2000000476837158</v>
      </c>
      <c r="F1220">
        <v>3616800</v>
      </c>
      <c r="G1220">
        <v>36168</v>
      </c>
      <c r="H1220">
        <f t="shared" si="144"/>
        <v>1218</v>
      </c>
      <c r="I1220">
        <f>SUM($F$3:F1220)/H1220</f>
        <v>4019582.3887777096</v>
      </c>
      <c r="N1220">
        <f t="shared" si="157"/>
        <v>1.281999945640564</v>
      </c>
      <c r="O1220">
        <f t="shared" si="158"/>
        <v>1.187999963760376</v>
      </c>
      <c r="P1220">
        <f t="shared" si="143"/>
        <v>1.2016666730244954</v>
      </c>
      <c r="Q1220">
        <f t="shared" si="132"/>
        <v>1.2495000078564598</v>
      </c>
      <c r="R1220">
        <f t="shared" si="133"/>
        <v>-4.7833334831964391E-2</v>
      </c>
      <c r="S1220">
        <f t="shared" si="134"/>
        <v>2.1047618924355027E-2</v>
      </c>
      <c r="T1220">
        <f t="shared" si="135"/>
        <v>3.1571428386532538E-4</v>
      </c>
      <c r="U1220">
        <f t="shared" si="136"/>
        <v>-151.50830126003649</v>
      </c>
    </row>
    <row r="1221" spans="1:21" x14ac:dyDescent="0.15">
      <c r="A1221" s="1">
        <v>46211</v>
      </c>
      <c r="B1221">
        <v>1.1990000009536743</v>
      </c>
      <c r="C1221">
        <v>1.2109999656677246</v>
      </c>
      <c r="D1221">
        <v>1.1799999475479126</v>
      </c>
      <c r="E1221">
        <v>1.184999942779541</v>
      </c>
      <c r="F1221">
        <v>2669500</v>
      </c>
      <c r="G1221">
        <v>26695</v>
      </c>
      <c r="H1221">
        <f t="shared" si="144"/>
        <v>1219</v>
      </c>
      <c r="I1221">
        <f>SUM($F$3:F1221)/H1221</f>
        <v>4018474.856055168</v>
      </c>
      <c r="N1221">
        <f t="shared" si="157"/>
        <v>1.281999945640564</v>
      </c>
      <c r="O1221">
        <f t="shared" si="158"/>
        <v>1.1799999475479126</v>
      </c>
      <c r="P1221">
        <f t="shared" si="143"/>
        <v>1.1919999519983928</v>
      </c>
      <c r="Q1221">
        <f t="shared" si="132"/>
        <v>1.2454523841540019</v>
      </c>
      <c r="R1221">
        <f t="shared" si="133"/>
        <v>-5.3452432155609131E-2</v>
      </c>
      <c r="S1221">
        <f t="shared" si="134"/>
        <v>2.5673474584306973E-2</v>
      </c>
      <c r="T1221">
        <f t="shared" si="135"/>
        <v>3.8510211876460456E-4</v>
      </c>
      <c r="U1221">
        <f t="shared" si="136"/>
        <v>-138.80067013674929</v>
      </c>
    </row>
    <row r="1222" spans="1:21" x14ac:dyDescent="0.15">
      <c r="A1222" s="1">
        <v>46212</v>
      </c>
      <c r="B1222">
        <v>1.184999942779541</v>
      </c>
      <c r="C1222">
        <v>1.2269999980926514</v>
      </c>
      <c r="D1222">
        <v>1.1799999475479126</v>
      </c>
      <c r="E1222">
        <v>1.2250000238418579</v>
      </c>
      <c r="F1222">
        <v>3158901</v>
      </c>
      <c r="G1222">
        <v>31589.009765625</v>
      </c>
      <c r="H1222">
        <f t="shared" si="144"/>
        <v>1220</v>
      </c>
      <c r="I1222">
        <f>SUM($F$3:F1222)/H1222</f>
        <v>4017770.2873206967</v>
      </c>
      <c r="N1222">
        <f t="shared" si="157"/>
        <v>1.281999945640564</v>
      </c>
      <c r="O1222">
        <f t="shared" si="158"/>
        <v>1.1799999475479126</v>
      </c>
      <c r="P1222">
        <f t="shared" si="143"/>
        <v>1.2106666564941406</v>
      </c>
      <c r="Q1222">
        <f t="shared" si="132"/>
        <v>1.2412142895516893</v>
      </c>
      <c r="R1222">
        <f t="shared" si="133"/>
        <v>-3.0547633057548707E-2</v>
      </c>
      <c r="S1222">
        <f t="shared" si="134"/>
        <v>2.6404769647689088E-2</v>
      </c>
      <c r="T1222">
        <f t="shared" si="135"/>
        <v>3.9607154471533632E-4</v>
      </c>
      <c r="U1222">
        <f t="shared" si="136"/>
        <v>-77.126553182465642</v>
      </c>
    </row>
    <row r="1223" spans="1:21" x14ac:dyDescent="0.15">
      <c r="A1223" s="1">
        <v>46213</v>
      </c>
      <c r="B1223">
        <v>1.2250000238418579</v>
      </c>
      <c r="C1223">
        <v>1.2319999933242798</v>
      </c>
      <c r="D1223">
        <v>1.187999963760376</v>
      </c>
      <c r="E1223">
        <v>1.187999963760376</v>
      </c>
      <c r="F1223">
        <v>2479200</v>
      </c>
      <c r="G1223">
        <v>24792</v>
      </c>
      <c r="H1223">
        <f t="shared" si="144"/>
        <v>1221</v>
      </c>
      <c r="I1223">
        <f>SUM($F$3:F1223)/H1223</f>
        <v>4016510.1969952909</v>
      </c>
      <c r="N1223">
        <f t="shared" si="157"/>
        <v>1.281999945640564</v>
      </c>
      <c r="O1223">
        <f t="shared" si="158"/>
        <v>1.1799999475479126</v>
      </c>
      <c r="P1223">
        <f t="shared" si="143"/>
        <v>1.2026666402816772</v>
      </c>
      <c r="Q1223">
        <f t="shared" si="132"/>
        <v>1.2353333348319642</v>
      </c>
      <c r="R1223">
        <f t="shared" si="133"/>
        <v>-3.2666694550286923E-2</v>
      </c>
      <c r="S1223">
        <f t="shared" si="134"/>
        <v>2.5619052705310619E-2</v>
      </c>
      <c r="T1223">
        <f t="shared" si="135"/>
        <v>3.8428579057965924E-4</v>
      </c>
      <c r="U1223">
        <f t="shared" si="136"/>
        <v>-85.006251469803928</v>
      </c>
    </row>
    <row r="1224" spans="1:21" x14ac:dyDescent="0.15">
      <c r="A1224" s="1">
        <v>46216</v>
      </c>
      <c r="B1224">
        <v>1.1759999990463257</v>
      </c>
      <c r="C1224">
        <v>1.1909999847412109</v>
      </c>
      <c r="D1224">
        <v>1.156999945640564</v>
      </c>
      <c r="E1224">
        <v>1.1610000133514404</v>
      </c>
      <c r="F1224">
        <v>4942000</v>
      </c>
      <c r="G1224">
        <v>49420</v>
      </c>
      <c r="H1224">
        <f t="shared" si="144"/>
        <v>1222</v>
      </c>
      <c r="I1224">
        <f>SUM($F$3:F1224)/H1224</f>
        <v>4017267.5536262277</v>
      </c>
      <c r="N1224">
        <f t="shared" si="157"/>
        <v>1.281999945640564</v>
      </c>
      <c r="O1224">
        <f t="shared" si="158"/>
        <v>1.156999945640564</v>
      </c>
      <c r="P1224">
        <f t="shared" si="143"/>
        <v>1.1696666479110718</v>
      </c>
      <c r="Q1224">
        <f t="shared" si="132"/>
        <v>1.2285714291390917</v>
      </c>
      <c r="R1224">
        <f t="shared" si="133"/>
        <v>-5.8904781228019898E-2</v>
      </c>
      <c r="S1224">
        <f t="shared" si="134"/>
        <v>2.7272115759298061E-2</v>
      </c>
      <c r="T1224">
        <f t="shared" si="135"/>
        <v>4.0908173638947088E-4</v>
      </c>
      <c r="U1224">
        <f t="shared" si="136"/>
        <v>-143.99269385113524</v>
      </c>
    </row>
    <row r="1225" spans="1:21" x14ac:dyDescent="0.15">
      <c r="A1225" s="1">
        <v>46217</v>
      </c>
      <c r="B1225">
        <v>1.1649999618530273</v>
      </c>
      <c r="C1225">
        <v>1.1979999542236328</v>
      </c>
      <c r="D1225">
        <v>1.156000018119812</v>
      </c>
      <c r="E1225">
        <v>1.1970000267028809</v>
      </c>
      <c r="F1225">
        <v>4192600</v>
      </c>
      <c r="G1225">
        <v>41926</v>
      </c>
      <c r="H1225">
        <f t="shared" si="144"/>
        <v>1223</v>
      </c>
      <c r="I1225">
        <f>SUM($F$3:F1225)/H1225</f>
        <v>4017410.9162152493</v>
      </c>
      <c r="N1225">
        <f t="shared" si="157"/>
        <v>1.281999945640564</v>
      </c>
      <c r="O1225">
        <f t="shared" si="158"/>
        <v>1.156000018119812</v>
      </c>
      <c r="P1225">
        <f t="shared" si="143"/>
        <v>1.1836666663487752</v>
      </c>
      <c r="Q1225">
        <f t="shared" si="132"/>
        <v>1.2234523807253157</v>
      </c>
      <c r="R1225">
        <f t="shared" si="133"/>
        <v>-3.9785714376540549E-2</v>
      </c>
      <c r="S1225">
        <f t="shared" si="134"/>
        <v>2.7278924474910808E-2</v>
      </c>
      <c r="T1225">
        <f t="shared" si="135"/>
        <v>4.0918386712366213E-4</v>
      </c>
      <c r="U1225">
        <f t="shared" si="136"/>
        <v>-97.23187440456114</v>
      </c>
    </row>
    <row r="1226" spans="1:21" x14ac:dyDescent="0.15">
      <c r="A1226" s="1">
        <v>46218</v>
      </c>
      <c r="B1226">
        <v>1.2020000219345093</v>
      </c>
      <c r="C1226">
        <v>1.2100000381469727</v>
      </c>
      <c r="D1226">
        <v>1.190000057220459</v>
      </c>
      <c r="E1226">
        <v>1.1929999589920044</v>
      </c>
      <c r="F1226">
        <v>3501201.25</v>
      </c>
      <c r="G1226">
        <v>35012.01171875</v>
      </c>
      <c r="H1226">
        <f t="shared" si="144"/>
        <v>1224</v>
      </c>
      <c r="I1226">
        <f>SUM($F$3:F1226)/H1226</f>
        <v>4016989.1762918709</v>
      </c>
      <c r="N1226">
        <f t="shared" si="157"/>
        <v>1.281999945640564</v>
      </c>
      <c r="O1226">
        <f t="shared" si="158"/>
        <v>1.156000018119812</v>
      </c>
      <c r="P1226">
        <f t="shared" si="143"/>
        <v>1.1976666847864788</v>
      </c>
      <c r="Q1226">
        <f t="shared" si="132"/>
        <v>1.2174285707019623</v>
      </c>
      <c r="R1226">
        <f t="shared" si="133"/>
        <v>-1.9761885915483557E-2</v>
      </c>
      <c r="S1226">
        <f t="shared" si="134"/>
        <v>2.368028472069978E-2</v>
      </c>
      <c r="T1226">
        <f t="shared" si="135"/>
        <v>3.5520427081049672E-4</v>
      </c>
      <c r="U1226">
        <f t="shared" si="136"/>
        <v>-55.635271136778151</v>
      </c>
    </row>
    <row r="1227" spans="1:21" x14ac:dyDescent="0.15">
      <c r="A1227" s="1">
        <v>46219</v>
      </c>
      <c r="B1227">
        <v>1.1829999685287476</v>
      </c>
      <c r="C1227">
        <v>1.1950000524520874</v>
      </c>
      <c r="D1227">
        <v>1.1649999618530273</v>
      </c>
      <c r="E1227">
        <v>1.1749999523162842</v>
      </c>
      <c r="F1227">
        <v>2815900</v>
      </c>
      <c r="G1227">
        <v>28159</v>
      </c>
      <c r="H1227">
        <f t="shared" si="144"/>
        <v>1225</v>
      </c>
      <c r="I1227">
        <f>SUM($F$3:F1227)/H1227</f>
        <v>4016008.6953316326</v>
      </c>
      <c r="N1227">
        <f t="shared" si="157"/>
        <v>1.281999945640564</v>
      </c>
      <c r="O1227">
        <f t="shared" si="158"/>
        <v>1.156000018119812</v>
      </c>
      <c r="P1227">
        <f t="shared" si="143"/>
        <v>1.178333322207133</v>
      </c>
      <c r="Q1227">
        <f t="shared" si="132"/>
        <v>1.2121904747826713</v>
      </c>
      <c r="R1227">
        <f t="shared" si="133"/>
        <v>-3.385715257553823E-2</v>
      </c>
      <c r="S1227">
        <f t="shared" si="134"/>
        <v>2.3027222172743604E-2</v>
      </c>
      <c r="T1227">
        <f t="shared" si="135"/>
        <v>3.4540833259115406E-4</v>
      </c>
      <c r="U1227">
        <f t="shared" si="136"/>
        <v>-98.020659552569555</v>
      </c>
    </row>
    <row r="1228" spans="1:21" x14ac:dyDescent="0.15">
      <c r="A1228" s="1">
        <v>46220</v>
      </c>
      <c r="B1228">
        <v>1.1629999876022339</v>
      </c>
      <c r="C1228">
        <v>1.1629999876022339</v>
      </c>
      <c r="D1228">
        <v>1.1059999465942383</v>
      </c>
      <c r="E1228">
        <v>1.1160000562667847</v>
      </c>
      <c r="F1228">
        <v>4126103</v>
      </c>
      <c r="G1228">
        <v>41261.03125</v>
      </c>
      <c r="H1228">
        <f t="shared" si="144"/>
        <v>1226</v>
      </c>
      <c r="I1228">
        <f>SUM($F$3:F1228)/H1228</f>
        <v>4016098.4949276103</v>
      </c>
      <c r="N1228">
        <f t="shared" si="157"/>
        <v>1.281999945640564</v>
      </c>
      <c r="O1228">
        <f t="shared" si="158"/>
        <v>1.1059999465942383</v>
      </c>
      <c r="P1228">
        <f t="shared" si="143"/>
        <v>1.1283333301544189</v>
      </c>
      <c r="Q1228">
        <f t="shared" si="132"/>
        <v>1.2043333337420508</v>
      </c>
      <c r="R1228">
        <f t="shared" si="133"/>
        <v>-7.6000003587631815E-2</v>
      </c>
      <c r="S1228">
        <f t="shared" si="134"/>
        <v>2.5809536174851995E-2</v>
      </c>
      <c r="T1228">
        <f t="shared" si="135"/>
        <v>3.8714304262277993E-4</v>
      </c>
      <c r="U1228">
        <f t="shared" si="136"/>
        <v>-196.30987831462554</v>
      </c>
    </row>
    <row r="1229" spans="1:21" x14ac:dyDescent="0.15">
      <c r="A1229" s="1">
        <v>46223</v>
      </c>
      <c r="B1229">
        <v>1.1319999694824219</v>
      </c>
      <c r="C1229">
        <v>1.1430000066757202</v>
      </c>
      <c r="D1229">
        <v>1.1000000238418579</v>
      </c>
      <c r="E1229">
        <v>1.1239999532699585</v>
      </c>
      <c r="F1229">
        <v>5773200</v>
      </c>
      <c r="G1229">
        <v>57732</v>
      </c>
      <c r="H1229">
        <f t="shared" si="144"/>
        <v>1227</v>
      </c>
      <c r="I1229">
        <f>SUM($F$3:F1229)/H1229</f>
        <v>4017530.5254940912</v>
      </c>
      <c r="N1229">
        <f t="shared" si="157"/>
        <v>1.281999945640564</v>
      </c>
      <c r="O1229">
        <f t="shared" si="158"/>
        <v>1.1000000238418579</v>
      </c>
      <c r="P1229">
        <f t="shared" si="143"/>
        <v>1.1223333279291789</v>
      </c>
      <c r="Q1229">
        <f t="shared" si="132"/>
        <v>1.1938809497015817</v>
      </c>
      <c r="R1229">
        <f t="shared" si="133"/>
        <v>-7.1547621772402703E-2</v>
      </c>
      <c r="S1229">
        <f t="shared" si="134"/>
        <v>2.699320738007422E-2</v>
      </c>
      <c r="T1229">
        <f t="shared" si="135"/>
        <v>4.0489811070111331E-4</v>
      </c>
      <c r="U1229">
        <f t="shared" si="136"/>
        <v>-176.70524974421912</v>
      </c>
    </row>
    <row r="1230" spans="1:21" x14ac:dyDescent="0.15">
      <c r="A1230" s="1">
        <v>46224</v>
      </c>
      <c r="B1230">
        <v>1.125</v>
      </c>
      <c r="C1230">
        <v>1.1740000247955322</v>
      </c>
      <c r="D1230">
        <v>1.1089999675750732</v>
      </c>
      <c r="E1230">
        <v>1.1720000505447388</v>
      </c>
      <c r="F1230">
        <v>5936101</v>
      </c>
      <c r="G1230">
        <v>59361.01171875</v>
      </c>
      <c r="H1230">
        <f t="shared" si="144"/>
        <v>1228</v>
      </c>
      <c r="I1230">
        <f>SUM($F$3:F1230)/H1230</f>
        <v>4019092.8793006921</v>
      </c>
      <c r="N1230">
        <f t="shared" si="157"/>
        <v>1.281999945640564</v>
      </c>
      <c r="O1230">
        <f t="shared" si="158"/>
        <v>1.1000000238418579</v>
      </c>
      <c r="P1230">
        <f t="shared" si="143"/>
        <v>1.1516666809717815</v>
      </c>
      <c r="Q1230">
        <f t="shared" si="132"/>
        <v>1.1856904739425296</v>
      </c>
      <c r="R1230">
        <f t="shared" si="133"/>
        <v>-3.402379297074809E-2</v>
      </c>
      <c r="S1230">
        <f t="shared" si="134"/>
        <v>2.5734695447545475E-2</v>
      </c>
      <c r="T1230">
        <f t="shared" si="135"/>
        <v>3.8602043171318212E-4</v>
      </c>
      <c r="U1230">
        <f t="shared" si="136"/>
        <v>-88.139875963944263</v>
      </c>
    </row>
    <row r="1231" spans="1:21" x14ac:dyDescent="0.15">
      <c r="A1231" s="1">
        <v>46225</v>
      </c>
      <c r="B1231">
        <v>1.1599999666213989</v>
      </c>
      <c r="C1231">
        <v>1.1759999990463257</v>
      </c>
      <c r="D1231">
        <v>1.1469999551773071</v>
      </c>
      <c r="E1231">
        <v>1.1529999971389771</v>
      </c>
      <c r="F1231">
        <v>4089700</v>
      </c>
      <c r="G1231">
        <v>40897</v>
      </c>
      <c r="H1231">
        <f t="shared" si="144"/>
        <v>1229</v>
      </c>
      <c r="I1231">
        <f>SUM($F$3:F1231)/H1231</f>
        <v>4019150.3301718878</v>
      </c>
      <c r="N1231">
        <f t="shared" si="157"/>
        <v>1.281999945640564</v>
      </c>
      <c r="O1231">
        <f t="shared" si="158"/>
        <v>1.1000000238418579</v>
      </c>
      <c r="P1231">
        <f t="shared" si="143"/>
        <v>1.1586666504542034</v>
      </c>
      <c r="Q1231">
        <f t="shared" si="132"/>
        <v>1.1809761836415245</v>
      </c>
      <c r="R1231">
        <f t="shared" si="133"/>
        <v>-2.2309533187321096E-2</v>
      </c>
      <c r="S1231">
        <f t="shared" si="134"/>
        <v>2.5265306031622851E-2</v>
      </c>
      <c r="T1231">
        <f t="shared" si="135"/>
        <v>3.7897959047434275E-4</v>
      </c>
      <c r="U1231">
        <f t="shared" si="136"/>
        <v>-58.867373726901185</v>
      </c>
    </row>
    <row r="1232" spans="1:21" x14ac:dyDescent="0.15">
      <c r="A1232" s="1">
        <v>46226</v>
      </c>
      <c r="B1232">
        <v>1.156000018119812</v>
      </c>
      <c r="C1232">
        <v>1.1640000343322754</v>
      </c>
      <c r="D1232">
        <v>1.1529999971389771</v>
      </c>
      <c r="E1232">
        <v>1.1579999923706055</v>
      </c>
      <c r="F1232">
        <v>1158500</v>
      </c>
      <c r="G1232">
        <v>11585</v>
      </c>
      <c r="H1232">
        <f t="shared" si="144"/>
        <v>1230</v>
      </c>
      <c r="I1232">
        <f>SUM($F$3:F1232)/H1232</f>
        <v>4016824.5981961382</v>
      </c>
      <c r="N1232">
        <f t="shared" si="157"/>
        <v>1.281999945640564</v>
      </c>
      <c r="O1232">
        <f t="shared" si="158"/>
        <v>1.1000000238418579</v>
      </c>
      <c r="P1232">
        <f t="shared" si="143"/>
        <v>1.1583333412806194</v>
      </c>
      <c r="Q1232">
        <f t="shared" si="132"/>
        <v>1.1765238018262953</v>
      </c>
      <c r="R1232">
        <f t="shared" si="133"/>
        <v>-1.8190460545675968E-2</v>
      </c>
      <c r="S1232">
        <f t="shared" si="134"/>
        <v>2.4306118893785533E-2</v>
      </c>
      <c r="T1232">
        <f t="shared" si="135"/>
        <v>3.6459178340678296E-4</v>
      </c>
      <c r="U1232">
        <f t="shared" si="136"/>
        <v>-49.892678259785349</v>
      </c>
    </row>
    <row r="1233" spans="1:21" x14ac:dyDescent="0.15">
      <c r="A1233" s="1">
        <v>46227</v>
      </c>
      <c r="B1233">
        <v>1.1649999618530273</v>
      </c>
      <c r="C1233">
        <v>1.1929999589920044</v>
      </c>
      <c r="D1233">
        <v>1.1349999904632568</v>
      </c>
      <c r="E1233">
        <v>1.1349999904632568</v>
      </c>
      <c r="F1233">
        <v>558600</v>
      </c>
      <c r="G1233">
        <v>5586</v>
      </c>
      <c r="H1233">
        <f t="shared" si="144"/>
        <v>1231</v>
      </c>
      <c r="I1233">
        <f>SUM($F$3:F1233)/H1233</f>
        <v>4014015.3174502435</v>
      </c>
      <c r="N1233">
        <f t="shared" si="157"/>
        <v>1.281999945640564</v>
      </c>
      <c r="O1233">
        <f t="shared" si="158"/>
        <v>1.1000000238418579</v>
      </c>
      <c r="P1233">
        <f t="shared" si="143"/>
        <v>1.1543333133061726</v>
      </c>
      <c r="Q1233">
        <f t="shared" si="132"/>
        <v>1.1721428490820383</v>
      </c>
      <c r="R1233">
        <f t="shared" si="133"/>
        <v>-1.7809535775865637E-2</v>
      </c>
      <c r="S1233">
        <f t="shared" si="134"/>
        <v>2.3095235938117607E-2</v>
      </c>
      <c r="T1233">
        <f t="shared" si="135"/>
        <v>3.4642853907176409E-4</v>
      </c>
      <c r="U1233">
        <f t="shared" si="136"/>
        <v>-51.408974051575811</v>
      </c>
    </row>
    <row r="1234" spans="1:21" x14ac:dyDescent="0.15">
      <c r="A1234" s="1">
        <v>46230</v>
      </c>
      <c r="B1234">
        <v>1.1529999971389771</v>
      </c>
      <c r="C1234">
        <v>1.1610000133514404</v>
      </c>
      <c r="D1234">
        <v>1.1289999485015869</v>
      </c>
      <c r="E1234">
        <v>1.1610000133514404</v>
      </c>
      <c r="F1234">
        <v>5191200</v>
      </c>
      <c r="G1234">
        <v>51912</v>
      </c>
      <c r="H1234">
        <f t="shared" si="144"/>
        <v>1232</v>
      </c>
      <c r="I1234">
        <f>SUM($F$3:F1234)/H1234</f>
        <v>4014970.8244977677</v>
      </c>
      <c r="N1234">
        <f t="shared" si="157"/>
        <v>1.281999945640564</v>
      </c>
      <c r="O1234">
        <f t="shared" si="158"/>
        <v>1.1000000238418579</v>
      </c>
      <c r="P1234">
        <f t="shared" si="143"/>
        <v>1.150333325068156</v>
      </c>
      <c r="Q1234">
        <f t="shared" si="132"/>
        <v>1.1684761813708715</v>
      </c>
      <c r="R1234">
        <f t="shared" si="133"/>
        <v>-1.8142856302715504E-2</v>
      </c>
      <c r="S1234">
        <f t="shared" si="134"/>
        <v>2.2190471490224191E-2</v>
      </c>
      <c r="T1234">
        <f t="shared" si="135"/>
        <v>3.3285707235336287E-4</v>
      </c>
      <c r="U1234">
        <f t="shared" si="136"/>
        <v>-54.506446789434442</v>
      </c>
    </row>
    <row r="1235" spans="1:21" x14ac:dyDescent="0.15">
      <c r="A1235" s="1">
        <v>46231</v>
      </c>
      <c r="B1235">
        <v>1.1380000114440918</v>
      </c>
      <c r="C1235">
        <v>1.1410000324249268</v>
      </c>
      <c r="D1235">
        <v>1.1009999513626099</v>
      </c>
      <c r="E1235">
        <v>1.1030000448226929</v>
      </c>
      <c r="F1235">
        <v>2865200</v>
      </c>
      <c r="G1235">
        <v>28652</v>
      </c>
      <c r="H1235">
        <f t="shared" si="144"/>
        <v>1233</v>
      </c>
      <c r="I1235">
        <f>SUM($F$3:F1235)/H1235</f>
        <v>4014038.3258566502</v>
      </c>
      <c r="N1235">
        <f t="shared" si="157"/>
        <v>1.281999945640564</v>
      </c>
      <c r="O1235">
        <f t="shared" si="158"/>
        <v>1.1000000238418579</v>
      </c>
      <c r="P1235">
        <f t="shared" si="143"/>
        <v>1.1150000095367432</v>
      </c>
      <c r="Q1235">
        <f t="shared" si="132"/>
        <v>1.1629761854807534</v>
      </c>
      <c r="R1235">
        <f t="shared" si="133"/>
        <v>-4.7976175944010269E-2</v>
      </c>
      <c r="S1235">
        <f t="shared" si="134"/>
        <v>2.3544215020679254E-2</v>
      </c>
      <c r="T1235">
        <f t="shared" si="135"/>
        <v>3.5316322531018878E-4</v>
      </c>
      <c r="U1235">
        <f t="shared" si="136"/>
        <v>-135.84703192658876</v>
      </c>
    </row>
    <row r="1236" spans="1:21" x14ac:dyDescent="0.15">
      <c r="A1236" s="1">
        <v>46232</v>
      </c>
      <c r="B1236">
        <v>1.1119999885559082</v>
      </c>
      <c r="C1236">
        <v>1.1269999742507935</v>
      </c>
      <c r="D1236">
        <v>1.0880000591278076</v>
      </c>
      <c r="E1236">
        <v>1.1200000047683716</v>
      </c>
      <c r="F1236">
        <v>3663200</v>
      </c>
      <c r="G1236">
        <v>36632</v>
      </c>
      <c r="H1236">
        <f t="shared" si="144"/>
        <v>1234</v>
      </c>
      <c r="I1236">
        <f>SUM($F$3:F1236)/H1236</f>
        <v>4013754.0160301863</v>
      </c>
      <c r="N1236">
        <f t="shared" si="157"/>
        <v>1.281999945640564</v>
      </c>
      <c r="O1236">
        <f t="shared" si="158"/>
        <v>1.0880000591278076</v>
      </c>
      <c r="P1236">
        <f t="shared" si="143"/>
        <v>1.1116666793823242</v>
      </c>
      <c r="Q1236">
        <f t="shared" si="132"/>
        <v>1.1559047585441953</v>
      </c>
      <c r="R1236">
        <f t="shared" si="133"/>
        <v>-4.4238079161871058E-2</v>
      </c>
      <c r="S1236">
        <f t="shared" si="134"/>
        <v>2.2523806208655954E-2</v>
      </c>
      <c r="T1236">
        <f t="shared" si="135"/>
        <v>3.3785709312983929E-4</v>
      </c>
      <c r="U1236">
        <f t="shared" si="136"/>
        <v>-130.93725146350636</v>
      </c>
    </row>
    <row r="1237" spans="1:21" x14ac:dyDescent="0.15">
      <c r="A1237" s="1">
        <v>46233</v>
      </c>
      <c r="B1237">
        <v>1.0989999771118164</v>
      </c>
      <c r="C1237">
        <v>1.1109999418258667</v>
      </c>
      <c r="D1237">
        <v>1.0750000476837158</v>
      </c>
      <c r="E1237">
        <v>1.090999960899353</v>
      </c>
      <c r="F1237">
        <v>2797904</v>
      </c>
      <c r="G1237">
        <v>27979.0390625</v>
      </c>
      <c r="H1237">
        <f t="shared" si="144"/>
        <v>1235</v>
      </c>
      <c r="I1237">
        <f>SUM($F$3:F1237)/H1237</f>
        <v>4012769.5220900811</v>
      </c>
      <c r="N1237">
        <f t="shared" si="157"/>
        <v>1.281999945640564</v>
      </c>
      <c r="O1237">
        <f t="shared" si="158"/>
        <v>1.0750000476837158</v>
      </c>
      <c r="P1237">
        <f t="shared" si="143"/>
        <v>1.0923333168029785</v>
      </c>
      <c r="Q1237">
        <f t="shared" si="132"/>
        <v>1.1480238068671453</v>
      </c>
      <c r="R1237">
        <f t="shared" si="133"/>
        <v>-5.569049006416682E-2</v>
      </c>
      <c r="S1237">
        <f t="shared" si="134"/>
        <v>2.4350338647154746E-2</v>
      </c>
      <c r="T1237">
        <f t="shared" si="135"/>
        <v>3.6525507970732119E-4</v>
      </c>
      <c r="U1237">
        <f t="shared" si="136"/>
        <v>-152.47013158254117</v>
      </c>
    </row>
    <row r="1238" spans="1:21" x14ac:dyDescent="0.15">
      <c r="A1238" s="1">
        <v>46234</v>
      </c>
      <c r="B1238">
        <v>1.0989999771118164</v>
      </c>
      <c r="C1238">
        <v>1.1289999485015869</v>
      </c>
      <c r="D1238">
        <v>1.0989999771118164</v>
      </c>
      <c r="E1238">
        <v>1.1069999933242798</v>
      </c>
      <c r="F1238">
        <v>4485200</v>
      </c>
      <c r="G1238">
        <v>44852</v>
      </c>
      <c r="H1238">
        <f t="shared" si="144"/>
        <v>1236</v>
      </c>
      <c r="I1238">
        <f>SUM($F$3:F1238)/H1238</f>
        <v>4013151.7473958335</v>
      </c>
      <c r="N1238">
        <f>VLOOKUP(L64,A:C,3)</f>
        <v>1.1039999723434448</v>
      </c>
      <c r="O1238">
        <f>VLOOKUP(L64,A:D,4)</f>
        <v>1.093000054359436</v>
      </c>
      <c r="P1238">
        <f t="shared" si="143"/>
        <v>1.1116666396458943</v>
      </c>
      <c r="Q1238">
        <f t="shared" si="132"/>
        <v>1.1438809491339186</v>
      </c>
      <c r="R1238">
        <f t="shared" si="133"/>
        <v>-3.2214309488024284E-2</v>
      </c>
      <c r="S1238">
        <f t="shared" si="134"/>
        <v>2.5993198764567467E-2</v>
      </c>
      <c r="T1238">
        <f t="shared" si="135"/>
        <v>3.8989798146851198E-4</v>
      </c>
      <c r="U1238">
        <f t="shared" si="136"/>
        <v>-82.62240642203966</v>
      </c>
    </row>
    <row r="1239" spans="1:21" x14ac:dyDescent="0.15">
      <c r="A1239" s="1">
        <v>46237</v>
      </c>
      <c r="B1239">
        <v>1.0989999771118164</v>
      </c>
      <c r="C1239">
        <v>1.1039999723434448</v>
      </c>
      <c r="D1239">
        <v>1.093000054359436</v>
      </c>
      <c r="E1239">
        <v>1.0950000286102295</v>
      </c>
      <c r="F1239">
        <v>3069500</v>
      </c>
      <c r="G1239">
        <v>30695</v>
      </c>
      <c r="H1239">
        <f t="shared" si="144"/>
        <v>1237</v>
      </c>
      <c r="I1239">
        <f>SUM($F$3:F1239)/H1239</f>
        <v>4012388.8923049718</v>
      </c>
      <c r="N1239">
        <f t="shared" ref="N1239:N1258" si="159">IF(A1239&lt;&gt;$K$64,MAX(N1238,VLOOKUP(A1239,A:C,3)),)</f>
        <v>1.1039999723434448</v>
      </c>
      <c r="O1239">
        <f t="shared" ref="O1239:O1258" si="160">IF(A1239&lt;&gt;$K$64,MIN(O1238,VLOOKUP(A1239,A:D,4)),)</f>
        <v>1.093000054359436</v>
      </c>
      <c r="P1239">
        <f t="shared" si="143"/>
        <v>1.0973333517710369</v>
      </c>
      <c r="Q1239">
        <f t="shared" si="132"/>
        <v>1.1377142838069372</v>
      </c>
      <c r="R1239">
        <f t="shared" si="133"/>
        <v>-4.0380932035900319E-2</v>
      </c>
      <c r="S1239">
        <f t="shared" si="134"/>
        <v>2.647619020371212E-2</v>
      </c>
      <c r="T1239">
        <f t="shared" si="135"/>
        <v>3.9714285305568177E-4</v>
      </c>
      <c r="U1239">
        <f t="shared" si="136"/>
        <v>-101.67860689221234</v>
      </c>
    </row>
    <row r="1240" spans="1:21" x14ac:dyDescent="0.15">
      <c r="A1240" s="1">
        <v>46238</v>
      </c>
      <c r="B1240">
        <v>1.1050000190734863</v>
      </c>
      <c r="C1240">
        <v>1.1310000419616699</v>
      </c>
      <c r="D1240">
        <v>1.1050000190734863</v>
      </c>
      <c r="E1240">
        <v>1.1299999952316284</v>
      </c>
      <c r="F1240">
        <v>2787702</v>
      </c>
      <c r="G1240">
        <v>27877.01953125</v>
      </c>
      <c r="H1240">
        <f t="shared" si="144"/>
        <v>1238</v>
      </c>
      <c r="I1240">
        <f>SUM($F$3:F1240)/H1240</f>
        <v>4011399.6460268577</v>
      </c>
      <c r="N1240">
        <f t="shared" si="159"/>
        <v>1.1310000419616699</v>
      </c>
      <c r="O1240">
        <f t="shared" si="160"/>
        <v>1.093000054359436</v>
      </c>
      <c r="P1240">
        <f t="shared" si="143"/>
        <v>1.122000018755595</v>
      </c>
      <c r="Q1240">
        <f t="shared" si="132"/>
        <v>1.1323095219475883</v>
      </c>
      <c r="R1240">
        <f t="shared" si="133"/>
        <v>-1.0309503191993308E-2</v>
      </c>
      <c r="S1240">
        <f t="shared" si="134"/>
        <v>2.2544214514648036E-2</v>
      </c>
      <c r="T1240">
        <f t="shared" si="135"/>
        <v>3.381632177197205E-4</v>
      </c>
      <c r="U1240">
        <f t="shared" si="136"/>
        <v>-30.486766897688216</v>
      </c>
    </row>
    <row r="1241" spans="1:21" x14ac:dyDescent="0.15">
      <c r="A1241" s="1">
        <v>46239</v>
      </c>
      <c r="B1241">
        <v>1.1100000143051147</v>
      </c>
      <c r="C1241">
        <v>1.1499999761581421</v>
      </c>
      <c r="D1241">
        <v>1.1100000143051147</v>
      </c>
      <c r="E1241">
        <v>1.1399999856948853</v>
      </c>
      <c r="F1241">
        <v>5111500</v>
      </c>
      <c r="G1241">
        <v>51115</v>
      </c>
      <c r="H1241">
        <f t="shared" si="144"/>
        <v>1239</v>
      </c>
      <c r="I1241">
        <f>SUM($F$3:F1241)/H1241</f>
        <v>4012287.53977502</v>
      </c>
      <c r="N1241">
        <f t="shared" si="159"/>
        <v>1.1499999761581421</v>
      </c>
      <c r="O1241">
        <f t="shared" si="160"/>
        <v>1.093000054359436</v>
      </c>
      <c r="P1241">
        <f t="shared" si="143"/>
        <v>1.1333333253860474</v>
      </c>
      <c r="Q1241">
        <f t="shared" si="132"/>
        <v>1.1290952364603679</v>
      </c>
      <c r="R1241">
        <f t="shared" si="133"/>
        <v>4.2380889256794507E-3</v>
      </c>
      <c r="S1241">
        <f t="shared" si="134"/>
        <v>1.8870745386396152E-2</v>
      </c>
      <c r="T1241">
        <f t="shared" si="135"/>
        <v>2.8306118079594227E-4</v>
      </c>
      <c r="U1241">
        <f t="shared" si="136"/>
        <v>14.972342423508341</v>
      </c>
    </row>
    <row r="1242" spans="1:21" x14ac:dyDescent="0.15">
      <c r="A1242" s="1">
        <v>46240</v>
      </c>
      <c r="B1242">
        <v>1.1210000514984131</v>
      </c>
      <c r="C1242">
        <v>1.1469999551773071</v>
      </c>
      <c r="D1242">
        <v>1.1189999580383301</v>
      </c>
      <c r="E1242">
        <v>1.1360000371932983</v>
      </c>
      <c r="F1242">
        <v>4146200</v>
      </c>
      <c r="G1242">
        <v>41462</v>
      </c>
      <c r="H1242">
        <f t="shared" si="144"/>
        <v>1240</v>
      </c>
      <c r="I1242">
        <f>SUM($F$3:F1242)/H1242</f>
        <v>4012395.5336945564</v>
      </c>
      <c r="N1242">
        <f t="shared" si="159"/>
        <v>1.1499999761581421</v>
      </c>
      <c r="O1242">
        <f t="shared" si="160"/>
        <v>1.093000054359436</v>
      </c>
      <c r="P1242">
        <f t="shared" si="143"/>
        <v>1.1339999834696453</v>
      </c>
      <c r="Q1242">
        <f t="shared" si="132"/>
        <v>1.1294999974114555</v>
      </c>
      <c r="R1242">
        <f t="shared" si="133"/>
        <v>4.4999860581897977E-3</v>
      </c>
      <c r="S1242">
        <f t="shared" si="134"/>
        <v>1.9166662579491036E-2</v>
      </c>
      <c r="T1242">
        <f t="shared" si="135"/>
        <v>2.8749993869236552E-4</v>
      </c>
      <c r="U1242">
        <f t="shared" si="136"/>
        <v>15.652128757512301</v>
      </c>
    </row>
    <row r="1243" spans="1:21" x14ac:dyDescent="0.15">
      <c r="A1243" s="1">
        <v>46241</v>
      </c>
      <c r="B1243">
        <v>1.1419999599456787</v>
      </c>
      <c r="C1243">
        <v>1.1540000438690186</v>
      </c>
      <c r="D1243">
        <v>1.1349999904632568</v>
      </c>
      <c r="E1243">
        <v>1.1440000534057617</v>
      </c>
      <c r="F1243">
        <v>4438800</v>
      </c>
      <c r="G1243">
        <v>44388</v>
      </c>
      <c r="H1243">
        <f t="shared" si="144"/>
        <v>1241</v>
      </c>
      <c r="I1243">
        <f>SUM($F$3:F1243)/H1243</f>
        <v>4012739.1311694197</v>
      </c>
      <c r="N1243">
        <f t="shared" si="159"/>
        <v>1.1540000438690186</v>
      </c>
      <c r="O1243">
        <f t="shared" si="160"/>
        <v>1.093000054359436</v>
      </c>
      <c r="P1243">
        <f t="shared" si="143"/>
        <v>1.1443333625793457</v>
      </c>
      <c r="Q1243">
        <f t="shared" si="132"/>
        <v>1.1310714284578958</v>
      </c>
      <c r="R1243">
        <f t="shared" si="133"/>
        <v>1.3261934121449936E-2</v>
      </c>
      <c r="S1243">
        <f t="shared" si="134"/>
        <v>1.9489793550400543E-2</v>
      </c>
      <c r="T1243">
        <f t="shared" si="135"/>
        <v>2.9234690325600815E-4</v>
      </c>
      <c r="U1243">
        <f t="shared" si="136"/>
        <v>45.363689417419486</v>
      </c>
    </row>
    <row r="1244" spans="1:21" x14ac:dyDescent="0.15">
      <c r="A1244" s="1">
        <v>46244</v>
      </c>
      <c r="B1244">
        <v>1.1440000534057617</v>
      </c>
      <c r="C1244">
        <v>1.1469999551773071</v>
      </c>
      <c r="D1244">
        <v>1.128000020980835</v>
      </c>
      <c r="E1244">
        <v>1.1430000066757202</v>
      </c>
      <c r="F1244">
        <v>5046700</v>
      </c>
      <c r="G1244">
        <v>50467</v>
      </c>
      <c r="H1244">
        <f t="shared" si="144"/>
        <v>1242</v>
      </c>
      <c r="I1244">
        <f>SUM($F$3:F1244)/H1244</f>
        <v>4013571.6278431965</v>
      </c>
      <c r="N1244">
        <f t="shared" si="159"/>
        <v>1.1540000438690186</v>
      </c>
      <c r="O1244">
        <f t="shared" si="160"/>
        <v>1.093000054359436</v>
      </c>
      <c r="P1244">
        <f t="shared" si="143"/>
        <v>1.1393333276112874</v>
      </c>
      <c r="Q1244">
        <f t="shared" si="132"/>
        <v>1.130190474646432</v>
      </c>
      <c r="R1244">
        <f t="shared" si="133"/>
        <v>9.1428529648553969E-3</v>
      </c>
      <c r="S1244">
        <f t="shared" si="134"/>
        <v>1.8734690283431506E-2</v>
      </c>
      <c r="T1244">
        <f t="shared" si="135"/>
        <v>2.810203542514726E-4</v>
      </c>
      <c r="U1244">
        <f t="shared" si="136"/>
        <v>32.534486653852355</v>
      </c>
    </row>
    <row r="1245" spans="1:21" x14ac:dyDescent="0.15">
      <c r="A1245" s="1">
        <v>46245</v>
      </c>
      <c r="B1245">
        <v>1.1430000066757202</v>
      </c>
      <c r="C1245">
        <v>1.1540000438690186</v>
      </c>
      <c r="D1245">
        <v>1.1399999856948853</v>
      </c>
      <c r="E1245">
        <v>1.1430000066757202</v>
      </c>
      <c r="F1245">
        <v>3857400</v>
      </c>
      <c r="G1245">
        <v>38574</v>
      </c>
      <c r="H1245">
        <f t="shared" si="144"/>
        <v>1243</v>
      </c>
      <c r="I1245">
        <f>SUM($F$3:F1245)/H1245</f>
        <v>4013445.9869519309</v>
      </c>
      <c r="N1245">
        <f t="shared" si="159"/>
        <v>1.1540000438690186</v>
      </c>
      <c r="O1245">
        <f t="shared" si="160"/>
        <v>1.093000054359436</v>
      </c>
      <c r="P1245">
        <f t="shared" si="143"/>
        <v>1.1456666787465413</v>
      </c>
      <c r="Q1245">
        <f t="shared" si="132"/>
        <v>1.1292619052387418</v>
      </c>
      <c r="R1245">
        <f t="shared" si="133"/>
        <v>1.6404773507799453E-2</v>
      </c>
      <c r="S1245">
        <f t="shared" si="134"/>
        <v>1.793877364826852E-2</v>
      </c>
      <c r="T1245">
        <f t="shared" si="135"/>
        <v>2.690816047240278E-4</v>
      </c>
      <c r="U1245">
        <f t="shared" si="136"/>
        <v>60.965793349658057</v>
      </c>
    </row>
    <row r="1246" spans="1:21" x14ac:dyDescent="0.15">
      <c r="A1246" s="1">
        <v>46246</v>
      </c>
      <c r="B1246">
        <v>1.121999979019165</v>
      </c>
      <c r="C1246">
        <v>1.1549999713897705</v>
      </c>
      <c r="D1246">
        <v>1.121999979019165</v>
      </c>
      <c r="E1246">
        <v>1.1510000228881836</v>
      </c>
      <c r="F1246">
        <v>2439400</v>
      </c>
      <c r="G1246">
        <v>24394</v>
      </c>
      <c r="H1246">
        <f t="shared" si="144"/>
        <v>1244</v>
      </c>
      <c r="I1246">
        <f>SUM($F$3:F1246)/H1246</f>
        <v>4012180.6766730305</v>
      </c>
      <c r="N1246">
        <f t="shared" si="159"/>
        <v>1.1549999713897705</v>
      </c>
      <c r="O1246">
        <f t="shared" si="160"/>
        <v>1.093000054359436</v>
      </c>
      <c r="P1246">
        <f t="shared" si="143"/>
        <v>1.1426666577657063</v>
      </c>
      <c r="Q1246">
        <f t="shared" si="132"/>
        <v>1.1281428564162481</v>
      </c>
      <c r="R1246">
        <f t="shared" si="133"/>
        <v>1.4523801349458187E-2</v>
      </c>
      <c r="S1246">
        <f t="shared" si="134"/>
        <v>1.6979588943273831E-2</v>
      </c>
      <c r="T1246">
        <f t="shared" si="135"/>
        <v>2.5469383414910744E-4</v>
      </c>
      <c r="U1246">
        <f t="shared" si="136"/>
        <v>57.02455027221194</v>
      </c>
    </row>
    <row r="1247" spans="1:21" x14ac:dyDescent="0.15">
      <c r="A1247" s="1">
        <v>46247</v>
      </c>
      <c r="B1247">
        <v>1.1469999551773071</v>
      </c>
      <c r="C1247">
        <v>1.1649999618530273</v>
      </c>
      <c r="D1247">
        <v>1.1469999551773071</v>
      </c>
      <c r="E1247">
        <v>1.1469999551773071</v>
      </c>
      <c r="F1247">
        <v>2805100</v>
      </c>
      <c r="G1247">
        <v>28051</v>
      </c>
      <c r="H1247">
        <f t="shared" si="144"/>
        <v>1245</v>
      </c>
      <c r="I1247">
        <f>SUM($F$3:F1247)/H1247</f>
        <v>4011211.1339608436</v>
      </c>
      <c r="N1247">
        <f t="shared" si="159"/>
        <v>1.1649999618530273</v>
      </c>
      <c r="O1247">
        <f t="shared" si="160"/>
        <v>1.093000054359436</v>
      </c>
      <c r="P1247">
        <f t="shared" si="143"/>
        <v>1.1529999574025471</v>
      </c>
      <c r="Q1247">
        <f t="shared" si="132"/>
        <v>1.1280476167088465</v>
      </c>
      <c r="R1247">
        <f t="shared" si="133"/>
        <v>2.495234069370067E-2</v>
      </c>
      <c r="S1247">
        <f t="shared" si="134"/>
        <v>1.6897954908357962E-2</v>
      </c>
      <c r="T1247">
        <f t="shared" si="135"/>
        <v>2.5346932362536943E-4</v>
      </c>
      <c r="U1247">
        <f t="shared" si="136"/>
        <v>98.443236983503837</v>
      </c>
    </row>
    <row r="1248" spans="1:21" x14ac:dyDescent="0.15">
      <c r="A1248" s="1">
        <v>46248</v>
      </c>
      <c r="B1248">
        <v>1.1510000228881836</v>
      </c>
      <c r="C1248">
        <v>1.1510000228881836</v>
      </c>
      <c r="D1248">
        <v>1.1399999856948853</v>
      </c>
      <c r="E1248">
        <v>1.1490000486373901</v>
      </c>
      <c r="F1248">
        <v>3827400</v>
      </c>
      <c r="G1248">
        <v>38274</v>
      </c>
      <c r="H1248">
        <f t="shared" si="144"/>
        <v>1246</v>
      </c>
      <c r="I1248">
        <f>SUM($F$3:F1248)/H1248</f>
        <v>4011063.6129865572</v>
      </c>
      <c r="N1248">
        <f t="shared" si="159"/>
        <v>1.1649999618530273</v>
      </c>
      <c r="O1248">
        <f t="shared" si="160"/>
        <v>1.093000054359436</v>
      </c>
      <c r="P1248">
        <f t="shared" si="143"/>
        <v>1.1466666857401531</v>
      </c>
      <c r="Q1248">
        <f t="shared" si="132"/>
        <v>1.1277857138997034</v>
      </c>
      <c r="R1248">
        <f t="shared" si="133"/>
        <v>1.8880971840449678E-2</v>
      </c>
      <c r="S1248">
        <f t="shared" si="134"/>
        <v>1.6673466786235332E-2</v>
      </c>
      <c r="T1248">
        <f t="shared" si="135"/>
        <v>2.5010200179352999E-4</v>
      </c>
      <c r="U1248">
        <f t="shared" si="136"/>
        <v>75.49308564126062</v>
      </c>
    </row>
    <row r="1249" spans="1:21" x14ac:dyDescent="0.15">
      <c r="A1249" s="1">
        <v>46251</v>
      </c>
      <c r="B1249">
        <v>1.1529999971389771</v>
      </c>
      <c r="C1249">
        <v>1.1749999523162842</v>
      </c>
      <c r="D1249">
        <v>1.1469999551773071</v>
      </c>
      <c r="E1249">
        <v>1.1740000247955322</v>
      </c>
      <c r="F1249">
        <v>3545900</v>
      </c>
      <c r="G1249">
        <v>35459</v>
      </c>
      <c r="H1249">
        <f t="shared" si="144"/>
        <v>1247</v>
      </c>
      <c r="I1249">
        <f>SUM($F$3:F1249)/H1249</f>
        <v>4010690.5868334002</v>
      </c>
      <c r="N1249">
        <f t="shared" si="159"/>
        <v>1.1749999523162842</v>
      </c>
      <c r="O1249">
        <f t="shared" si="160"/>
        <v>1.093000054359436</v>
      </c>
      <c r="P1249">
        <f t="shared" si="143"/>
        <v>1.1653333107630413</v>
      </c>
      <c r="Q1249">
        <f t="shared" si="132"/>
        <v>1.1313809497015819</v>
      </c>
      <c r="R1249">
        <f t="shared" si="133"/>
        <v>3.395236106145938E-2</v>
      </c>
      <c r="S1249">
        <f t="shared" si="134"/>
        <v>1.7414963164297026E-2</v>
      </c>
      <c r="T1249">
        <f t="shared" si="135"/>
        <v>2.6122444746445536E-4</v>
      </c>
      <c r="U1249">
        <f t="shared" si="136"/>
        <v>129.97390325068736</v>
      </c>
    </row>
    <row r="1250" spans="1:21" x14ac:dyDescent="0.15">
      <c r="A1250" s="1">
        <v>46252</v>
      </c>
      <c r="B1250">
        <v>1.1740000247955322</v>
      </c>
      <c r="C1250">
        <v>1.1759999990463257</v>
      </c>
      <c r="D1250">
        <v>1.1579999923706055</v>
      </c>
      <c r="E1250">
        <v>1.1679999828338623</v>
      </c>
      <c r="F1250">
        <v>3209400</v>
      </c>
      <c r="G1250">
        <v>32094</v>
      </c>
      <c r="H1250">
        <f t="shared" si="144"/>
        <v>1248</v>
      </c>
      <c r="I1250">
        <f>SUM($F$3:F1250)/H1250</f>
        <v>4010048.5270683095</v>
      </c>
      <c r="N1250">
        <f t="shared" si="159"/>
        <v>1.1759999990463257</v>
      </c>
      <c r="O1250">
        <f t="shared" si="160"/>
        <v>1.093000054359436</v>
      </c>
      <c r="P1250">
        <f t="shared" si="143"/>
        <v>1.1673333247502644</v>
      </c>
      <c r="Q1250">
        <f t="shared" si="132"/>
        <v>1.1353571386564347</v>
      </c>
      <c r="R1250">
        <f t="shared" si="133"/>
        <v>3.1976186093829684E-2</v>
      </c>
      <c r="S1250">
        <f t="shared" si="134"/>
        <v>1.7353742301058555E-2</v>
      </c>
      <c r="T1250">
        <f t="shared" si="135"/>
        <v>2.6030613451587833E-4</v>
      </c>
      <c r="U1250">
        <f t="shared" si="136"/>
        <v>122.8406935291768</v>
      </c>
    </row>
    <row r="1251" spans="1:21" x14ac:dyDescent="0.15">
      <c r="A1251" s="1">
        <v>46253</v>
      </c>
      <c r="B1251">
        <v>1.1449999809265137</v>
      </c>
      <c r="C1251">
        <v>1.1449999809265137</v>
      </c>
      <c r="D1251">
        <v>1.1139999628067017</v>
      </c>
      <c r="E1251">
        <v>1.1180000305175781</v>
      </c>
      <c r="F1251">
        <v>4864400</v>
      </c>
      <c r="G1251">
        <v>48644</v>
      </c>
      <c r="H1251">
        <f t="shared" si="144"/>
        <v>1249</v>
      </c>
      <c r="I1251">
        <f>SUM($F$3:F1251)/H1251</f>
        <v>4010732.5554693756</v>
      </c>
      <c r="N1251">
        <f t="shared" si="159"/>
        <v>1.1759999990463257</v>
      </c>
      <c r="O1251">
        <f t="shared" si="160"/>
        <v>1.093000054359436</v>
      </c>
      <c r="P1251">
        <f t="shared" si="143"/>
        <v>1.1256666580835979</v>
      </c>
      <c r="Q1251">
        <f t="shared" si="132"/>
        <v>1.1377380916050501</v>
      </c>
      <c r="R1251">
        <f t="shared" si="133"/>
        <v>-1.2071433521452235E-2</v>
      </c>
      <c r="S1251">
        <f t="shared" si="134"/>
        <v>1.4632653216926401E-2</v>
      </c>
      <c r="T1251">
        <f t="shared" si="135"/>
        <v>2.1948979825389602E-4</v>
      </c>
      <c r="U1251">
        <f t="shared" si="136"/>
        <v>-54.997697466961718</v>
      </c>
    </row>
    <row r="1252" spans="1:21" x14ac:dyDescent="0.15">
      <c r="A1252" s="1">
        <v>46254</v>
      </c>
      <c r="B1252">
        <v>1.1260000467300415</v>
      </c>
      <c r="C1252">
        <v>1.1310000419616699</v>
      </c>
      <c r="D1252">
        <v>1.1150000095367432</v>
      </c>
      <c r="E1252">
        <v>1.1210000514984131</v>
      </c>
      <c r="F1252">
        <v>4431700</v>
      </c>
      <c r="G1252">
        <v>44317</v>
      </c>
      <c r="H1252">
        <f t="shared" si="144"/>
        <v>1250</v>
      </c>
      <c r="I1252">
        <f>SUM($F$3:F1252)/H1252</f>
        <v>4011069.3294250001</v>
      </c>
      <c r="N1252">
        <f t="shared" si="159"/>
        <v>1.1759999990463257</v>
      </c>
      <c r="O1252">
        <f t="shared" si="160"/>
        <v>1.093000054359436</v>
      </c>
      <c r="P1252">
        <f t="shared" si="143"/>
        <v>1.1223333676656086</v>
      </c>
      <c r="Q1252">
        <f t="shared" si="132"/>
        <v>1.1385000007493156</v>
      </c>
      <c r="R1252">
        <f t="shared" si="133"/>
        <v>-1.6166633083706916E-2</v>
      </c>
      <c r="S1252">
        <f t="shared" si="134"/>
        <v>1.3761899909194599E-2</v>
      </c>
      <c r="T1252">
        <f t="shared" si="135"/>
        <v>2.0642849863791897E-4</v>
      </c>
      <c r="U1252">
        <f t="shared" si="136"/>
        <v>-78.315897225332321</v>
      </c>
    </row>
    <row r="1253" spans="1:21" x14ac:dyDescent="0.15">
      <c r="A1253" s="1">
        <v>46255</v>
      </c>
      <c r="B1253">
        <v>1.1200000047683716</v>
      </c>
      <c r="C1253">
        <v>1.1399999856948853</v>
      </c>
      <c r="D1253">
        <v>1.1200000047683716</v>
      </c>
      <c r="E1253">
        <v>1.1369999647140503</v>
      </c>
      <c r="F1253">
        <v>3039800</v>
      </c>
      <c r="G1253">
        <v>30398</v>
      </c>
      <c r="H1253">
        <f t="shared" si="144"/>
        <v>1251</v>
      </c>
      <c r="I1253">
        <f>SUM($F$3:F1253)/H1253</f>
        <v>4010292.9350769385</v>
      </c>
      <c r="N1253">
        <f t="shared" si="159"/>
        <v>1.1759999990463257</v>
      </c>
      <c r="O1253">
        <f t="shared" si="160"/>
        <v>1.093000054359436</v>
      </c>
      <c r="P1253">
        <f t="shared" si="143"/>
        <v>1.1323333183924358</v>
      </c>
      <c r="Q1253">
        <f t="shared" si="132"/>
        <v>1.1409999983651296</v>
      </c>
      <c r="R1253">
        <f t="shared" si="133"/>
        <v>-8.6666799726937693E-3</v>
      </c>
      <c r="S1253">
        <f t="shared" si="134"/>
        <v>1.1142855598812991E-2</v>
      </c>
      <c r="T1253">
        <f t="shared" si="135"/>
        <v>1.6714283398219486E-4</v>
      </c>
      <c r="U1253">
        <f t="shared" si="136"/>
        <v>-51.851938645583814</v>
      </c>
    </row>
    <row r="1254" spans="1:21" x14ac:dyDescent="0.15">
      <c r="A1254" s="1">
        <v>46258</v>
      </c>
      <c r="B1254">
        <v>1.1330000162124634</v>
      </c>
      <c r="C1254">
        <v>1.1339999437332153</v>
      </c>
      <c r="D1254">
        <v>1.1009999513626099</v>
      </c>
      <c r="E1254">
        <v>1.1139999628067017</v>
      </c>
      <c r="F1254">
        <v>4669300</v>
      </c>
      <c r="G1254">
        <v>46693</v>
      </c>
      <c r="H1254">
        <f t="shared" si="144"/>
        <v>1252</v>
      </c>
      <c r="I1254">
        <f>SUM($F$3:F1254)/H1254</f>
        <v>4010819.2985473243</v>
      </c>
      <c r="N1254">
        <f t="shared" si="159"/>
        <v>1.1759999990463257</v>
      </c>
      <c r="O1254">
        <f t="shared" si="160"/>
        <v>1.093000054359436</v>
      </c>
      <c r="P1254">
        <f t="shared" si="143"/>
        <v>1.116333285967509</v>
      </c>
      <c r="Q1254">
        <f t="shared" si="132"/>
        <v>1.1405952317374093</v>
      </c>
      <c r="R1254">
        <f t="shared" si="133"/>
        <v>-2.4261945769900262E-2</v>
      </c>
      <c r="S1254">
        <f t="shared" si="134"/>
        <v>1.1547622226533414E-2</v>
      </c>
      <c r="T1254">
        <f t="shared" si="135"/>
        <v>1.7321433339800119E-4</v>
      </c>
      <c r="U1254">
        <f t="shared" si="136"/>
        <v>-140.0689267103125</v>
      </c>
    </row>
    <row r="1255" spans="1:21" x14ac:dyDescent="0.15">
      <c r="A1255" s="1">
        <v>46259</v>
      </c>
      <c r="B1255">
        <v>1.1050000190734863</v>
      </c>
      <c r="C1255">
        <v>1.1130000352859497</v>
      </c>
      <c r="D1255">
        <v>1.0989999771118164</v>
      </c>
      <c r="E1255">
        <v>1.1080000400543213</v>
      </c>
      <c r="F1255">
        <v>2839602</v>
      </c>
      <c r="G1255">
        <v>28396.01953125</v>
      </c>
      <c r="H1255">
        <f t="shared" si="144"/>
        <v>1253</v>
      </c>
      <c r="I1255">
        <f>SUM($F$3:F1255)/H1255</f>
        <v>4009884.5680616521</v>
      </c>
      <c r="N1255">
        <f t="shared" si="159"/>
        <v>1.1759999990463257</v>
      </c>
      <c r="O1255">
        <f t="shared" si="160"/>
        <v>1.093000054359436</v>
      </c>
      <c r="P1255">
        <f t="shared" si="143"/>
        <v>1.1066666841506958</v>
      </c>
      <c r="Q1255">
        <f t="shared" si="132"/>
        <v>1.1386904716491697</v>
      </c>
      <c r="R1255">
        <f t="shared" si="133"/>
        <v>-3.2023787498473899E-2</v>
      </c>
      <c r="S1255">
        <f t="shared" si="134"/>
        <v>1.354421888078962E-2</v>
      </c>
      <c r="T1255">
        <f t="shared" si="135"/>
        <v>2.031632832118443E-4</v>
      </c>
      <c r="U1255">
        <f t="shared" si="136"/>
        <v>-157.62586128853687</v>
      </c>
    </row>
    <row r="1256" spans="1:21" x14ac:dyDescent="0.15">
      <c r="A1256" s="1">
        <v>46260</v>
      </c>
      <c r="B1256">
        <v>1.1059999465942383</v>
      </c>
      <c r="C1256">
        <v>1.1230000257492065</v>
      </c>
      <c r="D1256">
        <v>1.1059999465942383</v>
      </c>
      <c r="E1256">
        <v>1.1150000095367432</v>
      </c>
      <c r="F1256">
        <v>1662702</v>
      </c>
      <c r="G1256">
        <v>16627.01953125</v>
      </c>
      <c r="H1256">
        <f t="shared" si="144"/>
        <v>1254</v>
      </c>
      <c r="I1256">
        <f>SUM($F$3:F1256)/H1256</f>
        <v>4008012.8116277913</v>
      </c>
      <c r="N1256">
        <f t="shared" si="159"/>
        <v>1.1759999990463257</v>
      </c>
      <c r="O1256">
        <f t="shared" si="160"/>
        <v>1.093000054359436</v>
      </c>
      <c r="P1256">
        <f t="shared" si="143"/>
        <v>1.1146666606267293</v>
      </c>
      <c r="Q1256">
        <f t="shared" si="132"/>
        <v>1.1373095200175329</v>
      </c>
      <c r="R1256">
        <f t="shared" si="133"/>
        <v>-2.2642859390803682E-2</v>
      </c>
      <c r="S1256">
        <f t="shared" si="134"/>
        <v>1.5122449316946016E-2</v>
      </c>
      <c r="T1256">
        <f t="shared" si="135"/>
        <v>2.2683673975419023E-4</v>
      </c>
      <c r="U1256">
        <f t="shared" si="136"/>
        <v>-99.820070661130245</v>
      </c>
    </row>
    <row r="1257" spans="1:21" x14ac:dyDescent="0.15">
      <c r="A1257" s="1">
        <v>46261</v>
      </c>
      <c r="B1257">
        <v>1.1169999837875366</v>
      </c>
      <c r="C1257">
        <v>1.125</v>
      </c>
      <c r="D1257">
        <v>1.1130000352859497</v>
      </c>
      <c r="E1257">
        <v>1.1230000257492065</v>
      </c>
      <c r="F1257">
        <v>873400</v>
      </c>
      <c r="G1257">
        <v>8734</v>
      </c>
      <c r="H1257">
        <f t="shared" si="144"/>
        <v>1255</v>
      </c>
      <c r="I1257">
        <f>SUM($F$3:F1257)/H1257</f>
        <v>4005515.1121762949</v>
      </c>
      <c r="N1257">
        <f t="shared" si="159"/>
        <v>1.1759999990463257</v>
      </c>
      <c r="O1257">
        <f t="shared" si="160"/>
        <v>1.093000054359436</v>
      </c>
      <c r="P1257">
        <f t="shared" si="143"/>
        <v>1.1203333536783855</v>
      </c>
      <c r="Q1257">
        <f t="shared" si="132"/>
        <v>1.1355952336674644</v>
      </c>
      <c r="R1257">
        <f t="shared" si="133"/>
        <v>-1.5261879989078908E-2</v>
      </c>
      <c r="S1257">
        <f t="shared" si="134"/>
        <v>1.5833329586755634E-2</v>
      </c>
      <c r="T1257">
        <f t="shared" si="135"/>
        <v>2.3749994380133449E-4</v>
      </c>
      <c r="U1257">
        <f t="shared" si="136"/>
        <v>-64.260562528154807</v>
      </c>
    </row>
    <row r="1258" spans="1:21" x14ac:dyDescent="0.15">
      <c r="A1258" s="1">
        <v>46262</v>
      </c>
      <c r="B1258">
        <v>1.1239999532699585</v>
      </c>
      <c r="C1258">
        <v>1.1349999904632568</v>
      </c>
      <c r="D1258">
        <v>1.1139999628067017</v>
      </c>
      <c r="E1258">
        <v>1.1160000562667847</v>
      </c>
      <c r="F1258">
        <v>1319000</v>
      </c>
      <c r="G1258">
        <v>13190</v>
      </c>
      <c r="H1258">
        <f t="shared" si="144"/>
        <v>1256</v>
      </c>
      <c r="I1258">
        <f>SUM($F$3:F1258)/H1258</f>
        <v>4003376.1670232881</v>
      </c>
      <c r="N1258">
        <f t="shared" si="159"/>
        <v>1.1759999990463257</v>
      </c>
      <c r="O1258">
        <f t="shared" si="160"/>
        <v>1.093000054359436</v>
      </c>
      <c r="P1258">
        <f t="shared" si="143"/>
        <v>1.1216666698455811</v>
      </c>
      <c r="Q1258">
        <f t="shared" si="132"/>
        <v>1.1343333295413427</v>
      </c>
      <c r="R1258">
        <f t="shared" si="133"/>
        <v>-1.266665969576164E-2</v>
      </c>
      <c r="S1258">
        <f t="shared" si="134"/>
        <v>1.6380948274313991E-2</v>
      </c>
      <c r="T1258">
        <f t="shared" si="135"/>
        <v>2.4571422411470988E-4</v>
      </c>
      <c r="U1258">
        <f t="shared" si="136"/>
        <v>-51.550372150406332</v>
      </c>
    </row>
    <row r="1259" spans="1:21" x14ac:dyDescent="0.15">
      <c r="A1259" s="1">
        <v>46265</v>
      </c>
      <c r="B1259">
        <v>1.1100000143051147</v>
      </c>
      <c r="C1259">
        <v>1.1139999628067017</v>
      </c>
      <c r="D1259">
        <v>1.0989999771118164</v>
      </c>
      <c r="E1259">
        <v>1.1139999628067017</v>
      </c>
      <c r="F1259">
        <v>1687200</v>
      </c>
      <c r="G1259">
        <v>16872</v>
      </c>
      <c r="H1259">
        <f t="shared" si="144"/>
        <v>1257</v>
      </c>
      <c r="I1259">
        <f>SUM($F$3:F1259)/H1259</f>
        <v>4001533.5447742641</v>
      </c>
      <c r="N1259">
        <f>VLOOKUP(L65,A:C,3)</f>
        <v>1.128000020980835</v>
      </c>
      <c r="O1259">
        <f>VLOOKUP(L65,A:D,4)</f>
        <v>1.0989999771118164</v>
      </c>
      <c r="P1259">
        <f t="shared" si="143"/>
        <v>1.1089999675750732</v>
      </c>
      <c r="Q1259">
        <f t="shared" si="132"/>
        <v>1.1317142787433805</v>
      </c>
      <c r="R1259">
        <f t="shared" si="133"/>
        <v>-2.2714311168307244E-2</v>
      </c>
      <c r="S1259">
        <f t="shared" si="134"/>
        <v>1.6721083193409179E-2</v>
      </c>
      <c r="T1259">
        <f t="shared" si="135"/>
        <v>2.5081624790113767E-4</v>
      </c>
      <c r="U1259">
        <f t="shared" si="136"/>
        <v>-90.561561933820059</v>
      </c>
    </row>
    <row r="1260" spans="1:21" x14ac:dyDescent="0.15">
      <c r="A1260" s="1">
        <v>46266</v>
      </c>
      <c r="B1260">
        <v>1.1100000143051147</v>
      </c>
      <c r="C1260">
        <v>1.128000020980835</v>
      </c>
      <c r="D1260">
        <v>1.0989999771118164</v>
      </c>
      <c r="E1260">
        <v>1.1080000400543213</v>
      </c>
      <c r="F1260">
        <v>1161700</v>
      </c>
      <c r="G1260">
        <v>11617</v>
      </c>
      <c r="H1260">
        <f t="shared" si="144"/>
        <v>1258</v>
      </c>
      <c r="I1260">
        <f>SUM($F$3:F1260)/H1260</f>
        <v>3999276.1254222975</v>
      </c>
      <c r="N1260">
        <f t="shared" ref="N1260:N1280" si="161">IF(A1260&lt;&gt;$K$65,MAX(N1259,VLOOKUP(A1260,A:C,3)),)</f>
        <v>1.128000020980835</v>
      </c>
      <c r="O1260">
        <f t="shared" ref="O1260:O1280" si="162">IF(A1260&lt;&gt;$K$65,MIN(O1259,VLOOKUP(A1260,A:D,4)),)</f>
        <v>1.0989999771118164</v>
      </c>
      <c r="P1260">
        <f t="shared" si="143"/>
        <v>1.1116666793823242</v>
      </c>
      <c r="Q1260">
        <f t="shared" si="132"/>
        <v>1.129499994573139</v>
      </c>
      <c r="R1260">
        <f t="shared" si="133"/>
        <v>-1.7833315190814769E-2</v>
      </c>
      <c r="S1260">
        <f t="shared" si="134"/>
        <v>1.6738089168963782E-2</v>
      </c>
      <c r="T1260">
        <f t="shared" si="135"/>
        <v>2.5107133753445672E-4</v>
      </c>
      <c r="U1260">
        <f t="shared" si="136"/>
        <v>-71.028877154754255</v>
      </c>
    </row>
    <row r="1261" spans="1:21" x14ac:dyDescent="0.15">
      <c r="A1261" s="1">
        <v>46267</v>
      </c>
      <c r="B1261">
        <v>1.0989999771118164</v>
      </c>
      <c r="C1261">
        <v>1.0989999771118164</v>
      </c>
      <c r="D1261">
        <v>1.0850000381469727</v>
      </c>
      <c r="E1261">
        <v>1.0859999656677246</v>
      </c>
      <c r="F1261">
        <v>861200</v>
      </c>
      <c r="G1261">
        <v>8612</v>
      </c>
      <c r="H1261">
        <f t="shared" si="144"/>
        <v>1259</v>
      </c>
      <c r="I1261">
        <f>SUM($F$3:F1261)/H1261</f>
        <v>3996783.610628475</v>
      </c>
      <c r="N1261">
        <f t="shared" si="161"/>
        <v>1.128000020980835</v>
      </c>
      <c r="O1261">
        <f t="shared" si="162"/>
        <v>1.0850000381469727</v>
      </c>
      <c r="P1261">
        <f t="shared" si="143"/>
        <v>1.0899999936421711</v>
      </c>
      <c r="Q1261">
        <f t="shared" si="132"/>
        <v>1.1249999971616835</v>
      </c>
      <c r="R1261">
        <f t="shared" si="133"/>
        <v>-3.5000003519512379E-2</v>
      </c>
      <c r="S1261">
        <f t="shared" si="134"/>
        <v>1.6047615988724902E-2</v>
      </c>
      <c r="T1261">
        <f t="shared" si="135"/>
        <v>2.4071423983087353E-4</v>
      </c>
      <c r="U1261">
        <f t="shared" si="136"/>
        <v>-145.40063580826575</v>
      </c>
    </row>
    <row r="1262" spans="1:21" x14ac:dyDescent="0.15">
      <c r="A1262" s="1">
        <v>46268</v>
      </c>
      <c r="B1262">
        <v>1.0920000076293945</v>
      </c>
      <c r="C1262">
        <v>1.0959999561309814</v>
      </c>
      <c r="D1262">
        <v>1.0809999704360962</v>
      </c>
      <c r="E1262">
        <v>1.0859999656677246</v>
      </c>
      <c r="F1262">
        <v>3171800</v>
      </c>
      <c r="G1262">
        <v>31718</v>
      </c>
      <c r="H1262">
        <f t="shared" si="144"/>
        <v>1260</v>
      </c>
      <c r="I1262">
        <f>SUM($F$3:F1262)/H1262</f>
        <v>3996128.8617311507</v>
      </c>
      <c r="N1262">
        <f t="shared" si="161"/>
        <v>1.128000020980835</v>
      </c>
      <c r="O1262">
        <f t="shared" si="162"/>
        <v>1.0809999704360962</v>
      </c>
      <c r="P1262">
        <f t="shared" si="143"/>
        <v>1.0876666307449341</v>
      </c>
      <c r="Q1262">
        <f t="shared" si="132"/>
        <v>1.1207857075191681</v>
      </c>
      <c r="R1262">
        <f t="shared" si="133"/>
        <v>-3.311907677423398E-2</v>
      </c>
      <c r="S1262">
        <f t="shared" si="134"/>
        <v>1.5707486340788779E-2</v>
      </c>
      <c r="T1262">
        <f t="shared" si="135"/>
        <v>2.3561229511183168E-4</v>
      </c>
      <c r="U1262">
        <f t="shared" si="136"/>
        <v>-140.56599532937892</v>
      </c>
    </row>
    <row r="1263" spans="1:21" x14ac:dyDescent="0.15">
      <c r="A1263" s="1">
        <v>46269</v>
      </c>
      <c r="B1263">
        <v>1.0900000333786011</v>
      </c>
      <c r="C1263">
        <v>1.0989999771118164</v>
      </c>
      <c r="D1263">
        <v>1.0770000219345093</v>
      </c>
      <c r="E1263">
        <v>1.0800000429153442</v>
      </c>
      <c r="F1263">
        <v>2225200</v>
      </c>
      <c r="G1263">
        <v>22252</v>
      </c>
      <c r="H1263">
        <f t="shared" si="144"/>
        <v>1261</v>
      </c>
      <c r="I1263">
        <f>SUM($F$3:F1263)/H1263</f>
        <v>3994724.4772254163</v>
      </c>
      <c r="N1263">
        <f t="shared" si="161"/>
        <v>1.128000020980835</v>
      </c>
      <c r="O1263">
        <f t="shared" si="162"/>
        <v>1.0770000219345093</v>
      </c>
      <c r="P1263">
        <f t="shared" si="143"/>
        <v>1.0853333473205566</v>
      </c>
      <c r="Q1263">
        <f t="shared" si="132"/>
        <v>1.1150714244161333</v>
      </c>
      <c r="R1263">
        <f t="shared" si="133"/>
        <v>-2.9738077095576632E-2</v>
      </c>
      <c r="S1263">
        <f t="shared" si="134"/>
        <v>1.4357143924349851E-2</v>
      </c>
      <c r="T1263">
        <f t="shared" si="135"/>
        <v>2.1535715886524776E-4</v>
      </c>
      <c r="U1263">
        <f t="shared" si="136"/>
        <v>-138.08724656413301</v>
      </c>
    </row>
    <row r="1264" spans="1:21" x14ac:dyDescent="0.15">
      <c r="A1264" s="1">
        <v>46272</v>
      </c>
      <c r="B1264">
        <v>1.0829999446868896</v>
      </c>
      <c r="C1264">
        <v>1.1039999723434448</v>
      </c>
      <c r="D1264">
        <v>1.0800000429153442</v>
      </c>
      <c r="E1264">
        <v>1.1009999513626099</v>
      </c>
      <c r="F1264">
        <v>3120801</v>
      </c>
      <c r="G1264">
        <v>31208.009765625</v>
      </c>
      <c r="H1264">
        <f t="shared" si="144"/>
        <v>1262</v>
      </c>
      <c r="I1264">
        <f>SUM($F$3:F1264)/H1264</f>
        <v>3994031.9863559827</v>
      </c>
      <c r="N1264">
        <f t="shared" si="161"/>
        <v>1.128000020980835</v>
      </c>
      <c r="O1264">
        <f t="shared" si="162"/>
        <v>1.0770000219345093</v>
      </c>
      <c r="P1264">
        <f t="shared" si="143"/>
        <v>1.0949999888737996</v>
      </c>
      <c r="Q1264">
        <f t="shared" si="132"/>
        <v>1.1099047575678145</v>
      </c>
      <c r="R1264">
        <f t="shared" si="133"/>
        <v>-1.4904768694014914E-2</v>
      </c>
      <c r="S1264">
        <f t="shared" si="134"/>
        <v>1.2251704728522281E-2</v>
      </c>
      <c r="T1264">
        <f t="shared" si="135"/>
        <v>1.8377557092783421E-4</v>
      </c>
      <c r="U1264">
        <f t="shared" si="136"/>
        <v>-81.103101020253575</v>
      </c>
    </row>
    <row r="1265" spans="1:21" x14ac:dyDescent="0.15">
      <c r="A1265" s="1">
        <v>46273</v>
      </c>
      <c r="B1265">
        <v>1.1080000400543213</v>
      </c>
      <c r="C1265">
        <v>1.1080000400543213</v>
      </c>
      <c r="D1265">
        <v>1.090999960899353</v>
      </c>
      <c r="E1265">
        <v>1.0980000495910645</v>
      </c>
      <c r="F1265">
        <v>2451800</v>
      </c>
      <c r="G1265">
        <v>24518</v>
      </c>
      <c r="H1265">
        <f t="shared" si="144"/>
        <v>1263</v>
      </c>
      <c r="I1265">
        <f>SUM($F$3:F1265)/H1265</f>
        <v>3992810.900064331</v>
      </c>
      <c r="N1265">
        <f t="shared" si="161"/>
        <v>1.128000020980835</v>
      </c>
      <c r="O1265">
        <f t="shared" si="162"/>
        <v>1.0770000219345093</v>
      </c>
      <c r="P1265">
        <f t="shared" si="143"/>
        <v>1.0990000168482463</v>
      </c>
      <c r="Q1265">
        <f t="shared" si="132"/>
        <v>1.1079999974795751</v>
      </c>
      <c r="R1265">
        <f t="shared" si="133"/>
        <v>-8.9999806313287856E-3</v>
      </c>
      <c r="S1265">
        <f t="shared" si="134"/>
        <v>1.2047617613863779E-2</v>
      </c>
      <c r="T1265">
        <f t="shared" si="135"/>
        <v>1.8071426420795668E-4</v>
      </c>
      <c r="U1265">
        <f t="shared" si="136"/>
        <v>-49.802270289920614</v>
      </c>
    </row>
    <row r="1266" spans="1:21" x14ac:dyDescent="0.15">
      <c r="A1266" s="1">
        <v>46274</v>
      </c>
      <c r="B1266">
        <v>1.093000054359436</v>
      </c>
      <c r="C1266">
        <v>1.0989999771118164</v>
      </c>
      <c r="D1266">
        <v>1.0880000591278076</v>
      </c>
      <c r="E1266">
        <v>1.0959999561309814</v>
      </c>
      <c r="F1266">
        <v>1195000</v>
      </c>
      <c r="G1266">
        <v>11950</v>
      </c>
      <c r="H1266">
        <f t="shared" si="144"/>
        <v>1264</v>
      </c>
      <c r="I1266">
        <f>SUM($F$3:F1266)/H1266</f>
        <v>3990597.4420737736</v>
      </c>
      <c r="N1266">
        <f t="shared" si="161"/>
        <v>1.128000020980835</v>
      </c>
      <c r="O1266">
        <f t="shared" si="162"/>
        <v>1.0770000219345093</v>
      </c>
      <c r="P1266">
        <f t="shared" si="143"/>
        <v>1.0943333307902019</v>
      </c>
      <c r="Q1266">
        <f t="shared" si="132"/>
        <v>1.1059999948456174</v>
      </c>
      <c r="R1266">
        <f t="shared" si="133"/>
        <v>-1.1666664055415499E-2</v>
      </c>
      <c r="S1266">
        <f t="shared" si="134"/>
        <v>1.2095237264827816E-2</v>
      </c>
      <c r="T1266">
        <f t="shared" si="135"/>
        <v>1.8142855897241723E-4</v>
      </c>
      <c r="U1266">
        <f t="shared" si="136"/>
        <v>-64.304451964418647</v>
      </c>
    </row>
    <row r="1267" spans="1:21" x14ac:dyDescent="0.15">
      <c r="A1267" s="1">
        <v>46275</v>
      </c>
      <c r="B1267">
        <v>1.0859999656677246</v>
      </c>
      <c r="C1267">
        <v>1.0959999561309814</v>
      </c>
      <c r="D1267">
        <v>1.0850000381469727</v>
      </c>
      <c r="E1267">
        <v>1.0880000591278076</v>
      </c>
      <c r="F1267">
        <v>1650800</v>
      </c>
      <c r="G1267">
        <v>16508</v>
      </c>
      <c r="H1267">
        <f t="shared" si="144"/>
        <v>1265</v>
      </c>
      <c r="I1267">
        <f>SUM($F$3:F1267)/H1267</f>
        <v>3988747.7998270751</v>
      </c>
      <c r="N1267">
        <f t="shared" si="161"/>
        <v>1.128000020980835</v>
      </c>
      <c r="O1267">
        <f t="shared" si="162"/>
        <v>1.0770000219345093</v>
      </c>
      <c r="P1267">
        <f t="shared" si="143"/>
        <v>1.0896666844685872</v>
      </c>
      <c r="Q1267">
        <f t="shared" si="132"/>
        <v>1.1029523781367712</v>
      </c>
      <c r="R1267">
        <f t="shared" si="133"/>
        <v>-1.3285693668183995E-2</v>
      </c>
      <c r="S1267">
        <f t="shared" si="134"/>
        <v>1.1380950609842946E-2</v>
      </c>
      <c r="T1267">
        <f t="shared" si="135"/>
        <v>1.7071425914764419E-4</v>
      </c>
      <c r="U1267">
        <f t="shared" si="136"/>
        <v>-77.824159121316924</v>
      </c>
    </row>
    <row r="1268" spans="1:21" x14ac:dyDescent="0.15">
      <c r="A1268" s="1">
        <v>46276</v>
      </c>
      <c r="B1268">
        <v>1.0770000219345093</v>
      </c>
      <c r="C1268">
        <v>1.0850000381469727</v>
      </c>
      <c r="D1268">
        <v>1.0679999589920044</v>
      </c>
      <c r="E1268">
        <v>1.0809999704360962</v>
      </c>
      <c r="F1268">
        <v>2369000</v>
      </c>
      <c r="G1268">
        <v>23690</v>
      </c>
      <c r="H1268">
        <f t="shared" si="144"/>
        <v>1266</v>
      </c>
      <c r="I1268">
        <f>SUM($F$3:F1268)/H1268</f>
        <v>3987468.3781842417</v>
      </c>
      <c r="N1268">
        <f t="shared" si="161"/>
        <v>1.128000020980835</v>
      </c>
      <c r="O1268">
        <f t="shared" si="162"/>
        <v>1.0679999589920044</v>
      </c>
      <c r="P1268">
        <f t="shared" si="143"/>
        <v>1.0779999891916912</v>
      </c>
      <c r="Q1268">
        <f t="shared" si="132"/>
        <v>1.1002142855099268</v>
      </c>
      <c r="R1268">
        <f t="shared" si="133"/>
        <v>-2.2214296318235682E-2</v>
      </c>
      <c r="S1268">
        <f t="shared" si="134"/>
        <v>1.1816328885603911E-2</v>
      </c>
      <c r="T1268">
        <f t="shared" si="135"/>
        <v>1.7724493328405866E-4</v>
      </c>
      <c r="U1268">
        <f t="shared" si="136"/>
        <v>-125.33106536046539</v>
      </c>
    </row>
    <row r="1269" spans="1:21" x14ac:dyDescent="0.15">
      <c r="A1269" s="1">
        <v>46279</v>
      </c>
      <c r="B1269">
        <v>1.0690000057220459</v>
      </c>
      <c r="C1269">
        <v>1.0820000171661377</v>
      </c>
      <c r="D1269">
        <v>1.0679999589920044</v>
      </c>
      <c r="E1269">
        <v>1.0709999799728394</v>
      </c>
      <c r="F1269">
        <v>1463700</v>
      </c>
      <c r="G1269">
        <v>14637</v>
      </c>
      <c r="H1269">
        <f t="shared" si="144"/>
        <v>1267</v>
      </c>
      <c r="I1269">
        <f>SUM($F$3:F1269)/H1269</f>
        <v>3985476.4536552881</v>
      </c>
      <c r="N1269">
        <f t="shared" si="161"/>
        <v>1.128000020980835</v>
      </c>
      <c r="O1269">
        <f t="shared" si="162"/>
        <v>1.0679999589920044</v>
      </c>
      <c r="P1269">
        <f t="shared" si="143"/>
        <v>1.0736666520436604</v>
      </c>
      <c r="Q1269">
        <f t="shared" si="132"/>
        <v>1.0978571403594244</v>
      </c>
      <c r="R1269">
        <f t="shared" si="133"/>
        <v>-2.4190488315763981E-2</v>
      </c>
      <c r="S1269">
        <f t="shared" si="134"/>
        <v>1.2741500828541879E-2</v>
      </c>
      <c r="T1269">
        <f t="shared" si="135"/>
        <v>1.9112251242812817E-4</v>
      </c>
      <c r="U1269">
        <f t="shared" si="136"/>
        <v>-126.57058558112477</v>
      </c>
    </row>
    <row r="1270" spans="1:21" x14ac:dyDescent="0.15">
      <c r="A1270" s="1">
        <v>46280</v>
      </c>
      <c r="B1270">
        <v>1.0700000524520874</v>
      </c>
      <c r="C1270">
        <v>1.0759999752044678</v>
      </c>
      <c r="D1270">
        <v>1.0590000152587891</v>
      </c>
      <c r="E1270">
        <v>1.0590000152587891</v>
      </c>
      <c r="F1270">
        <v>450800.96875</v>
      </c>
      <c r="G1270">
        <v>4508.009765625</v>
      </c>
      <c r="H1270">
        <f t="shared" si="144"/>
        <v>1268</v>
      </c>
      <c r="I1270">
        <f>SUM($F$3:F1270)/H1270</f>
        <v>3982688.8546924288</v>
      </c>
      <c r="N1270">
        <f t="shared" si="161"/>
        <v>1.128000020980835</v>
      </c>
      <c r="O1270">
        <f t="shared" si="162"/>
        <v>1.0590000152587891</v>
      </c>
      <c r="P1270">
        <f t="shared" si="143"/>
        <v>1.0646666685740154</v>
      </c>
      <c r="Q1270">
        <f t="shared" si="132"/>
        <v>1.0942857123556591</v>
      </c>
      <c r="R1270">
        <f t="shared" si="133"/>
        <v>-2.9619043781643706E-2</v>
      </c>
      <c r="S1270">
        <f t="shared" si="134"/>
        <v>1.300000292914256E-2</v>
      </c>
      <c r="T1270">
        <f t="shared" si="135"/>
        <v>1.950000439371384E-4</v>
      </c>
      <c r="U1270">
        <f t="shared" si="136"/>
        <v>-151.89249798934358</v>
      </c>
    </row>
    <row r="1271" spans="1:21" x14ac:dyDescent="0.15">
      <c r="A1271" s="1">
        <v>46281</v>
      </c>
      <c r="B1271">
        <v>1.0590000152587891</v>
      </c>
      <c r="C1271">
        <v>1.0700000524520874</v>
      </c>
      <c r="D1271">
        <v>1.0499999523162842</v>
      </c>
      <c r="E1271">
        <v>1.0679999589920044</v>
      </c>
      <c r="F1271">
        <v>1331802</v>
      </c>
      <c r="G1271">
        <v>13318.01953125</v>
      </c>
      <c r="H1271">
        <f t="shared" si="144"/>
        <v>1269</v>
      </c>
      <c r="I1271">
        <f>SUM($F$3:F1271)/H1271</f>
        <v>3980599.897360126</v>
      </c>
      <c r="N1271">
        <f t="shared" si="161"/>
        <v>1.128000020980835</v>
      </c>
      <c r="O1271">
        <f t="shared" si="162"/>
        <v>1.0499999523162842</v>
      </c>
      <c r="P1271">
        <f t="shared" si="143"/>
        <v>1.062666654586792</v>
      </c>
      <c r="Q1271">
        <f t="shared" si="132"/>
        <v>1.0901666624205453</v>
      </c>
      <c r="R1271">
        <f t="shared" si="133"/>
        <v>-2.7500007833753282E-2</v>
      </c>
      <c r="S1271">
        <f t="shared" si="134"/>
        <v>1.2809525541707778E-2</v>
      </c>
      <c r="T1271">
        <f t="shared" si="135"/>
        <v>1.9214288312561665E-4</v>
      </c>
      <c r="U1271">
        <f t="shared" si="136"/>
        <v>-143.12269799644199</v>
      </c>
    </row>
    <row r="1272" spans="1:21" x14ac:dyDescent="0.15">
      <c r="A1272" s="1">
        <v>46282</v>
      </c>
      <c r="B1272">
        <v>1.0700000524520874</v>
      </c>
      <c r="C1272">
        <v>1.0839999914169312</v>
      </c>
      <c r="D1272">
        <v>1.065000057220459</v>
      </c>
      <c r="E1272">
        <v>1.0659999847412109</v>
      </c>
      <c r="F1272">
        <v>1323200</v>
      </c>
      <c r="G1272">
        <v>13232</v>
      </c>
      <c r="H1272">
        <f t="shared" si="144"/>
        <v>1270</v>
      </c>
      <c r="I1272">
        <f>SUM($F$3:F1272)/H1272</f>
        <v>3978507.4564960632</v>
      </c>
      <c r="N1272">
        <f t="shared" si="161"/>
        <v>1.128000020980835</v>
      </c>
      <c r="O1272">
        <f t="shared" si="162"/>
        <v>1.0499999523162842</v>
      </c>
      <c r="P1272">
        <f t="shared" si="143"/>
        <v>1.071666677792867</v>
      </c>
      <c r="Q1272">
        <f t="shared" si="132"/>
        <v>1.08659523441678</v>
      </c>
      <c r="R1272">
        <f t="shared" si="133"/>
        <v>-1.4928556623913014E-2</v>
      </c>
      <c r="S1272">
        <f t="shared" si="134"/>
        <v>1.1938773855871086E-2</v>
      </c>
      <c r="T1272">
        <f t="shared" si="135"/>
        <v>1.7908160783806627E-4</v>
      </c>
      <c r="U1272">
        <f t="shared" si="136"/>
        <v>-83.36175224321245</v>
      </c>
    </row>
    <row r="1273" spans="1:21" x14ac:dyDescent="0.15">
      <c r="A1273" s="1">
        <v>46283</v>
      </c>
      <c r="B1273">
        <v>1.0800000429153442</v>
      </c>
      <c r="C1273">
        <v>1.0870000123977661</v>
      </c>
      <c r="D1273">
        <v>1.065000057220459</v>
      </c>
      <c r="E1273">
        <v>1.0820000171661377</v>
      </c>
      <c r="F1273">
        <v>1525700</v>
      </c>
      <c r="G1273">
        <v>15257</v>
      </c>
      <c r="H1273">
        <f t="shared" si="144"/>
        <v>1271</v>
      </c>
      <c r="I1273">
        <f>SUM($F$3:F1273)/H1273</f>
        <v>3976577.6315892995</v>
      </c>
      <c r="N1273">
        <f t="shared" si="161"/>
        <v>1.128000020980835</v>
      </c>
      <c r="O1273">
        <f t="shared" si="162"/>
        <v>1.0499999523162842</v>
      </c>
      <c r="P1273">
        <f t="shared" si="143"/>
        <v>1.0780000289281209</v>
      </c>
      <c r="Q1273">
        <f t="shared" si="132"/>
        <v>1.0843809530848549</v>
      </c>
      <c r="R1273">
        <f t="shared" si="133"/>
        <v>-6.3809241567340802E-3</v>
      </c>
      <c r="S1273">
        <f t="shared" si="134"/>
        <v>1.1088435341711746E-2</v>
      </c>
      <c r="T1273">
        <f t="shared" si="135"/>
        <v>1.6632653012567619E-4</v>
      </c>
      <c r="U1273">
        <f t="shared" si="136"/>
        <v>-38.363838600568769</v>
      </c>
    </row>
    <row r="1274" spans="1:21" x14ac:dyDescent="0.15">
      <c r="A1274" s="1">
        <v>46286</v>
      </c>
      <c r="B1274">
        <v>1.093999981880188</v>
      </c>
      <c r="C1274">
        <v>1.0950000286102295</v>
      </c>
      <c r="D1274">
        <v>1.0820000171661377</v>
      </c>
      <c r="E1274">
        <v>1.0870000123977661</v>
      </c>
      <c r="F1274">
        <v>955600</v>
      </c>
      <c r="G1274">
        <v>9556</v>
      </c>
      <c r="H1274">
        <f t="shared" si="144"/>
        <v>1272</v>
      </c>
      <c r="I1274">
        <f>SUM($F$3:F1274)/H1274</f>
        <v>3974202.6491745282</v>
      </c>
      <c r="N1274">
        <f t="shared" si="161"/>
        <v>1.128000020980835</v>
      </c>
      <c r="O1274">
        <f t="shared" si="162"/>
        <v>1.0499999523162842</v>
      </c>
      <c r="P1274">
        <f t="shared" si="143"/>
        <v>1.0880000193913777</v>
      </c>
      <c r="Q1274">
        <f t="shared" si="132"/>
        <v>1.082690477371216</v>
      </c>
      <c r="R1274">
        <f t="shared" si="133"/>
        <v>5.3095420201616506E-3</v>
      </c>
      <c r="S1274">
        <f t="shared" si="134"/>
        <v>9.6394561585925499E-3</v>
      </c>
      <c r="T1274">
        <f t="shared" si="135"/>
        <v>1.4459184237888825E-4</v>
      </c>
      <c r="U1274">
        <f t="shared" si="136"/>
        <v>36.720896094874661</v>
      </c>
    </row>
    <row r="1275" spans="1:21" x14ac:dyDescent="0.15">
      <c r="A1275" s="1">
        <v>46287</v>
      </c>
      <c r="B1275">
        <v>1.0900000333786011</v>
      </c>
      <c r="C1275">
        <v>1.1089999675750732</v>
      </c>
      <c r="D1275">
        <v>1.0809999704360962</v>
      </c>
      <c r="E1275">
        <v>1.0880000591278076</v>
      </c>
      <c r="F1275">
        <v>1567500</v>
      </c>
      <c r="G1275">
        <v>15675</v>
      </c>
      <c r="H1275">
        <f t="shared" si="144"/>
        <v>1273</v>
      </c>
      <c r="I1275">
        <f>SUM($F$3:F1275)/H1275</f>
        <v>3972312.0736449333</v>
      </c>
      <c r="N1275">
        <f t="shared" si="161"/>
        <v>1.128000020980835</v>
      </c>
      <c r="O1275">
        <f t="shared" si="162"/>
        <v>1.0499999523162842</v>
      </c>
      <c r="P1275">
        <f t="shared" si="143"/>
        <v>1.0926666657129924</v>
      </c>
      <c r="Q1275">
        <f t="shared" si="132"/>
        <v>1.0828809539477031</v>
      </c>
      <c r="R1275">
        <f t="shared" si="133"/>
        <v>9.7857117652893066E-3</v>
      </c>
      <c r="S1275">
        <f t="shared" si="134"/>
        <v>9.8027217955816304E-3</v>
      </c>
      <c r="T1275">
        <f t="shared" si="135"/>
        <v>1.4704082693372446E-4</v>
      </c>
      <c r="U1275">
        <f t="shared" si="136"/>
        <v>66.550984303835619</v>
      </c>
    </row>
    <row r="1276" spans="1:21" x14ac:dyDescent="0.15">
      <c r="A1276" s="1">
        <v>46288</v>
      </c>
      <c r="B1276">
        <v>1.0950000286102295</v>
      </c>
      <c r="C1276">
        <v>1.0980000495910645</v>
      </c>
      <c r="D1276">
        <v>1.0820000171661377</v>
      </c>
      <c r="E1276">
        <v>1.0820000171661377</v>
      </c>
      <c r="F1276">
        <v>615700</v>
      </c>
      <c r="G1276">
        <v>6157</v>
      </c>
      <c r="H1276">
        <f t="shared" si="144"/>
        <v>1274</v>
      </c>
      <c r="I1276">
        <f>SUM($F$3:F1276)/H1276</f>
        <v>3969677.3702904237</v>
      </c>
      <c r="N1276">
        <f t="shared" si="161"/>
        <v>1.128000020980835</v>
      </c>
      <c r="O1276">
        <f t="shared" si="162"/>
        <v>1.0499999523162842</v>
      </c>
      <c r="P1276">
        <f t="shared" si="143"/>
        <v>1.08733336130778</v>
      </c>
      <c r="Q1276">
        <f t="shared" si="132"/>
        <v>1.0828571489879064</v>
      </c>
      <c r="R1276">
        <f t="shared" si="133"/>
        <v>4.476212319873607E-3</v>
      </c>
      <c r="S1276">
        <f t="shared" si="134"/>
        <v>9.782317544327299E-3</v>
      </c>
      <c r="T1276">
        <f t="shared" si="135"/>
        <v>1.4673476316490948E-4</v>
      </c>
      <c r="U1276">
        <f t="shared" si="136"/>
        <v>30.505465939539949</v>
      </c>
    </row>
    <row r="1277" spans="1:21" x14ac:dyDescent="0.15">
      <c r="A1277" s="1">
        <v>46289</v>
      </c>
      <c r="B1277">
        <v>1.0740000009536743</v>
      </c>
      <c r="C1277">
        <v>1.0750000476837158</v>
      </c>
      <c r="D1277">
        <v>1.0570000410079956</v>
      </c>
      <c r="E1277">
        <v>1.0579999685287476</v>
      </c>
      <c r="F1277">
        <v>1293200</v>
      </c>
      <c r="G1277">
        <v>12932</v>
      </c>
      <c r="H1277">
        <f t="shared" si="144"/>
        <v>1275</v>
      </c>
      <c r="I1277">
        <f>SUM($F$3:F1277)/H1277</f>
        <v>3967578.1723529412</v>
      </c>
      <c r="N1277">
        <f t="shared" si="161"/>
        <v>1.128000020980835</v>
      </c>
      <c r="O1277">
        <f t="shared" si="162"/>
        <v>1.0499999523162842</v>
      </c>
      <c r="P1277">
        <f t="shared" si="143"/>
        <v>1.0633333524068196</v>
      </c>
      <c r="Q1277">
        <f t="shared" si="132"/>
        <v>1.0812857207797824</v>
      </c>
      <c r="R1277">
        <f t="shared" si="133"/>
        <v>-1.7952368372962768E-2</v>
      </c>
      <c r="S1277">
        <f t="shared" si="134"/>
        <v>1.1000003133501341E-2</v>
      </c>
      <c r="T1277">
        <f t="shared" si="135"/>
        <v>1.6500004700252012E-4</v>
      </c>
      <c r="U1277">
        <f t="shared" si="136"/>
        <v>-108.80220156960667</v>
      </c>
    </row>
    <row r="1278" spans="1:21" x14ac:dyDescent="0.15">
      <c r="A1278" s="1">
        <v>46293</v>
      </c>
      <c r="B1278">
        <v>1.0479999780654907</v>
      </c>
      <c r="C1278">
        <v>1.0479999780654907</v>
      </c>
      <c r="D1278">
        <v>1.0180000066757202</v>
      </c>
      <c r="E1278">
        <v>1.0199999809265137</v>
      </c>
      <c r="F1278">
        <v>3735500</v>
      </c>
      <c r="G1278">
        <v>37355</v>
      </c>
      <c r="H1278">
        <f t="shared" si="144"/>
        <v>1276</v>
      </c>
      <c r="I1278">
        <f>SUM($F$3:F1278)/H1278</f>
        <v>3967396.2929075235</v>
      </c>
      <c r="N1278">
        <f t="shared" si="161"/>
        <v>1.128000020980835</v>
      </c>
      <c r="O1278">
        <f t="shared" si="162"/>
        <v>1.0180000066757202</v>
      </c>
      <c r="P1278">
        <f t="shared" si="143"/>
        <v>1.0286666552225749</v>
      </c>
      <c r="Q1278">
        <f t="shared" si="132"/>
        <v>1.0765476255189805</v>
      </c>
      <c r="R1278">
        <f t="shared" si="133"/>
        <v>-4.7880970296405589E-2</v>
      </c>
      <c r="S1278">
        <f t="shared" si="134"/>
        <v>1.3517013212450515E-2</v>
      </c>
      <c r="T1278">
        <f t="shared" si="135"/>
        <v>2.0275519818675771E-4</v>
      </c>
      <c r="U1278">
        <f t="shared" si="136"/>
        <v>-236.15162878488792</v>
      </c>
    </row>
    <row r="1279" spans="1:21" x14ac:dyDescent="0.15">
      <c r="A1279" s="1">
        <v>46294</v>
      </c>
      <c r="B1279">
        <v>1.0169999599456787</v>
      </c>
      <c r="C1279">
        <v>1.0260000228881836</v>
      </c>
      <c r="D1279">
        <v>1.0169999599456787</v>
      </c>
      <c r="E1279">
        <v>1.0210000276565552</v>
      </c>
      <c r="F1279">
        <v>2711800</v>
      </c>
      <c r="G1279">
        <v>27118</v>
      </c>
      <c r="H1279">
        <f t="shared" si="144"/>
        <v>1277</v>
      </c>
      <c r="I1279">
        <f>SUM($F$3:F1279)/H1279</f>
        <v>3966413.0538371182</v>
      </c>
      <c r="N1279">
        <f t="shared" si="161"/>
        <v>1.128000020980835</v>
      </c>
      <c r="O1279">
        <f t="shared" si="162"/>
        <v>1.0169999599456787</v>
      </c>
      <c r="P1279">
        <f t="shared" si="143"/>
        <v>1.0213333368301392</v>
      </c>
      <c r="Q1279">
        <f t="shared" si="132"/>
        <v>1.0710000055176871</v>
      </c>
      <c r="R1279">
        <f t="shared" si="133"/>
        <v>-4.9666668687547988E-2</v>
      </c>
      <c r="S1279">
        <f t="shared" si="134"/>
        <v>1.6333337138299209E-2</v>
      </c>
      <c r="T1279">
        <f t="shared" si="135"/>
        <v>2.4500005707448814E-4</v>
      </c>
      <c r="U1279">
        <f t="shared" si="136"/>
        <v>-202.72104945856267</v>
      </c>
    </row>
    <row r="1280" spans="1:21" x14ac:dyDescent="0.15">
      <c r="A1280" s="1">
        <v>46295</v>
      </c>
      <c r="B1280">
        <v>1.0199999809265137</v>
      </c>
      <c r="C1280">
        <v>1.0279999971389771</v>
      </c>
      <c r="D1280">
        <v>1.0199999809265137</v>
      </c>
      <c r="E1280">
        <v>1.0230000019073486</v>
      </c>
      <c r="F1280">
        <v>2464000</v>
      </c>
      <c r="G1280">
        <v>24640</v>
      </c>
      <c r="H1280">
        <f t="shared" si="144"/>
        <v>1278</v>
      </c>
      <c r="I1280">
        <f>SUM($F$3:F1280)/H1280</f>
        <v>3965237.4567683879</v>
      </c>
      <c r="N1280">
        <f t="shared" si="161"/>
        <v>0</v>
      </c>
      <c r="O1280">
        <f t="shared" si="162"/>
        <v>0</v>
      </c>
      <c r="P1280">
        <f t="shared" si="143"/>
        <v>1.0236666599909465</v>
      </c>
      <c r="Q1280">
        <f t="shared" si="132"/>
        <v>1.065952386174883</v>
      </c>
      <c r="R1280">
        <f t="shared" si="133"/>
        <v>-4.2285726183936445E-2</v>
      </c>
      <c r="S1280">
        <f t="shared" si="134"/>
        <v>1.8768712776858796E-2</v>
      </c>
      <c r="T1280">
        <f t="shared" si="135"/>
        <v>2.8153069165288194E-4</v>
      </c>
      <c r="U1280">
        <f t="shared" si="136"/>
        <v>-150.19934748738993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2026-10-03T10:03:22Z</dcterms:modified>
</cp:coreProperties>
</file>