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O1119" i="1" l="1"/>
  <c r="N1119" i="1"/>
  <c r="P1119" i="1" l="1"/>
  <c r="P1118" i="1" l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R1115" i="1" l="1"/>
  <c r="U1115" i="1" s="1"/>
  <c r="S1113" i="1"/>
  <c r="T1113" i="1" s="1"/>
  <c r="S1114" i="1"/>
  <c r="T1114" i="1" s="1"/>
  <c r="S1115" i="1"/>
  <c r="T1115" i="1" s="1"/>
  <c r="S1116" i="1"/>
  <c r="T1116" i="1" s="1"/>
  <c r="S1117" i="1"/>
  <c r="T1117" i="1" s="1"/>
  <c r="S1118" i="1"/>
  <c r="T1118" i="1" s="1"/>
  <c r="Q1119" i="1"/>
  <c r="R1119" i="1" s="1"/>
  <c r="U1119" i="1" s="1"/>
  <c r="S1119" i="1"/>
  <c r="T1119" i="1" s="1"/>
  <c r="Q1113" i="1"/>
  <c r="R1113" i="1" s="1"/>
  <c r="U1113" i="1" s="1"/>
  <c r="Q1114" i="1"/>
  <c r="R1114" i="1" s="1"/>
  <c r="U1114" i="1" s="1"/>
  <c r="Q1115" i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Q1112" i="1" l="1"/>
  <c r="R1112" i="1" s="1"/>
  <c r="S1112" i="1"/>
  <c r="T1112" i="1" s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S1098" i="1" s="1"/>
  <c r="T1098" i="1" s="1"/>
  <c r="P1084" i="1"/>
  <c r="S1097" i="1" s="1"/>
  <c r="T1097" i="1" s="1"/>
  <c r="P1083" i="1"/>
  <c r="S1096" i="1" s="1"/>
  <c r="T1096" i="1" s="1"/>
  <c r="P1082" i="1"/>
  <c r="S1095" i="1" s="1"/>
  <c r="T1095" i="1" s="1"/>
  <c r="P1081" i="1"/>
  <c r="S1094" i="1" s="1"/>
  <c r="T1094" i="1" s="1"/>
  <c r="P1080" i="1"/>
  <c r="S1093" i="1" s="1"/>
  <c r="T1093" i="1" s="1"/>
  <c r="P1079" i="1"/>
  <c r="S1092" i="1" s="1"/>
  <c r="T1092" i="1" s="1"/>
  <c r="P1078" i="1"/>
  <c r="S1091" i="1" s="1"/>
  <c r="T1091" i="1" s="1"/>
  <c r="P1077" i="1"/>
  <c r="S1090" i="1" s="1"/>
  <c r="T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R1093" i="1" l="1"/>
  <c r="U1093" i="1" s="1"/>
  <c r="Q1090" i="1"/>
  <c r="R1090" i="1" s="1"/>
  <c r="U1090" i="1" s="1"/>
  <c r="Q1091" i="1"/>
  <c r="R1091" i="1" s="1"/>
  <c r="U1091" i="1" s="1"/>
  <c r="Q1092" i="1"/>
  <c r="R1092" i="1" s="1"/>
  <c r="U1092" i="1" s="1"/>
  <c r="Q1093" i="1"/>
  <c r="Q1094" i="1"/>
  <c r="R1094" i="1" s="1"/>
  <c r="U1094" i="1" s="1"/>
  <c r="Q1095" i="1"/>
  <c r="R1095" i="1" s="1"/>
  <c r="U1095" i="1" s="1"/>
  <c r="Q1096" i="1"/>
  <c r="R1096" i="1" s="1"/>
  <c r="U1096" i="1" s="1"/>
  <c r="Q1097" i="1"/>
  <c r="R1097" i="1" s="1"/>
  <c r="U1097" i="1" s="1"/>
  <c r="Q1098" i="1"/>
  <c r="R1098" i="1" s="1"/>
  <c r="U1098" i="1" s="1"/>
  <c r="S1099" i="1"/>
  <c r="T1099" i="1" s="1"/>
  <c r="Q1099" i="1"/>
  <c r="R1099" i="1" s="1"/>
  <c r="Q1100" i="1"/>
  <c r="R1100" i="1" s="1"/>
  <c r="S1100" i="1"/>
  <c r="T1100" i="1" s="1"/>
  <c r="Q1101" i="1"/>
  <c r="R1101" i="1" s="1"/>
  <c r="U1101" i="1" s="1"/>
  <c r="S1101" i="1"/>
  <c r="T1101" i="1" s="1"/>
  <c r="Q1102" i="1"/>
  <c r="R1102" i="1" s="1"/>
  <c r="S1102" i="1"/>
  <c r="T1102" i="1" s="1"/>
  <c r="Q1103" i="1"/>
  <c r="R1103" i="1" s="1"/>
  <c r="U1103" i="1" s="1"/>
  <c r="S1103" i="1"/>
  <c r="T1103" i="1" s="1"/>
  <c r="Q1104" i="1"/>
  <c r="R1104" i="1" s="1"/>
  <c r="S1104" i="1"/>
  <c r="T1104" i="1" s="1"/>
  <c r="Q1105" i="1"/>
  <c r="R1105" i="1" s="1"/>
  <c r="U1105" i="1" s="1"/>
  <c r="S1105" i="1"/>
  <c r="T1105" i="1" s="1"/>
  <c r="Q1106" i="1"/>
  <c r="R1106" i="1" s="1"/>
  <c r="S1106" i="1"/>
  <c r="T1106" i="1" s="1"/>
  <c r="Q1107" i="1"/>
  <c r="R1107" i="1" s="1"/>
  <c r="S1107" i="1"/>
  <c r="T1107" i="1" s="1"/>
  <c r="Q1108" i="1"/>
  <c r="R1108" i="1" s="1"/>
  <c r="S1108" i="1"/>
  <c r="T1108" i="1" s="1"/>
  <c r="Q1109" i="1"/>
  <c r="R1109" i="1" s="1"/>
  <c r="S1109" i="1"/>
  <c r="T1109" i="1" s="1"/>
  <c r="Q1110" i="1"/>
  <c r="R1110" i="1" s="1"/>
  <c r="S1110" i="1"/>
  <c r="T1110" i="1" s="1"/>
  <c r="Q1111" i="1"/>
  <c r="R1111" i="1" s="1"/>
  <c r="S1111" i="1"/>
  <c r="T1111" i="1" s="1"/>
  <c r="U1112" i="1"/>
  <c r="P1076" i="1"/>
  <c r="S1089" i="1" l="1"/>
  <c r="T1089" i="1" s="1"/>
  <c r="Q1089" i="1"/>
  <c r="R1089" i="1" s="1"/>
  <c r="U1089" i="1" s="1"/>
  <c r="U1111" i="1"/>
  <c r="U1109" i="1"/>
  <c r="U1107" i="1"/>
  <c r="U1110" i="1"/>
  <c r="U1108" i="1"/>
  <c r="U1106" i="1"/>
  <c r="U1104" i="1"/>
  <c r="U1102" i="1"/>
  <c r="U1100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S1070" i="1" l="1"/>
  <c r="T1070" i="1" s="1"/>
  <c r="S1071" i="1"/>
  <c r="T1071" i="1" s="1"/>
  <c r="S1072" i="1"/>
  <c r="T1072" i="1" s="1"/>
  <c r="S1073" i="1"/>
  <c r="T1073" i="1" s="1"/>
  <c r="S1074" i="1"/>
  <c r="T1074" i="1" s="1"/>
  <c r="S1075" i="1"/>
  <c r="T1075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U1079" i="1" s="1"/>
  <c r="S1080" i="1"/>
  <c r="T1080" i="1" s="1"/>
  <c r="Q1080" i="1"/>
  <c r="R1080" i="1" s="1"/>
  <c r="S1081" i="1"/>
  <c r="T1081" i="1" s="1"/>
  <c r="Q1081" i="1"/>
  <c r="R1081" i="1" s="1"/>
  <c r="U1081" i="1" s="1"/>
  <c r="S1082" i="1"/>
  <c r="T1082" i="1" s="1"/>
  <c r="Q1082" i="1"/>
  <c r="R1082" i="1" s="1"/>
  <c r="S1083" i="1"/>
  <c r="T1083" i="1" s="1"/>
  <c r="Q1083" i="1"/>
  <c r="R1083" i="1" s="1"/>
  <c r="U1083" i="1" s="1"/>
  <c r="S1084" i="1"/>
  <c r="T1084" i="1" s="1"/>
  <c r="Q1084" i="1"/>
  <c r="R1084" i="1" s="1"/>
  <c r="S1085" i="1"/>
  <c r="T1085" i="1" s="1"/>
  <c r="Q1085" i="1"/>
  <c r="R1085" i="1" s="1"/>
  <c r="U1085" i="1" s="1"/>
  <c r="S1086" i="1"/>
  <c r="T1086" i="1" s="1"/>
  <c r="Q1086" i="1"/>
  <c r="R1086" i="1" s="1"/>
  <c r="S1087" i="1"/>
  <c r="T1087" i="1" s="1"/>
  <c r="Q1087" i="1"/>
  <c r="R1087" i="1" s="1"/>
  <c r="U1087" i="1" s="1"/>
  <c r="S1088" i="1"/>
  <c r="T1088" i="1" s="1"/>
  <c r="Q1088" i="1"/>
  <c r="R1088" i="1" s="1"/>
  <c r="Q1070" i="1"/>
  <c r="Q1071" i="1"/>
  <c r="R1071" i="1" s="1"/>
  <c r="U1071" i="1" s="1"/>
  <c r="Q1072" i="1"/>
  <c r="R1072" i="1" s="1"/>
  <c r="U1072" i="1" s="1"/>
  <c r="Q1073" i="1"/>
  <c r="Q1074" i="1"/>
  <c r="Q1075" i="1"/>
  <c r="R1075" i="1" s="1"/>
  <c r="U1075" i="1" s="1"/>
  <c r="S1076" i="1"/>
  <c r="T1076" i="1" s="1"/>
  <c r="Q1076" i="1"/>
  <c r="R1076" i="1" s="1"/>
  <c r="R1070" i="1"/>
  <c r="U1070" i="1" s="1"/>
  <c r="R1073" i="1"/>
  <c r="U1073" i="1" s="1"/>
  <c r="R1074" i="1"/>
  <c r="U1074" i="1" s="1"/>
  <c r="P1056" i="1"/>
  <c r="Q1069" i="1" l="1"/>
  <c r="R1069" i="1" s="1"/>
  <c r="S1069" i="1"/>
  <c r="T1069" i="1" s="1"/>
  <c r="U1076" i="1"/>
  <c r="U1088" i="1"/>
  <c r="U1086" i="1"/>
  <c r="U1084" i="1"/>
  <c r="U1082" i="1"/>
  <c r="U1080" i="1"/>
  <c r="U1078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Q1056" i="1" l="1"/>
  <c r="R1056" i="1" s="1"/>
  <c r="S1056" i="1"/>
  <c r="T1056" i="1" s="1"/>
  <c r="Q1057" i="1"/>
  <c r="R1057" i="1" s="1"/>
  <c r="U1057" i="1" s="1"/>
  <c r="S1057" i="1"/>
  <c r="T1057" i="1" s="1"/>
  <c r="Q1058" i="1"/>
  <c r="R1058" i="1" s="1"/>
  <c r="S1058" i="1"/>
  <c r="T1058" i="1" s="1"/>
  <c r="Q1059" i="1"/>
  <c r="R1059" i="1" s="1"/>
  <c r="U1059" i="1" s="1"/>
  <c r="S1059" i="1"/>
  <c r="T1059" i="1" s="1"/>
  <c r="Q1060" i="1"/>
  <c r="R1060" i="1" s="1"/>
  <c r="S1060" i="1"/>
  <c r="T1060" i="1" s="1"/>
  <c r="Q1061" i="1"/>
  <c r="R1061" i="1" s="1"/>
  <c r="U1061" i="1" s="1"/>
  <c r="S1061" i="1"/>
  <c r="T1061" i="1" s="1"/>
  <c r="Q1062" i="1"/>
  <c r="R1062" i="1" s="1"/>
  <c r="S1062" i="1"/>
  <c r="T1062" i="1" s="1"/>
  <c r="Q1063" i="1"/>
  <c r="R1063" i="1" s="1"/>
  <c r="U1063" i="1" s="1"/>
  <c r="S1063" i="1"/>
  <c r="T1063" i="1" s="1"/>
  <c r="Q1064" i="1"/>
  <c r="R1064" i="1" s="1"/>
  <c r="S1064" i="1"/>
  <c r="T1064" i="1" s="1"/>
  <c r="Q1065" i="1"/>
  <c r="R1065" i="1" s="1"/>
  <c r="U1065" i="1" s="1"/>
  <c r="S1065" i="1"/>
  <c r="T1065" i="1" s="1"/>
  <c r="Q1066" i="1"/>
  <c r="R1066" i="1" s="1"/>
  <c r="S1066" i="1"/>
  <c r="T1066" i="1" s="1"/>
  <c r="Q1067" i="1"/>
  <c r="R1067" i="1" s="1"/>
  <c r="U1067" i="1" s="1"/>
  <c r="S1067" i="1"/>
  <c r="T1067" i="1" s="1"/>
  <c r="Q1068" i="1"/>
  <c r="R1068" i="1" s="1"/>
  <c r="S1068" i="1"/>
  <c r="T1068" i="1" s="1"/>
  <c r="Q1053" i="1"/>
  <c r="R1053" i="1" s="1"/>
  <c r="U1053" i="1" s="1"/>
  <c r="Q1054" i="1"/>
  <c r="R1054" i="1" s="1"/>
  <c r="U1054" i="1" s="1"/>
  <c r="Q1055" i="1"/>
  <c r="R1055" i="1" s="1"/>
  <c r="U1055" i="1" s="1"/>
  <c r="U1069" i="1"/>
  <c r="P1039" i="1"/>
  <c r="S1052" i="1" l="1"/>
  <c r="T1052" i="1" s="1"/>
  <c r="Q1052" i="1"/>
  <c r="R1052" i="1" s="1"/>
  <c r="U1068" i="1"/>
  <c r="U1066" i="1"/>
  <c r="U1064" i="1"/>
  <c r="U1062" i="1"/>
  <c r="U1060" i="1"/>
  <c r="U1058" i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S1039" i="1" l="1"/>
  <c r="T1039" i="1" s="1"/>
  <c r="Q1039" i="1"/>
  <c r="R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Q1031" i="1"/>
  <c r="R1031" i="1" s="1"/>
  <c r="U1031" i="1" s="1"/>
  <c r="Q1032" i="1"/>
  <c r="Q1033" i="1"/>
  <c r="R1033" i="1" s="1"/>
  <c r="U1033" i="1" s="1"/>
  <c r="Q1034" i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R1032" i="1"/>
  <c r="U1032" i="1" s="1"/>
  <c r="R1034" i="1"/>
  <c r="U1034" i="1" s="1"/>
  <c r="U1052" i="1"/>
  <c r="P1017" i="1"/>
  <c r="U1050" i="1" l="1"/>
  <c r="U1048" i="1"/>
  <c r="U1046" i="1"/>
  <c r="U1044" i="1"/>
  <c r="U1042" i="1"/>
  <c r="U1040" i="1"/>
  <c r="S1030" i="1"/>
  <c r="T1030" i="1" s="1"/>
  <c r="Q1030" i="1"/>
  <c r="R1030" i="1" s="1"/>
  <c r="U1030" i="1" s="1"/>
  <c r="U1051" i="1"/>
  <c r="U1049" i="1"/>
  <c r="U1047" i="1"/>
  <c r="U1045" i="1"/>
  <c r="U1043" i="1"/>
  <c r="U1041" i="1"/>
  <c r="U1039" i="1"/>
  <c r="P1016" i="1"/>
  <c r="P1015" i="1"/>
  <c r="P1014" i="1"/>
  <c r="P1013" i="1"/>
  <c r="R1013" i="1" s="1"/>
  <c r="P1012" i="1"/>
  <c r="P1011" i="1"/>
  <c r="P1010" i="1"/>
  <c r="P1009" i="1"/>
  <c r="P1008" i="1"/>
  <c r="P1007" i="1"/>
  <c r="P1006" i="1"/>
  <c r="P1005" i="1"/>
  <c r="P1004" i="1"/>
  <c r="P1003" i="1"/>
  <c r="Q1016" i="1" s="1"/>
  <c r="R1016" i="1" s="1"/>
  <c r="P1002" i="1"/>
  <c r="Q1015" i="1" s="1"/>
  <c r="P1001" i="1"/>
  <c r="Q1014" i="1" s="1"/>
  <c r="P1000" i="1"/>
  <c r="Q1013" i="1" s="1"/>
  <c r="P999" i="1"/>
  <c r="Q1012" i="1" s="1"/>
  <c r="P998" i="1"/>
  <c r="Q1011" i="1" s="1"/>
  <c r="P997" i="1"/>
  <c r="Q1010" i="1" s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R1011" i="1" l="1"/>
  <c r="U1011" i="1" s="1"/>
  <c r="R1015" i="1"/>
  <c r="R1012" i="1"/>
  <c r="R1010" i="1"/>
  <c r="R1014" i="1"/>
  <c r="S1010" i="1"/>
  <c r="T1010" i="1" s="1"/>
  <c r="S1011" i="1"/>
  <c r="T1011" i="1" s="1"/>
  <c r="S1012" i="1"/>
  <c r="T1012" i="1" s="1"/>
  <c r="S1013" i="1"/>
  <c r="T1013" i="1" s="1"/>
  <c r="U1013" i="1" s="1"/>
  <c r="S1014" i="1"/>
  <c r="T1014" i="1" s="1"/>
  <c r="S1015" i="1"/>
  <c r="T1015" i="1" s="1"/>
  <c r="S1016" i="1"/>
  <c r="T1016" i="1" s="1"/>
  <c r="U1016" i="1" s="1"/>
  <c r="S1017" i="1"/>
  <c r="T1017" i="1" s="1"/>
  <c r="Q1017" i="1"/>
  <c r="R1017" i="1" s="1"/>
  <c r="U1017" i="1" s="1"/>
  <c r="S1018" i="1"/>
  <c r="T1018" i="1" s="1"/>
  <c r="Q1018" i="1"/>
  <c r="R1018" i="1" s="1"/>
  <c r="U1018" i="1" s="1"/>
  <c r="Q1019" i="1"/>
  <c r="R1019" i="1" s="1"/>
  <c r="S1019" i="1"/>
  <c r="T1019" i="1" s="1"/>
  <c r="S1020" i="1"/>
  <c r="T1020" i="1" s="1"/>
  <c r="Q1020" i="1"/>
  <c r="R1020" i="1" s="1"/>
  <c r="U1020" i="1" s="1"/>
  <c r="S1021" i="1"/>
  <c r="T1021" i="1" s="1"/>
  <c r="Q1021" i="1"/>
  <c r="R1021" i="1" s="1"/>
  <c r="U1021" i="1" s="1"/>
  <c r="S1022" i="1"/>
  <c r="T1022" i="1" s="1"/>
  <c r="Q1022" i="1"/>
  <c r="R1022" i="1" s="1"/>
  <c r="U1022" i="1" s="1"/>
  <c r="S1023" i="1"/>
  <c r="T1023" i="1" s="1"/>
  <c r="Q1023" i="1"/>
  <c r="R1023" i="1" s="1"/>
  <c r="U1023" i="1" s="1"/>
  <c r="S1024" i="1"/>
  <c r="T1024" i="1" s="1"/>
  <c r="Q1024" i="1"/>
  <c r="R1024" i="1" s="1"/>
  <c r="U1024" i="1" s="1"/>
  <c r="S1025" i="1"/>
  <c r="T1025" i="1" s="1"/>
  <c r="Q1025" i="1"/>
  <c r="R1025" i="1" s="1"/>
  <c r="U1025" i="1" s="1"/>
  <c r="S1026" i="1"/>
  <c r="T1026" i="1" s="1"/>
  <c r="Q1026" i="1"/>
  <c r="R1026" i="1" s="1"/>
  <c r="U1026" i="1" s="1"/>
  <c r="S1027" i="1"/>
  <c r="T1027" i="1" s="1"/>
  <c r="Q1027" i="1"/>
  <c r="R1027" i="1" s="1"/>
  <c r="U1027" i="1" s="1"/>
  <c r="S1028" i="1"/>
  <c r="T1028" i="1" s="1"/>
  <c r="Q1028" i="1"/>
  <c r="R1028" i="1" s="1"/>
  <c r="U1028" i="1" s="1"/>
  <c r="S1029" i="1"/>
  <c r="T1029" i="1" s="1"/>
  <c r="Q1029" i="1"/>
  <c r="R1029" i="1" s="1"/>
  <c r="U1029" i="1" s="1"/>
  <c r="P996" i="1"/>
  <c r="U1019" i="1" l="1"/>
  <c r="U1010" i="1"/>
  <c r="U1015" i="1"/>
  <c r="U1012" i="1"/>
  <c r="Q1009" i="1"/>
  <c r="R1009" i="1" s="1"/>
  <c r="S1009" i="1"/>
  <c r="T1009" i="1" s="1"/>
  <c r="U1014" i="1"/>
  <c r="P995" i="1"/>
  <c r="P994" i="1"/>
  <c r="R994" i="1" s="1"/>
  <c r="P993" i="1"/>
  <c r="P992" i="1"/>
  <c r="R992" i="1" s="1"/>
  <c r="P991" i="1"/>
  <c r="P990" i="1"/>
  <c r="R990" i="1" s="1"/>
  <c r="P989" i="1"/>
  <c r="P988" i="1"/>
  <c r="P987" i="1"/>
  <c r="P986" i="1"/>
  <c r="P985" i="1"/>
  <c r="P984" i="1"/>
  <c r="P983" i="1"/>
  <c r="P982" i="1"/>
  <c r="Q995" i="1" s="1"/>
  <c r="P981" i="1"/>
  <c r="Q994" i="1" s="1"/>
  <c r="P980" i="1"/>
  <c r="Q993" i="1" s="1"/>
  <c r="P979" i="1"/>
  <c r="Q992" i="1" s="1"/>
  <c r="P978" i="1"/>
  <c r="Q991" i="1" s="1"/>
  <c r="P977" i="1"/>
  <c r="Q990" i="1" s="1"/>
  <c r="P976" i="1"/>
  <c r="Q989" i="1" s="1"/>
  <c r="P975" i="1"/>
  <c r="S988" i="1" s="1"/>
  <c r="T988" i="1" s="1"/>
  <c r="P974" i="1"/>
  <c r="Q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94" i="1" l="1"/>
  <c r="R987" i="1"/>
  <c r="U987" i="1" s="1"/>
  <c r="R991" i="1"/>
  <c r="R995" i="1"/>
  <c r="R988" i="1"/>
  <c r="U988" i="1" s="1"/>
  <c r="R989" i="1"/>
  <c r="R993" i="1"/>
  <c r="Q988" i="1"/>
  <c r="S987" i="1"/>
  <c r="T987" i="1" s="1"/>
  <c r="S989" i="1"/>
  <c r="T989" i="1" s="1"/>
  <c r="S990" i="1"/>
  <c r="T990" i="1" s="1"/>
  <c r="U990" i="1" s="1"/>
  <c r="S991" i="1"/>
  <c r="T991" i="1" s="1"/>
  <c r="S992" i="1"/>
  <c r="T992" i="1" s="1"/>
  <c r="U992" i="1" s="1"/>
  <c r="S993" i="1"/>
  <c r="T993" i="1" s="1"/>
  <c r="S994" i="1"/>
  <c r="T994" i="1" s="1"/>
  <c r="S995" i="1"/>
  <c r="T995" i="1" s="1"/>
  <c r="Q996" i="1"/>
  <c r="R996" i="1" s="1"/>
  <c r="S996" i="1"/>
  <c r="T996" i="1" s="1"/>
  <c r="S997" i="1"/>
  <c r="T997" i="1" s="1"/>
  <c r="Q997" i="1"/>
  <c r="R997" i="1" s="1"/>
  <c r="U997" i="1" s="1"/>
  <c r="Q998" i="1"/>
  <c r="R998" i="1" s="1"/>
  <c r="S998" i="1"/>
  <c r="T998" i="1" s="1"/>
  <c r="Q999" i="1"/>
  <c r="R999" i="1" s="1"/>
  <c r="S999" i="1"/>
  <c r="T999" i="1" s="1"/>
  <c r="S1000" i="1"/>
  <c r="T1000" i="1" s="1"/>
  <c r="Q1000" i="1"/>
  <c r="R1000" i="1" s="1"/>
  <c r="U1000" i="1" s="1"/>
  <c r="S1001" i="1"/>
  <c r="T1001" i="1" s="1"/>
  <c r="Q1001" i="1"/>
  <c r="R1001" i="1" s="1"/>
  <c r="U1001" i="1" s="1"/>
  <c r="Q1002" i="1"/>
  <c r="R1002" i="1" s="1"/>
  <c r="S1002" i="1"/>
  <c r="T1002" i="1" s="1"/>
  <c r="Q1003" i="1"/>
  <c r="R1003" i="1" s="1"/>
  <c r="S1003" i="1"/>
  <c r="T1003" i="1" s="1"/>
  <c r="S1004" i="1"/>
  <c r="T1004" i="1" s="1"/>
  <c r="Q1004" i="1"/>
  <c r="R1004" i="1" s="1"/>
  <c r="U1004" i="1" s="1"/>
  <c r="Q1005" i="1"/>
  <c r="R1005" i="1" s="1"/>
  <c r="S1005" i="1"/>
  <c r="T1005" i="1" s="1"/>
  <c r="Q1006" i="1"/>
  <c r="R1006" i="1" s="1"/>
  <c r="S1006" i="1"/>
  <c r="T1006" i="1" s="1"/>
  <c r="S1007" i="1"/>
  <c r="T1007" i="1" s="1"/>
  <c r="Q1007" i="1"/>
  <c r="R1007" i="1" s="1"/>
  <c r="U1007" i="1" s="1"/>
  <c r="Q1008" i="1"/>
  <c r="R1008" i="1" s="1"/>
  <c r="S1008" i="1"/>
  <c r="T1008" i="1" s="1"/>
  <c r="U1009" i="1"/>
  <c r="P973" i="1"/>
  <c r="U993" i="1" l="1"/>
  <c r="Q986" i="1"/>
  <c r="R986" i="1" s="1"/>
  <c r="S986" i="1"/>
  <c r="T986" i="1" s="1"/>
  <c r="U1008" i="1"/>
  <c r="U1006" i="1"/>
  <c r="U1002" i="1"/>
  <c r="U998" i="1"/>
  <c r="U996" i="1"/>
  <c r="U989" i="1"/>
  <c r="U995" i="1"/>
  <c r="U1005" i="1"/>
  <c r="U1003" i="1"/>
  <c r="U999" i="1"/>
  <c r="U991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Q973" i="1" l="1"/>
  <c r="R973" i="1" s="1"/>
  <c r="U973" i="1" s="1"/>
  <c r="S973" i="1"/>
  <c r="T973" i="1" s="1"/>
  <c r="Q977" i="1"/>
  <c r="R977" i="1" s="1"/>
  <c r="U977" i="1" s="1"/>
  <c r="S977" i="1"/>
  <c r="T977" i="1" s="1"/>
  <c r="S981" i="1"/>
  <c r="T981" i="1" s="1"/>
  <c r="Q981" i="1"/>
  <c r="R981" i="1" s="1"/>
  <c r="Q985" i="1"/>
  <c r="R985" i="1" s="1"/>
  <c r="U985" i="1" s="1"/>
  <c r="S985" i="1"/>
  <c r="T985" i="1" s="1"/>
  <c r="S976" i="1"/>
  <c r="T976" i="1" s="1"/>
  <c r="Q976" i="1"/>
  <c r="R976" i="1" s="1"/>
  <c r="Q974" i="1"/>
  <c r="R974" i="1" s="1"/>
  <c r="U974" i="1" s="1"/>
  <c r="S974" i="1"/>
  <c r="T974" i="1" s="1"/>
  <c r="S978" i="1"/>
  <c r="T978" i="1" s="1"/>
  <c r="Q978" i="1"/>
  <c r="R978" i="1" s="1"/>
  <c r="Q982" i="1"/>
  <c r="R982" i="1" s="1"/>
  <c r="U982" i="1" s="1"/>
  <c r="S982" i="1"/>
  <c r="T982" i="1" s="1"/>
  <c r="S975" i="1"/>
  <c r="T975" i="1" s="1"/>
  <c r="Q975" i="1"/>
  <c r="R975" i="1" s="1"/>
  <c r="Q979" i="1"/>
  <c r="R979" i="1" s="1"/>
  <c r="U979" i="1" s="1"/>
  <c r="S979" i="1"/>
  <c r="T979" i="1" s="1"/>
  <c r="S983" i="1"/>
  <c r="T983" i="1" s="1"/>
  <c r="Q983" i="1"/>
  <c r="R983" i="1" s="1"/>
  <c r="U986" i="1"/>
  <c r="Q980" i="1"/>
  <c r="R980" i="1" s="1"/>
  <c r="S980" i="1"/>
  <c r="T980" i="1" s="1"/>
  <c r="S984" i="1"/>
  <c r="T984" i="1" s="1"/>
  <c r="Q984" i="1"/>
  <c r="R984" i="1" s="1"/>
  <c r="U984" i="1" s="1"/>
  <c r="S967" i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R971" i="1" s="1"/>
  <c r="U971" i="1" s="1"/>
  <c r="S972" i="1"/>
  <c r="T972" i="1" s="1"/>
  <c r="Q972" i="1"/>
  <c r="R972" i="1" s="1"/>
  <c r="U972" i="1" s="1"/>
  <c r="R970" i="1"/>
  <c r="P953" i="1"/>
  <c r="U980" i="1" l="1"/>
  <c r="U983" i="1"/>
  <c r="U975" i="1"/>
  <c r="U978" i="1"/>
  <c r="U976" i="1"/>
  <c r="U981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P937" i="1"/>
  <c r="S950" i="1" s="1"/>
  <c r="T950" i="1" s="1"/>
  <c r="P936" i="1"/>
  <c r="P935" i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1" i="1" l="1"/>
  <c r="T951" i="1" s="1"/>
  <c r="S948" i="1"/>
  <c r="T948" i="1" s="1"/>
  <c r="S949" i="1"/>
  <c r="T949" i="1" s="1"/>
  <c r="S953" i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P918" i="1"/>
  <c r="P917" i="1"/>
  <c r="P916" i="1"/>
  <c r="S929" i="1" s="1"/>
  <c r="T929" i="1" s="1"/>
  <c r="P915" i="1"/>
  <c r="P914" i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28" i="1" l="1"/>
  <c r="T928" i="1" s="1"/>
  <c r="S932" i="1"/>
  <c r="T932" i="1" s="1"/>
  <c r="S930" i="1"/>
  <c r="T930" i="1" s="1"/>
  <c r="S927" i="1"/>
  <c r="T927" i="1" s="1"/>
  <c r="S931" i="1"/>
  <c r="T931" i="1" s="1"/>
  <c r="S934" i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P897" i="1"/>
  <c r="S910" i="1" s="1"/>
  <c r="T910" i="1" s="1"/>
  <c r="P896" i="1"/>
  <c r="P895" i="1"/>
  <c r="S908" i="1" s="1"/>
  <c r="T908" i="1" s="1"/>
  <c r="P894" i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6" i="1" l="1"/>
  <c r="T906" i="1" s="1"/>
  <c r="S907" i="1"/>
  <c r="T907" i="1" s="1"/>
  <c r="S911" i="1"/>
  <c r="T911" i="1" s="1"/>
  <c r="S909" i="1"/>
  <c r="T909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S889" i="1" s="1"/>
  <c r="T889" i="1" s="1"/>
  <c r="P875" i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1" i="1" l="1"/>
  <c r="T891" i="1" s="1"/>
  <c r="S888" i="1"/>
  <c r="T888" i="1" s="1"/>
  <c r="S890" i="1"/>
  <c r="T890" i="1" s="1"/>
  <c r="S892" i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U887" i="1" l="1"/>
  <c r="Q870" i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S884" i="1"/>
  <c r="T884" i="1" s="1"/>
  <c r="Q884" i="1"/>
  <c r="R884" i="1" s="1"/>
  <c r="R871" i="1"/>
  <c r="U871" i="1" s="1"/>
  <c r="S885" i="1"/>
  <c r="T885" i="1" s="1"/>
  <c r="Q885" i="1"/>
  <c r="R885" i="1" s="1"/>
  <c r="R872" i="1"/>
  <c r="S886" i="1"/>
  <c r="T886" i="1" s="1"/>
  <c r="Q886" i="1"/>
  <c r="R886" i="1" s="1"/>
  <c r="R873" i="1"/>
  <c r="U873" i="1" s="1"/>
  <c r="P856" i="1"/>
  <c r="U872" i="1" l="1"/>
  <c r="U884" i="1"/>
  <c r="U886" i="1"/>
  <c r="U870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R855" i="1"/>
  <c r="U855" i="1" s="1"/>
  <c r="P834" i="1"/>
  <c r="U866" i="1" l="1"/>
  <c r="U862" i="1"/>
  <c r="U868" i="1"/>
  <c r="U864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P818" i="1"/>
  <c r="P817" i="1"/>
  <c r="P816" i="1"/>
  <c r="S829" i="1" s="1"/>
  <c r="T829" i="1" s="1"/>
  <c r="P815" i="1"/>
  <c r="P814" i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28" i="1" l="1"/>
  <c r="T828" i="1" s="1"/>
  <c r="S832" i="1"/>
  <c r="T832" i="1" s="1"/>
  <c r="S830" i="1"/>
  <c r="T830" i="1" s="1"/>
  <c r="S827" i="1"/>
  <c r="T827" i="1" s="1"/>
  <c r="S831" i="1"/>
  <c r="T831" i="1" s="1"/>
  <c r="S834" i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Q830" i="1"/>
  <c r="R830" i="1" s="1"/>
  <c r="U830" i="1" s="1"/>
  <c r="S844" i="1"/>
  <c r="T844" i="1" s="1"/>
  <c r="Q844" i="1"/>
  <c r="R844" i="1" s="1"/>
  <c r="U844" i="1" s="1"/>
  <c r="Q832" i="1"/>
  <c r="S846" i="1"/>
  <c r="T846" i="1" s="1"/>
  <c r="Q846" i="1"/>
  <c r="R846" i="1" s="1"/>
  <c r="S835" i="1"/>
  <c r="T835" i="1" s="1"/>
  <c r="Q835" i="1"/>
  <c r="R835" i="1" s="1"/>
  <c r="S837" i="1"/>
  <c r="T837" i="1" s="1"/>
  <c r="Q837" i="1"/>
  <c r="R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2" i="1" l="1"/>
  <c r="U837" i="1"/>
  <c r="U846" i="1"/>
  <c r="S826" i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S811" i="1" s="1"/>
  <c r="T811" i="1" s="1"/>
  <c r="P797" i="1"/>
  <c r="P796" i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09" i="1" l="1"/>
  <c r="T809" i="1" s="1"/>
  <c r="S810" i="1"/>
  <c r="T810" i="1" s="1"/>
  <c r="S812" i="1"/>
  <c r="T812" i="1" s="1"/>
  <c r="S813" i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09" i="1" l="1"/>
  <c r="S808" i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S796" i="1"/>
  <c r="T796" i="1" s="1"/>
  <c r="Q796" i="1"/>
  <c r="R796" i="1" s="1"/>
  <c r="S797" i="1"/>
  <c r="T797" i="1" s="1"/>
  <c r="Q797" i="1"/>
  <c r="R797" i="1" s="1"/>
  <c r="S798" i="1"/>
  <c r="T798" i="1" s="1"/>
  <c r="Q798" i="1"/>
  <c r="R798" i="1" s="1"/>
  <c r="S799" i="1"/>
  <c r="T799" i="1" s="1"/>
  <c r="Q799" i="1"/>
  <c r="R799" i="1" s="1"/>
  <c r="S800" i="1"/>
  <c r="T800" i="1" s="1"/>
  <c r="Q800" i="1"/>
  <c r="R800" i="1" s="1"/>
  <c r="S801" i="1"/>
  <c r="T801" i="1" s="1"/>
  <c r="Q801" i="1"/>
  <c r="R801" i="1" s="1"/>
  <c r="S802" i="1"/>
  <c r="T802" i="1" s="1"/>
  <c r="Q802" i="1"/>
  <c r="R802" i="1" s="1"/>
  <c r="S803" i="1"/>
  <c r="T803" i="1" s="1"/>
  <c r="Q803" i="1"/>
  <c r="R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R794" i="1"/>
  <c r="U794" i="1" s="1"/>
  <c r="P776" i="1"/>
  <c r="U807" i="1" l="1"/>
  <c r="U803" i="1"/>
  <c r="U801" i="1"/>
  <c r="U799" i="1"/>
  <c r="U797" i="1"/>
  <c r="U795" i="1"/>
  <c r="S789" i="1"/>
  <c r="T789" i="1" s="1"/>
  <c r="Q789" i="1"/>
  <c r="R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U789" i="1" l="1"/>
  <c r="Q768" i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S788" i="1"/>
  <c r="T788" i="1" s="1"/>
  <c r="Q788" i="1"/>
  <c r="R788" i="1" s="1"/>
  <c r="R775" i="1"/>
  <c r="U775" i="1" s="1"/>
  <c r="P754" i="1"/>
  <c r="U774" i="1" l="1"/>
  <c r="U786" i="1"/>
  <c r="U770" i="1"/>
  <c r="U782" i="1"/>
  <c r="U788" i="1"/>
  <c r="U784" i="1"/>
  <c r="U768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S752" i="1" s="1"/>
  <c r="T752" i="1" s="1"/>
  <c r="P738" i="1"/>
  <c r="P737" i="1"/>
  <c r="P736" i="1"/>
  <c r="P735" i="1"/>
  <c r="S748" i="1" s="1"/>
  <c r="T748" i="1" s="1"/>
  <c r="P734" i="1"/>
  <c r="P733" i="1"/>
  <c r="P732" i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S747" i="1" l="1"/>
  <c r="T747" i="1" s="1"/>
  <c r="S751" i="1"/>
  <c r="T751" i="1" s="1"/>
  <c r="S749" i="1"/>
  <c r="T749" i="1" s="1"/>
  <c r="S753" i="1"/>
  <c r="T753" i="1" s="1"/>
  <c r="S745" i="1"/>
  <c r="T745" i="1" s="1"/>
  <c r="S746" i="1"/>
  <c r="T746" i="1" s="1"/>
  <c r="S750" i="1"/>
  <c r="T750" i="1" s="1"/>
  <c r="U767" i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S728" i="1" s="1"/>
  <c r="T728" i="1" s="1"/>
  <c r="P714" i="1"/>
  <c r="P713" i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27" i="1" l="1"/>
  <c r="T727" i="1" s="1"/>
  <c r="S729" i="1"/>
  <c r="T729" i="1" s="1"/>
  <c r="S726" i="1"/>
  <c r="T726" i="1" s="1"/>
  <c r="S730" i="1"/>
  <c r="T730" i="1" s="1"/>
  <c r="S731" i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S709" i="1" s="1"/>
  <c r="T709" i="1" s="1"/>
  <c r="P695" i="1"/>
  <c r="P694" i="1"/>
  <c r="P693" i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08" i="1" l="1"/>
  <c r="T708" i="1" s="1"/>
  <c r="S710" i="1"/>
  <c r="T710" i="1" s="1"/>
  <c r="S706" i="1"/>
  <c r="T706" i="1" s="1"/>
  <c r="S707" i="1"/>
  <c r="T707" i="1" s="1"/>
  <c r="S711" i="1"/>
  <c r="T711" i="1" s="1"/>
  <c r="S712" i="1"/>
  <c r="T712" i="1" s="1"/>
  <c r="Q712" i="1"/>
  <c r="R712" i="1" s="1"/>
  <c r="S713" i="1"/>
  <c r="T713" i="1" s="1"/>
  <c r="Q713" i="1"/>
  <c r="R713" i="1" s="1"/>
  <c r="S714" i="1"/>
  <c r="T714" i="1" s="1"/>
  <c r="Q714" i="1"/>
  <c r="R714" i="1" s="1"/>
  <c r="S715" i="1"/>
  <c r="T715" i="1" s="1"/>
  <c r="Q715" i="1"/>
  <c r="R715" i="1" s="1"/>
  <c r="S716" i="1"/>
  <c r="T716" i="1" s="1"/>
  <c r="Q716" i="1"/>
  <c r="R716" i="1" s="1"/>
  <c r="S717" i="1"/>
  <c r="T717" i="1" s="1"/>
  <c r="Q717" i="1"/>
  <c r="R717" i="1" s="1"/>
  <c r="S718" i="1"/>
  <c r="T718" i="1" s="1"/>
  <c r="Q718" i="1"/>
  <c r="R718" i="1" s="1"/>
  <c r="S719" i="1"/>
  <c r="T719" i="1" s="1"/>
  <c r="Q719" i="1"/>
  <c r="R719" i="1" s="1"/>
  <c r="S720" i="1"/>
  <c r="T720" i="1" s="1"/>
  <c r="Q720" i="1"/>
  <c r="R720" i="1" s="1"/>
  <c r="S721" i="1"/>
  <c r="T721" i="1" s="1"/>
  <c r="Q721" i="1"/>
  <c r="R721" i="1" s="1"/>
  <c r="S722" i="1"/>
  <c r="T722" i="1" s="1"/>
  <c r="Q722" i="1"/>
  <c r="R722" i="1" s="1"/>
  <c r="S723" i="1"/>
  <c r="T723" i="1" s="1"/>
  <c r="Q723" i="1"/>
  <c r="R723" i="1" s="1"/>
  <c r="S724" i="1"/>
  <c r="T724" i="1" s="1"/>
  <c r="Q724" i="1"/>
  <c r="R724" i="1" s="1"/>
  <c r="Q706" i="1"/>
  <c r="R706" i="1" s="1"/>
  <c r="U706" i="1" s="1"/>
  <c r="Q707" i="1"/>
  <c r="R707" i="1" s="1"/>
  <c r="U707" i="1" s="1"/>
  <c r="Q708" i="1"/>
  <c r="R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U724" i="1" l="1"/>
  <c r="U722" i="1"/>
  <c r="U720" i="1"/>
  <c r="U718" i="1"/>
  <c r="U716" i="1"/>
  <c r="U714" i="1"/>
  <c r="U712" i="1"/>
  <c r="U708" i="1"/>
  <c r="S705" i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S700" i="1"/>
  <c r="T700" i="1" s="1"/>
  <c r="Q700" i="1"/>
  <c r="R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R689" i="1"/>
  <c r="U689" i="1" s="1"/>
  <c r="S703" i="1"/>
  <c r="T703" i="1" s="1"/>
  <c r="Q703" i="1"/>
  <c r="R703" i="1" s="1"/>
  <c r="R690" i="1"/>
  <c r="S704" i="1"/>
  <c r="T704" i="1" s="1"/>
  <c r="Q704" i="1"/>
  <c r="R704" i="1" s="1"/>
  <c r="R691" i="1"/>
  <c r="U691" i="1" s="1"/>
  <c r="P672" i="1"/>
  <c r="U704" i="1" l="1"/>
  <c r="U700" i="1"/>
  <c r="U690" i="1"/>
  <c r="U702" i="1"/>
  <c r="U686" i="1"/>
  <c r="S685" i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U678" i="1" l="1"/>
  <c r="U676" i="1"/>
  <c r="S664" i="1"/>
  <c r="T664" i="1" s="1"/>
  <c r="Q664" i="1"/>
  <c r="R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U664" i="1" l="1"/>
  <c r="Q650" i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P620" i="1"/>
  <c r="P619" i="1"/>
  <c r="P618" i="1"/>
  <c r="S631" i="1" s="1"/>
  <c r="T631" i="1" s="1"/>
  <c r="P617" i="1"/>
  <c r="P616" i="1"/>
  <c r="P615" i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0" i="1" l="1"/>
  <c r="T630" i="1" s="1"/>
  <c r="S634" i="1"/>
  <c r="T634" i="1" s="1"/>
  <c r="S628" i="1"/>
  <c r="T628" i="1" s="1"/>
  <c r="S632" i="1"/>
  <c r="T632" i="1" s="1"/>
  <c r="S629" i="1"/>
  <c r="T629" i="1" s="1"/>
  <c r="S633" i="1"/>
  <c r="T633" i="1" s="1"/>
  <c r="S636" i="1"/>
  <c r="T636" i="1" s="1"/>
  <c r="Q636" i="1"/>
  <c r="R636" i="1" s="1"/>
  <c r="S637" i="1"/>
  <c r="T637" i="1" s="1"/>
  <c r="Q637" i="1"/>
  <c r="R637" i="1" s="1"/>
  <c r="S638" i="1"/>
  <c r="T638" i="1" s="1"/>
  <c r="Q638" i="1"/>
  <c r="R638" i="1" s="1"/>
  <c r="S639" i="1"/>
  <c r="T639" i="1" s="1"/>
  <c r="Q639" i="1"/>
  <c r="R639" i="1" s="1"/>
  <c r="S640" i="1"/>
  <c r="T640" i="1" s="1"/>
  <c r="Q640" i="1"/>
  <c r="R640" i="1" s="1"/>
  <c r="S641" i="1"/>
  <c r="T641" i="1" s="1"/>
  <c r="Q641" i="1"/>
  <c r="R641" i="1" s="1"/>
  <c r="S642" i="1"/>
  <c r="T642" i="1" s="1"/>
  <c r="Q642" i="1"/>
  <c r="R642" i="1" s="1"/>
  <c r="S643" i="1"/>
  <c r="T643" i="1" s="1"/>
  <c r="Q643" i="1"/>
  <c r="R643" i="1" s="1"/>
  <c r="S644" i="1"/>
  <c r="T644" i="1" s="1"/>
  <c r="Q644" i="1"/>
  <c r="R644" i="1" s="1"/>
  <c r="S645" i="1"/>
  <c r="T645" i="1" s="1"/>
  <c r="Q645" i="1"/>
  <c r="R645" i="1" s="1"/>
  <c r="S646" i="1"/>
  <c r="T646" i="1" s="1"/>
  <c r="Q646" i="1"/>
  <c r="R646" i="1" s="1"/>
  <c r="S647" i="1"/>
  <c r="T647" i="1" s="1"/>
  <c r="Q647" i="1"/>
  <c r="R647" i="1" s="1"/>
  <c r="S648" i="1"/>
  <c r="T648" i="1" s="1"/>
  <c r="Q648" i="1"/>
  <c r="R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48" i="1" l="1"/>
  <c r="U646" i="1"/>
  <c r="U644" i="1"/>
  <c r="U642" i="1"/>
  <c r="U640" i="1"/>
  <c r="U638" i="1"/>
  <c r="U636" i="1"/>
  <c r="S627" i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S618" i="1"/>
  <c r="T618" i="1" s="1"/>
  <c r="Q618" i="1"/>
  <c r="R618" i="1" s="1"/>
  <c r="U618" i="1" s="1"/>
  <c r="S620" i="1"/>
  <c r="T620" i="1" s="1"/>
  <c r="Q620" i="1"/>
  <c r="R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R612" i="1" s="1"/>
  <c r="U612" i="1" s="1"/>
  <c r="S613" i="1"/>
  <c r="T613" i="1" s="1"/>
  <c r="Q613" i="1"/>
  <c r="R613" i="1"/>
  <c r="P593" i="1"/>
  <c r="U620" i="1" l="1"/>
  <c r="U616" i="1"/>
  <c r="U613" i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Q591" i="1" s="1"/>
  <c r="P577" i="1"/>
  <c r="P576" i="1"/>
  <c r="P575" i="1"/>
  <c r="P574" i="1"/>
  <c r="Q587" i="1" s="1"/>
  <c r="P573" i="1"/>
  <c r="P572" i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6" i="1" l="1"/>
  <c r="T586" i="1" s="1"/>
  <c r="S590" i="1"/>
  <c r="T590" i="1" s="1"/>
  <c r="S588" i="1"/>
  <c r="T588" i="1" s="1"/>
  <c r="S592" i="1"/>
  <c r="T592" i="1" s="1"/>
  <c r="Q585" i="1"/>
  <c r="Q589" i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P555" i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Q568" i="1" l="1"/>
  <c r="S569" i="1"/>
  <c r="T569" i="1" s="1"/>
  <c r="S568" i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6" i="1" l="1"/>
  <c r="T506" i="1" s="1"/>
  <c r="S510" i="1"/>
  <c r="T510" i="1" s="1"/>
  <c r="S504" i="1"/>
  <c r="T504" i="1" s="1"/>
  <c r="S508" i="1"/>
  <c r="T508" i="1" s="1"/>
  <c r="S505" i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S448" i="1" l="1"/>
  <c r="T448" i="1" s="1"/>
  <c r="U463" i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3" i="1" l="1"/>
  <c r="T423" i="1" s="1"/>
  <c r="S427" i="1"/>
  <c r="T427" i="1" s="1"/>
  <c r="S425" i="1"/>
  <c r="T425" i="1" s="1"/>
  <c r="S429" i="1"/>
  <c r="T429" i="1" s="1"/>
  <c r="S424" i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R422" i="1" s="1"/>
  <c r="U422" i="1" s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2" i="1" l="1"/>
  <c r="T402" i="1" s="1"/>
  <c r="S406" i="1"/>
  <c r="T406" i="1" s="1"/>
  <c r="S404" i="1"/>
  <c r="T404" i="1" s="1"/>
  <c r="U421" i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P372" i="1"/>
  <c r="U400" i="1" l="1"/>
  <c r="U387" i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5" i="1" l="1"/>
  <c r="T365" i="1" s="1"/>
  <c r="S369" i="1"/>
  <c r="T369" i="1" s="1"/>
  <c r="S367" i="1"/>
  <c r="T367" i="1" s="1"/>
  <c r="S371" i="1"/>
  <c r="T371" i="1" s="1"/>
  <c r="S364" i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2" i="1" l="1"/>
  <c r="T342" i="1" s="1"/>
  <c r="S346" i="1"/>
  <c r="T346" i="1" s="1"/>
  <c r="S344" i="1"/>
  <c r="T344" i="1" s="1"/>
  <c r="S348" i="1"/>
  <c r="T348" i="1" s="1"/>
  <c r="S343" i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5" i="1" l="1"/>
  <c r="T285" i="1" s="1"/>
  <c r="S289" i="1"/>
  <c r="T289" i="1" s="1"/>
  <c r="S283" i="1"/>
  <c r="T283" i="1" s="1"/>
  <c r="S287" i="1"/>
  <c r="T287" i="1" s="1"/>
  <c r="S282" i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1" i="1" l="1"/>
  <c r="T241" i="1" s="1"/>
  <c r="S245" i="1"/>
  <c r="T245" i="1" s="1"/>
  <c r="S243" i="1"/>
  <c r="T243" i="1" s="1"/>
  <c r="S240" i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2" i="1" l="1"/>
  <c r="T222" i="1" s="1"/>
  <c r="S224" i="1"/>
  <c r="T224" i="1" s="1"/>
  <c r="S221" i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R180" i="1" s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3" i="1" l="1"/>
  <c r="T163" i="1" s="1"/>
  <c r="S164" i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5" i="1" l="1"/>
  <c r="T145" i="1" s="1"/>
  <c r="S147" i="1"/>
  <c r="T147" i="1" s="1"/>
  <c r="S144" i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R100" i="1" s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3" i="1" l="1"/>
  <c r="T83" i="1" s="1"/>
  <c r="S84" i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R48" i="1" s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R32" i="1" s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4" i="1"/>
  <c r="R40" i="1"/>
  <c r="R36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32" i="1"/>
  <c r="I24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41" i="1"/>
  <c r="I37" i="1"/>
  <c r="I25" i="1"/>
  <c r="I21" i="1"/>
  <c r="I17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33" i="1" l="1"/>
  <c r="I49" i="1"/>
  <c r="I20" i="1"/>
  <c r="I70" i="1"/>
  <c r="I57" i="1"/>
  <c r="I13" i="1"/>
  <c r="I29" i="1"/>
  <c r="I45" i="1"/>
  <c r="I16" i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H998" i="1" l="1"/>
  <c r="I997" i="1"/>
  <c r="I998" i="1" l="1"/>
  <c r="H999" i="1"/>
  <c r="H1000" i="1" l="1"/>
  <c r="I999" i="1"/>
  <c r="H1001" i="1" l="1"/>
  <c r="I1000" i="1"/>
  <c r="H1002" i="1" l="1"/>
  <c r="I1001" i="1"/>
  <c r="I1002" i="1" l="1"/>
  <c r="H1003" i="1"/>
  <c r="I1003" i="1" l="1"/>
  <c r="H1004" i="1"/>
  <c r="I1004" i="1" l="1"/>
  <c r="H1005" i="1"/>
  <c r="I1005" i="1" l="1"/>
  <c r="H1006" i="1"/>
  <c r="I1006" i="1" l="1"/>
  <c r="H1007" i="1"/>
  <c r="I1007" i="1" l="1"/>
  <c r="H1008" i="1"/>
  <c r="I1008" i="1" l="1"/>
  <c r="H1009" i="1"/>
  <c r="I1009" i="1" l="1"/>
  <c r="H1010" i="1"/>
  <c r="I1010" i="1" l="1"/>
  <c r="H1011" i="1"/>
  <c r="I1011" i="1" l="1"/>
  <c r="H1012" i="1"/>
  <c r="I1012" i="1" l="1"/>
  <c r="H1013" i="1"/>
  <c r="I1013" i="1" l="1"/>
  <c r="H1014" i="1"/>
  <c r="I1014" i="1" l="1"/>
  <c r="H1015" i="1"/>
  <c r="I1015" i="1" l="1"/>
  <c r="H1016" i="1"/>
  <c r="H1017" i="1" l="1"/>
  <c r="I1016" i="1"/>
  <c r="H1018" i="1" l="1"/>
  <c r="I1017" i="1"/>
  <c r="H1019" i="1" l="1"/>
  <c r="I1018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H1058" i="1" l="1"/>
  <c r="I1057" i="1"/>
  <c r="H1059" i="1" l="1"/>
  <c r="I1058" i="1"/>
  <c r="H1060" i="1" l="1"/>
  <c r="I1059" i="1"/>
  <c r="H1061" i="1" l="1"/>
  <c r="I1060" i="1"/>
  <c r="H1062" i="1" l="1"/>
  <c r="I1061" i="1"/>
  <c r="H1063" i="1" l="1"/>
  <c r="I1062" i="1"/>
  <c r="H1064" i="1" l="1"/>
  <c r="I1063" i="1"/>
  <c r="H1065" i="1" l="1"/>
  <c r="I1064" i="1"/>
  <c r="H1066" i="1" l="1"/>
  <c r="I1065" i="1"/>
  <c r="H1067" i="1" l="1"/>
  <c r="I1066" i="1"/>
  <c r="H1068" i="1" l="1"/>
  <c r="I1067" i="1"/>
  <c r="H1069" i="1" l="1"/>
  <c r="I1068" i="1"/>
  <c r="H1070" i="1" l="1"/>
  <c r="I1069" i="1"/>
  <c r="H1071" i="1" l="1"/>
  <c r="I1070" i="1"/>
  <c r="H1072" i="1" l="1"/>
  <c r="I1071" i="1"/>
  <c r="H1073" i="1" l="1"/>
  <c r="I1072" i="1"/>
  <c r="H1074" i="1" l="1"/>
  <c r="I1073" i="1"/>
  <c r="H1075" i="1" l="1"/>
  <c r="I1074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H1101" i="1" l="1"/>
  <c r="I1100" i="1"/>
  <c r="H1102" i="1" l="1"/>
  <c r="I1101" i="1"/>
  <c r="H1103" i="1" l="1"/>
  <c r="I1102" i="1"/>
  <c r="H1104" i="1" l="1"/>
  <c r="I1103" i="1"/>
  <c r="H1105" i="1" l="1"/>
  <c r="I1104" i="1"/>
  <c r="H1106" i="1" l="1"/>
  <c r="I1105" i="1"/>
  <c r="H1107" i="1" l="1"/>
  <c r="I1106" i="1"/>
  <c r="H1108" i="1" l="1"/>
  <c r="I1107" i="1"/>
  <c r="H1109" i="1" l="1"/>
  <c r="I1108" i="1"/>
  <c r="H1110" i="1" l="1"/>
  <c r="I1109" i="1"/>
  <c r="H1111" i="1" l="1"/>
  <c r="I1110" i="1"/>
  <c r="H1112" i="1" l="1"/>
  <c r="I1111" i="1"/>
  <c r="H1113" i="1" l="1"/>
  <c r="I1112" i="1"/>
  <c r="H1114" i="1" l="1"/>
  <c r="I1113" i="1"/>
  <c r="H1115" i="1" l="1"/>
  <c r="I1114" i="1"/>
  <c r="H1116" i="1" l="1"/>
  <c r="I1115" i="1"/>
  <c r="H1117" i="1" l="1"/>
  <c r="I1116" i="1"/>
  <c r="H1118" i="1" l="1"/>
  <c r="I1117" i="1"/>
  <c r="H1119" i="1" l="1"/>
  <c r="I1119" i="1" s="1"/>
  <c r="I1118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<sst xmlns="http://schemas.openxmlformats.org/spreadsheetml/2006/main" count="15" uniqueCount="15">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</sst>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19"/>
  <sheetViews>
    <sheetView tabSelected="1" topLeftCell="A1111" workbookViewId="0">
      <selection activeCell="A1120" sqref="A112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>IF(A6&lt;&gt;$K$2,MAX(N5,VLOOKUP(A6,A:C,3)),)</f>
        <v>1.0369999999999999</v>
      </c>
      <c r="O6">
        <f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>IF(A7&lt;&gt;$K$2,MAX(N6,VLOOKUP(A7,A:C,3)),)</f>
        <v>1.0369999999999999</v>
      </c>
      <c r="O7">
        <f>IF(A7&lt;&gt;$K$2,MIN(O6,VLOOKUP(A7,A:D,4)),)</f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>IF(A8&lt;&gt;$K$2,MAX(N7,VLOOKUP(A8,A:C,3)),)</f>
        <v>1.0369999999999999</v>
      </c>
      <c r="O8">
        <f>IF(A8&lt;&gt;$K$2,MIN(O7,VLOOKUP(A8,A:D,4)),)</f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>IF(A9&lt;&gt;$K$2,MAX(N8,VLOOKUP(A9,A:C,3)),)</f>
        <v>1.0369999999999999</v>
      </c>
      <c r="O9">
        <f>IF(A9&lt;&gt;$K$2,MIN(O8,VLOOKUP(A9,A:D,4)),)</f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>IF(A10&lt;&gt;$K$2,MAX(N9,VLOOKUP(A10,A:C,3)),)</f>
        <v>1.0369999999999999</v>
      </c>
      <c r="O10">
        <f>IF(A10&lt;&gt;$K$2,MIN(O9,VLOOKUP(A10,A:D,4)),)</f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>IF(A11&lt;&gt;$K$2,MAX(N10,VLOOKUP(A11,A:C,3)),)</f>
        <v>1.0369999999999999</v>
      </c>
      <c r="O11">
        <f>IF(A11&lt;&gt;$K$2,MIN(O10,VLOOKUP(A11,A:D,4)),)</f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>IF(A12&lt;&gt;$K$2,MAX(N11,VLOOKUP(A12,A:C,3)),)</f>
        <v>1.0369999999999999</v>
      </c>
      <c r="O12">
        <f>IF(A12&lt;&gt;$K$2,MIN(O11,VLOOKUP(A12,A:D,4)),)</f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>IF(A13&lt;&gt;$K$2,MAX(N12,VLOOKUP(A13,A:C,3)),)</f>
        <v>1.0529999999999999</v>
      </c>
      <c r="O13">
        <f>IF(A13&lt;&gt;$K$2,MIN(O12,VLOOKUP(A13,A:D,4)),)</f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>IF(A14&lt;&gt;$K$2,MAX(N13,VLOOKUP(A14,A:C,3)),)</f>
        <v>1.0529999999999999</v>
      </c>
      <c r="O14">
        <f>IF(A14&lt;&gt;$K$2,MIN(O13,VLOOKUP(A14,A:D,4)),)</f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>IF(A15&lt;&gt;$K$2,MAX(N14,VLOOKUP(A15,A:C,3)),)</f>
        <v>1.0529999999999999</v>
      </c>
      <c r="O15">
        <f>IF(A15&lt;&gt;$K$2,MIN(O14,VLOOKUP(A15,A:D,4)),)</f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>IF(A16&lt;&gt;$K$2,MAX(N15,VLOOKUP(A16,A:C,3)),)</f>
        <v>1.0529999999999999</v>
      </c>
      <c r="O16">
        <f>IF(A16&lt;&gt;$K$2,MIN(O15,VLOOKUP(A16,A:D,4)),)</f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>IF(A17&lt;&gt;$K$2,MAX(N16,VLOOKUP(A17,A:C,3)),)</f>
        <v>1.0529999999999999</v>
      </c>
      <c r="O17">
        <f>IF(A17&lt;&gt;$K$2,MIN(O16,VLOOKUP(A17,A:D,4)),)</f>
        <v>0.98399999999999999</v>
      </c>
      <c r="P17">
        <f t="shared" si="0"/>
        <v>1.026</v>
      </c>
      <c r="Q17">
        <f t="shared" ref="Q17:Q271" si="2">SUM(P4:P17)/14</f>
        <v>1.0230238095238096</v>
      </c>
      <c r="R17">
        <f t="shared" ref="R17:R271" si="3">P17-Q17</f>
        <v>2.9761904761904656E-3</v>
      </c>
      <c r="S17">
        <f t="shared" ref="S17:S271" si="4">AVEDEV(P4:P17)</f>
        <v>1.1544217687074801E-2</v>
      </c>
      <c r="T17">
        <f t="shared" ref="T17:T271" si="5">0.015*S17</f>
        <v>1.7316326530612201E-4</v>
      </c>
      <c r="U17">
        <f t="shared" ref="U17:U271" si="6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>IF(A18&lt;&gt;$K$2,MAX(N17,VLOOKUP(A18,A:C,3)),)</f>
        <v>1.0529999999999999</v>
      </c>
      <c r="O18">
        <f>IF(A18&lt;&gt;$K$2,MIN(O17,VLOOKUP(A18,A:D,4)),)</f>
        <v>0.98399999999999999</v>
      </c>
      <c r="P18">
        <f t="shared" si="0"/>
        <v>1.0243333333333331</v>
      </c>
      <c r="Q18">
        <f t="shared" si="2"/>
        <v>1.0231666666666668</v>
      </c>
      <c r="R18">
        <f t="shared" si="3"/>
        <v>1.1666666666663161E-3</v>
      </c>
      <c r="S18">
        <f t="shared" si="4"/>
        <v>1.1547619047618973E-2</v>
      </c>
      <c r="T18">
        <f t="shared" si="5"/>
        <v>1.732142857142846E-4</v>
      </c>
      <c r="U18">
        <f t="shared" si="6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>IF(A19&lt;&gt;$K$2,MAX(N18,VLOOKUP(A19,A:C,3)),)</f>
        <v>1.0529999999999999</v>
      </c>
      <c r="O19">
        <f>IF(A19&lt;&gt;$K$2,MIN(O18,VLOOKUP(A19,A:D,4)),)</f>
        <v>0.98399999999999999</v>
      </c>
      <c r="P19">
        <f t="shared" si="0"/>
        <v>1.0250000000000001</v>
      </c>
      <c r="Q19">
        <f t="shared" si="2"/>
        <v>1.0230952380952381</v>
      </c>
      <c r="R19">
        <f t="shared" si="3"/>
        <v>1.9047619047620756E-3</v>
      </c>
      <c r="S19">
        <f t="shared" si="4"/>
        <v>1.1496598639455775E-2</v>
      </c>
      <c r="T19">
        <f t="shared" si="5"/>
        <v>1.7244897959183662E-4</v>
      </c>
      <c r="U19">
        <f t="shared" si="6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>IF(A20&lt;&gt;$K$2,MAX(N19,VLOOKUP(A20,A:C,3)),)</f>
        <v>1.0529999999999999</v>
      </c>
      <c r="O20">
        <f>IF(A20&lt;&gt;$K$2,MIN(O19,VLOOKUP(A20,A:D,4)),)</f>
        <v>0.98399999999999999</v>
      </c>
      <c r="P20">
        <f t="shared" si="0"/>
        <v>1.0403333333333333</v>
      </c>
      <c r="Q20">
        <f t="shared" si="2"/>
        <v>1.0239761904761904</v>
      </c>
      <c r="R20">
        <f t="shared" si="3"/>
        <v>1.6357142857142959E-2</v>
      </c>
      <c r="S20">
        <f t="shared" si="4"/>
        <v>1.212585034013608E-2</v>
      </c>
      <c r="T20">
        <f t="shared" si="5"/>
        <v>1.8188775510204119E-4</v>
      </c>
      <c r="U20">
        <f t="shared" si="6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>IF(A21&lt;&gt;$K$2,MAX(N20,VLOOKUP(A21,A:C,3)),)</f>
        <v>1.054</v>
      </c>
      <c r="O21">
        <f>IF(A21&lt;&gt;$K$2,MIN(O20,VLOOKUP(A21,A:D,4)),)</f>
        <v>0.98399999999999999</v>
      </c>
      <c r="P21">
        <f t="shared" si="0"/>
        <v>1.0463333333333333</v>
      </c>
      <c r="Q21">
        <f t="shared" si="2"/>
        <v>1.0267380952380951</v>
      </c>
      <c r="R21">
        <f t="shared" si="3"/>
        <v>1.9595238095238221E-2</v>
      </c>
      <c r="S21">
        <f t="shared" si="4"/>
        <v>1.2071428571428566E-2</v>
      </c>
      <c r="T21">
        <f t="shared" si="5"/>
        <v>1.810714285714285E-4</v>
      </c>
      <c r="U21">
        <f t="shared" si="6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>IF(A22&lt;&gt;$K$2,MAX(N21,VLOOKUP(A22,A:C,3)),)</f>
        <v>1.054</v>
      </c>
      <c r="O22">
        <f>IF(A22&lt;&gt;$K$2,MIN(O21,VLOOKUP(A22,A:D,4)),)</f>
        <v>0.98399999999999999</v>
      </c>
      <c r="P22">
        <f t="shared" si="0"/>
        <v>1.0333333333333332</v>
      </c>
      <c r="Q22">
        <f t="shared" si="2"/>
        <v>1.0289999999999999</v>
      </c>
      <c r="R22">
        <f t="shared" si="3"/>
        <v>4.3333333333333002E-3</v>
      </c>
      <c r="S22">
        <f t="shared" si="4"/>
        <v>1.0619047619047599E-2</v>
      </c>
      <c r="T22">
        <f t="shared" si="5"/>
        <v>1.5928571428571399E-4</v>
      </c>
      <c r="U22">
        <f t="shared" si="6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>IF(A23&lt;&gt;$K$2,MAX(N22,VLOOKUP(A23,A:C,3)),)</f>
        <v>1.054</v>
      </c>
      <c r="O23">
        <f>IF(A23&lt;&gt;$K$2,MIN(O22,VLOOKUP(A23,A:D,4)),)</f>
        <v>0.98299999999999998</v>
      </c>
      <c r="P23">
        <f t="shared" si="0"/>
        <v>1.0046666666666666</v>
      </c>
      <c r="Q23">
        <f t="shared" si="2"/>
        <v>1.029452380952381</v>
      </c>
      <c r="R23">
        <f t="shared" si="3"/>
        <v>-2.4785714285714411E-2</v>
      </c>
      <c r="S23">
        <f t="shared" si="4"/>
        <v>1.0166666666666657E-2</v>
      </c>
      <c r="T23">
        <f t="shared" si="5"/>
        <v>1.5249999999999986E-4</v>
      </c>
      <c r="U23">
        <f t="shared" si="6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>IF(A24&lt;&gt;$K$2,MAX(N23,VLOOKUP(A24,A:C,3)),)</f>
        <v>1.054</v>
      </c>
      <c r="O24">
        <f>IF(A24&lt;&gt;$K$2,MIN(O23,VLOOKUP(A24,A:D,4)),)</f>
        <v>0.96399999999999997</v>
      </c>
      <c r="P24">
        <f t="shared" si="0"/>
        <v>0.98099999999999987</v>
      </c>
      <c r="Q24">
        <f t="shared" si="2"/>
        <v>1.0272619047619047</v>
      </c>
      <c r="R24">
        <f t="shared" si="3"/>
        <v>-4.6261904761904837E-2</v>
      </c>
      <c r="S24">
        <f t="shared" si="4"/>
        <v>1.2414965986394577E-2</v>
      </c>
      <c r="T24">
        <f t="shared" si="5"/>
        <v>1.8622448979591864E-4</v>
      </c>
      <c r="U24">
        <f t="shared" si="6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>IF(A25&lt;&gt;$K$2,MAX(N24,VLOOKUP(A25,A:C,3)),)</f>
        <v>1.054</v>
      </c>
      <c r="O25">
        <f>IF(A25&lt;&gt;$K$2,MIN(O24,VLOOKUP(A25,A:D,4)),)</f>
        <v>0.94</v>
      </c>
      <c r="P25">
        <f t="shared" si="0"/>
        <v>0.96433333333333326</v>
      </c>
      <c r="Q25">
        <f t="shared" si="2"/>
        <v>1.0227380952380951</v>
      </c>
      <c r="R25">
        <f t="shared" si="3"/>
        <v>-5.8404761904761848E-2</v>
      </c>
      <c r="S25">
        <f t="shared" si="4"/>
        <v>1.7897959183673522E-2</v>
      </c>
      <c r="T25">
        <f t="shared" si="5"/>
        <v>2.6846938775510284E-4</v>
      </c>
      <c r="U25">
        <f t="shared" si="6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>IF(A26&lt;&gt;$K$2,MAX(N25,VLOOKUP(A26,A:C,3)),)</f>
        <v>1.054</v>
      </c>
      <c r="O26">
        <f>IF(A26&lt;&gt;$K$2,MIN(O25,VLOOKUP(A26,A:D,4)),)</f>
        <v>0.94</v>
      </c>
      <c r="P26">
        <f t="shared" si="0"/>
        <v>0.99799999999999989</v>
      </c>
      <c r="Q26">
        <f t="shared" si="2"/>
        <v>1.0214761904761904</v>
      </c>
      <c r="R26">
        <f t="shared" si="3"/>
        <v>-2.3476190476190539E-2</v>
      </c>
      <c r="S26">
        <f t="shared" si="4"/>
        <v>1.9700680272108879E-2</v>
      </c>
      <c r="T26">
        <f t="shared" si="5"/>
        <v>2.9551020408163318E-4</v>
      </c>
      <c r="U26">
        <f t="shared" si="6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2"/>
        <v>1.0188095238095236</v>
      </c>
      <c r="R27">
        <f t="shared" si="3"/>
        <v>-1.6476190476190311E-2</v>
      </c>
      <c r="S27">
        <f t="shared" si="4"/>
        <v>2.0530612244898043E-2</v>
      </c>
      <c r="T27">
        <f t="shared" si="5"/>
        <v>3.0795918367347065E-4</v>
      </c>
      <c r="U27">
        <f t="shared" si="6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>IF(A28&lt;&gt;$K$3,MAX(N27,VLOOKUP(A28,A:C,3)),)</f>
        <v>1.0369999999999999</v>
      </c>
      <c r="O28">
        <f>IF(A28&lt;&gt;$K$3,MIN(O27,VLOOKUP(A28,A:D,4)),)</f>
        <v>0.998</v>
      </c>
      <c r="P28">
        <f t="shared" si="0"/>
        <v>1.0156666666666665</v>
      </c>
      <c r="Q28">
        <f t="shared" si="2"/>
        <v>1.0166666666666664</v>
      </c>
      <c r="R28">
        <f t="shared" si="3"/>
        <v>-9.9999999999988987E-4</v>
      </c>
      <c r="S28">
        <f t="shared" si="4"/>
        <v>1.9142857142857215E-2</v>
      </c>
      <c r="T28">
        <f t="shared" si="5"/>
        <v>2.8714285714285821E-4</v>
      </c>
      <c r="U28">
        <f t="shared" si="6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>IF(A29&lt;&gt;$K$3,MAX(N28,VLOOKUP(A29,A:C,3)),)</f>
        <v>1.0369999999999999</v>
      </c>
      <c r="O29">
        <f>IF(A29&lt;&gt;$K$3,MIN(O28,VLOOKUP(A29,A:D,4)),)</f>
        <v>0.998</v>
      </c>
      <c r="P29">
        <f t="shared" si="0"/>
        <v>1.0193333333333332</v>
      </c>
      <c r="Q29">
        <f t="shared" si="2"/>
        <v>1.0153333333333332</v>
      </c>
      <c r="R29">
        <f t="shared" si="3"/>
        <v>4.0000000000000036E-3</v>
      </c>
      <c r="S29">
        <f t="shared" si="4"/>
        <v>1.8047619047619083E-2</v>
      </c>
      <c r="T29">
        <f t="shared" si="5"/>
        <v>2.7071428571428624E-4</v>
      </c>
      <c r="U29">
        <f t="shared" si="6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>IF(A30&lt;&gt;$K$3,MAX(N29,VLOOKUP(A30,A:C,3)),)</f>
        <v>1.0469999999999999</v>
      </c>
      <c r="O30">
        <f>IF(A30&lt;&gt;$K$3,MIN(O29,VLOOKUP(A30,A:D,4)),)</f>
        <v>0.998</v>
      </c>
      <c r="P30">
        <f t="shared" si="0"/>
        <v>1.0363333333333333</v>
      </c>
      <c r="Q30">
        <f t="shared" si="2"/>
        <v>1.0154999999999998</v>
      </c>
      <c r="R30">
        <f t="shared" si="3"/>
        <v>2.0833333333333481E-2</v>
      </c>
      <c r="S30">
        <f t="shared" si="4"/>
        <v>1.8166666666666702E-2</v>
      </c>
      <c r="T30">
        <f t="shared" si="5"/>
        <v>2.7250000000000055E-4</v>
      </c>
      <c r="U30">
        <f t="shared" si="6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>IF(A31&lt;&gt;$K$3,MAX(N30,VLOOKUP(A31,A:C,3)),)</f>
        <v>1.0469999999999999</v>
      </c>
      <c r="O31">
        <f>IF(A31&lt;&gt;$K$3,MIN(O30,VLOOKUP(A31,A:D,4)),)</f>
        <v>0.998</v>
      </c>
      <c r="P31">
        <f t="shared" si="0"/>
        <v>1.0376666666666667</v>
      </c>
      <c r="Q31">
        <f t="shared" si="2"/>
        <v>1.0163333333333333</v>
      </c>
      <c r="R31">
        <f t="shared" si="3"/>
        <v>2.1333333333333426E-2</v>
      </c>
      <c r="S31">
        <f t="shared" si="4"/>
        <v>1.8857142857142881E-2</v>
      </c>
      <c r="T31">
        <f t="shared" si="5"/>
        <v>2.8285714285714324E-4</v>
      </c>
      <c r="U31">
        <f t="shared" si="6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>IF(A32&lt;&gt;$K$3,MAX(N31,VLOOKUP(A32,A:C,3)),)</f>
        <v>1.0469999999999999</v>
      </c>
      <c r="O32">
        <f>IF(A32&lt;&gt;$K$3,MIN(O31,VLOOKUP(A32,A:D,4)),)</f>
        <v>0.998</v>
      </c>
      <c r="P32">
        <f t="shared" si="0"/>
        <v>1.0316666666666665</v>
      </c>
      <c r="Q32">
        <f t="shared" si="2"/>
        <v>1.0168571428571427</v>
      </c>
      <c r="R32">
        <f t="shared" si="3"/>
        <v>1.4809523809523828E-2</v>
      </c>
      <c r="S32">
        <f t="shared" si="4"/>
        <v>1.9306122448979644E-2</v>
      </c>
      <c r="T32">
        <f t="shared" si="5"/>
        <v>2.8959183673469462E-4</v>
      </c>
      <c r="U32">
        <f t="shared" si="6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>IF(A33&lt;&gt;$K$3,MAX(N32,VLOOKUP(A33,A:C,3)),)</f>
        <v>1.0469999999999999</v>
      </c>
      <c r="O33">
        <f>IF(A33&lt;&gt;$K$3,MIN(O32,VLOOKUP(A33,A:D,4)),)</f>
        <v>0.998</v>
      </c>
      <c r="P33">
        <f t="shared" si="0"/>
        <v>1.0246666666666666</v>
      </c>
      <c r="Q33">
        <f t="shared" si="2"/>
        <v>1.0168333333333333</v>
      </c>
      <c r="R33">
        <f t="shared" si="3"/>
        <v>7.8333333333333588E-3</v>
      </c>
      <c r="S33">
        <f t="shared" si="4"/>
        <v>1.9285714285714312E-2</v>
      </c>
      <c r="T33">
        <f t="shared" si="5"/>
        <v>2.8928571428571469E-4</v>
      </c>
      <c r="U33">
        <f t="shared" si="6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>IF(A34&lt;&gt;$K$3,MAX(N33,VLOOKUP(A34,A:C,3)),)</f>
        <v>1.0469999999999999</v>
      </c>
      <c r="O34">
        <f>IF(A34&lt;&gt;$K$3,MIN(O33,VLOOKUP(A34,A:D,4)),)</f>
        <v>0.998</v>
      </c>
      <c r="P34">
        <f t="shared" si="0"/>
        <v>1.0266666666666666</v>
      </c>
      <c r="Q34">
        <f t="shared" si="2"/>
        <v>1.015857142857143</v>
      </c>
      <c r="R34">
        <f t="shared" si="3"/>
        <v>1.0809523809523602E-2</v>
      </c>
      <c r="S34">
        <f t="shared" si="4"/>
        <v>1.8448979591836723E-2</v>
      </c>
      <c r="T34">
        <f t="shared" si="5"/>
        <v>2.7673469387755085E-4</v>
      </c>
      <c r="U34">
        <f t="shared" si="6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>IF(A35&lt;&gt;$K$3,MAX(N34,VLOOKUP(A35,A:C,3)),)</f>
        <v>1.0469999999999999</v>
      </c>
      <c r="O35">
        <f>IF(A35&lt;&gt;$K$3,MIN(O34,VLOOKUP(A35,A:D,4)),)</f>
        <v>0.998</v>
      </c>
      <c r="P35">
        <f t="shared" si="0"/>
        <v>1.0269999999999999</v>
      </c>
      <c r="Q35">
        <f t="shared" si="2"/>
        <v>1.0144761904761903</v>
      </c>
      <c r="R35">
        <f t="shared" si="3"/>
        <v>1.2523809523809604E-2</v>
      </c>
      <c r="S35">
        <f t="shared" si="4"/>
        <v>1.7435374149659892E-2</v>
      </c>
      <c r="T35">
        <f t="shared" si="5"/>
        <v>2.6153061224489839E-4</v>
      </c>
      <c r="U35">
        <f t="shared" si="6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>IF(A36&lt;&gt;$K$3,MAX(N35,VLOOKUP(A36,A:C,3)),)</f>
        <v>1.0469999999999999</v>
      </c>
      <c r="O36">
        <f>IF(A36&lt;&gt;$K$3,MIN(O35,VLOOKUP(A36,A:D,4)),)</f>
        <v>0.998</v>
      </c>
      <c r="P36">
        <f t="shared" si="0"/>
        <v>1.0189999999999999</v>
      </c>
      <c r="Q36">
        <f t="shared" si="2"/>
        <v>1.0134523809523808</v>
      </c>
      <c r="R36">
        <f t="shared" si="3"/>
        <v>5.5476190476191345E-3</v>
      </c>
      <c r="S36">
        <f t="shared" si="4"/>
        <v>1.6704081632653096E-2</v>
      </c>
      <c r="T36">
        <f t="shared" si="5"/>
        <v>2.5056122448979644E-4</v>
      </c>
      <c r="U36">
        <f t="shared" si="6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>IF(A37&lt;&gt;$K$3,MAX(N36,VLOOKUP(A37,A:C,3)),)</f>
        <v>1.0469999999999999</v>
      </c>
      <c r="O37">
        <f>IF(A37&lt;&gt;$K$3,MIN(O36,VLOOKUP(A37,A:D,4)),)</f>
        <v>0.998</v>
      </c>
      <c r="P37">
        <f t="shared" si="0"/>
        <v>1.0103333333333333</v>
      </c>
      <c r="Q37">
        <f t="shared" si="2"/>
        <v>1.0138571428571428</v>
      </c>
      <c r="R37">
        <f t="shared" si="3"/>
        <v>-3.5238095238094846E-3</v>
      </c>
      <c r="S37">
        <f t="shared" si="4"/>
        <v>1.6183673469387753E-2</v>
      </c>
      <c r="T37">
        <f t="shared" si="5"/>
        <v>2.427551020408163E-4</v>
      </c>
      <c r="U37">
        <f t="shared" si="6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>IF(A38&lt;&gt;$K$3,MAX(N37,VLOOKUP(A38,A:C,3)),)</f>
        <v>1.0469999999999999</v>
      </c>
      <c r="O38">
        <f>IF(A38&lt;&gt;$K$3,MIN(O37,VLOOKUP(A38,A:D,4)),)</f>
        <v>0.99</v>
      </c>
      <c r="P38">
        <f t="shared" si="0"/>
        <v>0.996</v>
      </c>
      <c r="Q38">
        <f t="shared" si="2"/>
        <v>1.0149285714285714</v>
      </c>
      <c r="R38">
        <f t="shared" si="3"/>
        <v>-1.8928571428571406E-2</v>
      </c>
      <c r="S38">
        <f t="shared" si="4"/>
        <v>1.4806122448979568E-2</v>
      </c>
      <c r="T38">
        <f t="shared" si="5"/>
        <v>2.2209183673469352E-4</v>
      </c>
      <c r="U38">
        <f t="shared" si="6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>IF(A39&lt;&gt;$K$3,MAX(N38,VLOOKUP(A39,A:C,3)),)</f>
        <v>1.0469999999999999</v>
      </c>
      <c r="O39">
        <f>IF(A39&lt;&gt;$K$3,MIN(O38,VLOOKUP(A39,A:D,4)),)</f>
        <v>0.96899999999999997</v>
      </c>
      <c r="P39">
        <f t="shared" si="0"/>
        <v>0.98066666666666669</v>
      </c>
      <c r="Q39">
        <f t="shared" si="2"/>
        <v>1.0160952380952382</v>
      </c>
      <c r="R39">
        <f t="shared" si="3"/>
        <v>-3.5428571428571476E-2</v>
      </c>
      <c r="S39">
        <f t="shared" si="4"/>
        <v>1.3367346938775488E-2</v>
      </c>
      <c r="T39">
        <f t="shared" si="5"/>
        <v>2.0051020408163231E-4</v>
      </c>
      <c r="U39">
        <f t="shared" si="6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>IF(A40&lt;&gt;$K$3,MAX(N39,VLOOKUP(A40,A:C,3)),)</f>
        <v>1.0469999999999999</v>
      </c>
      <c r="O40">
        <f>IF(A40&lt;&gt;$K$3,MIN(O39,VLOOKUP(A40,A:D,4)),)</f>
        <v>0.96899999999999997</v>
      </c>
      <c r="P40">
        <f t="shared" si="0"/>
        <v>0.97733333333333328</v>
      </c>
      <c r="Q40">
        <f t="shared" si="2"/>
        <v>1.0146190476190475</v>
      </c>
      <c r="R40">
        <f t="shared" si="3"/>
        <v>-3.7285714285714255E-2</v>
      </c>
      <c r="S40">
        <f t="shared" si="4"/>
        <v>1.5204081632653046E-2</v>
      </c>
      <c r="T40">
        <f t="shared" si="5"/>
        <v>2.2806122448979567E-4</v>
      </c>
      <c r="U40">
        <f t="shared" si="6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>IF(A41&lt;&gt;$K$3,MAX(N40,VLOOKUP(A41,A:C,3)),)</f>
        <v>1.0469999999999999</v>
      </c>
      <c r="O41">
        <f>IF(A41&lt;&gt;$K$3,MIN(O40,VLOOKUP(A41,A:D,4)),)</f>
        <v>0.96899999999999997</v>
      </c>
      <c r="P41">
        <f t="shared" si="0"/>
        <v>0.98299999999999998</v>
      </c>
      <c r="Q41">
        <f t="shared" si="2"/>
        <v>1.0132380952380953</v>
      </c>
      <c r="R41">
        <f t="shared" si="3"/>
        <v>-3.0238095238095286E-2</v>
      </c>
      <c r="S41">
        <f t="shared" si="4"/>
        <v>1.6979591836734642E-2</v>
      </c>
      <c r="T41">
        <f t="shared" si="5"/>
        <v>2.546938775510196E-4</v>
      </c>
      <c r="U41">
        <f t="shared" si="6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>IF(A42&lt;&gt;$K$3,MAX(N41,VLOOKUP(A42,A:C,3)),)</f>
        <v>1.0469999999999999</v>
      </c>
      <c r="O42">
        <f>IF(A42&lt;&gt;$K$3,MIN(O41,VLOOKUP(A42,A:D,4)),)</f>
        <v>0.95699999999999996</v>
      </c>
      <c r="P42">
        <f t="shared" si="0"/>
        <v>0.97100000000000009</v>
      </c>
      <c r="Q42">
        <f t="shared" si="2"/>
        <v>1.0100476190476191</v>
      </c>
      <c r="R42">
        <f t="shared" si="3"/>
        <v>-3.9047619047618998E-2</v>
      </c>
      <c r="S42">
        <f t="shared" si="4"/>
        <v>2.0319727891156412E-2</v>
      </c>
      <c r="T42">
        <f t="shared" si="5"/>
        <v>3.0479591836734616E-4</v>
      </c>
      <c r="U42">
        <f t="shared" si="6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>IF(A43&lt;&gt;$K$3,MAX(N42,VLOOKUP(A43,A:C,3)),)</f>
        <v>1.0469999999999999</v>
      </c>
      <c r="O43">
        <f>IF(A43&lt;&gt;$K$3,MIN(O42,VLOOKUP(A43,A:D,4)),)</f>
        <v>0.95699999999999996</v>
      </c>
      <c r="P43">
        <f t="shared" si="0"/>
        <v>0.98499999999999999</v>
      </c>
      <c r="Q43">
        <f t="shared" si="2"/>
        <v>1.0075952380952382</v>
      </c>
      <c r="R43">
        <f t="shared" si="3"/>
        <v>-2.2595238095238224E-2</v>
      </c>
      <c r="S43">
        <f t="shared" si="4"/>
        <v>2.1795918367346893E-2</v>
      </c>
      <c r="T43">
        <f t="shared" si="5"/>
        <v>3.269387755102034E-4</v>
      </c>
      <c r="U43">
        <f t="shared" si="6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>IF(A44&lt;&gt;$K$3,MAX(N43,VLOOKUP(A44,A:C,3)),)</f>
        <v>1.0469999999999999</v>
      </c>
      <c r="O44">
        <f>IF(A44&lt;&gt;$K$3,MIN(O43,VLOOKUP(A44,A:D,4)),)</f>
        <v>0.95699999999999996</v>
      </c>
      <c r="P44">
        <f t="shared" si="0"/>
        <v>0.99733333333333329</v>
      </c>
      <c r="Q44">
        <f t="shared" si="2"/>
        <v>1.0048095238095238</v>
      </c>
      <c r="R44">
        <f t="shared" si="3"/>
        <v>-7.4761904761905251E-3</v>
      </c>
      <c r="S44">
        <f t="shared" si="4"/>
        <v>2.047619047619045E-2</v>
      </c>
      <c r="T44">
        <f t="shared" si="5"/>
        <v>3.0714285714285674E-4</v>
      </c>
      <c r="U44">
        <f t="shared" si="6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>IF(A45&lt;&gt;$K$3,MAX(N44,VLOOKUP(A45,A:C,3)),)</f>
        <v>1.0469999999999999</v>
      </c>
      <c r="O45">
        <f>IF(A45&lt;&gt;$K$3,MIN(O44,VLOOKUP(A45,A:D,4)),)</f>
        <v>0.95699999999999996</v>
      </c>
      <c r="P45">
        <f t="shared" si="0"/>
        <v>0.99966666666666659</v>
      </c>
      <c r="Q45">
        <f t="shared" si="2"/>
        <v>1.0020952380952381</v>
      </c>
      <c r="R45">
        <f t="shared" si="3"/>
        <v>-2.4285714285715576E-3</v>
      </c>
      <c r="S45">
        <f t="shared" si="4"/>
        <v>1.8108843537414949E-2</v>
      </c>
      <c r="T45">
        <f t="shared" si="5"/>
        <v>2.7163265306122424E-4</v>
      </c>
      <c r="U45">
        <f t="shared" si="6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>IF(A46&lt;&gt;$K$3,MAX(N45,VLOOKUP(A46,A:C,3)),)</f>
        <v>1.0469999999999999</v>
      </c>
      <c r="O46">
        <f>IF(A46&lt;&gt;$K$3,MIN(O45,VLOOKUP(A46,A:D,4)),)</f>
        <v>0.95699999999999996</v>
      </c>
      <c r="P46">
        <f t="shared" si="0"/>
        <v>0.98966666666666681</v>
      </c>
      <c r="Q46">
        <f t="shared" si="2"/>
        <v>0.99909523809523815</v>
      </c>
      <c r="R46">
        <f t="shared" si="3"/>
        <v>-9.4285714285713418E-3</v>
      </c>
      <c r="S46">
        <f t="shared" si="4"/>
        <v>1.6108843537414937E-2</v>
      </c>
      <c r="T46">
        <f t="shared" si="5"/>
        <v>2.4163265306122403E-4</v>
      </c>
      <c r="U46">
        <f t="shared" si="6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>IF(A47&lt;&gt;$K$3,MAX(N46,VLOOKUP(A47,A:C,3)),)</f>
        <v>1.0469999999999999</v>
      </c>
      <c r="O47">
        <f>IF(A47&lt;&gt;$K$3,MIN(O46,VLOOKUP(A47,A:D,4)),)</f>
        <v>0.95699999999999996</v>
      </c>
      <c r="P47">
        <f t="shared" si="0"/>
        <v>0.98499999999999999</v>
      </c>
      <c r="Q47">
        <f t="shared" si="2"/>
        <v>0.99626190476190479</v>
      </c>
      <c r="R47">
        <f t="shared" si="3"/>
        <v>-1.1261904761904806E-2</v>
      </c>
      <c r="S47">
        <f t="shared" si="4"/>
        <v>1.4632653061224457E-2</v>
      </c>
      <c r="T47">
        <f t="shared" si="5"/>
        <v>2.1948979591836684E-4</v>
      </c>
      <c r="U47">
        <f t="shared" si="6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>IF(A48&lt;&gt;$K$3,MAX(N47,VLOOKUP(A48,A:C,3)),)</f>
        <v>1.0469999999999999</v>
      </c>
      <c r="O48">
        <f>IF(A48&lt;&gt;$K$3,MIN(O47,VLOOKUP(A48,A:D,4)),)</f>
        <v>0.95699999999999996</v>
      </c>
      <c r="P48">
        <f t="shared" si="0"/>
        <v>0.98099999999999998</v>
      </c>
      <c r="Q48">
        <f t="shared" si="2"/>
        <v>0.99299999999999999</v>
      </c>
      <c r="R48">
        <f t="shared" si="3"/>
        <v>-1.2000000000000011E-2</v>
      </c>
      <c r="S48">
        <f t="shared" si="4"/>
        <v>1.3047619047619015E-2</v>
      </c>
      <c r="T48">
        <f t="shared" si="5"/>
        <v>1.957142857142852E-4</v>
      </c>
      <c r="U48">
        <f t="shared" si="6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2"/>
        <v>0.98880952380952369</v>
      </c>
      <c r="R49">
        <f t="shared" si="3"/>
        <v>-2.0476190476190315E-2</v>
      </c>
      <c r="S49">
        <f t="shared" si="4"/>
        <v>1.1306122448979565E-2</v>
      </c>
      <c r="T49">
        <f t="shared" si="5"/>
        <v>1.6959183673469346E-4</v>
      </c>
      <c r="U49">
        <f t="shared" si="6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>IF(A50&lt;&gt;$K$4,MAX(N49,VLOOKUP(A50,A:C,3)),)</f>
        <v>0.97199999999999998</v>
      </c>
      <c r="O50">
        <f>IF(A50&lt;&gt;$K$4,MIN(O49,VLOOKUP(A50,A:D,4)),)</f>
        <v>0.94699999999999995</v>
      </c>
      <c r="P50">
        <f t="shared" si="0"/>
        <v>0.96166666666666656</v>
      </c>
      <c r="Q50">
        <f t="shared" si="2"/>
        <v>0.98471428571428565</v>
      </c>
      <c r="R50">
        <f t="shared" si="3"/>
        <v>-2.3047619047619095E-2</v>
      </c>
      <c r="S50">
        <f t="shared" si="4"/>
        <v>0.01</v>
      </c>
      <c r="T50">
        <f t="shared" si="5"/>
        <v>1.4999999999999999E-4</v>
      </c>
      <c r="U50">
        <f t="shared" si="6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>IF(A51&lt;&gt;$K$4,MAX(N50,VLOOKUP(A51,A:C,3)),)</f>
        <v>0.97499999999999998</v>
      </c>
      <c r="O51">
        <f>IF(A51&lt;&gt;$K$4,MIN(O50,VLOOKUP(A51,A:D,4)),)</f>
        <v>0.94699999999999995</v>
      </c>
      <c r="P51">
        <f t="shared" si="0"/>
        <v>0.96099999999999997</v>
      </c>
      <c r="Q51">
        <f t="shared" si="2"/>
        <v>0.98119047619047617</v>
      </c>
      <c r="R51">
        <f t="shared" si="3"/>
        <v>-2.0190476190476203E-2</v>
      </c>
      <c r="S51">
        <f t="shared" si="4"/>
        <v>9.6190476190476226E-3</v>
      </c>
      <c r="T51">
        <f t="shared" si="5"/>
        <v>1.4428571428571434E-4</v>
      </c>
      <c r="U51">
        <f t="shared" si="6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>IF(A52&lt;&gt;$K$4,MAX(N51,VLOOKUP(A52,A:C,3)),)</f>
        <v>0.97499999999999998</v>
      </c>
      <c r="O52">
        <f>IF(A52&lt;&gt;$K$4,MIN(O51,VLOOKUP(A52,A:D,4)),)</f>
        <v>0.93899999999999995</v>
      </c>
      <c r="P52">
        <f t="shared" si="0"/>
        <v>0.94600000000000006</v>
      </c>
      <c r="Q52">
        <f t="shared" si="2"/>
        <v>0.9776190476190475</v>
      </c>
      <c r="R52">
        <f t="shared" si="3"/>
        <v>-3.1619047619047436E-2</v>
      </c>
      <c r="S52">
        <f t="shared" si="4"/>
        <v>1.1482993197278928E-2</v>
      </c>
      <c r="T52">
        <f t="shared" si="5"/>
        <v>1.7224489795918392E-4</v>
      </c>
      <c r="U52">
        <f t="shared" si="6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>IF(A53&lt;&gt;$K$4,MAX(N52,VLOOKUP(A53,A:C,3)),)</f>
        <v>0.97799999999999998</v>
      </c>
      <c r="O53">
        <f>IF(A53&lt;&gt;$K$4,MIN(O52,VLOOKUP(A53,A:D,4)),)</f>
        <v>0.93899999999999995</v>
      </c>
      <c r="P53">
        <f t="shared" si="0"/>
        <v>0.96433333333333326</v>
      </c>
      <c r="Q53">
        <f t="shared" si="2"/>
        <v>0.97645238095238085</v>
      </c>
      <c r="R53">
        <f t="shared" si="3"/>
        <v>-1.2119047619047585E-2</v>
      </c>
      <c r="S53">
        <f t="shared" si="4"/>
        <v>1.2340136054421778E-2</v>
      </c>
      <c r="T53">
        <f t="shared" si="5"/>
        <v>1.8510204081632667E-4</v>
      </c>
      <c r="U53">
        <f t="shared" si="6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>IF(A54&lt;&gt;$K$4,MAX(N53,VLOOKUP(A54,A:C,3)),)</f>
        <v>0.98399999999999999</v>
      </c>
      <c r="O54">
        <f>IF(A54&lt;&gt;$K$4,MIN(O53,VLOOKUP(A54,A:D,4)),)</f>
        <v>0.93899999999999995</v>
      </c>
      <c r="P54">
        <f t="shared" si="0"/>
        <v>0.97933333333333328</v>
      </c>
      <c r="Q54">
        <f t="shared" si="2"/>
        <v>0.97659523809523796</v>
      </c>
      <c r="R54">
        <f t="shared" si="3"/>
        <v>2.7380952380953172E-3</v>
      </c>
      <c r="S54">
        <f t="shared" si="4"/>
        <v>1.246258503401362E-2</v>
      </c>
      <c r="T54">
        <f t="shared" si="5"/>
        <v>1.869387755102043E-4</v>
      </c>
      <c r="U54">
        <f t="shared" si="6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>IF(A55&lt;&gt;$K$4,MAX(N54,VLOOKUP(A55,A:C,3)),)</f>
        <v>0.98799999999999999</v>
      </c>
      <c r="O55">
        <f>IF(A55&lt;&gt;$K$4,MIN(O54,VLOOKUP(A55,A:D,4)),)</f>
        <v>0.93899999999999995</v>
      </c>
      <c r="P55">
        <f t="shared" si="0"/>
        <v>0.97933333333333328</v>
      </c>
      <c r="Q55">
        <f t="shared" si="2"/>
        <v>0.97633333333333339</v>
      </c>
      <c r="R55">
        <f t="shared" si="3"/>
        <v>2.9999999999998916E-3</v>
      </c>
      <c r="S55">
        <f t="shared" si="4"/>
        <v>1.2238095238095223E-2</v>
      </c>
      <c r="T55">
        <f t="shared" si="5"/>
        <v>1.8357142857142834E-4</v>
      </c>
      <c r="U55">
        <f t="shared" si="6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>IF(A56&lt;&gt;$K$4,MAX(N55,VLOOKUP(A56,A:C,3)),)</f>
        <v>0.98799999999999999</v>
      </c>
      <c r="O56">
        <f>IF(A56&lt;&gt;$K$4,MIN(O55,VLOOKUP(A56,A:D,4)),)</f>
        <v>0.93899999999999995</v>
      </c>
      <c r="P56">
        <f t="shared" si="0"/>
        <v>0.97333333333333327</v>
      </c>
      <c r="Q56">
        <f t="shared" si="2"/>
        <v>0.97649999999999992</v>
      </c>
      <c r="R56">
        <f t="shared" si="3"/>
        <v>-3.166666666666651E-3</v>
      </c>
      <c r="S56">
        <f t="shared" si="4"/>
        <v>1.204761904761906E-2</v>
      </c>
      <c r="T56">
        <f t="shared" si="5"/>
        <v>1.8071428571428589E-4</v>
      </c>
      <c r="U56">
        <f t="shared" si="6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>IF(A57&lt;&gt;$K$4,MAX(N56,VLOOKUP(A57,A:C,3)),)</f>
        <v>0.98799999999999999</v>
      </c>
      <c r="O57">
        <f>IF(A57&lt;&gt;$K$4,MIN(O56,VLOOKUP(A57,A:D,4)),)</f>
        <v>0.93899999999999995</v>
      </c>
      <c r="P57">
        <f t="shared" si="0"/>
        <v>0.97599999999999998</v>
      </c>
      <c r="Q57">
        <f t="shared" si="2"/>
        <v>0.97585714285714276</v>
      </c>
      <c r="R57">
        <f t="shared" si="3"/>
        <v>1.4285714285722229E-4</v>
      </c>
      <c r="S57">
        <f t="shared" si="4"/>
        <v>1.1496598639455799E-2</v>
      </c>
      <c r="T57">
        <f t="shared" si="5"/>
        <v>1.72448979591837E-4</v>
      </c>
      <c r="U57">
        <f t="shared" si="6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>IF(A58&lt;&gt;$K$4,MAX(N57,VLOOKUP(A58,A:C,3)),)</f>
        <v>0.98799999999999999</v>
      </c>
      <c r="O58">
        <f>IF(A58&lt;&gt;$K$4,MIN(O57,VLOOKUP(A58,A:D,4)),)</f>
        <v>0.93899999999999995</v>
      </c>
      <c r="P58">
        <f t="shared" si="0"/>
        <v>0.97299999999999998</v>
      </c>
      <c r="Q58">
        <f t="shared" si="2"/>
        <v>0.97411904761904755</v>
      </c>
      <c r="R58">
        <f t="shared" si="3"/>
        <v>-1.1190476190475751E-3</v>
      </c>
      <c r="S58">
        <f t="shared" si="4"/>
        <v>1.0166666666666673E-2</v>
      </c>
      <c r="T58">
        <f t="shared" si="5"/>
        <v>1.5250000000000007E-4</v>
      </c>
      <c r="U58">
        <f t="shared" si="6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>IF(A59&lt;&gt;$K$4,MAX(N58,VLOOKUP(A59,A:C,3)),)</f>
        <v>0.98799999999999999</v>
      </c>
      <c r="O59">
        <f>IF(A59&lt;&gt;$K$4,MIN(O58,VLOOKUP(A59,A:D,4)),)</f>
        <v>0.93899999999999995</v>
      </c>
      <c r="P59">
        <f t="shared" si="0"/>
        <v>0.97533333333333339</v>
      </c>
      <c r="Q59">
        <f t="shared" si="2"/>
        <v>0.97238095238095235</v>
      </c>
      <c r="R59">
        <f t="shared" si="3"/>
        <v>2.9523809523810396E-3</v>
      </c>
      <c r="S59">
        <f t="shared" si="4"/>
        <v>8.6530612244898088E-3</v>
      </c>
      <c r="T59">
        <f t="shared" si="5"/>
        <v>1.2979591836734713E-4</v>
      </c>
      <c r="U59">
        <f t="shared" si="6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>IF(A60&lt;&gt;$K$4,MAX(N59,VLOOKUP(A60,A:C,3)),)</f>
        <v>0.98799999999999999</v>
      </c>
      <c r="O60">
        <f>IF(A60&lt;&gt;$K$4,MIN(O59,VLOOKUP(A60,A:D,4)),)</f>
        <v>0.93899999999999995</v>
      </c>
      <c r="P60">
        <f t="shared" si="0"/>
        <v>0.96533333333333327</v>
      </c>
      <c r="Q60">
        <f t="shared" si="2"/>
        <v>0.97064285714285703</v>
      </c>
      <c r="R60">
        <f t="shared" si="3"/>
        <v>-5.309523809523764E-3</v>
      </c>
      <c r="S60">
        <f t="shared" si="4"/>
        <v>8.1700680272108993E-3</v>
      </c>
      <c r="T60">
        <f t="shared" si="5"/>
        <v>1.2255102040816348E-4</v>
      </c>
      <c r="U60">
        <f t="shared" si="6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>IF(A61&lt;&gt;$K$4,MAX(N60,VLOOKUP(A61,A:C,3)),)</f>
        <v>0.98799999999999999</v>
      </c>
      <c r="O61">
        <f>IF(A61&lt;&gt;$K$4,MIN(O60,VLOOKUP(A61,A:D,4)),)</f>
        <v>0.93899999999999995</v>
      </c>
      <c r="P61">
        <f t="shared" si="0"/>
        <v>0.95366666666666655</v>
      </c>
      <c r="Q61">
        <f t="shared" si="2"/>
        <v>0.96840476190476188</v>
      </c>
      <c r="R61">
        <f t="shared" si="3"/>
        <v>-1.4738095238095328E-2</v>
      </c>
      <c r="S61">
        <f t="shared" si="4"/>
        <v>8.3571428571428651E-3</v>
      </c>
      <c r="T61">
        <f t="shared" si="5"/>
        <v>1.2535714285714298E-4</v>
      </c>
      <c r="U61">
        <f t="shared" si="6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>IF(A62&lt;&gt;$K$4,MAX(N61,VLOOKUP(A62,A:C,3)),)</f>
        <v>0.98799999999999999</v>
      </c>
      <c r="O62">
        <f>IF(A62&lt;&gt;$K$4,MIN(O61,VLOOKUP(A62,A:D,4)),)</f>
        <v>0.93799999999999994</v>
      </c>
      <c r="P62">
        <f t="shared" si="0"/>
        <v>0.94899999999999984</v>
      </c>
      <c r="Q62">
        <f t="shared" si="2"/>
        <v>0.96611904761904766</v>
      </c>
      <c r="R62">
        <f t="shared" si="3"/>
        <v>-1.7119047619047811E-2</v>
      </c>
      <c r="S62">
        <f t="shared" si="4"/>
        <v>8.8333333333333597E-3</v>
      </c>
      <c r="T62">
        <f t="shared" si="5"/>
        <v>1.325000000000004E-4</v>
      </c>
      <c r="U62">
        <f t="shared" si="6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>IF(A63&lt;&gt;$K$4,MAX(N62,VLOOKUP(A63,A:C,3)),)</f>
        <v>0.98799999999999999</v>
      </c>
      <c r="O63">
        <f>IF(A63&lt;&gt;$K$4,MIN(O62,VLOOKUP(A63,A:D,4)),)</f>
        <v>0.93700000000000006</v>
      </c>
      <c r="P63">
        <f t="shared" si="0"/>
        <v>0.94399999999999995</v>
      </c>
      <c r="Q63">
        <f t="shared" si="2"/>
        <v>0.96438095238095245</v>
      </c>
      <c r="R63">
        <f t="shared" si="3"/>
        <v>-2.03809523809525E-2</v>
      </c>
      <c r="S63">
        <f t="shared" si="4"/>
        <v>1.014285714285716E-2</v>
      </c>
      <c r="T63">
        <f t="shared" si="5"/>
        <v>1.5214285714285739E-4</v>
      </c>
      <c r="U63">
        <f t="shared" si="6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>IF(A64&lt;&gt;$K$4,MAX(N63,VLOOKUP(A64,A:C,3)),)</f>
        <v>0.98799999999999999</v>
      </c>
      <c r="O64">
        <f>IF(A64&lt;&gt;$K$4,MIN(O63,VLOOKUP(A64,A:D,4)),)</f>
        <v>0.93700000000000006</v>
      </c>
      <c r="P64">
        <f t="shared" si="0"/>
        <v>0.95066666666666666</v>
      </c>
      <c r="Q64">
        <f t="shared" si="2"/>
        <v>0.96359523809523828</v>
      </c>
      <c r="R64">
        <f t="shared" si="3"/>
        <v>-1.2928571428571622E-2</v>
      </c>
      <c r="S64">
        <f t="shared" si="4"/>
        <v>1.103401360544215E-2</v>
      </c>
      <c r="T64">
        <f t="shared" si="5"/>
        <v>1.6551020408163224E-4</v>
      </c>
      <c r="U64">
        <f t="shared" si="6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>IF(A65&lt;&gt;$K$4,MAX(N64,VLOOKUP(A65,A:C,3)),)</f>
        <v>0.98799999999999999</v>
      </c>
      <c r="O65">
        <f>IF(A65&lt;&gt;$K$4,MIN(O64,VLOOKUP(A65,A:D,4)),)</f>
        <v>0.93700000000000006</v>
      </c>
      <c r="P65">
        <f t="shared" si="0"/>
        <v>0.95566666666666666</v>
      </c>
      <c r="Q65">
        <f t="shared" si="2"/>
        <v>0.96321428571428569</v>
      </c>
      <c r="R65">
        <f t="shared" si="3"/>
        <v>-7.5476190476190252E-3</v>
      </c>
      <c r="S65">
        <f t="shared" si="4"/>
        <v>1.1469387755102043E-2</v>
      </c>
      <c r="T65">
        <f t="shared" si="5"/>
        <v>1.7204081632653064E-4</v>
      </c>
      <c r="U65">
        <f t="shared" si="6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>IF(A66&lt;&gt;$K$4,MAX(N65,VLOOKUP(A66,A:C,3)),)</f>
        <v>0.98799999999999999</v>
      </c>
      <c r="O66">
        <f>IF(A66&lt;&gt;$K$4,MIN(O65,VLOOKUP(A66,A:D,4)),)</f>
        <v>0.93700000000000006</v>
      </c>
      <c r="P66">
        <f t="shared" si="0"/>
        <v>0.96033333333333326</v>
      </c>
      <c r="Q66">
        <f t="shared" si="2"/>
        <v>0.96423809523809501</v>
      </c>
      <c r="R66">
        <f t="shared" si="3"/>
        <v>-3.9047619047617443E-3</v>
      </c>
      <c r="S66">
        <f t="shared" si="4"/>
        <v>1.0299319727891196E-2</v>
      </c>
      <c r="T66">
        <f t="shared" si="5"/>
        <v>1.5448979591836795E-4</v>
      </c>
      <c r="U66">
        <f t="shared" si="6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>IF(A67&lt;&gt;$K$4,MAX(N66,VLOOKUP(A67,A:C,3)),)</f>
        <v>0.98799999999999999</v>
      </c>
      <c r="O67">
        <f>IF(A67&lt;&gt;$K$4,MIN(O66,VLOOKUP(A67,A:D,4)),)</f>
        <v>0.93700000000000006</v>
      </c>
      <c r="P67">
        <f t="shared" ref="P67:P321" si="7">(C67+D67+E67)/3</f>
        <v>0.95766666666666656</v>
      </c>
      <c r="Q67">
        <f t="shared" si="2"/>
        <v>0.9637619047619046</v>
      </c>
      <c r="R67">
        <f t="shared" si="3"/>
        <v>-6.0952380952380425E-3</v>
      </c>
      <c r="S67">
        <f t="shared" si="4"/>
        <v>1.0761904761904782E-2</v>
      </c>
      <c r="T67">
        <f t="shared" si="5"/>
        <v>1.6142857142857172E-4</v>
      </c>
      <c r="U67">
        <f t="shared" si="6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>IF(A68&lt;&gt;$K$4,MAX(N67,VLOOKUP(A68,A:C,3)),)</f>
        <v>0.98799999999999999</v>
      </c>
      <c r="O68">
        <f>IF(A68&lt;&gt;$K$4,MIN(O67,VLOOKUP(A68,A:D,4)),)</f>
        <v>0.93700000000000006</v>
      </c>
      <c r="P68">
        <f t="shared" si="7"/>
        <v>0.94499999999999995</v>
      </c>
      <c r="Q68">
        <f t="shared" si="2"/>
        <v>0.96130952380952372</v>
      </c>
      <c r="R68">
        <f t="shared" si="3"/>
        <v>-1.6309523809523774E-2</v>
      </c>
      <c r="S68">
        <f t="shared" si="4"/>
        <v>1.0639455782312941E-2</v>
      </c>
      <c r="T68">
        <f t="shared" si="5"/>
        <v>1.5959183673469412E-4</v>
      </c>
      <c r="U68">
        <f t="shared" si="6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8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7"/>
        <v>0.95533333333333326</v>
      </c>
      <c r="Q69">
        <f t="shared" si="2"/>
        <v>0.95959523809523806</v>
      </c>
      <c r="R69">
        <f t="shared" si="3"/>
        <v>-4.2619047619048001E-3</v>
      </c>
      <c r="S69">
        <f t="shared" si="4"/>
        <v>9.3945578231292726E-3</v>
      </c>
      <c r="T69">
        <f t="shared" si="5"/>
        <v>1.4091836734693908E-4</v>
      </c>
      <c r="U69">
        <f t="shared" si="6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8"/>
        <v>68</v>
      </c>
      <c r="I70">
        <f>SUM($F$3:F70)/H70</f>
        <v>16080780.382352941</v>
      </c>
      <c r="N70">
        <f>IF(A70&lt;&gt;$K$5,MAX(N69,VLOOKUP(A70,A:C,3)),)</f>
        <v>0.97399997711181641</v>
      </c>
      <c r="O70">
        <f>IF(A70&lt;&gt;$K$5,MIN(O69,VLOOKUP(A70,A:D,4)),)</f>
        <v>0.96100002527236938</v>
      </c>
      <c r="P70">
        <f t="shared" si="7"/>
        <v>0.96700000762939453</v>
      </c>
      <c r="Q70">
        <f t="shared" si="2"/>
        <v>0.95914285768781393</v>
      </c>
      <c r="R70">
        <f t="shared" si="3"/>
        <v>7.857149941580599E-3</v>
      </c>
      <c r="S70">
        <f t="shared" si="4"/>
        <v>8.8775516432159172E-3</v>
      </c>
      <c r="T70">
        <f t="shared" si="5"/>
        <v>1.3316327464823875E-4</v>
      </c>
      <c r="U70">
        <f t="shared" si="6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8"/>
        <v>69</v>
      </c>
      <c r="I71">
        <f>SUM($F$3:F71)/H71</f>
        <v>15865779.246376812</v>
      </c>
      <c r="N71">
        <f>IF(A71&lt;&gt;$K$5,MAX(N70,VLOOKUP(A71,A:C,3)),)</f>
        <v>0.97399997711181641</v>
      </c>
      <c r="O71">
        <f>IF(A71&lt;&gt;$K$5,MIN(O70,VLOOKUP(A71,A:D,4)),)</f>
        <v>0.95999997854232788</v>
      </c>
      <c r="P71">
        <f t="shared" si="7"/>
        <v>0.96433333555857337</v>
      </c>
      <c r="Q71">
        <f t="shared" si="2"/>
        <v>0.95830952451342621</v>
      </c>
      <c r="R71">
        <f t="shared" si="3"/>
        <v>6.0238110451471538E-3</v>
      </c>
      <c r="S71">
        <f t="shared" si="4"/>
        <v>7.9251708724871993E-3</v>
      </c>
      <c r="T71">
        <f t="shared" si="5"/>
        <v>1.1887756308730799E-4</v>
      </c>
      <c r="U71">
        <f t="shared" si="6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8"/>
        <v>70</v>
      </c>
      <c r="I72">
        <f>SUM($F$3:F72)/H72</f>
        <v>15702676.742857143</v>
      </c>
      <c r="N72">
        <f>IF(A72&lt;&gt;$K$5,MAX(N71,VLOOKUP(A72,A:C,3)),)</f>
        <v>0.97399997711181641</v>
      </c>
      <c r="O72">
        <f>IF(A72&lt;&gt;$K$5,MIN(O71,VLOOKUP(A72,A:D,4)),)</f>
        <v>0.93900001049041748</v>
      </c>
      <c r="P72">
        <f t="shared" si="7"/>
        <v>0.94900000095367432</v>
      </c>
      <c r="Q72">
        <f t="shared" si="2"/>
        <v>0.95659523886726017</v>
      </c>
      <c r="R72">
        <f t="shared" si="3"/>
        <v>-7.5952379135858505E-3</v>
      </c>
      <c r="S72">
        <f t="shared" si="4"/>
        <v>7.204082378724822E-3</v>
      </c>
      <c r="T72">
        <f t="shared" si="5"/>
        <v>1.0806123568087233E-4</v>
      </c>
      <c r="U72">
        <f t="shared" si="6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8"/>
        <v>71</v>
      </c>
      <c r="I73">
        <f>SUM($F$3:F73)/H73</f>
        <v>15543394.309859155</v>
      </c>
      <c r="N73">
        <f>IF(A73&lt;&gt;$K$5,MAX(N72,VLOOKUP(A73,A:C,3)),)</f>
        <v>0.97399997711181641</v>
      </c>
      <c r="O73">
        <f>IF(A73&lt;&gt;$K$5,MIN(O72,VLOOKUP(A73,A:D,4)),)</f>
        <v>0.93900001049041748</v>
      </c>
      <c r="P73">
        <f t="shared" si="7"/>
        <v>0.95733334620793664</v>
      </c>
      <c r="Q73">
        <f t="shared" si="2"/>
        <v>0.95530952550116044</v>
      </c>
      <c r="R73">
        <f t="shared" si="3"/>
        <v>2.0238207067762026E-3</v>
      </c>
      <c r="S73">
        <f t="shared" si="4"/>
        <v>5.7891169599935278E-3</v>
      </c>
      <c r="T73">
        <f t="shared" si="5"/>
        <v>8.6836754399902919E-5</v>
      </c>
      <c r="U73">
        <f t="shared" si="6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8"/>
        <v>72</v>
      </c>
      <c r="I74">
        <f>SUM($F$3:F74)/H74</f>
        <v>15343547.25</v>
      </c>
      <c r="N74">
        <f>IF(A74&lt;&gt;$K$5,MAX(N73,VLOOKUP(A74,A:C,3)),)</f>
        <v>0.97399997711181641</v>
      </c>
      <c r="O74">
        <f>IF(A74&lt;&gt;$K$5,MIN(O73,VLOOKUP(A74,A:D,4)),)</f>
        <v>0.93900001049041748</v>
      </c>
      <c r="P74">
        <f t="shared" si="7"/>
        <v>0.96333332856496179</v>
      </c>
      <c r="Q74">
        <f t="shared" si="2"/>
        <v>0.95516666801770533</v>
      </c>
      <c r="R74">
        <f t="shared" si="3"/>
        <v>8.1666605472564546E-3</v>
      </c>
      <c r="S74">
        <f t="shared" si="4"/>
        <v>5.6666676884605804E-3</v>
      </c>
      <c r="T74">
        <f t="shared" si="5"/>
        <v>8.5000015326908707E-5</v>
      </c>
      <c r="U74">
        <f t="shared" si="6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8"/>
        <v>73</v>
      </c>
      <c r="I75">
        <f>SUM($F$3:F75)/H75</f>
        <v>15202952.02739726</v>
      </c>
      <c r="N75">
        <f>IF(A75&lt;&gt;$K$5,MAX(N74,VLOOKUP(A75,A:C,3)),)</f>
        <v>0.9779999852180481</v>
      </c>
      <c r="O75">
        <f>IF(A75&lt;&gt;$K$5,MIN(O74,VLOOKUP(A75,A:D,4)),)</f>
        <v>0.93900001049041748</v>
      </c>
      <c r="P75">
        <f t="shared" si="7"/>
        <v>0.97033331791559851</v>
      </c>
      <c r="Q75">
        <f t="shared" si="2"/>
        <v>0.95635714310691455</v>
      </c>
      <c r="R75">
        <f t="shared" si="3"/>
        <v>1.3976174808683961E-2</v>
      </c>
      <c r="S75">
        <f t="shared" si="4"/>
        <v>6.5476191611517154E-3</v>
      </c>
      <c r="T75">
        <f t="shared" si="5"/>
        <v>9.8214287417275722E-5</v>
      </c>
      <c r="U75">
        <f t="shared" si="6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8"/>
        <v>74</v>
      </c>
      <c r="I76">
        <f>SUM($F$3:F76)/H76</f>
        <v>15044251.341216216</v>
      </c>
      <c r="N76">
        <f>IF(A76&lt;&gt;$K$5,MAX(N75,VLOOKUP(A76,A:C,3)),)</f>
        <v>0.9779999852180481</v>
      </c>
      <c r="O76">
        <f>IF(A76&lt;&gt;$K$5,MIN(O75,VLOOKUP(A76,A:D,4)),)</f>
        <v>0.93900001049041748</v>
      </c>
      <c r="P76">
        <f t="shared" si="7"/>
        <v>0.97133332490921021</v>
      </c>
      <c r="Q76">
        <f t="shared" si="2"/>
        <v>0.95795238060042975</v>
      </c>
      <c r="R76">
        <f t="shared" si="3"/>
        <v>1.3380944308780451E-2</v>
      </c>
      <c r="S76">
        <f t="shared" si="4"/>
        <v>6.9931949012133699E-3</v>
      </c>
      <c r="T76">
        <f t="shared" si="5"/>
        <v>1.0489792351820055E-4</v>
      </c>
      <c r="U76">
        <f t="shared" si="6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8"/>
        <v>75</v>
      </c>
      <c r="I77">
        <f>SUM($F$3:F77)/H77</f>
        <v>14898043.163333334</v>
      </c>
      <c r="N77">
        <f>IF(A77&lt;&gt;$K$5,MAX(N76,VLOOKUP(A77,A:C,3)),)</f>
        <v>0.98199999332427979</v>
      </c>
      <c r="O77">
        <f>IF(A77&lt;&gt;$K$5,MIN(O76,VLOOKUP(A77,A:D,4)),)</f>
        <v>0.93900001049041748</v>
      </c>
      <c r="P77">
        <f t="shared" si="7"/>
        <v>0.97833333412806189</v>
      </c>
      <c r="Q77">
        <f t="shared" si="2"/>
        <v>0.96040476160957688</v>
      </c>
      <c r="R77">
        <f t="shared" si="3"/>
        <v>1.7928572518485009E-2</v>
      </c>
      <c r="S77">
        <f t="shared" si="4"/>
        <v>7.4625827211911976E-3</v>
      </c>
      <c r="T77">
        <f t="shared" si="5"/>
        <v>1.1193874081786796E-4</v>
      </c>
      <c r="U77">
        <f t="shared" si="6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8"/>
        <v>76</v>
      </c>
      <c r="I78">
        <f>SUM($F$3:F78)/H78</f>
        <v>14725071.634868421</v>
      </c>
      <c r="N78">
        <f>IF(A78&lt;&gt;$K$5,MAX(N77,VLOOKUP(A78,A:C,3)),)</f>
        <v>0.98600000143051147</v>
      </c>
      <c r="O78">
        <f>IF(A78&lt;&gt;$K$5,MIN(O77,VLOOKUP(A78,A:D,4)),)</f>
        <v>0.93900001049041748</v>
      </c>
      <c r="P78">
        <f t="shared" si="7"/>
        <v>0.97600001096725464</v>
      </c>
      <c r="Q78">
        <f t="shared" si="2"/>
        <v>0.96221428620247607</v>
      </c>
      <c r="R78">
        <f t="shared" si="3"/>
        <v>1.3785724764778573E-2</v>
      </c>
      <c r="S78">
        <f t="shared" si="4"/>
        <v>7.8809508936745921E-3</v>
      </c>
      <c r="T78">
        <f t="shared" si="5"/>
        <v>1.1821426340511887E-4</v>
      </c>
      <c r="U78">
        <f t="shared" si="6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8"/>
        <v>77</v>
      </c>
      <c r="I79">
        <f>SUM($F$3:F79)/H79</f>
        <v>14590734.574675325</v>
      </c>
      <c r="N79">
        <f>IF(A79&lt;&gt;$K$5,MAX(N78,VLOOKUP(A79,A:C,3)),)</f>
        <v>0.98600000143051147</v>
      </c>
      <c r="O79">
        <f>IF(A79&lt;&gt;$K$5,MIN(O78,VLOOKUP(A79,A:D,4)),)</f>
        <v>0.93900001049041748</v>
      </c>
      <c r="P79">
        <f t="shared" si="7"/>
        <v>0.97466667493184411</v>
      </c>
      <c r="Q79">
        <f t="shared" si="2"/>
        <v>0.96357142964998876</v>
      </c>
      <c r="R79">
        <f t="shared" si="3"/>
        <v>1.1095245281855348E-2</v>
      </c>
      <c r="S79">
        <f t="shared" si="4"/>
        <v>8.1428569271451059E-3</v>
      </c>
      <c r="T79">
        <f t="shared" si="5"/>
        <v>1.2214285390717657E-4</v>
      </c>
      <c r="U79">
        <f t="shared" si="6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8"/>
        <v>78</v>
      </c>
      <c r="I80">
        <f>SUM($F$3:F80)/H80</f>
        <v>14498854.64423077</v>
      </c>
      <c r="N80">
        <f>IF(A80&lt;&gt;$K$5,MAX(N79,VLOOKUP(A80,A:C,3)),)</f>
        <v>0.99099999666213989</v>
      </c>
      <c r="O80">
        <f>IF(A80&lt;&gt;$K$5,MIN(O79,VLOOKUP(A80,A:D,4)),)</f>
        <v>0.93900001049041748</v>
      </c>
      <c r="P80">
        <f t="shared" si="7"/>
        <v>0.98466666539510095</v>
      </c>
      <c r="Q80">
        <f t="shared" si="2"/>
        <v>0.96530952479725785</v>
      </c>
      <c r="R80">
        <f t="shared" si="3"/>
        <v>1.9357140597843103E-2</v>
      </c>
      <c r="S80">
        <f t="shared" si="4"/>
        <v>9.3095231850942126E-3</v>
      </c>
      <c r="T80">
        <f t="shared" si="5"/>
        <v>1.3964284777641319E-4</v>
      </c>
      <c r="U80">
        <f t="shared" si="6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8"/>
        <v>79</v>
      </c>
      <c r="I81">
        <f>SUM($F$3:F81)/H81</f>
        <v>14391175.648734177</v>
      </c>
      <c r="N81">
        <f>IF(A81&lt;&gt;$K$5,MAX(N80,VLOOKUP(A81,A:C,3)),)</f>
        <v>0.99599999189376831</v>
      </c>
      <c r="O81">
        <f>IF(A81&lt;&gt;$K$5,MIN(O80,VLOOKUP(A81,A:D,4)),)</f>
        <v>0.93900001049041748</v>
      </c>
      <c r="P81">
        <f t="shared" si="7"/>
        <v>0.99233333269755042</v>
      </c>
      <c r="Q81">
        <f t="shared" si="2"/>
        <v>0.96778571522803525</v>
      </c>
      <c r="R81">
        <f t="shared" si="3"/>
        <v>2.4547617469515171E-2</v>
      </c>
      <c r="S81">
        <f t="shared" si="4"/>
        <v>1.0452379192624777E-2</v>
      </c>
      <c r="T81">
        <f t="shared" si="5"/>
        <v>1.5678568788937166E-4</v>
      </c>
      <c r="U81">
        <f t="shared" si="6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8"/>
        <v>80</v>
      </c>
      <c r="I82">
        <f>SUM($F$3:F82)/H82</f>
        <v>14291985.165625</v>
      </c>
      <c r="N82">
        <f>IF(A82&lt;&gt;$K$5,MAX(N81,VLOOKUP(A82,A:C,3)),)</f>
        <v>1.0049999952316284</v>
      </c>
      <c r="O82">
        <f>IF(A82&lt;&gt;$K$5,MIN(O81,VLOOKUP(A82,A:D,4)),)</f>
        <v>0.93900001049041748</v>
      </c>
      <c r="P82">
        <f t="shared" si="7"/>
        <v>0.99833333492279053</v>
      </c>
      <c r="Q82">
        <f t="shared" si="2"/>
        <v>0.97159523915109181</v>
      </c>
      <c r="R82">
        <f t="shared" si="3"/>
        <v>2.6738095771698722E-2</v>
      </c>
      <c r="S82">
        <f t="shared" si="4"/>
        <v>1.0680274019435967E-2</v>
      </c>
      <c r="T82">
        <f t="shared" si="5"/>
        <v>1.6020411029153949E-4</v>
      </c>
      <c r="U82">
        <f t="shared" si="6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8"/>
        <v>81</v>
      </c>
      <c r="I83">
        <f>SUM($F$3:F83)/H83</f>
        <v>14162365.842592593</v>
      </c>
      <c r="N83">
        <f>IF(A83&lt;&gt;$K$5,MAX(N82,VLOOKUP(A83,A:C,3)),)</f>
        <v>1.0049999952316284</v>
      </c>
      <c r="O83">
        <f>IF(A83&lt;&gt;$K$5,MIN(O82,VLOOKUP(A83,A:D,4)),)</f>
        <v>0.93900001049041748</v>
      </c>
      <c r="P83">
        <f t="shared" si="7"/>
        <v>0.98600000143051147</v>
      </c>
      <c r="Q83">
        <f t="shared" si="2"/>
        <v>0.97378571544374748</v>
      </c>
      <c r="R83">
        <f t="shared" si="3"/>
        <v>1.2214285986763995E-2</v>
      </c>
      <c r="S83">
        <f t="shared" si="4"/>
        <v>1.0547620909554618E-2</v>
      </c>
      <c r="T83">
        <f t="shared" si="5"/>
        <v>1.5821431364331927E-4</v>
      </c>
      <c r="U83">
        <f t="shared" si="6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8"/>
        <v>82</v>
      </c>
      <c r="I84">
        <f>SUM($F$3:F84)/H84</f>
        <v>14008263.064024391</v>
      </c>
      <c r="N84">
        <f>IF(A84&lt;&gt;$K$5,MAX(N83,VLOOKUP(A84,A:C,3)),)</f>
        <v>1.0049999952316284</v>
      </c>
      <c r="O84">
        <f>IF(A84&lt;&gt;$K$5,MIN(O83,VLOOKUP(A84,A:D,4)),)</f>
        <v>0.93900001049041748</v>
      </c>
      <c r="P84">
        <f t="shared" si="7"/>
        <v>0.98300000031789148</v>
      </c>
      <c r="Q84">
        <f t="shared" si="2"/>
        <v>0.97492857206435435</v>
      </c>
      <c r="R84">
        <f t="shared" si="3"/>
        <v>8.0714282535371273E-3</v>
      </c>
      <c r="S84">
        <f t="shared" si="4"/>
        <v>1.0595239344097316E-2</v>
      </c>
      <c r="T84">
        <f t="shared" si="5"/>
        <v>1.5892859016145973E-4</v>
      </c>
      <c r="U84">
        <f t="shared" si="6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8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7"/>
        <v>0.987333337465922</v>
      </c>
      <c r="Q85">
        <f t="shared" si="2"/>
        <v>0.97657142934345065</v>
      </c>
      <c r="R85">
        <f t="shared" si="3"/>
        <v>1.0761908122471353E-2</v>
      </c>
      <c r="S85">
        <f t="shared" si="4"/>
        <v>1.0571428707667752E-2</v>
      </c>
      <c r="T85">
        <f t="shared" si="5"/>
        <v>1.5857143061501626E-4</v>
      </c>
      <c r="U85">
        <f t="shared" si="6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8"/>
        <v>84</v>
      </c>
      <c r="I86">
        <f>SUM($F$3:F86)/H86</f>
        <v>13774390.514880951</v>
      </c>
      <c r="N86">
        <f>IF(A86&lt;&gt;$K$6,MAX(N85,VLOOKUP(A86,A:C,3)),)</f>
        <v>1.003000020980835</v>
      </c>
      <c r="O86">
        <f>IF(A86&lt;&gt;$K$6,MIN(O85,VLOOKUP(A86,A:D,4)),)</f>
        <v>0.98600000143051147</v>
      </c>
      <c r="P86">
        <f t="shared" si="7"/>
        <v>0.99466667572657264</v>
      </c>
      <c r="Q86">
        <f t="shared" si="2"/>
        <v>0.97983333468437184</v>
      </c>
      <c r="R86">
        <f t="shared" si="3"/>
        <v>1.4833341042200798E-2</v>
      </c>
      <c r="S86">
        <f t="shared" si="4"/>
        <v>9.6428578808194065E-3</v>
      </c>
      <c r="T86">
        <f t="shared" si="5"/>
        <v>1.446428682122911E-4</v>
      </c>
      <c r="U86">
        <f t="shared" si="6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8"/>
        <v>85</v>
      </c>
      <c r="I87">
        <f>SUM($F$3:F87)/H87</f>
        <v>13665932.932352941</v>
      </c>
      <c r="N87">
        <f>IF(A87&lt;&gt;$K$6,MAX(N86,VLOOKUP(A87,A:C,3)),)</f>
        <v>1.0039999485015869</v>
      </c>
      <c r="O87">
        <f>IF(A87&lt;&gt;$K$6,MIN(O86,VLOOKUP(A87,A:D,4)),)</f>
        <v>0.98500001430511475</v>
      </c>
      <c r="P87">
        <f t="shared" si="7"/>
        <v>0.99366664886474609</v>
      </c>
      <c r="Q87">
        <f t="shared" si="2"/>
        <v>0.98242857058842969</v>
      </c>
      <c r="R87">
        <f t="shared" si="3"/>
        <v>1.1238078276316399E-2</v>
      </c>
      <c r="S87">
        <f t="shared" si="4"/>
        <v>8.6530617305210743E-3</v>
      </c>
      <c r="T87">
        <f t="shared" si="5"/>
        <v>1.2979592595781611E-4</v>
      </c>
      <c r="U87">
        <f t="shared" si="6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8"/>
        <v>86</v>
      </c>
      <c r="I88">
        <f>SUM($F$3:F88)/H88</f>
        <v>13538284.119186046</v>
      </c>
      <c r="N88">
        <f>IF(A88&lt;&gt;$K$6,MAX(N87,VLOOKUP(A88,A:C,3)),)</f>
        <v>1.0039999485015869</v>
      </c>
      <c r="O88">
        <f>IF(A88&lt;&gt;$K$6,MIN(O87,VLOOKUP(A88,A:D,4)),)</f>
        <v>0.98100000619888306</v>
      </c>
      <c r="P88">
        <f t="shared" si="7"/>
        <v>0.98766666650772095</v>
      </c>
      <c r="Q88">
        <f t="shared" si="2"/>
        <v>0.98416666615576964</v>
      </c>
      <c r="R88">
        <f t="shared" si="3"/>
        <v>3.5000003519513045E-3</v>
      </c>
      <c r="S88">
        <f t="shared" si="4"/>
        <v>7.3333333949653513E-3</v>
      </c>
      <c r="T88">
        <f t="shared" si="5"/>
        <v>1.1000000092448026E-4</v>
      </c>
      <c r="U88">
        <f t="shared" si="6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8"/>
        <v>87</v>
      </c>
      <c r="I89">
        <f>SUM($F$3:F89)/H89</f>
        <v>13404620.060344828</v>
      </c>
      <c r="N89">
        <f>IF(A89&lt;&gt;$K$6,MAX(N88,VLOOKUP(A89,A:C,3)),)</f>
        <v>1.0039999485015869</v>
      </c>
      <c r="O89">
        <f>IF(A89&lt;&gt;$K$6,MIN(O88,VLOOKUP(A89,A:D,4)),)</f>
        <v>0.98100000619888306</v>
      </c>
      <c r="P89">
        <f t="shared" si="7"/>
        <v>0.99500000476837158</v>
      </c>
      <c r="Q89">
        <f t="shared" si="2"/>
        <v>0.98592857235953912</v>
      </c>
      <c r="R89">
        <f t="shared" si="3"/>
        <v>9.0714324088324583E-3</v>
      </c>
      <c r="S89">
        <f t="shared" si="4"/>
        <v>6.7959176439817259E-3</v>
      </c>
      <c r="T89">
        <f t="shared" si="5"/>
        <v>1.0193876465972589E-4</v>
      </c>
      <c r="U89">
        <f t="shared" si="6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8"/>
        <v>88</v>
      </c>
      <c r="I90">
        <f>SUM($F$3:F90)/H90</f>
        <v>13294007.980113637</v>
      </c>
      <c r="N90">
        <f>IF(A90&lt;&gt;$K$6,MAX(N89,VLOOKUP(A90,A:C,3)),)</f>
        <v>1.0039999485015869</v>
      </c>
      <c r="O90">
        <f>IF(A90&lt;&gt;$K$6,MIN(O89,VLOOKUP(A90,A:D,4)),)</f>
        <v>0.98100000619888306</v>
      </c>
      <c r="P90">
        <f t="shared" si="7"/>
        <v>0.99666666984558105</v>
      </c>
      <c r="Q90">
        <f t="shared" si="2"/>
        <v>0.98773809699785142</v>
      </c>
      <c r="R90">
        <f t="shared" si="3"/>
        <v>8.9285728477296322E-3</v>
      </c>
      <c r="S90">
        <f t="shared" si="4"/>
        <v>6.3197264055005475E-3</v>
      </c>
      <c r="T90">
        <f t="shared" si="5"/>
        <v>9.4795896082508206E-5</v>
      </c>
      <c r="U90">
        <f t="shared" si="6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8"/>
        <v>89</v>
      </c>
      <c r="I91">
        <f>SUM($F$3:F91)/H91</f>
        <v>13221766.721910112</v>
      </c>
      <c r="N91">
        <f>IF(A91&lt;&gt;$K$6,MAX(N90,VLOOKUP(A91,A:C,3)),)</f>
        <v>1.0039999485015869</v>
      </c>
      <c r="O91">
        <f>IF(A91&lt;&gt;$K$6,MIN(O90,VLOOKUP(A91,A:D,4)),)</f>
        <v>0.98100000619888306</v>
      </c>
      <c r="P91">
        <f t="shared" si="7"/>
        <v>0.99600001176198327</v>
      </c>
      <c r="Q91">
        <f t="shared" si="2"/>
        <v>0.98900000254313158</v>
      </c>
      <c r="R91">
        <f t="shared" si="3"/>
        <v>7.0000092188516883E-3</v>
      </c>
      <c r="S91">
        <f t="shared" si="4"/>
        <v>6.2380943979535707E-3</v>
      </c>
      <c r="T91">
        <f t="shared" si="5"/>
        <v>9.357141596930356E-5</v>
      </c>
      <c r="U91">
        <f t="shared" si="6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8"/>
        <v>90</v>
      </c>
      <c r="I92">
        <f>SUM($F$3:F92)/H92</f>
        <v>13114750.133333333</v>
      </c>
      <c r="N92">
        <f>IF(A92&lt;&gt;$K$6,MAX(N91,VLOOKUP(A92,A:C,3)),)</f>
        <v>1.0039999485015869</v>
      </c>
      <c r="O92">
        <f>IF(A92&lt;&gt;$K$6,MIN(O91,VLOOKUP(A92,A:D,4)),)</f>
        <v>0.98100000619888306</v>
      </c>
      <c r="P92">
        <f t="shared" si="7"/>
        <v>0.99933334191640222</v>
      </c>
      <c r="Q92">
        <f t="shared" si="2"/>
        <v>0.99066666903949929</v>
      </c>
      <c r="R92">
        <f t="shared" si="3"/>
        <v>8.6666728769029255E-3</v>
      </c>
      <c r="S92">
        <f t="shared" si="4"/>
        <v>5.809524026857733E-3</v>
      </c>
      <c r="T92">
        <f t="shared" si="5"/>
        <v>8.7142860402865993E-5</v>
      </c>
      <c r="U92">
        <f t="shared" si="6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8"/>
        <v>91</v>
      </c>
      <c r="I93">
        <f>SUM($F$3:F93)/H93</f>
        <v>13003978.208791209</v>
      </c>
      <c r="N93">
        <f>IF(A93&lt;&gt;$K$6,MAX(N92,VLOOKUP(A93,A:C,3)),)</f>
        <v>1.0039999485015869</v>
      </c>
      <c r="O93">
        <f>IF(A93&lt;&gt;$K$6,MIN(O92,VLOOKUP(A93,A:D,4)),)</f>
        <v>0.98100000619888306</v>
      </c>
      <c r="P93">
        <f t="shared" si="7"/>
        <v>0.99333333969116211</v>
      </c>
      <c r="Q93">
        <f t="shared" si="2"/>
        <v>0.99200000223659346</v>
      </c>
      <c r="R93">
        <f t="shared" si="3"/>
        <v>1.3333374545686505E-3</v>
      </c>
      <c r="S93">
        <f t="shared" si="4"/>
        <v>4.4761914379742307E-3</v>
      </c>
      <c r="T93">
        <f t="shared" si="5"/>
        <v>6.7142871569613453E-5</v>
      </c>
      <c r="U93">
        <f t="shared" si="6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8"/>
        <v>92</v>
      </c>
      <c r="I94">
        <f>SUM($F$3:F94)/H94</f>
        <v>12961170.391304348</v>
      </c>
      <c r="N94">
        <f>IF(A94&lt;&gt;$K$6,MAX(N93,VLOOKUP(A94,A:C,3)),)</f>
        <v>1.0089999437332153</v>
      </c>
      <c r="O94">
        <f>IF(A94&lt;&gt;$K$6,MIN(O93,VLOOKUP(A94,A:D,4)),)</f>
        <v>0.98100000619888306</v>
      </c>
      <c r="P94">
        <f t="shared" si="7"/>
        <v>1.0039999882380168</v>
      </c>
      <c r="Q94">
        <f t="shared" si="2"/>
        <v>0.99338095386823022</v>
      </c>
      <c r="R94">
        <f t="shared" si="3"/>
        <v>1.0619034369786617E-2</v>
      </c>
      <c r="S94">
        <f t="shared" si="4"/>
        <v>4.3741492998032394E-3</v>
      </c>
      <c r="T94">
        <f t="shared" si="5"/>
        <v>6.5612239497048585E-5</v>
      </c>
      <c r="U94">
        <f t="shared" si="6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8"/>
        <v>93</v>
      </c>
      <c r="I95">
        <f>SUM($F$3:F95)/H95</f>
        <v>12914672.387096774</v>
      </c>
      <c r="N95">
        <f>IF(A95&lt;&gt;$K$6,MAX(N94,VLOOKUP(A95,A:C,3)),)</f>
        <v>1.0099999904632568</v>
      </c>
      <c r="O95">
        <f>IF(A95&lt;&gt;$K$6,MIN(O94,VLOOKUP(A95,A:D,4)),)</f>
        <v>0.98100000619888306</v>
      </c>
      <c r="P95">
        <f t="shared" si="7"/>
        <v>1.0053333441416423</v>
      </c>
      <c r="Q95">
        <f t="shared" si="2"/>
        <v>0.99430952611423684</v>
      </c>
      <c r="R95">
        <f t="shared" si="3"/>
        <v>1.1023818027405485E-2</v>
      </c>
      <c r="S95">
        <f t="shared" si="4"/>
        <v>4.9795946296380478E-3</v>
      </c>
      <c r="T95">
        <f t="shared" si="5"/>
        <v>7.4693919444570716E-5</v>
      </c>
      <c r="U95">
        <f t="shared" si="6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8"/>
        <v>94</v>
      </c>
      <c r="I96">
        <f>SUM($F$3:F96)/H96</f>
        <v>12789790.840425532</v>
      </c>
      <c r="N96">
        <f>IF(A96&lt;&gt;$K$6,MAX(N95,VLOOKUP(A96,A:C,3)),)</f>
        <v>1.0099999904632568</v>
      </c>
      <c r="O96">
        <f>IF(A96&lt;&gt;$K$6,MIN(O95,VLOOKUP(A96,A:D,4)),)</f>
        <v>0.98100000619888306</v>
      </c>
      <c r="P96">
        <f t="shared" si="7"/>
        <v>0.99966667095820105</v>
      </c>
      <c r="Q96">
        <f t="shared" si="2"/>
        <v>0.99440476440248027</v>
      </c>
      <c r="R96">
        <f t="shared" si="3"/>
        <v>5.2619065557207856E-3</v>
      </c>
      <c r="S96">
        <f t="shared" si="4"/>
        <v>5.0612274481325959E-3</v>
      </c>
      <c r="T96">
        <f t="shared" si="5"/>
        <v>7.5918411721988941E-5</v>
      </c>
      <c r="U96">
        <f t="shared" si="6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8"/>
        <v>95</v>
      </c>
      <c r="I97">
        <f>SUM($F$3:F97)/H97</f>
        <v>12696335.686842104</v>
      </c>
      <c r="N97">
        <f>IF(A97&lt;&gt;$K$6,MAX(N96,VLOOKUP(A97,A:C,3)),)</f>
        <v>1.0099999904632568</v>
      </c>
      <c r="O97">
        <f>IF(A97&lt;&gt;$K$6,MIN(O96,VLOOKUP(A97,A:D,4)),)</f>
        <v>0.98100000619888306</v>
      </c>
      <c r="P97">
        <f t="shared" si="7"/>
        <v>0.99866664409637451</v>
      </c>
      <c r="Q97">
        <f t="shared" si="2"/>
        <v>0.9953095245928989</v>
      </c>
      <c r="R97">
        <f t="shared" si="3"/>
        <v>3.3571195034756141E-3</v>
      </c>
      <c r="S97">
        <f t="shared" si="4"/>
        <v>4.6428569725581736E-3</v>
      </c>
      <c r="T97">
        <f t="shared" si="5"/>
        <v>6.9642854588372597E-5</v>
      </c>
      <c r="U97">
        <f t="shared" si="6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8"/>
        <v>96</v>
      </c>
      <c r="I98">
        <f>SUM($F$3:F98)/H98</f>
        <v>12611080.731770834</v>
      </c>
      <c r="N98">
        <f>IF(A98&lt;&gt;$K$6,MAX(N97,VLOOKUP(A98,A:C,3)),)</f>
        <v>1.0099999904632568</v>
      </c>
      <c r="O98">
        <f>IF(A98&lt;&gt;$K$6,MIN(O97,VLOOKUP(A98,A:D,4)),)</f>
        <v>0.98100000619888306</v>
      </c>
      <c r="P98">
        <f t="shared" si="7"/>
        <v>1.0013333360354106</v>
      </c>
      <c r="Q98">
        <f t="shared" si="2"/>
        <v>0.99661904857272177</v>
      </c>
      <c r="R98">
        <f t="shared" si="3"/>
        <v>4.7142874626888709E-3</v>
      </c>
      <c r="S98">
        <f t="shared" si="4"/>
        <v>4.095236460367857E-3</v>
      </c>
      <c r="T98">
        <f t="shared" si="5"/>
        <v>6.1428546905517857E-5</v>
      </c>
      <c r="U98">
        <f t="shared" si="6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8"/>
        <v>97</v>
      </c>
      <c r="I99">
        <f>SUM($F$3:F99)/H99</f>
        <v>12517904.847938145</v>
      </c>
      <c r="N99">
        <f>IF(A99&lt;&gt;$K$6,MAX(N98,VLOOKUP(A99,A:C,3)),)</f>
        <v>1.0099999904632568</v>
      </c>
      <c r="O99">
        <f>IF(A99&lt;&gt;$K$6,MIN(O98,VLOOKUP(A99,A:D,4)),)</f>
        <v>0.98100000619888306</v>
      </c>
      <c r="P99">
        <f t="shared" si="7"/>
        <v>0.99699999888738</v>
      </c>
      <c r="Q99">
        <f t="shared" si="2"/>
        <v>0.99730952438854015</v>
      </c>
      <c r="R99">
        <f t="shared" si="3"/>
        <v>-3.095255011601461E-4</v>
      </c>
      <c r="S99">
        <f t="shared" si="4"/>
        <v>3.496597007829299E-3</v>
      </c>
      <c r="T99">
        <f t="shared" si="5"/>
        <v>5.2448955117439481E-5</v>
      </c>
      <c r="U99">
        <f t="shared" si="6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8"/>
        <v>98</v>
      </c>
      <c r="I100">
        <f>SUM($F$3:F100)/H100</f>
        <v>12426985.68622449</v>
      </c>
      <c r="N100">
        <f>IF(A100&lt;&gt;$K$6,MAX(N99,VLOOKUP(A100,A:C,3)),)</f>
        <v>1.0099999904632568</v>
      </c>
      <c r="O100">
        <f>IF(A100&lt;&gt;$K$6,MIN(O99,VLOOKUP(A100,A:D,4)),)</f>
        <v>0.98100000619888306</v>
      </c>
      <c r="P100">
        <f t="shared" si="7"/>
        <v>0.99966667095820105</v>
      </c>
      <c r="Q100">
        <f t="shared" si="2"/>
        <v>0.99766666690508521</v>
      </c>
      <c r="R100">
        <f t="shared" si="3"/>
        <v>2.0000040531158447E-3</v>
      </c>
      <c r="S100">
        <f t="shared" si="4"/>
        <v>3.4761897155216842E-3</v>
      </c>
      <c r="T100">
        <f t="shared" si="5"/>
        <v>5.214284573282526E-5</v>
      </c>
      <c r="U100">
        <f t="shared" si="6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8"/>
        <v>99</v>
      </c>
      <c r="I101">
        <f>SUM($F$3:F101)/H101</f>
        <v>12456293.012626262</v>
      </c>
      <c r="N101">
        <f>IF(A101&lt;&gt;$K$6,MAX(N100,VLOOKUP(A101,A:C,3)),)</f>
        <v>1.0219999551773071</v>
      </c>
      <c r="O101">
        <f>IF(A101&lt;&gt;$K$6,MIN(O100,VLOOKUP(A101,A:D,4)),)</f>
        <v>0.98100000619888306</v>
      </c>
      <c r="P101">
        <f t="shared" si="7"/>
        <v>1.0156666437784831</v>
      </c>
      <c r="Q101">
        <f t="shared" si="2"/>
        <v>0.99923809511320927</v>
      </c>
      <c r="R101">
        <f t="shared" si="3"/>
        <v>1.6428548665273879E-2</v>
      </c>
      <c r="S101">
        <f t="shared" si="4"/>
        <v>4.3333328905559854E-3</v>
      </c>
      <c r="T101">
        <f t="shared" si="5"/>
        <v>6.4999993358339777E-5</v>
      </c>
      <c r="U101">
        <f t="shared" si="6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8"/>
        <v>100</v>
      </c>
      <c r="I102">
        <f>SUM($F$3:F102)/H102</f>
        <v>12426328.4825</v>
      </c>
      <c r="N102">
        <f>IF(A102&lt;&gt;$K$6,MAX(N101,VLOOKUP(A102,A:C,3)),)</f>
        <v>1.0219999551773071</v>
      </c>
      <c r="O102">
        <f>IF(A102&lt;&gt;$K$6,MIN(O101,VLOOKUP(A102,A:D,4)),)</f>
        <v>0.98100000619888306</v>
      </c>
      <c r="P102">
        <f t="shared" si="7"/>
        <v>1.0149999856948853</v>
      </c>
      <c r="Q102">
        <f t="shared" si="2"/>
        <v>1.0011904750551497</v>
      </c>
      <c r="R102">
        <f t="shared" si="3"/>
        <v>1.3809510639735567E-2</v>
      </c>
      <c r="S102">
        <f t="shared" si="4"/>
        <v>5.0544175160985782E-3</v>
      </c>
      <c r="T102">
        <f t="shared" si="5"/>
        <v>7.5816262741478673E-5</v>
      </c>
      <c r="U102">
        <f t="shared" si="6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8"/>
        <v>101</v>
      </c>
      <c r="I103">
        <f>SUM($F$3:F103)/H103</f>
        <v>12350295.754950495</v>
      </c>
      <c r="N103">
        <f>IF(A103&lt;&gt;$K$6,MAX(N102,VLOOKUP(A103,A:C,3)),)</f>
        <v>1.0219999551773071</v>
      </c>
      <c r="O103">
        <f>IF(A103&lt;&gt;$K$6,MIN(O102,VLOOKUP(A103,A:D,4)),)</f>
        <v>0.98100000619888306</v>
      </c>
      <c r="P103">
        <f t="shared" si="7"/>
        <v>1.0120000044504802</v>
      </c>
      <c r="Q103">
        <f t="shared" si="2"/>
        <v>1.0024047607467288</v>
      </c>
      <c r="R103">
        <f t="shared" si="3"/>
        <v>9.5952437037514215E-3</v>
      </c>
      <c r="S103">
        <f t="shared" si="4"/>
        <v>5.710880367123361E-3</v>
      </c>
      <c r="T103">
        <f t="shared" si="5"/>
        <v>8.5663205506850411E-5</v>
      </c>
      <c r="U103">
        <f t="shared" si="6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8"/>
        <v>102</v>
      </c>
      <c r="I104">
        <f>SUM($F$3:F104)/H104</f>
        <v>12268609.62254902</v>
      </c>
      <c r="N104">
        <f>IF(A104&lt;&gt;$K$6,MAX(N103,VLOOKUP(A104,A:C,3)),)</f>
        <v>1.0219999551773071</v>
      </c>
      <c r="O104">
        <f>IF(A104&lt;&gt;$K$6,MIN(O103,VLOOKUP(A104,A:D,4)),)</f>
        <v>0.98100000619888306</v>
      </c>
      <c r="P104">
        <f t="shared" si="7"/>
        <v>1.0083333651224773</v>
      </c>
      <c r="Q104">
        <f t="shared" si="2"/>
        <v>1.0032380961236498</v>
      </c>
      <c r="R104">
        <f t="shared" si="3"/>
        <v>5.0952689988275068E-3</v>
      </c>
      <c r="S104">
        <f t="shared" si="4"/>
        <v>5.8435363834406983E-3</v>
      </c>
      <c r="T104">
        <f t="shared" si="5"/>
        <v>8.7653045751610477E-5</v>
      </c>
      <c r="U104">
        <f t="shared" si="6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8"/>
        <v>103</v>
      </c>
      <c r="I105">
        <f>SUM($F$3:F105)/H105</f>
        <v>12174238.033980582</v>
      </c>
      <c r="N105">
        <f>IF(A105&lt;&gt;$K$6,MAX(N104,VLOOKUP(A105,A:C,3)),)</f>
        <v>1.0219999551773071</v>
      </c>
      <c r="O105">
        <f>IF(A105&lt;&gt;$K$6,MIN(O104,VLOOKUP(A105,A:D,4)),)</f>
        <v>0.98100000619888306</v>
      </c>
      <c r="P105">
        <f t="shared" si="7"/>
        <v>1.0070000092188518</v>
      </c>
      <c r="Q105">
        <f t="shared" si="2"/>
        <v>1.0040238102277119</v>
      </c>
      <c r="R105">
        <f t="shared" si="3"/>
        <v>2.9761989911398778E-3</v>
      </c>
      <c r="S105">
        <f t="shared" si="4"/>
        <v>5.5986415772211039E-3</v>
      </c>
      <c r="T105">
        <f t="shared" si="5"/>
        <v>8.3979623658316562E-5</v>
      </c>
      <c r="U105">
        <f t="shared" si="6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8"/>
        <v>104</v>
      </c>
      <c r="I106">
        <f>SUM($F$3:F106)/H106</f>
        <v>12101157.370192308</v>
      </c>
      <c r="N106">
        <f>IF(A106&lt;&gt;$K$6,MAX(N105,VLOOKUP(A106,A:C,3)),)</f>
        <v>1.0219999551773071</v>
      </c>
      <c r="O106">
        <f>IF(A106&lt;&gt;$K$6,MIN(O105,VLOOKUP(A106,A:D,4)),)</f>
        <v>0.98100000619888306</v>
      </c>
      <c r="P106">
        <f t="shared" si="7"/>
        <v>1.0053333242734273</v>
      </c>
      <c r="Q106">
        <f t="shared" si="2"/>
        <v>1.004452380396071</v>
      </c>
      <c r="R106">
        <f t="shared" si="3"/>
        <v>8.8094387735626611E-4</v>
      </c>
      <c r="S106">
        <f t="shared" si="4"/>
        <v>5.3571448439643631E-3</v>
      </c>
      <c r="T106">
        <f t="shared" si="5"/>
        <v>8.035717265946545E-5</v>
      </c>
      <c r="U106">
        <f t="shared" si="6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8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7"/>
        <v>1.0103333393732707</v>
      </c>
      <c r="Q107">
        <f t="shared" si="2"/>
        <v>1.0056666660876501</v>
      </c>
      <c r="R107">
        <f t="shared" si="3"/>
        <v>4.6666732856206483E-3</v>
      </c>
      <c r="S107">
        <f t="shared" si="4"/>
        <v>4.9047644446496407E-3</v>
      </c>
      <c r="T107">
        <f t="shared" si="5"/>
        <v>7.3571466669744613E-5</v>
      </c>
      <c r="U107">
        <f t="shared" si="6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8"/>
        <v>106</v>
      </c>
      <c r="I108">
        <f>SUM($F$3:F108)/H108</f>
        <v>11917782.948113207</v>
      </c>
      <c r="N108">
        <f>IF(A108&lt;&gt;$K$7,MAX(N107,VLOOKUP(A108,A:C,3)),)</f>
        <v>1.0110000371932983</v>
      </c>
      <c r="O108">
        <f>IF(A108&lt;&gt;$K$7,MIN(O107,VLOOKUP(A108,A:D,4)),)</f>
        <v>1.0019999742507935</v>
      </c>
      <c r="P108">
        <f t="shared" si="7"/>
        <v>1.0066666603088379</v>
      </c>
      <c r="Q108">
        <f t="shared" si="2"/>
        <v>1.0058571426641374</v>
      </c>
      <c r="R108">
        <f t="shared" si="3"/>
        <v>8.0951764470049703E-4</v>
      </c>
      <c r="S108">
        <f t="shared" si="4"/>
        <v>4.8571441854749643E-3</v>
      </c>
      <c r="T108">
        <f t="shared" si="5"/>
        <v>7.2857162782124461E-5</v>
      </c>
      <c r="U108">
        <f t="shared" si="6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8"/>
        <v>107</v>
      </c>
      <c r="I109">
        <f>SUM($F$3:F109)/H109</f>
        <v>11827667.331775701</v>
      </c>
      <c r="N109">
        <f>IF(A109&lt;&gt;$K$7,MAX(N108,VLOOKUP(A109,A:C,3)),)</f>
        <v>1.0110000371932983</v>
      </c>
      <c r="O109">
        <f>IF(A109&lt;&gt;$K$7,MIN(O108,VLOOKUP(A109,A:D,4)),)</f>
        <v>1.0010000467300415</v>
      </c>
      <c r="P109">
        <f t="shared" si="7"/>
        <v>1.0043333371480305</v>
      </c>
      <c r="Q109">
        <f t="shared" si="2"/>
        <v>1.0057857135931649</v>
      </c>
      <c r="R109">
        <f t="shared" si="3"/>
        <v>-1.4523764451344068E-3</v>
      </c>
      <c r="S109">
        <f t="shared" si="4"/>
        <v>4.9285732564472362E-3</v>
      </c>
      <c r="T109">
        <f t="shared" si="5"/>
        <v>7.3928598846708537E-5</v>
      </c>
      <c r="U109">
        <f t="shared" si="6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8"/>
        <v>108</v>
      </c>
      <c r="I110">
        <f>SUM($F$3:F110)/H110</f>
        <v>11733722.550925925</v>
      </c>
      <c r="N110">
        <f>IF(A110&lt;&gt;$K$7,MAX(N109,VLOOKUP(A110,A:C,3)),)</f>
        <v>1.0110000371932983</v>
      </c>
      <c r="O110">
        <f>IF(A110&lt;&gt;$K$7,MIN(O109,VLOOKUP(A110,A:D,4)),)</f>
        <v>0.99800002574920654</v>
      </c>
      <c r="P110">
        <f t="shared" si="7"/>
        <v>1.0036666790644329</v>
      </c>
      <c r="Q110">
        <f t="shared" si="2"/>
        <v>1.0060714284578958</v>
      </c>
      <c r="R110">
        <f t="shared" si="3"/>
        <v>-2.4047493934629127E-3</v>
      </c>
      <c r="S110">
        <f t="shared" si="4"/>
        <v>4.6428583917163934E-3</v>
      </c>
      <c r="T110">
        <f t="shared" si="5"/>
        <v>6.9642875875745896E-5</v>
      </c>
      <c r="U110">
        <f t="shared" si="6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8"/>
        <v>109</v>
      </c>
      <c r="I111">
        <f>SUM($F$3:F111)/H111</f>
        <v>11635602.262041284</v>
      </c>
      <c r="N111">
        <f>IF(A111&lt;&gt;$K$7,MAX(N110,VLOOKUP(A111,A:C,3)),)</f>
        <v>1.0110000371932983</v>
      </c>
      <c r="O111">
        <f>IF(A111&lt;&gt;$K$7,MIN(O110,VLOOKUP(A111,A:D,4)),)</f>
        <v>0.99500000476837158</v>
      </c>
      <c r="P111">
        <f t="shared" si="7"/>
        <v>1</v>
      </c>
      <c r="Q111">
        <f t="shared" si="2"/>
        <v>1.0061666681652979</v>
      </c>
      <c r="R111">
        <f t="shared" si="3"/>
        <v>-6.1666681652978728E-3</v>
      </c>
      <c r="S111">
        <f t="shared" si="4"/>
        <v>4.5476186843145727E-3</v>
      </c>
      <c r="T111">
        <f t="shared" si="5"/>
        <v>6.8214280264718586E-5</v>
      </c>
      <c r="U111">
        <f t="shared" si="6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8"/>
        <v>110</v>
      </c>
      <c r="I112">
        <f>SUM($F$3:F112)/H112</f>
        <v>11555722.286931818</v>
      </c>
      <c r="N112">
        <f>IF(A112&lt;&gt;$K$7,MAX(N111,VLOOKUP(A112,A:C,3)),)</f>
        <v>1.0110000371932983</v>
      </c>
      <c r="O112">
        <f>IF(A112&lt;&gt;$K$7,MIN(O111,VLOOKUP(A112,A:D,4)),)</f>
        <v>0.98400002717971802</v>
      </c>
      <c r="P112">
        <f t="shared" si="7"/>
        <v>0.99133336544036865</v>
      </c>
      <c r="Q112">
        <f t="shared" si="2"/>
        <v>1.0054523845513663</v>
      </c>
      <c r="R112">
        <f t="shared" si="3"/>
        <v>-1.4119019110997666E-2</v>
      </c>
      <c r="S112">
        <f t="shared" si="4"/>
        <v>5.2619022982461428E-3</v>
      </c>
      <c r="T112">
        <f t="shared" si="5"/>
        <v>7.8928534473692139E-5</v>
      </c>
      <c r="U112">
        <f t="shared" si="6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8"/>
        <v>111</v>
      </c>
      <c r="I113">
        <f>SUM($F$3:F113)/H113</f>
        <v>11482338.966779279</v>
      </c>
      <c r="N113">
        <f>IF(A113&lt;&gt;$K$7,MAX(N112,VLOOKUP(A113,A:C,3)),)</f>
        <v>1.0110000371932983</v>
      </c>
      <c r="O113">
        <f>IF(A113&lt;&gt;$K$7,MIN(O112,VLOOKUP(A113,A:D,4)),)</f>
        <v>0.98400002717971802</v>
      </c>
      <c r="P113">
        <f t="shared" si="7"/>
        <v>1.0020000338554382</v>
      </c>
      <c r="Q113">
        <f t="shared" si="2"/>
        <v>1.0058095299062275</v>
      </c>
      <c r="R113">
        <f t="shared" si="3"/>
        <v>-3.809496050789285E-3</v>
      </c>
      <c r="S113">
        <f t="shared" si="4"/>
        <v>4.9047569433848404E-3</v>
      </c>
      <c r="T113">
        <f t="shared" si="5"/>
        <v>7.3571354150772609E-5</v>
      </c>
      <c r="U113">
        <f t="shared" si="6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8"/>
        <v>112</v>
      </c>
      <c r="I114">
        <f>SUM($F$3:F114)/H114</f>
        <v>11475461.484933035</v>
      </c>
      <c r="N114">
        <f>IF(A114&lt;&gt;$K$7,MAX(N113,VLOOKUP(A114,A:C,3)),)</f>
        <v>1.0219999551773071</v>
      </c>
      <c r="O114">
        <f>IF(A114&lt;&gt;$K$7,MIN(O113,VLOOKUP(A114,A:D,4)),)</f>
        <v>0.98400002717971802</v>
      </c>
      <c r="P114">
        <f t="shared" si="7"/>
        <v>1.0153333346048992</v>
      </c>
      <c r="Q114">
        <f t="shared" si="2"/>
        <v>1.0069285773095631</v>
      </c>
      <c r="R114">
        <f t="shared" si="3"/>
        <v>8.4047572953360739E-3</v>
      </c>
      <c r="S114">
        <f t="shared" si="4"/>
        <v>5.0238058680580145E-3</v>
      </c>
      <c r="T114">
        <f t="shared" si="5"/>
        <v>7.5357088020870219E-5</v>
      </c>
      <c r="U114">
        <f t="shared" si="6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8"/>
        <v>113</v>
      </c>
      <c r="I115">
        <f>SUM($F$3:F115)/H115</f>
        <v>11391289.24170354</v>
      </c>
      <c r="N115">
        <f>IF(A115&lt;&gt;$K$7,MAX(N114,VLOOKUP(A115,A:C,3)),)</f>
        <v>1.0219999551773071</v>
      </c>
      <c r="O115">
        <f>IF(A115&lt;&gt;$K$7,MIN(O114,VLOOKUP(A115,A:D,4)),)</f>
        <v>0.98400002717971802</v>
      </c>
      <c r="P115">
        <f t="shared" si="7"/>
        <v>1.0163333415985107</v>
      </c>
      <c r="Q115">
        <f t="shared" si="2"/>
        <v>1.0069761985824222</v>
      </c>
      <c r="R115">
        <f t="shared" si="3"/>
        <v>9.3571430160885871E-3</v>
      </c>
      <c r="S115">
        <f t="shared" si="4"/>
        <v>5.0714271409171285E-3</v>
      </c>
      <c r="T115">
        <f t="shared" si="5"/>
        <v>7.6071407113756929E-5</v>
      </c>
      <c r="U115">
        <f t="shared" si="6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8"/>
        <v>114</v>
      </c>
      <c r="I116">
        <f>SUM($F$3:F116)/H116</f>
        <v>11368258.844846491</v>
      </c>
      <c r="N116">
        <f>IF(A116&lt;&gt;$K$7,MAX(N115,VLOOKUP(A116,A:C,3)),)</f>
        <v>1.034000039100647</v>
      </c>
      <c r="O116">
        <f>IF(A116&lt;&gt;$K$7,MIN(O115,VLOOKUP(A116,A:D,4)),)</f>
        <v>0.98400002717971802</v>
      </c>
      <c r="P116">
        <f t="shared" si="7"/>
        <v>1.0246666669845581</v>
      </c>
      <c r="Q116">
        <f t="shared" si="2"/>
        <v>1.0076666758173987</v>
      </c>
      <c r="R116">
        <f t="shared" si="3"/>
        <v>1.6999991167159445E-2</v>
      </c>
      <c r="S116">
        <f t="shared" si="4"/>
        <v>5.8571424614004552E-3</v>
      </c>
      <c r="T116">
        <f t="shared" si="5"/>
        <v>8.7857136921006823E-5</v>
      </c>
      <c r="U116">
        <f t="shared" si="6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8"/>
        <v>115</v>
      </c>
      <c r="I117">
        <f>SUM($F$3:F117)/H117</f>
        <v>11283554.202717392</v>
      </c>
      <c r="N117">
        <f>IF(A117&lt;&gt;$K$7,MAX(N116,VLOOKUP(A117,A:C,3)),)</f>
        <v>1.034000039100647</v>
      </c>
      <c r="O117">
        <f>IF(A117&lt;&gt;$K$7,MIN(O116,VLOOKUP(A117,A:D,4)),)</f>
        <v>0.98400002717971802</v>
      </c>
      <c r="P117">
        <f t="shared" si="7"/>
        <v>1.0209999879201253</v>
      </c>
      <c r="Q117">
        <f t="shared" si="2"/>
        <v>1.0083095317795163</v>
      </c>
      <c r="R117">
        <f t="shared" si="3"/>
        <v>1.269045614060893E-2</v>
      </c>
      <c r="S117">
        <f t="shared" si="4"/>
        <v>6.5918349895347662E-3</v>
      </c>
      <c r="T117">
        <f t="shared" si="5"/>
        <v>9.8877524843021483E-5</v>
      </c>
      <c r="U117">
        <f t="shared" si="6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8"/>
        <v>116</v>
      </c>
      <c r="I118">
        <f>SUM($F$3:F118)/H118</f>
        <v>11213363.718211208</v>
      </c>
      <c r="N118">
        <f>IF(A118&lt;&gt;$K$7,MAX(N117,VLOOKUP(A118,A:C,3)),)</f>
        <v>1.034000039100647</v>
      </c>
      <c r="O118">
        <f>IF(A118&lt;&gt;$K$7,MIN(O117,VLOOKUP(A118,A:D,4)),)</f>
        <v>0.98400002717971802</v>
      </c>
      <c r="P118">
        <f t="shared" si="7"/>
        <v>1.0136666297912598</v>
      </c>
      <c r="Q118">
        <f t="shared" si="2"/>
        <v>1.008690479255858</v>
      </c>
      <c r="R118">
        <f t="shared" si="3"/>
        <v>4.976150535401791E-3</v>
      </c>
      <c r="S118">
        <f t="shared" si="4"/>
        <v>7.0272035339251793E-3</v>
      </c>
      <c r="T118">
        <f t="shared" si="5"/>
        <v>1.0540805300887769E-4</v>
      </c>
      <c r="U118">
        <f t="shared" si="6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8"/>
        <v>117</v>
      </c>
      <c r="I119">
        <f>SUM($F$3:F119)/H119</f>
        <v>11142285.7633547</v>
      </c>
      <c r="N119">
        <f>IF(A119&lt;&gt;$K$7,MAX(N118,VLOOKUP(A119,A:C,3)),)</f>
        <v>1.034000039100647</v>
      </c>
      <c r="O119">
        <f>IF(A119&lt;&gt;$K$7,MIN(O118,VLOOKUP(A119,A:D,4)),)</f>
        <v>0.98400002717971802</v>
      </c>
      <c r="P119">
        <f t="shared" si="7"/>
        <v>1.0126666625340779</v>
      </c>
      <c r="Q119">
        <f t="shared" si="2"/>
        <v>1.0090952402069455</v>
      </c>
      <c r="R119">
        <f t="shared" si="3"/>
        <v>3.5714223271323675E-3</v>
      </c>
      <c r="S119">
        <f t="shared" si="4"/>
        <v>7.1904687654404465E-3</v>
      </c>
      <c r="T119">
        <f t="shared" si="5"/>
        <v>1.0785703148160669E-4</v>
      </c>
      <c r="U119">
        <f t="shared" si="6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8"/>
        <v>118</v>
      </c>
      <c r="I120">
        <f>SUM($F$3:F120)/H120</f>
        <v>11073448.638241526</v>
      </c>
      <c r="N120">
        <f>IF(A120&lt;&gt;$K$7,MAX(N119,VLOOKUP(A120,A:C,3)),)</f>
        <v>1.034000039100647</v>
      </c>
      <c r="O120">
        <f>IF(A120&lt;&gt;$K$7,MIN(O119,VLOOKUP(A120,A:D,4)),)</f>
        <v>0.98400002717971802</v>
      </c>
      <c r="P120">
        <f t="shared" si="7"/>
        <v>1.0030000011126201</v>
      </c>
      <c r="Q120">
        <f t="shared" si="2"/>
        <v>1.0089285742668879</v>
      </c>
      <c r="R120">
        <f t="shared" si="3"/>
        <v>-5.9285731542677578E-3</v>
      </c>
      <c r="S120">
        <f t="shared" si="4"/>
        <v>7.3571347054980996E-3</v>
      </c>
      <c r="T120">
        <f t="shared" si="5"/>
        <v>1.1035702058247149E-4</v>
      </c>
      <c r="U120">
        <f t="shared" si="6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8"/>
        <v>119</v>
      </c>
      <c r="I121">
        <f>SUM($F$3:F121)/H121</f>
        <v>11018756.641281513</v>
      </c>
      <c r="N121">
        <f>IF(A121&lt;&gt;$K$7,MAX(N120,VLOOKUP(A121,A:C,3)),)</f>
        <v>1.034000039100647</v>
      </c>
      <c r="O121">
        <f>IF(A121&lt;&gt;$K$7,MIN(O120,VLOOKUP(A121,A:D,4)),)</f>
        <v>0.97600001096725464</v>
      </c>
      <c r="P121">
        <f t="shared" si="7"/>
        <v>0.984333336353302</v>
      </c>
      <c r="Q121">
        <f t="shared" si="2"/>
        <v>1.007071431194033</v>
      </c>
      <c r="R121">
        <f t="shared" si="3"/>
        <v>-2.2738094840730971E-2</v>
      </c>
      <c r="S121">
        <f t="shared" si="4"/>
        <v>8.7482908956047576E-3</v>
      </c>
      <c r="T121">
        <f t="shared" si="5"/>
        <v>1.3122436343407135E-4</v>
      </c>
      <c r="U121">
        <f t="shared" si="6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8"/>
        <v>120</v>
      </c>
      <c r="I122">
        <f>SUM($F$3:F122)/H122</f>
        <v>10952638.6859375</v>
      </c>
      <c r="N122">
        <f>IF(A122&lt;&gt;$K$7,MAX(N121,VLOOKUP(A122,A:C,3)),)</f>
        <v>1.034000039100647</v>
      </c>
      <c r="O122">
        <f>IF(A122&lt;&gt;$K$7,MIN(O121,VLOOKUP(A122,A:D,4)),)</f>
        <v>0.97600001096725464</v>
      </c>
      <c r="P122">
        <f t="shared" si="7"/>
        <v>0.98233334223429358</v>
      </c>
      <c r="Q122">
        <f t="shared" si="2"/>
        <v>1.0053333370458513</v>
      </c>
      <c r="R122">
        <f t="shared" si="3"/>
        <v>-2.2999994811557678E-2</v>
      </c>
      <c r="S122">
        <f t="shared" si="4"/>
        <v>1.0238085879760534E-2</v>
      </c>
      <c r="T122">
        <f t="shared" si="5"/>
        <v>1.5357128819640801E-4</v>
      </c>
      <c r="U122">
        <f t="shared" si="6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8"/>
        <v>121</v>
      </c>
      <c r="I123">
        <f>SUM($F$3:F123)/H123</f>
        <v>10881353.382747933</v>
      </c>
      <c r="N123">
        <f>IF(A123&lt;&gt;$K$7,MAX(N122,VLOOKUP(A123,A:C,3)),)</f>
        <v>1.034000039100647</v>
      </c>
      <c r="O123">
        <f>IF(A123&lt;&gt;$K$7,MIN(O122,VLOOKUP(A123,A:D,4)),)</f>
        <v>0.97600001096725464</v>
      </c>
      <c r="P123">
        <f t="shared" si="7"/>
        <v>0.9899999896685282</v>
      </c>
      <c r="Q123">
        <f t="shared" si="2"/>
        <v>1.0043095265116011</v>
      </c>
      <c r="R123">
        <f t="shared" si="3"/>
        <v>-1.4309536843072901E-2</v>
      </c>
      <c r="S123">
        <f t="shared" si="4"/>
        <v>1.1115637766260678E-2</v>
      </c>
      <c r="T123">
        <f t="shared" si="5"/>
        <v>1.6673456649391016E-4</v>
      </c>
      <c r="U123">
        <f t="shared" si="6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8"/>
        <v>122</v>
      </c>
      <c r="I124">
        <f>SUM($F$3:F124)/H124</f>
        <v>10817942.494364753</v>
      </c>
      <c r="N124">
        <f>IF(A124&lt;&gt;$K$7,MAX(N123,VLOOKUP(A124,A:C,3)),)</f>
        <v>1.034000039100647</v>
      </c>
      <c r="O124">
        <f>IF(A124&lt;&gt;$K$7,MIN(O123,VLOOKUP(A124,A:D,4)),)</f>
        <v>0.97600001096725464</v>
      </c>
      <c r="P124">
        <f t="shared" si="7"/>
        <v>0.99500000476837158</v>
      </c>
      <c r="Q124">
        <f t="shared" si="2"/>
        <v>1.0036904783475966</v>
      </c>
      <c r="R124">
        <f t="shared" si="3"/>
        <v>-8.6904735792250332E-3</v>
      </c>
      <c r="S124">
        <f t="shared" si="4"/>
        <v>1.1646250478264413E-2</v>
      </c>
      <c r="T124">
        <f t="shared" si="5"/>
        <v>1.7469375717396617E-4</v>
      </c>
      <c r="U124">
        <f t="shared" si="6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8"/>
        <v>123</v>
      </c>
      <c r="I125">
        <f>SUM($F$3:F125)/H125</f>
        <v>10755869.035060976</v>
      </c>
      <c r="N125">
        <f>IF(A125&lt;&gt;$K$7,MAX(N124,VLOOKUP(A125,A:C,3)),)</f>
        <v>1.034000039100647</v>
      </c>
      <c r="O125">
        <f>IF(A125&lt;&gt;$K$7,MIN(O124,VLOOKUP(A125,A:D,4)),)</f>
        <v>0.97600001096725464</v>
      </c>
      <c r="P125">
        <f t="shared" si="7"/>
        <v>0.98466666539510095</v>
      </c>
      <c r="Q125">
        <f t="shared" si="2"/>
        <v>1.0025952401615323</v>
      </c>
      <c r="R125">
        <f t="shared" si="3"/>
        <v>-1.7928574766431393E-2</v>
      </c>
      <c r="S125">
        <f t="shared" si="4"/>
        <v>1.2642849059331987E-2</v>
      </c>
      <c r="T125">
        <f t="shared" si="5"/>
        <v>1.896427358899798E-4</v>
      </c>
      <c r="U125">
        <f t="shared" si="6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8"/>
        <v>124</v>
      </c>
      <c r="I126">
        <f>SUM($F$3:F126)/H126</f>
        <v>10683646.799899194</v>
      </c>
      <c r="N126">
        <f>IF(A126&lt;&gt;$K$7,MAX(N125,VLOOKUP(A126,A:C,3)),)</f>
        <v>1.034000039100647</v>
      </c>
      <c r="O126">
        <f>IF(A126&lt;&gt;$K$7,MIN(O125,VLOOKUP(A126,A:D,4)),)</f>
        <v>0.97600001096725464</v>
      </c>
      <c r="P126">
        <f t="shared" si="7"/>
        <v>0.98400000731150306</v>
      </c>
      <c r="Q126">
        <f t="shared" si="2"/>
        <v>1.0020714288666135</v>
      </c>
      <c r="R126">
        <f t="shared" si="3"/>
        <v>-1.8071421555110434E-2</v>
      </c>
      <c r="S126">
        <f t="shared" si="4"/>
        <v>1.3166660354250959E-2</v>
      </c>
      <c r="T126">
        <f t="shared" si="5"/>
        <v>1.9749990531376437E-4</v>
      </c>
      <c r="U126">
        <f t="shared" si="6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8"/>
        <v>125</v>
      </c>
      <c r="I127">
        <f>SUM($F$3:F127)/H127</f>
        <v>10632897.6895</v>
      </c>
      <c r="N127">
        <f>IF(A127&lt;&gt;$K$7,MAX(N126,VLOOKUP(A127,A:C,3)),)</f>
        <v>1.034000039100647</v>
      </c>
      <c r="O127">
        <f>IF(A127&lt;&gt;$K$7,MIN(O126,VLOOKUP(A127,A:D,4)),)</f>
        <v>0.97600001096725464</v>
      </c>
      <c r="P127">
        <f t="shared" si="7"/>
        <v>0.99066666762034095</v>
      </c>
      <c r="Q127">
        <f t="shared" si="2"/>
        <v>1.0012619027069636</v>
      </c>
      <c r="R127">
        <f t="shared" si="3"/>
        <v>-1.0595235086622634E-2</v>
      </c>
      <c r="S127">
        <f t="shared" si="4"/>
        <v>1.3976186513900766E-2</v>
      </c>
      <c r="T127">
        <f t="shared" si="5"/>
        <v>2.0964279770851148E-4</v>
      </c>
      <c r="U127">
        <f t="shared" si="6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8"/>
        <v>126</v>
      </c>
      <c r="I128">
        <f>SUM($F$3:F128)/H128</f>
        <v>10573162.025297619</v>
      </c>
      <c r="N128">
        <f>IF(A128&lt;&gt;$K$7,MAX(N127,VLOOKUP(A128,A:C,3)),)</f>
        <v>1.034000039100647</v>
      </c>
      <c r="O128">
        <f>IF(A128&lt;&gt;$K$7,MIN(O127,VLOOKUP(A128,A:D,4)),)</f>
        <v>0.97600001096725464</v>
      </c>
      <c r="P128">
        <f t="shared" si="7"/>
        <v>0.9869999885559082</v>
      </c>
      <c r="Q128">
        <f t="shared" si="2"/>
        <v>0.9992380922748928</v>
      </c>
      <c r="R128">
        <f t="shared" si="3"/>
        <v>-1.2238103718984594E-2</v>
      </c>
      <c r="S128">
        <f t="shared" si="4"/>
        <v>1.3700676613113496E-2</v>
      </c>
      <c r="T128">
        <f t="shared" si="5"/>
        <v>2.0551014919670244E-4</v>
      </c>
      <c r="U128">
        <f t="shared" si="6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8"/>
        <v>127</v>
      </c>
      <c r="I129">
        <f>SUM($F$3:F129)/H129</f>
        <v>10503879.669783464</v>
      </c>
      <c r="N129">
        <f>IF(A129&lt;&gt;$K$7,MAX(N128,VLOOKUP(A129,A:C,3)),)</f>
        <v>1.034000039100647</v>
      </c>
      <c r="O129">
        <f>IF(A129&lt;&gt;$K$7,MIN(O128,VLOOKUP(A129,A:D,4)),)</f>
        <v>0.97600001096725464</v>
      </c>
      <c r="P129">
        <f t="shared" si="7"/>
        <v>0.98900000254313147</v>
      </c>
      <c r="Q129">
        <f t="shared" si="2"/>
        <v>0.99728571091379425</v>
      </c>
      <c r="R129">
        <f t="shared" si="3"/>
        <v>-8.285708370662781E-3</v>
      </c>
      <c r="S129">
        <f t="shared" si="4"/>
        <v>1.2653056253381296E-2</v>
      </c>
      <c r="T129">
        <f t="shared" si="5"/>
        <v>1.8979584380071944E-4</v>
      </c>
      <c r="U129">
        <f t="shared" si="6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8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7"/>
        <v>0.99099999666213989</v>
      </c>
      <c r="Q130">
        <f t="shared" si="2"/>
        <v>0.99488094874790733</v>
      </c>
      <c r="R130">
        <f t="shared" si="3"/>
        <v>-3.8809520857674418E-3</v>
      </c>
      <c r="S130">
        <f t="shared" si="4"/>
        <v>1.0132648912416831E-2</v>
      </c>
      <c r="T130">
        <f t="shared" si="5"/>
        <v>1.5198973368625246E-4</v>
      </c>
      <c r="U130">
        <f t="shared" si="6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8"/>
        <v>129</v>
      </c>
      <c r="I131">
        <f>SUM($F$3:F131)/H131</f>
        <v>10383364.636143411</v>
      </c>
      <c r="N131">
        <f>IF(A131&lt;&gt;$K$8,MAX(N130,VLOOKUP(A131,A:C,3)),)</f>
        <v>0.99599999189376831</v>
      </c>
      <c r="O131">
        <f>IF(A131&lt;&gt;$K$8,MIN(O130,VLOOKUP(A131,A:D,4)),)</f>
        <v>0.97600001096725464</v>
      </c>
      <c r="P131">
        <f t="shared" si="7"/>
        <v>0.98499999443689978</v>
      </c>
      <c r="Q131">
        <f t="shared" si="2"/>
        <v>0.99230952064196265</v>
      </c>
      <c r="R131">
        <f t="shared" si="3"/>
        <v>-7.3095262050628662E-3</v>
      </c>
      <c r="S131">
        <f t="shared" si="4"/>
        <v>7.8707450912112262E-3</v>
      </c>
      <c r="T131">
        <f t="shared" si="5"/>
        <v>1.1806117636816839E-4</v>
      </c>
      <c r="U131">
        <f t="shared" si="6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8"/>
        <v>130</v>
      </c>
      <c r="I132">
        <f>SUM($F$3:F132)/H132</f>
        <v>10348910.315865384</v>
      </c>
      <c r="N132">
        <f>IF(A132&lt;&gt;$K$8,MAX(N131,VLOOKUP(A132,A:C,3)),)</f>
        <v>0.99599999189376831</v>
      </c>
      <c r="O132">
        <f>IF(A132&lt;&gt;$K$8,MIN(O131,VLOOKUP(A132,A:D,4)),)</f>
        <v>0.95599997043609619</v>
      </c>
      <c r="P132">
        <f t="shared" si="7"/>
        <v>0.96466666460037231</v>
      </c>
      <c r="Q132">
        <f t="shared" si="2"/>
        <v>0.98880952312832782</v>
      </c>
      <c r="R132">
        <f t="shared" si="3"/>
        <v>-2.4142858527955502E-2</v>
      </c>
      <c r="S132">
        <f t="shared" si="4"/>
        <v>7.0952375729878715E-3</v>
      </c>
      <c r="T132">
        <f t="shared" si="5"/>
        <v>1.0642856359481806E-4</v>
      </c>
      <c r="U132">
        <f t="shared" si="6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8"/>
        <v>131</v>
      </c>
      <c r="I133">
        <f>SUM($F$3:F133)/H133</f>
        <v>10316002.611164123</v>
      </c>
      <c r="N133">
        <f>IF(A133&lt;&gt;$K$8,MAX(N132,VLOOKUP(A133,A:C,3)),)</f>
        <v>0.99599999189376831</v>
      </c>
      <c r="O133">
        <f>IF(A133&lt;&gt;$K$8,MIN(O132,VLOOKUP(A133,A:D,4)),)</f>
        <v>0.94300001859664917</v>
      </c>
      <c r="P133">
        <f t="shared" si="7"/>
        <v>0.95066668589909875</v>
      </c>
      <c r="Q133">
        <f t="shared" si="2"/>
        <v>0.98438095336868658</v>
      </c>
      <c r="R133">
        <f t="shared" si="3"/>
        <v>-3.3714267469587833E-2</v>
      </c>
      <c r="S133">
        <f t="shared" si="4"/>
        <v>7.9863900635517935E-3</v>
      </c>
      <c r="T133">
        <f t="shared" si="5"/>
        <v>1.1979585095327689E-4</v>
      </c>
      <c r="U133">
        <f t="shared" si="6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8"/>
        <v>132</v>
      </c>
      <c r="I134">
        <f>SUM($F$3:F134)/H134</f>
        <v>10260186.705018939</v>
      </c>
      <c r="N134">
        <f>IF(A134&lt;&gt;$K$8,MAX(N133,VLOOKUP(A134,A:C,3)),)</f>
        <v>0.99599999189376831</v>
      </c>
      <c r="O134">
        <f>IF(A134&lt;&gt;$K$8,MIN(O133,VLOOKUP(A134,A:D,4)),)</f>
        <v>0.94300001859664917</v>
      </c>
      <c r="P134">
        <f t="shared" si="7"/>
        <v>0.95266666014989221</v>
      </c>
      <c r="Q134">
        <f t="shared" si="2"/>
        <v>0.98078571472849163</v>
      </c>
      <c r="R134">
        <f t="shared" si="3"/>
        <v>-2.8119054578599423E-2</v>
      </c>
      <c r="S134">
        <f t="shared" si="4"/>
        <v>1.0622447648015954E-2</v>
      </c>
      <c r="T134">
        <f t="shared" si="5"/>
        <v>1.5933671472023928E-4</v>
      </c>
      <c r="U134">
        <f t="shared" si="6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8"/>
        <v>133</v>
      </c>
      <c r="I135">
        <f>SUM($F$3:F135)/H135</f>
        <v>10204674.872650376</v>
      </c>
      <c r="N135">
        <f>IF(A135&lt;&gt;$K$8,MAX(N134,VLOOKUP(A135,A:C,3)),)</f>
        <v>0.99599999189376831</v>
      </c>
      <c r="O135">
        <f>IF(A135&lt;&gt;$K$8,MIN(O134,VLOOKUP(A135,A:D,4)),)</f>
        <v>0.93800002336502075</v>
      </c>
      <c r="P135">
        <f t="shared" si="7"/>
        <v>0.94733333587646484</v>
      </c>
      <c r="Q135">
        <f t="shared" si="2"/>
        <v>0.97814285755157482</v>
      </c>
      <c r="R135">
        <f t="shared" si="3"/>
        <v>-3.0809521675109974E-2</v>
      </c>
      <c r="S135">
        <f t="shared" si="4"/>
        <v>1.3891154811495761E-2</v>
      </c>
      <c r="T135">
        <f t="shared" si="5"/>
        <v>2.083673221724364E-4</v>
      </c>
      <c r="U135">
        <f t="shared" si="6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8"/>
        <v>134</v>
      </c>
      <c r="I136">
        <f>SUM($F$3:F136)/H136</f>
        <v>10164139.239272388</v>
      </c>
      <c r="N136">
        <f>IF(A136&lt;&gt;$K$8,MAX(N135,VLOOKUP(A136,A:C,3)),)</f>
        <v>0.99599999189376831</v>
      </c>
      <c r="O136">
        <f>IF(A136&lt;&gt;$K$8,MIN(O135,VLOOKUP(A136,A:D,4)),)</f>
        <v>0.93800002336502075</v>
      </c>
      <c r="P136">
        <f t="shared" si="7"/>
        <v>0.94300001859664917</v>
      </c>
      <c r="Q136">
        <f t="shared" si="2"/>
        <v>0.97533333443460013</v>
      </c>
      <c r="R136">
        <f t="shared" si="3"/>
        <v>-3.233331583795096E-2</v>
      </c>
      <c r="S136">
        <f t="shared" si="4"/>
        <v>1.6904758150074733E-2</v>
      </c>
      <c r="T136">
        <f t="shared" si="5"/>
        <v>2.53571372251121E-4</v>
      </c>
      <c r="U136">
        <f t="shared" si="6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8"/>
        <v>135</v>
      </c>
      <c r="I137">
        <f>SUM($F$3:F137)/H137</f>
        <v>10101351.60787037</v>
      </c>
      <c r="N137">
        <f>IF(A137&lt;&gt;$K$8,MAX(N136,VLOOKUP(A137,A:C,3)),)</f>
        <v>0.99599999189376831</v>
      </c>
      <c r="O137">
        <f>IF(A137&lt;&gt;$K$8,MIN(O136,VLOOKUP(A137,A:D,4)),)</f>
        <v>0.93800002336502075</v>
      </c>
      <c r="P137">
        <f t="shared" si="7"/>
        <v>0.94900002082188928</v>
      </c>
      <c r="Q137">
        <f t="shared" si="2"/>
        <v>0.97240476523126884</v>
      </c>
      <c r="R137">
        <f t="shared" si="3"/>
        <v>-2.3404744409379563E-2</v>
      </c>
      <c r="S137">
        <f t="shared" si="4"/>
        <v>1.8156457920463689E-2</v>
      </c>
      <c r="T137">
        <f t="shared" si="5"/>
        <v>2.7234686880695533E-4</v>
      </c>
      <c r="U137">
        <f t="shared" si="6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8"/>
        <v>136</v>
      </c>
      <c r="I138">
        <f>SUM($F$3:F138)/H138</f>
        <v>10050884.31663603</v>
      </c>
      <c r="N138">
        <f>IF(A138&lt;&gt;$K$8,MAX(N137,VLOOKUP(A138,A:C,3)),)</f>
        <v>0.99599999189376831</v>
      </c>
      <c r="O138">
        <f>IF(A138&lt;&gt;$K$8,MIN(O137,VLOOKUP(A138,A:D,4)),)</f>
        <v>0.93500000238418579</v>
      </c>
      <c r="P138">
        <f t="shared" si="7"/>
        <v>0.94133333365122474</v>
      </c>
      <c r="Q138">
        <f t="shared" si="2"/>
        <v>0.96857143158004411</v>
      </c>
      <c r="R138">
        <f t="shared" si="3"/>
        <v>-2.7238097928819371E-2</v>
      </c>
      <c r="S138">
        <f t="shared" si="4"/>
        <v>1.8761900209245213E-2</v>
      </c>
      <c r="T138">
        <f t="shared" si="5"/>
        <v>2.814285031386782E-4</v>
      </c>
      <c r="U138">
        <f t="shared" si="6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8"/>
        <v>137</v>
      </c>
      <c r="I139">
        <f>SUM($F$3:F139)/H139</f>
        <v>9988085.9274635036</v>
      </c>
      <c r="N139">
        <f>IF(A139&lt;&gt;$K$8,MAX(N138,VLOOKUP(A139,A:C,3)),)</f>
        <v>0.99599999189376831</v>
      </c>
      <c r="O139">
        <f>IF(A139&lt;&gt;$K$8,MIN(O138,VLOOKUP(A139,A:D,4)),)</f>
        <v>0.93000000715255737</v>
      </c>
      <c r="P139">
        <f t="shared" si="7"/>
        <v>0.93866668144861853</v>
      </c>
      <c r="Q139">
        <f t="shared" si="2"/>
        <v>0.96528571844100952</v>
      </c>
      <c r="R139">
        <f t="shared" si="3"/>
        <v>-2.6619036992390988E-2</v>
      </c>
      <c r="S139">
        <f t="shared" si="4"/>
        <v>1.9278906640552325E-2</v>
      </c>
      <c r="T139">
        <f t="shared" si="5"/>
        <v>2.8918359960828488E-4</v>
      </c>
      <c r="U139">
        <f t="shared" si="6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8"/>
        <v>138</v>
      </c>
      <c r="I140">
        <f>SUM($F$3:F140)/H140</f>
        <v>9926307.1743659414</v>
      </c>
      <c r="N140">
        <f>IF(A140&lt;&gt;$K$8,MAX(N139,VLOOKUP(A140,A:C,3)),)</f>
        <v>0.99599999189376831</v>
      </c>
      <c r="O140">
        <f>IF(A140&lt;&gt;$K$8,MIN(O139,VLOOKUP(A140,A:D,4)),)</f>
        <v>0.93000000715255737</v>
      </c>
      <c r="P140">
        <f t="shared" si="7"/>
        <v>0.94866667191187537</v>
      </c>
      <c r="Q140">
        <f t="shared" si="2"/>
        <v>0.96276190876960743</v>
      </c>
      <c r="R140">
        <f t="shared" si="3"/>
        <v>-1.4095236857732063E-2</v>
      </c>
      <c r="S140">
        <f t="shared" si="4"/>
        <v>1.8680265971592471E-2</v>
      </c>
      <c r="T140">
        <f t="shared" si="5"/>
        <v>2.8020398957388705E-4</v>
      </c>
      <c r="U140">
        <f t="shared" si="6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8"/>
        <v>139</v>
      </c>
      <c r="I141">
        <f>SUM($F$3:F141)/H141</f>
        <v>9873866.8493705038</v>
      </c>
      <c r="N141">
        <f>IF(A141&lt;&gt;$K$8,MAX(N140,VLOOKUP(A141,A:C,3)),)</f>
        <v>0.99599999189376831</v>
      </c>
      <c r="O141">
        <f>IF(A141&lt;&gt;$K$8,MIN(O140,VLOOKUP(A141,A:D,4)),)</f>
        <v>0.93000000715255737</v>
      </c>
      <c r="P141">
        <f t="shared" si="7"/>
        <v>0.95333333810170495</v>
      </c>
      <c r="Q141">
        <f t="shared" si="2"/>
        <v>0.96009524237541921</v>
      </c>
      <c r="R141">
        <f t="shared" si="3"/>
        <v>-6.7619042737142587E-3</v>
      </c>
      <c r="S141">
        <f t="shared" si="4"/>
        <v>1.6598633560193619E-2</v>
      </c>
      <c r="T141">
        <f t="shared" si="5"/>
        <v>2.489795034029043E-4</v>
      </c>
      <c r="U141">
        <f t="shared" si="6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8"/>
        <v>140</v>
      </c>
      <c r="I142">
        <f>SUM($F$3:F142)/H142</f>
        <v>9827457.0861607138</v>
      </c>
      <c r="N142">
        <f>IF(A142&lt;&gt;$K$8,MAX(N141,VLOOKUP(A142,A:C,3)),)</f>
        <v>0.99599999189376831</v>
      </c>
      <c r="O142">
        <f>IF(A142&lt;&gt;$K$8,MIN(O141,VLOOKUP(A142,A:D,4)),)</f>
        <v>0.93000000715255737</v>
      </c>
      <c r="P142">
        <f t="shared" si="7"/>
        <v>0.94333334763844812</v>
      </c>
      <c r="Q142">
        <f t="shared" si="2"/>
        <v>0.95697619659560051</v>
      </c>
      <c r="R142">
        <f t="shared" si="3"/>
        <v>-1.3642848957152398E-2</v>
      </c>
      <c r="S142">
        <f t="shared" si="4"/>
        <v>1.4537410265734328E-2</v>
      </c>
      <c r="T142">
        <f t="shared" si="5"/>
        <v>2.1806115398601491E-4</v>
      </c>
      <c r="U142">
        <f t="shared" si="6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8"/>
        <v>141</v>
      </c>
      <c r="I143">
        <f>SUM($F$3:F143)/H143</f>
        <v>9767462.3692375887</v>
      </c>
      <c r="N143">
        <f>IF(A143&lt;&gt;$K$8,MAX(N142,VLOOKUP(A143,A:C,3)),)</f>
        <v>0.99599999189376831</v>
      </c>
      <c r="O143">
        <f>IF(A143&lt;&gt;$K$8,MIN(O142,VLOOKUP(A143,A:D,4)),)</f>
        <v>0.93000000715255737</v>
      </c>
      <c r="P143">
        <f t="shared" si="7"/>
        <v>0.93933333953221643</v>
      </c>
      <c r="Q143">
        <f t="shared" si="2"/>
        <v>0.95342857780910673</v>
      </c>
      <c r="R143">
        <f t="shared" si="3"/>
        <v>-1.4095238276890298E-2</v>
      </c>
      <c r="S143">
        <f t="shared" si="4"/>
        <v>1.14829888960131E-2</v>
      </c>
      <c r="T143">
        <f t="shared" si="5"/>
        <v>1.722448334401965E-4</v>
      </c>
      <c r="U143">
        <f t="shared" si="6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8"/>
        <v>142</v>
      </c>
      <c r="I144">
        <f>SUM($F$3:F144)/H144</f>
        <v>9722357.1483274642</v>
      </c>
      <c r="N144">
        <f>IF(A144&lt;&gt;$K$8,MAX(N143,VLOOKUP(A144,A:C,3)),)</f>
        <v>0.99599999189376831</v>
      </c>
      <c r="O144">
        <f>IF(A144&lt;&gt;$K$8,MIN(O143,VLOOKUP(A144,A:D,4)),)</f>
        <v>0.92500001192092896</v>
      </c>
      <c r="P144">
        <f t="shared" si="7"/>
        <v>0.93300000826517737</v>
      </c>
      <c r="Q144">
        <f t="shared" si="2"/>
        <v>0.94928572149503798</v>
      </c>
      <c r="R144">
        <f t="shared" si="3"/>
        <v>-1.628571322986061E-2</v>
      </c>
      <c r="S144">
        <f t="shared" si="4"/>
        <v>8.5578193875397203E-3</v>
      </c>
      <c r="T144">
        <f t="shared" si="5"/>
        <v>1.283672908130958E-4</v>
      </c>
      <c r="U144">
        <f t="shared" si="6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8"/>
        <v>143</v>
      </c>
      <c r="I145">
        <f>SUM($F$3:F145)/H145</f>
        <v>9665048.4409965035</v>
      </c>
      <c r="N145">
        <f>IF(A145&lt;&gt;$K$8,MAX(N144,VLOOKUP(A145,A:C,3)),)</f>
        <v>0.99599999189376831</v>
      </c>
      <c r="O145">
        <f>IF(A145&lt;&gt;$K$8,MIN(O144,VLOOKUP(A145,A:D,4)),)</f>
        <v>0.92299997806549072</v>
      </c>
      <c r="P145">
        <f t="shared" si="7"/>
        <v>0.93066666523615516</v>
      </c>
      <c r="Q145">
        <f t="shared" si="2"/>
        <v>0.94540476940927054</v>
      </c>
      <c r="R145">
        <f t="shared" si="3"/>
        <v>-1.4738104173115385E-2</v>
      </c>
      <c r="S145">
        <f t="shared" si="4"/>
        <v>6.9285702137720151E-3</v>
      </c>
      <c r="T145">
        <f t="shared" si="5"/>
        <v>1.0392855320658022E-4</v>
      </c>
      <c r="U145">
        <f t="shared" si="6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8"/>
        <v>144</v>
      </c>
      <c r="I146">
        <f>SUM($F$3:F146)/H146</f>
        <v>9611083.5837673619</v>
      </c>
      <c r="N146">
        <f>IF(A146&lt;&gt;$K$8,MAX(N145,VLOOKUP(A146,A:C,3)),)</f>
        <v>0.99599999189376831</v>
      </c>
      <c r="O146">
        <f>IF(A146&lt;&gt;$K$8,MIN(O145,VLOOKUP(A146,A:D,4)),)</f>
        <v>0.91399997472763062</v>
      </c>
      <c r="P146">
        <f t="shared" si="7"/>
        <v>0.9209999839464823</v>
      </c>
      <c r="Q146">
        <f t="shared" si="2"/>
        <v>0.94228572079113548</v>
      </c>
      <c r="R146">
        <f t="shared" si="3"/>
        <v>-2.128573684465318E-2</v>
      </c>
      <c r="S146">
        <f t="shared" si="4"/>
        <v>7.1020446667055138E-3</v>
      </c>
      <c r="T146">
        <f t="shared" si="5"/>
        <v>1.0653067000058271E-4</v>
      </c>
      <c r="U146">
        <f t="shared" si="6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8"/>
        <v>145</v>
      </c>
      <c r="I147">
        <f>SUM($F$3:F147)/H147</f>
        <v>9558043.7590517234</v>
      </c>
      <c r="N147">
        <f>IF(A147&lt;&gt;$K$8,MAX(N146,VLOOKUP(A147,A:C,3)),)</f>
        <v>0.99599999189376831</v>
      </c>
      <c r="O147">
        <f>IF(A147&lt;&gt;$K$8,MIN(O146,VLOOKUP(A147,A:D,4)),)</f>
        <v>0.90799999237060547</v>
      </c>
      <c r="P147">
        <f t="shared" si="7"/>
        <v>0.91766667366027832</v>
      </c>
      <c r="Q147">
        <f t="shared" si="2"/>
        <v>0.93992857705979116</v>
      </c>
      <c r="R147">
        <f t="shared" si="3"/>
        <v>-2.2261903399512839E-2</v>
      </c>
      <c r="S147">
        <f t="shared" si="4"/>
        <v>8.462587181402732E-3</v>
      </c>
      <c r="T147">
        <f t="shared" si="5"/>
        <v>1.2693880772104098E-4</v>
      </c>
      <c r="U147">
        <f t="shared" si="6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8"/>
        <v>146</v>
      </c>
      <c r="I148">
        <f>SUM($F$3:F148)/H148</f>
        <v>9510918.9524828773</v>
      </c>
      <c r="N148">
        <f>IF(A148&lt;&gt;$K$8,MAX(N147,VLOOKUP(A148,A:C,3)),)</f>
        <v>0.99599999189376831</v>
      </c>
      <c r="O148">
        <f>IF(A148&lt;&gt;$K$8,MIN(O147,VLOOKUP(A148,A:D,4)),)</f>
        <v>0.89300000667572021</v>
      </c>
      <c r="P148">
        <f t="shared" si="7"/>
        <v>0.90166668097178138</v>
      </c>
      <c r="Q148">
        <f t="shared" si="2"/>
        <v>0.93628572140421173</v>
      </c>
      <c r="R148">
        <f t="shared" si="3"/>
        <v>-3.4619040432430359E-2</v>
      </c>
      <c r="S148">
        <f t="shared" si="4"/>
        <v>1.1061227848740711E-2</v>
      </c>
      <c r="T148">
        <f t="shared" si="5"/>
        <v>1.6591841773111067E-4</v>
      </c>
      <c r="U148">
        <f t="shared" si="6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8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7"/>
        <v>0.89366664489110315</v>
      </c>
      <c r="Q149">
        <f t="shared" si="2"/>
        <v>0.93245238633382865</v>
      </c>
      <c r="R149">
        <f t="shared" si="3"/>
        <v>-3.8785741442725508E-2</v>
      </c>
      <c r="S149">
        <f t="shared" si="4"/>
        <v>1.3942183280477789E-2</v>
      </c>
      <c r="T149">
        <f t="shared" si="5"/>
        <v>2.0913274920716682E-4</v>
      </c>
      <c r="U149">
        <f t="shared" si="6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8"/>
        <v>148</v>
      </c>
      <c r="I150">
        <f>SUM($F$3:F150)/H150</f>
        <v>9405691.0409628376</v>
      </c>
      <c r="N150">
        <f>IF(A150&lt;&gt;$K$9,MAX(N149,VLOOKUP(A150,A:C,3)),)</f>
        <v>0.91100001335144043</v>
      </c>
      <c r="O150">
        <f>IF(A150&lt;&gt;$K$9,MIN(O149,VLOOKUP(A150,A:D,4)),)</f>
        <v>0.89200001955032349</v>
      </c>
      <c r="P150">
        <f t="shared" si="7"/>
        <v>0.89866667985916138</v>
      </c>
      <c r="Q150">
        <f t="shared" si="2"/>
        <v>0.92928571928115111</v>
      </c>
      <c r="R150">
        <f t="shared" si="3"/>
        <v>-3.0619039421989735E-2</v>
      </c>
      <c r="S150">
        <f t="shared" si="4"/>
        <v>1.6251704725278499E-2</v>
      </c>
      <c r="T150">
        <f t="shared" si="5"/>
        <v>2.4377557087917748E-4</v>
      </c>
      <c r="U150">
        <f t="shared" si="6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8"/>
        <v>149</v>
      </c>
      <c r="I151">
        <f>SUM($F$3:F151)/H151</f>
        <v>9373814.0943791941</v>
      </c>
      <c r="N151">
        <f>IF(A151&lt;&gt;$K$9,MAX(N150,VLOOKUP(A151,A:C,3)),)</f>
        <v>0.91100001335144043</v>
      </c>
      <c r="O151">
        <f>IF(A151&lt;&gt;$K$9,MIN(O150,VLOOKUP(A151,A:D,4)),)</f>
        <v>0.86100000143051147</v>
      </c>
      <c r="P151">
        <f t="shared" si="7"/>
        <v>0.87599998712539673</v>
      </c>
      <c r="Q151">
        <f t="shared" si="2"/>
        <v>0.92407143115997314</v>
      </c>
      <c r="R151">
        <f t="shared" si="3"/>
        <v>-4.8071444034576416E-2</v>
      </c>
      <c r="S151">
        <f t="shared" si="4"/>
        <v>1.9394562357947936E-2</v>
      </c>
      <c r="T151">
        <f t="shared" si="5"/>
        <v>2.9091843536921901E-4</v>
      </c>
      <c r="U151">
        <f t="shared" si="6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8"/>
        <v>150</v>
      </c>
      <c r="I152">
        <f>SUM($F$3:F152)/H152</f>
        <v>9319732.6870833337</v>
      </c>
      <c r="N152">
        <f>IF(A152&lt;&gt;$K$9,MAX(N151,VLOOKUP(A152,A:C,3)),)</f>
        <v>0.91100001335144043</v>
      </c>
      <c r="O152">
        <f>IF(A152&lt;&gt;$K$9,MIN(O151,VLOOKUP(A152,A:D,4)),)</f>
        <v>0.86100000143051147</v>
      </c>
      <c r="P152">
        <f t="shared" si="7"/>
        <v>0.88233333826065063</v>
      </c>
      <c r="Q152">
        <f t="shared" si="2"/>
        <v>0.91985714577493216</v>
      </c>
      <c r="R152">
        <f t="shared" si="3"/>
        <v>-3.7523807514281526E-2</v>
      </c>
      <c r="S152">
        <f t="shared" si="4"/>
        <v>2.1306124268745879E-2</v>
      </c>
      <c r="T152">
        <f t="shared" si="5"/>
        <v>3.1959186403118816E-4</v>
      </c>
      <c r="U152">
        <f t="shared" si="6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8"/>
        <v>151</v>
      </c>
      <c r="I153">
        <f>SUM($F$3:F153)/H153</f>
        <v>9272571.569950331</v>
      </c>
      <c r="N153">
        <f>IF(A153&lt;&gt;$K$9,MAX(N152,VLOOKUP(A153,A:C,3)),)</f>
        <v>0.91100001335144043</v>
      </c>
      <c r="O153">
        <f>IF(A153&lt;&gt;$K$9,MIN(O152,VLOOKUP(A153,A:D,4)),)</f>
        <v>0.86100000143051147</v>
      </c>
      <c r="P153">
        <f t="shared" si="7"/>
        <v>0.88266666730244958</v>
      </c>
      <c r="Q153">
        <f t="shared" si="2"/>
        <v>0.91585714476449165</v>
      </c>
      <c r="R153">
        <f t="shared" si="3"/>
        <v>-3.3190477462042067E-2</v>
      </c>
      <c r="S153">
        <f t="shared" si="4"/>
        <v>2.2877552882343704E-2</v>
      </c>
      <c r="T153">
        <f t="shared" si="5"/>
        <v>3.4316329323515557E-4</v>
      </c>
      <c r="U153">
        <f t="shared" si="6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8"/>
        <v>152</v>
      </c>
      <c r="I154">
        <f>SUM($F$3:F154)/H154</f>
        <v>9230828.3951480258</v>
      </c>
      <c r="N154">
        <f>IF(A154&lt;&gt;$K$9,MAX(N153,VLOOKUP(A154,A:C,3)),)</f>
        <v>0.91100001335144043</v>
      </c>
      <c r="O154">
        <f>IF(A154&lt;&gt;$K$9,MIN(O153,VLOOKUP(A154,A:D,4)),)</f>
        <v>0.85900002717971802</v>
      </c>
      <c r="P154">
        <f t="shared" si="7"/>
        <v>0.86566668748855591</v>
      </c>
      <c r="Q154">
        <f t="shared" si="2"/>
        <v>0.90992857444854014</v>
      </c>
      <c r="R154">
        <f t="shared" si="3"/>
        <v>-4.4261886959984231E-2</v>
      </c>
      <c r="S154">
        <f t="shared" si="4"/>
        <v>2.4119047891525993E-2</v>
      </c>
      <c r="T154">
        <f t="shared" si="5"/>
        <v>3.6178571837288987E-4</v>
      </c>
      <c r="U154">
        <f t="shared" si="6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8"/>
        <v>153</v>
      </c>
      <c r="I155">
        <f>SUM($F$3:F155)/H155</f>
        <v>9186628.9350490198</v>
      </c>
      <c r="N155">
        <f>IF(A155&lt;&gt;$K$9,MAX(N154,VLOOKUP(A155,A:C,3)),)</f>
        <v>0.91100001335144043</v>
      </c>
      <c r="O155">
        <f>IF(A155&lt;&gt;$K$9,MIN(O154,VLOOKUP(A155,A:D,4)),)</f>
        <v>0.85000002384185791</v>
      </c>
      <c r="P155">
        <f t="shared" si="7"/>
        <v>0.85700001319249475</v>
      </c>
      <c r="Q155">
        <f t="shared" si="2"/>
        <v>0.90304762266931093</v>
      </c>
      <c r="R155">
        <f t="shared" si="3"/>
        <v>-4.6047609476816187E-2</v>
      </c>
      <c r="S155">
        <f t="shared" si="4"/>
        <v>2.3816326037556148E-2</v>
      </c>
      <c r="T155">
        <f t="shared" si="5"/>
        <v>3.572448905633422E-4</v>
      </c>
      <c r="U155">
        <f t="shared" si="6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8"/>
        <v>154</v>
      </c>
      <c r="I156">
        <f>SUM($F$3:F156)/H156</f>
        <v>9132007.9939123373</v>
      </c>
      <c r="N156">
        <f>IF(A156&lt;&gt;$K$9,MAX(N155,VLOOKUP(A156,A:C,3)),)</f>
        <v>0.91100001335144043</v>
      </c>
      <c r="O156">
        <f>IF(A156&lt;&gt;$K$9,MIN(O155,VLOOKUP(A156,A:D,4)),)</f>
        <v>0.85000002384185791</v>
      </c>
      <c r="P156">
        <f t="shared" si="7"/>
        <v>0.87000000476837158</v>
      </c>
      <c r="Q156">
        <f t="shared" si="2"/>
        <v>0.89780952675001957</v>
      </c>
      <c r="R156">
        <f t="shared" si="3"/>
        <v>-2.7809521981647989E-2</v>
      </c>
      <c r="S156">
        <f t="shared" si="4"/>
        <v>2.2476192031587856E-2</v>
      </c>
      <c r="T156">
        <f t="shared" si="5"/>
        <v>3.3714288047381784E-4</v>
      </c>
      <c r="U156">
        <f t="shared" si="6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8"/>
        <v>155</v>
      </c>
      <c r="I157">
        <f>SUM($F$3:F157)/H157</f>
        <v>9078770.5354838707</v>
      </c>
      <c r="N157">
        <f>IF(A157&lt;&gt;$K$9,MAX(N156,VLOOKUP(A157,A:C,3)),)</f>
        <v>0.91100001335144043</v>
      </c>
      <c r="O157">
        <f>IF(A157&lt;&gt;$K$9,MIN(O156,VLOOKUP(A157,A:D,4)),)</f>
        <v>0.85000002384185791</v>
      </c>
      <c r="P157">
        <f t="shared" si="7"/>
        <v>0.87800000111262</v>
      </c>
      <c r="Q157">
        <f t="shared" si="2"/>
        <v>0.89342857400576281</v>
      </c>
      <c r="R157">
        <f t="shared" si="3"/>
        <v>-1.5428572893142811E-2</v>
      </c>
      <c r="S157">
        <f t="shared" si="4"/>
        <v>2.0333331255685705E-2</v>
      </c>
      <c r="T157">
        <f t="shared" si="5"/>
        <v>3.0499996883528557E-4</v>
      </c>
      <c r="U157">
        <f t="shared" si="6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8"/>
        <v>156</v>
      </c>
      <c r="I158">
        <f>SUM($F$3:F158)/H158</f>
        <v>9025141.25</v>
      </c>
      <c r="N158">
        <f>IF(A158&lt;&gt;$K$9,MAX(N157,VLOOKUP(A158,A:C,3)),)</f>
        <v>0.91100001335144043</v>
      </c>
      <c r="O158">
        <f>IF(A158&lt;&gt;$K$9,MIN(O157,VLOOKUP(A158,A:D,4)),)</f>
        <v>0.85000002384185791</v>
      </c>
      <c r="P158">
        <f t="shared" si="7"/>
        <v>0.88066667318344116</v>
      </c>
      <c r="Q158">
        <f t="shared" si="2"/>
        <v>0.8896904786427815</v>
      </c>
      <c r="R158">
        <f t="shared" si="3"/>
        <v>-9.0238054593403394E-3</v>
      </c>
      <c r="S158">
        <f t="shared" si="4"/>
        <v>1.7884350958324597E-2</v>
      </c>
      <c r="T158">
        <f t="shared" si="5"/>
        <v>2.6826526437486896E-4</v>
      </c>
      <c r="U158">
        <f t="shared" si="6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8"/>
        <v>157</v>
      </c>
      <c r="I159">
        <f>SUM($F$3:F159)/H159</f>
        <v>8971072.2229299359</v>
      </c>
      <c r="N159">
        <f>IF(A159&lt;&gt;$K$9,MAX(N158,VLOOKUP(A159,A:C,3)),)</f>
        <v>0.91100001335144043</v>
      </c>
      <c r="O159">
        <f>IF(A159&lt;&gt;$K$9,MIN(O158,VLOOKUP(A159,A:D,4)),)</f>
        <v>0.85000002384185791</v>
      </c>
      <c r="P159">
        <f t="shared" si="7"/>
        <v>0.87700001398722327</v>
      </c>
      <c r="Q159">
        <f t="shared" si="2"/>
        <v>0.885857146410715</v>
      </c>
      <c r="R159">
        <f t="shared" si="3"/>
        <v>-8.8571324234917315E-3</v>
      </c>
      <c r="S159">
        <f t="shared" si="4"/>
        <v>1.4768704467890208E-2</v>
      </c>
      <c r="T159">
        <f t="shared" si="5"/>
        <v>2.2153056701835312E-4</v>
      </c>
      <c r="U159">
        <f t="shared" si="6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8"/>
        <v>158</v>
      </c>
      <c r="I160">
        <f>SUM($F$3:F160)/H160</f>
        <v>8916324.3037974685</v>
      </c>
      <c r="N160">
        <f>IF(A160&lt;&gt;$K$9,MAX(N159,VLOOKUP(A160,A:C,3)),)</f>
        <v>0.91100001335144043</v>
      </c>
      <c r="O160">
        <f>IF(A160&lt;&gt;$K$9,MIN(O159,VLOOKUP(A160,A:D,4)),)</f>
        <v>0.85000002384185791</v>
      </c>
      <c r="P160">
        <f t="shared" si="7"/>
        <v>0.87666666507720947</v>
      </c>
      <c r="Q160">
        <f t="shared" si="2"/>
        <v>0.88269048077719536</v>
      </c>
      <c r="R160">
        <f t="shared" si="3"/>
        <v>-6.0238156999858905E-3</v>
      </c>
      <c r="S160">
        <f t="shared" si="4"/>
        <v>1.1557822324791665E-2</v>
      </c>
      <c r="T160">
        <f t="shared" si="5"/>
        <v>1.7336733487187498E-4</v>
      </c>
      <c r="U160">
        <f t="shared" si="6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8"/>
        <v>159</v>
      </c>
      <c r="I161">
        <f>SUM($F$3:F161)/H161</f>
        <v>8877125.4088050313</v>
      </c>
      <c r="N161">
        <f>IF(A161&lt;&gt;$K$9,MAX(N160,VLOOKUP(A161,A:C,3)),)</f>
        <v>0.91100001335144043</v>
      </c>
      <c r="O161">
        <f>IF(A161&lt;&gt;$K$9,MIN(O160,VLOOKUP(A161,A:D,4)),)</f>
        <v>0.85000002384185791</v>
      </c>
      <c r="P161">
        <f t="shared" si="7"/>
        <v>0.86733333269755042</v>
      </c>
      <c r="Q161">
        <f t="shared" si="2"/>
        <v>0.87909524213700052</v>
      </c>
      <c r="R161">
        <f t="shared" si="3"/>
        <v>-1.1761909439450102E-2</v>
      </c>
      <c r="S161">
        <f t="shared" si="4"/>
        <v>9.2993188066547283E-3</v>
      </c>
      <c r="T161">
        <f t="shared" si="5"/>
        <v>1.3948978209982091E-4</v>
      </c>
      <c r="U161">
        <f t="shared" si="6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8"/>
        <v>160</v>
      </c>
      <c r="I162">
        <f>SUM($F$3:F162)/H162</f>
        <v>8832100.2679687496</v>
      </c>
      <c r="N162">
        <f>IF(A162&lt;&gt;$K$9,MAX(N161,VLOOKUP(A162,A:C,3)),)</f>
        <v>0.91100001335144043</v>
      </c>
      <c r="O162">
        <f>IF(A162&lt;&gt;$K$9,MIN(O161,VLOOKUP(A162,A:D,4)),)</f>
        <v>0.85000002384185791</v>
      </c>
      <c r="P162">
        <f t="shared" si="7"/>
        <v>0.88133335113525391</v>
      </c>
      <c r="Q162">
        <f t="shared" si="2"/>
        <v>0.87764286143439152</v>
      </c>
      <c r="R162">
        <f t="shared" si="3"/>
        <v>3.6904897008623871E-3</v>
      </c>
      <c r="S162">
        <f t="shared" si="4"/>
        <v>7.6904751005626914E-3</v>
      </c>
      <c r="T162">
        <f t="shared" si="5"/>
        <v>1.1535712650844036E-4</v>
      </c>
      <c r="U162">
        <f t="shared" si="6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8"/>
        <v>161</v>
      </c>
      <c r="I163">
        <f>SUM($F$3:F163)/H163</f>
        <v>8793885.4588509314</v>
      </c>
      <c r="N163">
        <f>IF(A163&lt;&gt;$K$9,MAX(N162,VLOOKUP(A163,A:C,3)),)</f>
        <v>0.91100001335144043</v>
      </c>
      <c r="O163">
        <f>IF(A163&lt;&gt;$K$9,MIN(O162,VLOOKUP(A163,A:D,4)),)</f>
        <v>0.85000002384185791</v>
      </c>
      <c r="P163">
        <f t="shared" si="7"/>
        <v>0.87166666984558105</v>
      </c>
      <c r="Q163">
        <f t="shared" si="2"/>
        <v>0.8760714346454257</v>
      </c>
      <c r="R163">
        <f t="shared" si="3"/>
        <v>-4.4047647998446404E-3</v>
      </c>
      <c r="S163">
        <f t="shared" si="4"/>
        <v>6.9659875363719693E-3</v>
      </c>
      <c r="T163">
        <f t="shared" si="5"/>
        <v>1.0448981304557953E-4</v>
      </c>
      <c r="U163">
        <f t="shared" si="6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8"/>
        <v>162</v>
      </c>
      <c r="I164">
        <f>SUM($F$3:F164)/H164</f>
        <v>8747603.5054012351</v>
      </c>
      <c r="N164">
        <f>IF(A164&lt;&gt;$K$9,MAX(N163,VLOOKUP(A164,A:C,3)),)</f>
        <v>0.91100001335144043</v>
      </c>
      <c r="O164">
        <f>IF(A164&lt;&gt;$K$9,MIN(O163,VLOOKUP(A164,A:D,4)),)</f>
        <v>0.85000002384185791</v>
      </c>
      <c r="P164">
        <f t="shared" si="7"/>
        <v>0.87966666618982947</v>
      </c>
      <c r="Q164">
        <f t="shared" si="2"/>
        <v>0.87471429081190188</v>
      </c>
      <c r="R164">
        <f t="shared" si="3"/>
        <v>4.952375377927587E-3</v>
      </c>
      <c r="S164">
        <f t="shared" si="4"/>
        <v>5.986392295279498E-3</v>
      </c>
      <c r="T164">
        <f t="shared" si="5"/>
        <v>8.979588442919247E-5</v>
      </c>
      <c r="U164">
        <f t="shared" si="6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8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7"/>
        <v>0.88000001509984338</v>
      </c>
      <c r="Q165">
        <f t="shared" si="2"/>
        <v>0.87500000709579118</v>
      </c>
      <c r="R165">
        <f t="shared" si="3"/>
        <v>5.0000080040522032E-3</v>
      </c>
      <c r="S165">
        <f t="shared" si="4"/>
        <v>6.1904753552001757E-3</v>
      </c>
      <c r="T165">
        <f t="shared" si="5"/>
        <v>9.2857130328002631E-5</v>
      </c>
      <c r="U165">
        <f t="shared" si="6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8"/>
        <v>164</v>
      </c>
      <c r="I166">
        <f>SUM($F$3:F166)/H166</f>
        <v>8652694.9504573178</v>
      </c>
      <c r="N166">
        <f>IF(A166&lt;&gt;$K$10,MAX(N165,VLOOKUP(A166,A:C,3)),)</f>
        <v>0.88599997758865356</v>
      </c>
      <c r="O166">
        <f>IF(A166&lt;&gt;$K$10,MIN(O165,VLOOKUP(A166,A:D,4)),)</f>
        <v>0.87800002098083496</v>
      </c>
      <c r="P166">
        <f t="shared" si="7"/>
        <v>0.88233333826065063</v>
      </c>
      <c r="Q166">
        <f t="shared" si="2"/>
        <v>0.87500000709579118</v>
      </c>
      <c r="R166">
        <f t="shared" si="3"/>
        <v>7.3333311648594579E-3</v>
      </c>
      <c r="S166">
        <f t="shared" si="4"/>
        <v>6.1904753552001757E-3</v>
      </c>
      <c r="T166">
        <f t="shared" si="5"/>
        <v>9.2857130328002631E-5</v>
      </c>
      <c r="U166">
        <f t="shared" si="6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8"/>
        <v>165</v>
      </c>
      <c r="I167">
        <f>SUM($F$3:F167)/H167</f>
        <v>8622030.1401515156</v>
      </c>
      <c r="N167">
        <f>IF(A167&lt;&gt;$K$10,MAX(N166,VLOOKUP(A167,A:C,3)),)</f>
        <v>0.88599997758865356</v>
      </c>
      <c r="O167">
        <f>IF(A167&lt;&gt;$K$10,MIN(O166,VLOOKUP(A167,A:D,4)),)</f>
        <v>0.86500000953674316</v>
      </c>
      <c r="P167">
        <f t="shared" si="7"/>
        <v>0.87066666285196936</v>
      </c>
      <c r="Q167">
        <f t="shared" si="2"/>
        <v>0.8741428639207568</v>
      </c>
      <c r="R167">
        <f t="shared" si="3"/>
        <v>-3.4762010687874323E-3</v>
      </c>
      <c r="S167">
        <f t="shared" si="4"/>
        <v>6.0748303828596162E-3</v>
      </c>
      <c r="T167">
        <f t="shared" si="5"/>
        <v>9.1122455742894242E-5</v>
      </c>
      <c r="U167">
        <f t="shared" si="6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8"/>
        <v>166</v>
      </c>
      <c r="I168">
        <f>SUM($F$3:F168)/H168</f>
        <v>8575536.5911144577</v>
      </c>
      <c r="N168">
        <f>IF(A168&lt;&gt;$K$10,MAX(N167,VLOOKUP(A168,A:C,3)),)</f>
        <v>0.88599997758865356</v>
      </c>
      <c r="O168">
        <f>IF(A168&lt;&gt;$K$10,MIN(O167,VLOOKUP(A168,A:D,4)),)</f>
        <v>0.86100000143051147</v>
      </c>
      <c r="P168">
        <f t="shared" si="7"/>
        <v>0.86566666762034095</v>
      </c>
      <c r="Q168">
        <f t="shared" si="2"/>
        <v>0.87414286250159845</v>
      </c>
      <c r="R168">
        <f t="shared" si="3"/>
        <v>-8.4761948812575039E-3</v>
      </c>
      <c r="S168">
        <f t="shared" si="4"/>
        <v>6.0748320047547344E-3</v>
      </c>
      <c r="T168">
        <f t="shared" si="5"/>
        <v>9.1122480071321007E-5</v>
      </c>
      <c r="U168">
        <f t="shared" si="6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8"/>
        <v>167</v>
      </c>
      <c r="I169">
        <f>SUM($F$3:F169)/H169</f>
        <v>8536757.9288922157</v>
      </c>
      <c r="N169">
        <f>IF(A169&lt;&gt;$K$10,MAX(N168,VLOOKUP(A169,A:C,3)),)</f>
        <v>0.88599997758865356</v>
      </c>
      <c r="O169">
        <f>IF(A169&lt;&gt;$K$10,MIN(O168,VLOOKUP(A169,A:D,4)),)</f>
        <v>0.84700000286102295</v>
      </c>
      <c r="P169">
        <f t="shared" si="7"/>
        <v>0.85266667604446411</v>
      </c>
      <c r="Q169">
        <f t="shared" si="2"/>
        <v>0.87383333841959632</v>
      </c>
      <c r="R169">
        <f t="shared" si="3"/>
        <v>-2.1166662375132206E-2</v>
      </c>
      <c r="S169">
        <f t="shared" si="4"/>
        <v>6.4285738127572278E-3</v>
      </c>
      <c r="T169">
        <f t="shared" si="5"/>
        <v>9.642860719135841E-5</v>
      </c>
      <c r="U169">
        <f t="shared" si="6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8"/>
        <v>168</v>
      </c>
      <c r="I170">
        <f>SUM($F$3:F170)/H170</f>
        <v>8501105.3102678563</v>
      </c>
      <c r="N170">
        <f>IF(A170&lt;&gt;$K$10,MAX(N169,VLOOKUP(A170,A:C,3)),)</f>
        <v>0.88599997758865356</v>
      </c>
      <c r="O170">
        <f>IF(A170&lt;&gt;$K$10,MIN(O169,VLOOKUP(A170,A:D,4)),)</f>
        <v>0.81199997663497925</v>
      </c>
      <c r="P170">
        <f t="shared" si="7"/>
        <v>0.82599999507268274</v>
      </c>
      <c r="Q170">
        <f t="shared" si="2"/>
        <v>0.87069048058418996</v>
      </c>
      <c r="R170">
        <f t="shared" si="3"/>
        <v>-4.4690485511507227E-2</v>
      </c>
      <c r="S170">
        <f t="shared" si="4"/>
        <v>1.0159866947706066E-2</v>
      </c>
      <c r="T170">
        <f t="shared" si="5"/>
        <v>1.52398004215591E-4</v>
      </c>
      <c r="U170">
        <f t="shared" si="6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8"/>
        <v>169</v>
      </c>
      <c r="I171">
        <f>SUM($F$3:F171)/H171</f>
        <v>8461909.5036982242</v>
      </c>
      <c r="N171">
        <f>IF(A171&lt;&gt;$K$10,MAX(N170,VLOOKUP(A171,A:C,3)),)</f>
        <v>0.88599997758865356</v>
      </c>
      <c r="O171">
        <f>IF(A171&lt;&gt;$K$10,MIN(O170,VLOOKUP(A171,A:D,4)),)</f>
        <v>0.79100000858306885</v>
      </c>
      <c r="P171">
        <f t="shared" si="7"/>
        <v>0.80233333508173621</v>
      </c>
      <c r="Q171">
        <f t="shared" si="2"/>
        <v>0.86528571872484117</v>
      </c>
      <c r="R171">
        <f t="shared" si="3"/>
        <v>-6.2952383643104959E-2</v>
      </c>
      <c r="S171">
        <f t="shared" si="4"/>
        <v>1.6408164282234333E-2</v>
      </c>
      <c r="T171">
        <f t="shared" si="5"/>
        <v>2.4612246423351501E-4</v>
      </c>
      <c r="U171">
        <f t="shared" si="6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8"/>
        <v>170</v>
      </c>
      <c r="I172">
        <f>SUM($F$3:F172)/H172</f>
        <v>8423261.3007352948</v>
      </c>
      <c r="N172">
        <f>IF(A172&lt;&gt;$K$10,MAX(N171,VLOOKUP(A172,A:C,3)),)</f>
        <v>0.88599997758865356</v>
      </c>
      <c r="O172">
        <f>IF(A172&lt;&gt;$K$10,MIN(O171,VLOOKUP(A172,A:D,4)),)</f>
        <v>0.75900000333786011</v>
      </c>
      <c r="P172">
        <f t="shared" si="7"/>
        <v>0.78366667032241821</v>
      </c>
      <c r="Q172">
        <f t="shared" si="2"/>
        <v>0.85835714709191091</v>
      </c>
      <c r="R172">
        <f t="shared" si="3"/>
        <v>-7.4690476769492697E-2</v>
      </c>
      <c r="S172">
        <f t="shared" si="4"/>
        <v>2.4108844549477513E-2</v>
      </c>
      <c r="T172">
        <f t="shared" si="5"/>
        <v>3.6163266824216269E-4</v>
      </c>
      <c r="U172">
        <f t="shared" si="6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8"/>
        <v>171</v>
      </c>
      <c r="I173">
        <f>SUM($F$3:F173)/H173</f>
        <v>8390698.9831871353</v>
      </c>
      <c r="N173">
        <f>IF(A173&lt;&gt;$K$10,MAX(N172,VLOOKUP(A173,A:C,3)),)</f>
        <v>0.88599997758865356</v>
      </c>
      <c r="O173">
        <f>IF(A173&lt;&gt;$K$10,MIN(O172,VLOOKUP(A173,A:D,4)),)</f>
        <v>0.75900000333786011</v>
      </c>
      <c r="P173">
        <f t="shared" si="7"/>
        <v>0.80800000826517737</v>
      </c>
      <c r="Q173">
        <f t="shared" si="2"/>
        <v>0.8534285752546219</v>
      </c>
      <c r="R173">
        <f t="shared" si="3"/>
        <v>-4.542856698944453E-2</v>
      </c>
      <c r="S173">
        <f t="shared" si="4"/>
        <v>2.7782313069518744E-2</v>
      </c>
      <c r="T173">
        <f t="shared" si="5"/>
        <v>4.1673469604278118E-4</v>
      </c>
      <c r="U173">
        <f t="shared" si="6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8"/>
        <v>172</v>
      </c>
      <c r="I174">
        <f>SUM($F$3:F174)/H174</f>
        <v>8355750.1518895347</v>
      </c>
      <c r="N174">
        <f>IF(A174&lt;&gt;$K$10,MAX(N173,VLOOKUP(A174,A:C,3)),)</f>
        <v>0.88599997758865356</v>
      </c>
      <c r="O174">
        <f>IF(A174&lt;&gt;$K$10,MIN(O173,VLOOKUP(A174,A:D,4)),)</f>
        <v>0.75900000333786011</v>
      </c>
      <c r="P174">
        <f t="shared" si="7"/>
        <v>0.80466665824254358</v>
      </c>
      <c r="Q174">
        <f t="shared" si="2"/>
        <v>0.84828571762357441</v>
      </c>
      <c r="R174">
        <f t="shared" si="3"/>
        <v>-4.3619059381030834E-2</v>
      </c>
      <c r="S174">
        <f t="shared" si="4"/>
        <v>3.0965988733330539E-2</v>
      </c>
      <c r="T174">
        <f t="shared" si="5"/>
        <v>4.6448983099995809E-4</v>
      </c>
      <c r="U174">
        <f t="shared" si="6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8"/>
        <v>173</v>
      </c>
      <c r="I175">
        <f>SUM($F$3:F175)/H175</f>
        <v>8312799.0180635834</v>
      </c>
      <c r="N175">
        <f>IF(A175&lt;&gt;$K$10,MAX(N174,VLOOKUP(A175,A:C,3)),)</f>
        <v>0.88599997758865356</v>
      </c>
      <c r="O175">
        <f>IF(A175&lt;&gt;$K$10,MIN(O174,VLOOKUP(A175,A:D,4)),)</f>
        <v>0.75900000333786011</v>
      </c>
      <c r="P175">
        <f t="shared" si="7"/>
        <v>0.79699999094009399</v>
      </c>
      <c r="Q175">
        <f t="shared" si="2"/>
        <v>0.84326190749804186</v>
      </c>
      <c r="R175">
        <f t="shared" si="3"/>
        <v>-4.6261916557947869E-2</v>
      </c>
      <c r="S175">
        <f t="shared" si="4"/>
        <v>3.3986398151942647E-2</v>
      </c>
      <c r="T175">
        <f t="shared" si="5"/>
        <v>5.0979597227913964E-4</v>
      </c>
      <c r="U175">
        <f t="shared" si="6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8"/>
        <v>174</v>
      </c>
      <c r="I176">
        <f>SUM($F$3:F176)/H176</f>
        <v>8273958.2191091953</v>
      </c>
      <c r="N176">
        <f>IF(A176&lt;&gt;$K$10,MAX(N175,VLOOKUP(A176,A:C,3)),)</f>
        <v>0.88599997758865356</v>
      </c>
      <c r="O176">
        <f>IF(A176&lt;&gt;$K$10,MIN(O175,VLOOKUP(A176,A:D,4)),)</f>
        <v>0.75900000333786011</v>
      </c>
      <c r="P176">
        <f t="shared" si="7"/>
        <v>0.77366667985916138</v>
      </c>
      <c r="Q176">
        <f t="shared" si="2"/>
        <v>0.83557143097832098</v>
      </c>
      <c r="R176">
        <f t="shared" si="3"/>
        <v>-6.1904751119159607E-2</v>
      </c>
      <c r="S176">
        <f t="shared" si="4"/>
        <v>3.6238097009204676E-2</v>
      </c>
      <c r="T176">
        <f t="shared" si="5"/>
        <v>5.435714551380701E-4</v>
      </c>
      <c r="U176">
        <f t="shared" si="6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8"/>
        <v>175</v>
      </c>
      <c r="I177">
        <f>SUM($F$3:F177)/H177</f>
        <v>8245373.4178571431</v>
      </c>
      <c r="N177">
        <f>IF(A177&lt;&gt;$K$10,MAX(N176,VLOOKUP(A177,A:C,3)),)</f>
        <v>0.88599997758865356</v>
      </c>
      <c r="O177">
        <f>IF(A177&lt;&gt;$K$10,MIN(O176,VLOOKUP(A177,A:D,4)),)</f>
        <v>0.75</v>
      </c>
      <c r="P177">
        <f t="shared" si="7"/>
        <v>0.7776666680971781</v>
      </c>
      <c r="Q177">
        <f t="shared" si="2"/>
        <v>0.82885714513914921</v>
      </c>
      <c r="R177">
        <f t="shared" si="3"/>
        <v>-5.1190477041971105E-2</v>
      </c>
      <c r="S177">
        <f t="shared" si="4"/>
        <v>3.6836736461743194E-2</v>
      </c>
      <c r="T177">
        <f t="shared" si="5"/>
        <v>5.5255104692614784E-4</v>
      </c>
      <c r="U177">
        <f t="shared" si="6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8"/>
        <v>176</v>
      </c>
      <c r="I178">
        <f>SUM($F$3:F178)/H178</f>
        <v>8210960.6143465908</v>
      </c>
      <c r="N178">
        <f>IF(A178&lt;&gt;$K$10,MAX(N177,VLOOKUP(A178,A:C,3)),)</f>
        <v>0.88599997758865356</v>
      </c>
      <c r="O178">
        <f>IF(A178&lt;&gt;$K$10,MIN(O177,VLOOKUP(A178,A:D,4)),)</f>
        <v>0.75</v>
      </c>
      <c r="P178">
        <f t="shared" si="7"/>
        <v>0.81099998950958252</v>
      </c>
      <c r="Q178">
        <f t="shared" si="2"/>
        <v>0.8239523825191315</v>
      </c>
      <c r="R178">
        <f t="shared" si="3"/>
        <v>-1.2952393009548979E-2</v>
      </c>
      <c r="S178">
        <f t="shared" si="4"/>
        <v>3.3374151405023054E-2</v>
      </c>
      <c r="T178">
        <f t="shared" si="5"/>
        <v>5.0061227107534576E-4</v>
      </c>
      <c r="U178">
        <f t="shared" si="6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8"/>
        <v>177</v>
      </c>
      <c r="I179">
        <f>SUM($F$3:F179)/H179</f>
        <v>8169247.5204802258</v>
      </c>
      <c r="N179">
        <f>IF(A179&lt;&gt;$K$10,MAX(N178,VLOOKUP(A179,A:C,3)),)</f>
        <v>0.88599997758865356</v>
      </c>
      <c r="O179">
        <f>IF(A179&lt;&gt;$K$10,MIN(O178,VLOOKUP(A179,A:D,4)),)</f>
        <v>0.75</v>
      </c>
      <c r="P179">
        <f t="shared" si="7"/>
        <v>0.8089999953905741</v>
      </c>
      <c r="Q179">
        <f t="shared" si="2"/>
        <v>0.8188809525398979</v>
      </c>
      <c r="R179">
        <f t="shared" si="3"/>
        <v>-9.8809571493237991E-3</v>
      </c>
      <c r="S179">
        <f t="shared" si="4"/>
        <v>2.8989796735802424E-2</v>
      </c>
      <c r="T179">
        <f t="shared" si="5"/>
        <v>4.3484695103703636E-4</v>
      </c>
      <c r="U179">
        <f t="shared" si="6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8"/>
        <v>178</v>
      </c>
      <c r="I180">
        <f>SUM($F$3:F180)/H180</f>
        <v>8127731.5287921345</v>
      </c>
      <c r="N180">
        <f>IF(A180&lt;&gt;$K$10,MAX(N179,VLOOKUP(A180,A:C,3)),)</f>
        <v>0.88599997758865356</v>
      </c>
      <c r="O180">
        <f>IF(A180&lt;&gt;$K$10,MIN(O179,VLOOKUP(A180,A:D,4)),)</f>
        <v>0.75</v>
      </c>
      <c r="P180">
        <f t="shared" si="7"/>
        <v>0.81366666158040368</v>
      </c>
      <c r="Q180">
        <f t="shared" si="2"/>
        <v>0.8139761899198803</v>
      </c>
      <c r="R180">
        <f t="shared" si="3"/>
        <v>-3.0952833947661684E-4</v>
      </c>
      <c r="S180">
        <f t="shared" si="4"/>
        <v>2.2727891701419273E-2</v>
      </c>
      <c r="T180">
        <f t="shared" si="5"/>
        <v>3.4091837552128909E-4</v>
      </c>
      <c r="U180">
        <f t="shared" si="6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8"/>
        <v>179</v>
      </c>
      <c r="I181">
        <f>SUM($F$3:F181)/H181</f>
        <v>8088141.9780027932</v>
      </c>
      <c r="N181">
        <f>IF(A181&lt;&gt;$K$10,MAX(N180,VLOOKUP(A181,A:C,3)),)</f>
        <v>0.88599997758865356</v>
      </c>
      <c r="O181">
        <f>IF(A181&lt;&gt;$K$10,MIN(O180,VLOOKUP(A181,A:D,4)),)</f>
        <v>0.75</v>
      </c>
      <c r="P181">
        <f t="shared" si="7"/>
        <v>0.80799998839696252</v>
      </c>
      <c r="Q181">
        <f t="shared" si="2"/>
        <v>0.80949999888737989</v>
      </c>
      <c r="R181">
        <f t="shared" si="3"/>
        <v>-1.5000104904173694E-3</v>
      </c>
      <c r="S181">
        <f t="shared" si="4"/>
        <v>1.7357142198653436E-2</v>
      </c>
      <c r="T181">
        <f t="shared" si="5"/>
        <v>2.6035713297980156E-4</v>
      </c>
      <c r="U181">
        <f t="shared" si="6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8"/>
        <v>180</v>
      </c>
      <c r="I182">
        <f>SUM($F$3:F182)/H182</f>
        <v>8063097.300347222</v>
      </c>
      <c r="N182">
        <f>IF(A182&lt;&gt;$K$10,MAX(N181,VLOOKUP(A182,A:C,3)),)</f>
        <v>0.88599997758865356</v>
      </c>
      <c r="O182">
        <f>IF(A182&lt;&gt;$K$10,MIN(O181,VLOOKUP(A182,A:D,4)),)</f>
        <v>0.75</v>
      </c>
      <c r="P182">
        <f t="shared" si="7"/>
        <v>0.81133333841959632</v>
      </c>
      <c r="Q182">
        <f t="shared" si="2"/>
        <v>0.80561904680161256</v>
      </c>
      <c r="R182">
        <f t="shared" si="3"/>
        <v>5.7142916179837577E-3</v>
      </c>
      <c r="S182">
        <f t="shared" si="4"/>
        <v>1.3530611180934769E-2</v>
      </c>
      <c r="T182">
        <f t="shared" si="5"/>
        <v>2.0295916771402152E-4</v>
      </c>
      <c r="U182">
        <f t="shared" si="6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8"/>
        <v>181</v>
      </c>
      <c r="I183">
        <f>SUM($F$3:F183)/H183</f>
        <v>8025589.0279696137</v>
      </c>
      <c r="N183">
        <f>IF(A183&lt;&gt;$K$10,MAX(N182,VLOOKUP(A183,A:C,3)),)</f>
        <v>0.88599997758865356</v>
      </c>
      <c r="O183">
        <f>IF(A183&lt;&gt;$K$10,MIN(O182,VLOOKUP(A183,A:D,4)),)</f>
        <v>0.75</v>
      </c>
      <c r="P183">
        <f t="shared" si="7"/>
        <v>0.80733335018157959</v>
      </c>
      <c r="Q183">
        <f t="shared" si="2"/>
        <v>0.80238095209712079</v>
      </c>
      <c r="R183">
        <f t="shared" si="3"/>
        <v>4.9523980844587978E-3</v>
      </c>
      <c r="S183">
        <f t="shared" si="4"/>
        <v>1.1081630883573668E-2</v>
      </c>
      <c r="T183">
        <f t="shared" si="5"/>
        <v>1.6622446325360502E-4</v>
      </c>
      <c r="U183">
        <f t="shared" si="6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8"/>
        <v>182</v>
      </c>
      <c r="I184">
        <f>SUM($F$3:F184)/H184</f>
        <v>7986519.3080357146</v>
      </c>
      <c r="N184">
        <f>IF(A184&lt;&gt;$K$10,MAX(N183,VLOOKUP(A184,A:C,3)),)</f>
        <v>0.88599997758865356</v>
      </c>
      <c r="O184">
        <f>IF(A184&lt;&gt;$K$10,MIN(O183,VLOOKUP(A184,A:D,4)),)</f>
        <v>0.75</v>
      </c>
      <c r="P184">
        <f t="shared" si="7"/>
        <v>0.79700001080830896</v>
      </c>
      <c r="Q184">
        <f t="shared" si="2"/>
        <v>0.80030952464966543</v>
      </c>
      <c r="R184">
        <f t="shared" si="3"/>
        <v>-3.3095138413564706E-3</v>
      </c>
      <c r="S184">
        <f t="shared" si="4"/>
        <v>1.0363943317309538E-2</v>
      </c>
      <c r="T184">
        <f t="shared" si="5"/>
        <v>1.5545914975964307E-4</v>
      </c>
      <c r="U184">
        <f t="shared" si="6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8"/>
        <v>183</v>
      </c>
      <c r="I185">
        <f>SUM($F$3:F185)/H185</f>
        <v>7946662.3883196721</v>
      </c>
      <c r="N185">
        <f>IF(A185&lt;&gt;$K$10,MAX(N184,VLOOKUP(A185,A:C,3)),)</f>
        <v>0.88599997758865356</v>
      </c>
      <c r="O185">
        <f>IF(A185&lt;&gt;$K$10,MIN(O184,VLOOKUP(A185,A:D,4)),)</f>
        <v>0.75</v>
      </c>
      <c r="P185">
        <f t="shared" si="7"/>
        <v>0.7809999783833822</v>
      </c>
      <c r="Q185">
        <f t="shared" si="2"/>
        <v>0.79878571345692595</v>
      </c>
      <c r="R185">
        <f t="shared" si="3"/>
        <v>-1.7785735073543751E-2</v>
      </c>
      <c r="S185">
        <f t="shared" si="4"/>
        <v>1.1816326047287495E-2</v>
      </c>
      <c r="T185">
        <f t="shared" si="5"/>
        <v>1.7724489070931242E-4</v>
      </c>
      <c r="U185">
        <f t="shared" si="6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8"/>
        <v>184</v>
      </c>
      <c r="I186">
        <f>SUM($F$3:F186)/H186</f>
        <v>7908265.8536005439</v>
      </c>
      <c r="N186">
        <f>IF(A186&lt;&gt;$K$10,MAX(N185,VLOOKUP(A186,A:C,3)),)</f>
        <v>0.88599997758865356</v>
      </c>
      <c r="O186">
        <f>IF(A186&lt;&gt;$K$10,MIN(O185,VLOOKUP(A186,A:D,4)),)</f>
        <v>0.75</v>
      </c>
      <c r="P186">
        <f t="shared" si="7"/>
        <v>0.778333326180776</v>
      </c>
      <c r="Q186">
        <f t="shared" si="2"/>
        <v>0.79840476030395158</v>
      </c>
      <c r="R186">
        <f t="shared" si="3"/>
        <v>-2.007143412317558E-2</v>
      </c>
      <c r="S186">
        <f t="shared" si="4"/>
        <v>1.2251701079258279E-2</v>
      </c>
      <c r="T186">
        <f t="shared" si="5"/>
        <v>1.8377551618887418E-4</v>
      </c>
      <c r="U186">
        <f t="shared" si="6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8"/>
        <v>185</v>
      </c>
      <c r="I187">
        <f>SUM($F$3:F187)/H187</f>
        <v>7871712.5246621622</v>
      </c>
      <c r="N187">
        <f>IF(A187&lt;&gt;$K$10,MAX(N186,VLOOKUP(A187,A:C,3)),)</f>
        <v>0.88599997758865356</v>
      </c>
      <c r="O187">
        <f>IF(A187&lt;&gt;$K$10,MIN(O186,VLOOKUP(A187,A:D,4)),)</f>
        <v>0.75</v>
      </c>
      <c r="P187">
        <f t="shared" si="7"/>
        <v>0.79366668065389001</v>
      </c>
      <c r="Q187">
        <f t="shared" si="2"/>
        <v>0.79738095118885965</v>
      </c>
      <c r="R187">
        <f t="shared" si="3"/>
        <v>-3.7142705349696437E-3</v>
      </c>
      <c r="S187">
        <f t="shared" si="4"/>
        <v>1.1904760485603691E-2</v>
      </c>
      <c r="T187">
        <f t="shared" si="5"/>
        <v>1.7857140728405537E-4</v>
      </c>
      <c r="U187">
        <f t="shared" si="6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8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7"/>
        <v>0.79433333873748779</v>
      </c>
      <c r="Q188">
        <f t="shared" si="2"/>
        <v>0.79664285693849846</v>
      </c>
      <c r="R188">
        <f t="shared" si="3"/>
        <v>-2.309518201010663E-3</v>
      </c>
      <c r="S188">
        <f t="shared" si="4"/>
        <v>1.1598638531302092E-2</v>
      </c>
      <c r="T188">
        <f t="shared" si="5"/>
        <v>1.7397957796953139E-4</v>
      </c>
      <c r="U188">
        <f t="shared" si="6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8"/>
        <v>187</v>
      </c>
      <c r="I189">
        <f>SUM($F$3:F189)/H189</f>
        <v>7796339.1393716577</v>
      </c>
      <c r="N189">
        <f>IF(A189&lt;&gt;$K$11,MAX(N188,VLOOKUP(A189,A:C,3)),)</f>
        <v>0.80199998617172241</v>
      </c>
      <c r="O189">
        <f>IF(A189&lt;&gt;$K$11,MIN(O188,VLOOKUP(A189,A:D,4)),)</f>
        <v>0.79400002956390381</v>
      </c>
      <c r="P189">
        <f t="shared" si="7"/>
        <v>0.79799999793370568</v>
      </c>
      <c r="Q189">
        <f t="shared" si="2"/>
        <v>0.7967142860094707</v>
      </c>
      <c r="R189">
        <f t="shared" si="3"/>
        <v>1.285711924234989E-3</v>
      </c>
      <c r="S189">
        <f t="shared" si="4"/>
        <v>1.1659863449278321E-2</v>
      </c>
      <c r="T189">
        <f t="shared" si="5"/>
        <v>1.748979517391748E-4</v>
      </c>
      <c r="U189">
        <f t="shared" si="6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8"/>
        <v>188</v>
      </c>
      <c r="I190">
        <f>SUM($F$3:F190)/H190</f>
        <v>7759137.8673537234</v>
      </c>
      <c r="N190">
        <f>IF(A190&lt;&gt;$K$11,MAX(N189,VLOOKUP(A190,A:C,3)),)</f>
        <v>0.80199998617172241</v>
      </c>
      <c r="O190">
        <f>IF(A190&lt;&gt;$K$11,MIN(O189,VLOOKUP(A190,A:D,4)),)</f>
        <v>0.78799998760223389</v>
      </c>
      <c r="P190">
        <f t="shared" si="7"/>
        <v>0.79166666666666663</v>
      </c>
      <c r="Q190">
        <f t="shared" si="2"/>
        <v>0.79799999935286381</v>
      </c>
      <c r="R190">
        <f t="shared" si="3"/>
        <v>-6.3333326861971795E-3</v>
      </c>
      <c r="S190">
        <f t="shared" si="4"/>
        <v>1.0333332480216497E-2</v>
      </c>
      <c r="T190">
        <f t="shared" si="5"/>
        <v>1.5499998720324746E-4</v>
      </c>
      <c r="U190">
        <f t="shared" si="6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8"/>
        <v>189</v>
      </c>
      <c r="I191">
        <f>SUM($F$3:F191)/H191</f>
        <v>7720088.9950396828</v>
      </c>
      <c r="N191">
        <f>IF(A191&lt;&gt;$K$11,MAX(N190,VLOOKUP(A191,A:C,3)),)</f>
        <v>0.80199998617172241</v>
      </c>
      <c r="O191">
        <f>IF(A191&lt;&gt;$K$11,MIN(O190,VLOOKUP(A191,A:D,4)),)</f>
        <v>0.77899998426437378</v>
      </c>
      <c r="P191">
        <f t="shared" si="7"/>
        <v>0.78299999237060547</v>
      </c>
      <c r="Q191">
        <f t="shared" si="2"/>
        <v>0.79838095108668006</v>
      </c>
      <c r="R191">
        <f t="shared" si="3"/>
        <v>-1.5380958716074589E-2</v>
      </c>
      <c r="S191">
        <f t="shared" si="4"/>
        <v>1.0006802422659722E-2</v>
      </c>
      <c r="T191">
        <f t="shared" si="5"/>
        <v>1.5010203633989582E-4</v>
      </c>
      <c r="U191">
        <f t="shared" si="6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8"/>
        <v>190</v>
      </c>
      <c r="I192">
        <f>SUM($F$3:F192)/H192</f>
        <v>7682160.6319078943</v>
      </c>
      <c r="N192">
        <f>IF(A192&lt;&gt;$K$11,MAX(N191,VLOOKUP(A192,A:C,3)),)</f>
        <v>0.80199998617172241</v>
      </c>
      <c r="O192">
        <f>IF(A192&lt;&gt;$K$11,MIN(O191,VLOOKUP(A192,A:D,4)),)</f>
        <v>0.76999998092651367</v>
      </c>
      <c r="P192">
        <f t="shared" si="7"/>
        <v>0.77733331918716431</v>
      </c>
      <c r="Q192">
        <f t="shared" si="2"/>
        <v>0.79597618892079303</v>
      </c>
      <c r="R192">
        <f t="shared" si="3"/>
        <v>-1.864286973362872E-2</v>
      </c>
      <c r="S192">
        <f t="shared" si="4"/>
        <v>1.0357145752225603E-2</v>
      </c>
      <c r="T192">
        <f t="shared" si="5"/>
        <v>1.5535718628338405E-4</v>
      </c>
      <c r="U192">
        <f t="shared" si="6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8"/>
        <v>191</v>
      </c>
      <c r="I193">
        <f>SUM($F$3:F193)/H193</f>
        <v>7652389.6757198954</v>
      </c>
      <c r="N193">
        <f>IF(A193&lt;&gt;$K$11,MAX(N192,VLOOKUP(A193,A:C,3)),)</f>
        <v>0.80199998617172241</v>
      </c>
      <c r="O193">
        <f>IF(A193&lt;&gt;$K$11,MIN(O192,VLOOKUP(A193,A:D,4)),)</f>
        <v>0.74599999189376831</v>
      </c>
      <c r="P193">
        <f t="shared" si="7"/>
        <v>0.75833332538604736</v>
      </c>
      <c r="Q193">
        <f t="shared" si="2"/>
        <v>0.79235714106332689</v>
      </c>
      <c r="R193">
        <f t="shared" si="3"/>
        <v>-3.4023815677279523E-2</v>
      </c>
      <c r="S193">
        <f t="shared" si="4"/>
        <v>1.2068034029331345E-2</v>
      </c>
      <c r="T193">
        <f t="shared" si="5"/>
        <v>1.8102051043997016E-4</v>
      </c>
      <c r="U193">
        <f t="shared" si="6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8"/>
        <v>192</v>
      </c>
      <c r="I194">
        <f>SUM($F$3:F194)/H194</f>
        <v>7630393.9065755205</v>
      </c>
      <c r="N194">
        <f>IF(A194&lt;&gt;$K$11,MAX(N193,VLOOKUP(A194,A:C,3)),)</f>
        <v>0.80199998617172241</v>
      </c>
      <c r="O194">
        <f>IF(A194&lt;&gt;$K$11,MIN(O193,VLOOKUP(A194,A:D,4)),)</f>
        <v>0.74199998378753662</v>
      </c>
      <c r="P194">
        <f t="shared" si="7"/>
        <v>0.75466664632161462</v>
      </c>
      <c r="Q194">
        <f t="shared" si="2"/>
        <v>0.78814285425912767</v>
      </c>
      <c r="R194">
        <f t="shared" si="3"/>
        <v>-3.3476207937513047E-2</v>
      </c>
      <c r="S194">
        <f t="shared" si="4"/>
        <v>1.3741505389310873E-2</v>
      </c>
      <c r="T194">
        <f t="shared" si="5"/>
        <v>2.0612258083966309E-4</v>
      </c>
      <c r="U194">
        <f t="shared" si="6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8"/>
        <v>193</v>
      </c>
      <c r="I195">
        <f>SUM($F$3:F195)/H195</f>
        <v>7595326.6272668391</v>
      </c>
      <c r="N195">
        <f>IF(A195&lt;&gt;$K$11,MAX(N194,VLOOKUP(A195,A:C,3)),)</f>
        <v>0.80199998617172241</v>
      </c>
      <c r="O195">
        <f>IF(A195&lt;&gt;$K$11,MIN(O194,VLOOKUP(A195,A:D,4)),)</f>
        <v>0.74199998378753662</v>
      </c>
      <c r="P195">
        <f t="shared" si="7"/>
        <v>0.75333333015441895</v>
      </c>
      <c r="Q195">
        <f t="shared" si="2"/>
        <v>0.78423809295608893</v>
      </c>
      <c r="R195">
        <f t="shared" si="3"/>
        <v>-3.0904762801669983E-2</v>
      </c>
      <c r="S195">
        <f t="shared" si="4"/>
        <v>1.4809533244087578E-2</v>
      </c>
      <c r="T195">
        <f t="shared" si="5"/>
        <v>2.2214299866131365E-4</v>
      </c>
      <c r="U195">
        <f t="shared" si="6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8"/>
        <v>194</v>
      </c>
      <c r="I196">
        <f>SUM($F$3:F196)/H196</f>
        <v>7577119.8714561854</v>
      </c>
      <c r="N196">
        <f>IF(A196&lt;&gt;$K$11,MAX(N195,VLOOKUP(A196,A:C,3)),)</f>
        <v>0.80199998617172241</v>
      </c>
      <c r="O196">
        <f>IF(A196&lt;&gt;$K$11,MIN(O195,VLOOKUP(A196,A:D,4)),)</f>
        <v>0.74199998378753662</v>
      </c>
      <c r="P196">
        <f t="shared" si="7"/>
        <v>0.75233334302902222</v>
      </c>
      <c r="Q196">
        <f t="shared" si="2"/>
        <v>0.78002380757104794</v>
      </c>
      <c r="R196">
        <f t="shared" si="3"/>
        <v>-2.7690464542025728E-2</v>
      </c>
      <c r="S196">
        <f t="shared" si="4"/>
        <v>1.5115650738177642E-2</v>
      </c>
      <c r="T196">
        <f t="shared" si="5"/>
        <v>2.2673476107266461E-4</v>
      </c>
      <c r="U196">
        <f t="shared" si="6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8"/>
        <v>195</v>
      </c>
      <c r="I197">
        <f>SUM($F$3:F197)/H197</f>
        <v>7552515.6721153846</v>
      </c>
      <c r="N197">
        <f>IF(A197&lt;&gt;$K$11,MAX(N196,VLOOKUP(A197,A:C,3)),)</f>
        <v>0.80199998617172241</v>
      </c>
      <c r="O197">
        <f>IF(A197&lt;&gt;$K$11,MIN(O196,VLOOKUP(A197,A:D,4)),)</f>
        <v>0.73799997568130493</v>
      </c>
      <c r="P197">
        <f t="shared" si="7"/>
        <v>0.74633334080378211</v>
      </c>
      <c r="Q197">
        <f t="shared" si="2"/>
        <v>0.77566666404406237</v>
      </c>
      <c r="R197">
        <f t="shared" si="3"/>
        <v>-2.9333323240280262E-2</v>
      </c>
      <c r="S197">
        <f t="shared" si="4"/>
        <v>1.6190476360775165E-2</v>
      </c>
      <c r="T197">
        <f t="shared" si="5"/>
        <v>2.4285714541162748E-4</v>
      </c>
      <c r="U197">
        <f t="shared" si="6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8"/>
        <v>196</v>
      </c>
      <c r="I198">
        <f>SUM($F$3:F198)/H198</f>
        <v>7529355.3982780613</v>
      </c>
      <c r="N198">
        <f>IF(A198&lt;&gt;$K$11,MAX(N197,VLOOKUP(A198,A:C,3)),)</f>
        <v>0.80199998617172241</v>
      </c>
      <c r="O198">
        <f>IF(A198&lt;&gt;$K$11,MIN(O197,VLOOKUP(A198,A:D,4)),)</f>
        <v>0.73600000143051147</v>
      </c>
      <c r="P198">
        <f t="shared" si="7"/>
        <v>0.74800000588099158</v>
      </c>
      <c r="Q198">
        <f t="shared" si="2"/>
        <v>0.77216666369211084</v>
      </c>
      <c r="R198">
        <f t="shared" si="3"/>
        <v>-2.4166657811119263E-2</v>
      </c>
      <c r="S198">
        <f t="shared" si="4"/>
        <v>1.7142855796684255E-2</v>
      </c>
      <c r="T198">
        <f t="shared" si="5"/>
        <v>2.5714283695026384E-4</v>
      </c>
      <c r="U198">
        <f t="shared" si="6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8"/>
        <v>197</v>
      </c>
      <c r="I199">
        <f>SUM($F$3:F199)/H199</f>
        <v>7500640.3962563453</v>
      </c>
      <c r="N199">
        <f>IF(A199&lt;&gt;$K$11,MAX(N198,VLOOKUP(A199,A:C,3)),)</f>
        <v>0.80199998617172241</v>
      </c>
      <c r="O199">
        <f>IF(A199&lt;&gt;$K$11,MIN(O198,VLOOKUP(A199,A:D,4)),)</f>
        <v>0.73600000143051147</v>
      </c>
      <c r="P199">
        <f t="shared" si="7"/>
        <v>0.74933334191640222</v>
      </c>
      <c r="Q199">
        <f t="shared" si="2"/>
        <v>0.76990476108732675</v>
      </c>
      <c r="R199">
        <f t="shared" si="3"/>
        <v>-2.0571419170924532E-2</v>
      </c>
      <c r="S199">
        <f t="shared" si="4"/>
        <v>1.8142856302715487E-2</v>
      </c>
      <c r="T199">
        <f t="shared" si="5"/>
        <v>2.7214284454073228E-4</v>
      </c>
      <c r="U199">
        <f t="shared" si="6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8"/>
        <v>198</v>
      </c>
      <c r="I200">
        <f>SUM($F$3:F200)/H200</f>
        <v>7473286.6827651514</v>
      </c>
      <c r="N200">
        <f>IF(A200&lt;&gt;$K$11,MAX(N199,VLOOKUP(A200,A:C,3)),)</f>
        <v>0.80199998617172241</v>
      </c>
      <c r="O200">
        <f>IF(A200&lt;&gt;$K$11,MIN(O199,VLOOKUP(A200,A:D,4)),)</f>
        <v>0.7279999852180481</v>
      </c>
      <c r="P200">
        <f t="shared" si="7"/>
        <v>0.73900000254313147</v>
      </c>
      <c r="Q200">
        <f t="shared" si="2"/>
        <v>0.76709523797035217</v>
      </c>
      <c r="R200">
        <f t="shared" si="3"/>
        <v>-2.8095235427220699E-2</v>
      </c>
      <c r="S200">
        <f t="shared" si="4"/>
        <v>1.9346938246772409E-2</v>
      </c>
      <c r="T200">
        <f t="shared" si="5"/>
        <v>2.9020407370158614E-4</v>
      </c>
      <c r="U200">
        <f t="shared" si="6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8"/>
        <v>199</v>
      </c>
      <c r="I201">
        <f>SUM($F$3:F201)/H201</f>
        <v>7449901.8300879393</v>
      </c>
      <c r="N201">
        <f>IF(A201&lt;&gt;$K$11,MAX(N200,VLOOKUP(A201,A:C,3)),)</f>
        <v>0.80199998617172241</v>
      </c>
      <c r="O201">
        <f>IF(A201&lt;&gt;$K$11,MIN(O200,VLOOKUP(A201,A:D,4)),)</f>
        <v>0.70800000429153442</v>
      </c>
      <c r="P201">
        <f t="shared" si="7"/>
        <v>0.71833332379659021</v>
      </c>
      <c r="Q201">
        <f t="shared" si="2"/>
        <v>0.76171428390911644</v>
      </c>
      <c r="R201">
        <f t="shared" si="3"/>
        <v>-4.3380960112526235E-2</v>
      </c>
      <c r="S201">
        <f t="shared" si="4"/>
        <v>1.9394556478578209E-2</v>
      </c>
      <c r="T201">
        <f t="shared" si="5"/>
        <v>2.9091834717867311E-4</v>
      </c>
      <c r="U201">
        <f t="shared" si="6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8"/>
        <v>200</v>
      </c>
      <c r="I202">
        <f>SUM($F$3:F202)/H202</f>
        <v>7418301.3959374996</v>
      </c>
      <c r="N202">
        <f>IF(A202&lt;&gt;$K$11,MAX(N201,VLOOKUP(A202,A:C,3)),)</f>
        <v>0.80199998617172241</v>
      </c>
      <c r="O202">
        <f>IF(A202&lt;&gt;$K$11,MIN(O201,VLOOKUP(A202,A:D,4)),)</f>
        <v>0.70200002193450928</v>
      </c>
      <c r="P202">
        <f t="shared" si="7"/>
        <v>0.70900001128514611</v>
      </c>
      <c r="Q202">
        <f t="shared" si="2"/>
        <v>0.75561904623394927</v>
      </c>
      <c r="R202">
        <f t="shared" si="3"/>
        <v>-4.6619034948803151E-2</v>
      </c>
      <c r="S202">
        <f t="shared" si="4"/>
        <v>1.8605438624920503E-2</v>
      </c>
      <c r="T202">
        <f t="shared" si="5"/>
        <v>2.7908157937380754E-4</v>
      </c>
      <c r="U202">
        <f t="shared" si="6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8"/>
        <v>201</v>
      </c>
      <c r="I203">
        <f>SUM($F$3:F203)/H203</f>
        <v>7390349.1601368161</v>
      </c>
      <c r="N203">
        <f>IF(A203&lt;&gt;$K$11,MAX(N202,VLOOKUP(A203,A:C,3)),)</f>
        <v>0.80199998617172241</v>
      </c>
      <c r="O203">
        <f>IF(A203&lt;&gt;$K$11,MIN(O202,VLOOKUP(A203,A:D,4)),)</f>
        <v>0.67100000381469727</v>
      </c>
      <c r="P203">
        <f t="shared" si="7"/>
        <v>0.68566666046778357</v>
      </c>
      <c r="Q203">
        <f t="shared" si="2"/>
        <v>0.74759523641495484</v>
      </c>
      <c r="R203">
        <f t="shared" si="3"/>
        <v>-6.1928575947171272E-2</v>
      </c>
      <c r="S203">
        <f t="shared" si="4"/>
        <v>1.994897759690575E-2</v>
      </c>
      <c r="T203">
        <f t="shared" si="5"/>
        <v>2.9923466395358623E-4</v>
      </c>
      <c r="U203">
        <f t="shared" si="6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8"/>
        <v>202</v>
      </c>
      <c r="I204">
        <f>SUM($F$3:F204)/H204</f>
        <v>7380837.5751856435</v>
      </c>
      <c r="N204">
        <f>IF(A204&lt;&gt;$K$11,MAX(N203,VLOOKUP(A204,A:C,3)),)</f>
        <v>0.80199998617172241</v>
      </c>
      <c r="O204">
        <f>IF(A204&lt;&gt;$K$11,MIN(O203,VLOOKUP(A204,A:D,4)),)</f>
        <v>0.66100001335144043</v>
      </c>
      <c r="P204">
        <f t="shared" si="7"/>
        <v>0.66733334461847937</v>
      </c>
      <c r="Q204">
        <f t="shared" si="2"/>
        <v>0.73871428484008439</v>
      </c>
      <c r="R204">
        <f t="shared" si="3"/>
        <v>-7.1380940221605016E-2</v>
      </c>
      <c r="S204">
        <f t="shared" si="4"/>
        <v>2.493197131319105E-2</v>
      </c>
      <c r="T204">
        <f t="shared" si="5"/>
        <v>3.7397956969786574E-4</v>
      </c>
      <c r="U204">
        <f t="shared" si="6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8"/>
        <v>203</v>
      </c>
      <c r="I205">
        <f>SUM($F$3:F205)/H205</f>
        <v>7356123.6413177336</v>
      </c>
      <c r="N205">
        <f>IF(A205&lt;&gt;$K$11,MAX(N204,VLOOKUP(A205,A:C,3)),)</f>
        <v>0.80199998617172241</v>
      </c>
      <c r="O205">
        <f>IF(A205&lt;&gt;$K$11,MIN(O204,VLOOKUP(A205,A:D,4)),)</f>
        <v>0.65399998426437378</v>
      </c>
      <c r="P205">
        <f t="shared" si="7"/>
        <v>0.68000000715255737</v>
      </c>
      <c r="Q205">
        <f t="shared" si="2"/>
        <v>0.73135714303879507</v>
      </c>
      <c r="R205">
        <f t="shared" si="3"/>
        <v>-5.1357135886237693E-2</v>
      </c>
      <c r="S205">
        <f t="shared" si="4"/>
        <v>2.8064623981916996E-2</v>
      </c>
      <c r="T205">
        <f t="shared" si="5"/>
        <v>4.2096935972875491E-4</v>
      </c>
      <c r="U205">
        <f t="shared" si="6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8"/>
        <v>204</v>
      </c>
      <c r="I206">
        <f>SUM($F$3:F206)/H206</f>
        <v>7333228.4469975494</v>
      </c>
      <c r="N206">
        <f>IF(A206&lt;&gt;$K$11,MAX(N205,VLOOKUP(A206,A:C,3)),)</f>
        <v>0.80199998617172241</v>
      </c>
      <c r="O206">
        <f>IF(A206&lt;&gt;$K$11,MIN(O205,VLOOKUP(A206,A:D,4)),)</f>
        <v>0.65399998426437378</v>
      </c>
      <c r="P206">
        <f t="shared" si="7"/>
        <v>0.68933335940043128</v>
      </c>
      <c r="Q206">
        <f t="shared" si="2"/>
        <v>0.72507143162545695</v>
      </c>
      <c r="R206">
        <f t="shared" si="3"/>
        <v>-3.5738072225025674E-2</v>
      </c>
      <c r="S206">
        <f t="shared" si="4"/>
        <v>2.8680269004536334E-2</v>
      </c>
      <c r="T206">
        <f t="shared" si="5"/>
        <v>4.3020403506804499E-4</v>
      </c>
      <c r="U206">
        <f t="shared" si="6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8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7"/>
        <v>0.7093333204587301</v>
      </c>
      <c r="Q207">
        <f t="shared" si="2"/>
        <v>0.72157143127350576</v>
      </c>
      <c r="R207">
        <f t="shared" si="3"/>
        <v>-1.223811081477566E-2</v>
      </c>
      <c r="S207">
        <f t="shared" si="4"/>
        <v>2.7428570247831796E-2</v>
      </c>
      <c r="T207">
        <f t="shared" si="5"/>
        <v>4.114285537174769E-4</v>
      </c>
      <c r="U207">
        <f t="shared" si="6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8"/>
        <v>206</v>
      </c>
      <c r="I208">
        <f>SUM($F$3:F208)/H208</f>
        <v>7280339.3358616503</v>
      </c>
      <c r="N208">
        <f>IF(A208&lt;&gt;$K$12,MAX(N207,VLOOKUP(A208,A:C,3)),)</f>
        <v>0.72500002384185791</v>
      </c>
      <c r="O208">
        <f>IF(A208&lt;&gt;$K$12,MIN(O207,VLOOKUP(A208,A:D,4)),)</f>
        <v>0.69099998474121094</v>
      </c>
      <c r="P208">
        <f t="shared" si="7"/>
        <v>0.71133333444595337</v>
      </c>
      <c r="Q208">
        <f t="shared" si="2"/>
        <v>0.71847619471095858</v>
      </c>
      <c r="R208">
        <f t="shared" si="3"/>
        <v>-7.1428602650052131E-3</v>
      </c>
      <c r="S208">
        <f t="shared" si="4"/>
        <v>2.5353742294571022E-2</v>
      </c>
      <c r="T208">
        <f t="shared" si="5"/>
        <v>3.8030613441856532E-4</v>
      </c>
      <c r="U208">
        <f t="shared" si="6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8"/>
        <v>207</v>
      </c>
      <c r="I209">
        <f>SUM($F$3:F209)/H209</f>
        <v>7257311.1265096618</v>
      </c>
      <c r="N209">
        <f>IF(A209&lt;&gt;$K$12,MAX(N208,VLOOKUP(A209,A:C,3)),)</f>
        <v>0.72500002384185791</v>
      </c>
      <c r="O209">
        <f>IF(A209&lt;&gt;$K$12,MIN(O208,VLOOKUP(A209,A:D,4)),)</f>
        <v>0.69099998474121094</v>
      </c>
      <c r="P209">
        <f t="shared" si="7"/>
        <v>0.70366666714350379</v>
      </c>
      <c r="Q209">
        <f t="shared" si="2"/>
        <v>0.71492857592446468</v>
      </c>
      <c r="R209">
        <f t="shared" si="3"/>
        <v>-1.1261908780960894E-2</v>
      </c>
      <c r="S209">
        <f t="shared" si="4"/>
        <v>2.339455748901887E-2</v>
      </c>
      <c r="T209">
        <f t="shared" si="5"/>
        <v>3.5091836233528306E-4</v>
      </c>
      <c r="U209">
        <f t="shared" si="6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8"/>
        <v>208</v>
      </c>
      <c r="I210">
        <f>SUM($F$3:F210)/H210</f>
        <v>7225384.149939904</v>
      </c>
      <c r="N210">
        <f>IF(A210&lt;&gt;$K$12,MAX(N209,VLOOKUP(A210,A:C,3)),)</f>
        <v>0.72500002384185791</v>
      </c>
      <c r="O210">
        <f>IF(A210&lt;&gt;$K$12,MIN(O209,VLOOKUP(A210,A:D,4)),)</f>
        <v>0.69099998474121094</v>
      </c>
      <c r="P210">
        <f t="shared" si="7"/>
        <v>0.6966666579246521</v>
      </c>
      <c r="Q210">
        <f t="shared" si="2"/>
        <v>0.71095238413129536</v>
      </c>
      <c r="R210">
        <f t="shared" si="3"/>
        <v>-1.4285726206643257E-2</v>
      </c>
      <c r="S210">
        <f t="shared" si="4"/>
        <v>2.0945577799868425E-2</v>
      </c>
      <c r="T210">
        <f t="shared" si="5"/>
        <v>3.1418366699802636E-4</v>
      </c>
      <c r="U210">
        <f t="shared" si="6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8"/>
        <v>209</v>
      </c>
      <c r="I211">
        <f>SUM($F$3:F211)/H211</f>
        <v>7196947.3980263155</v>
      </c>
      <c r="N211">
        <f>IF(A211&lt;&gt;$K$12,MAX(N210,VLOOKUP(A211,A:C,3)),)</f>
        <v>0.72500002384185791</v>
      </c>
      <c r="O211">
        <f>IF(A211&lt;&gt;$K$12,MIN(O210,VLOOKUP(A211,A:D,4)),)</f>
        <v>0.68199998140335083</v>
      </c>
      <c r="P211">
        <f t="shared" si="7"/>
        <v>0.69733331600824988</v>
      </c>
      <c r="Q211">
        <f t="shared" si="2"/>
        <v>0.70745238236018593</v>
      </c>
      <c r="R211">
        <f t="shared" si="3"/>
        <v>-1.0119066351936046E-2</v>
      </c>
      <c r="S211">
        <f t="shared" si="4"/>
        <v>1.8880951972234834E-2</v>
      </c>
      <c r="T211">
        <f t="shared" si="5"/>
        <v>2.8321427958352251E-4</v>
      </c>
      <c r="U211">
        <f t="shared" si="6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8"/>
        <v>210</v>
      </c>
      <c r="I212">
        <f>SUM($F$3:F212)/H212</f>
        <v>7172542.4913690472</v>
      </c>
      <c r="N212">
        <f>IF(A212&lt;&gt;$K$12,MAX(N211,VLOOKUP(A212,A:C,3)),)</f>
        <v>0.7369999885559082</v>
      </c>
      <c r="O212">
        <f>IF(A212&lt;&gt;$K$12,MIN(O211,VLOOKUP(A212,A:D,4)),)</f>
        <v>0.68199998140335083</v>
      </c>
      <c r="P212">
        <f t="shared" si="7"/>
        <v>0.72366664807001746</v>
      </c>
      <c r="Q212">
        <f t="shared" si="2"/>
        <v>0.70571428537368774</v>
      </c>
      <c r="R212">
        <f t="shared" si="3"/>
        <v>1.7952362696329716E-2</v>
      </c>
      <c r="S212">
        <f t="shared" si="4"/>
        <v>1.7142854985736682E-2</v>
      </c>
      <c r="T212">
        <f t="shared" si="5"/>
        <v>2.5714282478605025E-4</v>
      </c>
      <c r="U212">
        <f t="shared" si="6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8"/>
        <v>211</v>
      </c>
      <c r="I213">
        <f>SUM($F$3:F213)/H213</f>
        <v>7150645.6122630332</v>
      </c>
      <c r="N213">
        <f>IF(A213&lt;&gt;$K$12,MAX(N212,VLOOKUP(A213,A:C,3)),)</f>
        <v>0.7369999885559082</v>
      </c>
      <c r="O213">
        <f>IF(A213&lt;&gt;$K$12,MIN(O212,VLOOKUP(A213,A:D,4)),)</f>
        <v>0.68199998140335083</v>
      </c>
      <c r="P213">
        <f t="shared" si="7"/>
        <v>0.72200000286102295</v>
      </c>
      <c r="Q213">
        <f t="shared" si="2"/>
        <v>0.7037619040125892</v>
      </c>
      <c r="R213">
        <f t="shared" si="3"/>
        <v>1.8238098848433748E-2</v>
      </c>
      <c r="S213">
        <f t="shared" si="4"/>
        <v>1.5190473624638165E-2</v>
      </c>
      <c r="T213">
        <f t="shared" si="5"/>
        <v>2.2785710436957248E-4</v>
      </c>
      <c r="U213">
        <f t="shared" si="6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8"/>
        <v>212</v>
      </c>
      <c r="I214">
        <f>SUM($F$3:F214)/H214</f>
        <v>7117937.8546580188</v>
      </c>
      <c r="N214">
        <f>IF(A214&lt;&gt;$K$12,MAX(N213,VLOOKUP(A214,A:C,3)),)</f>
        <v>0.7369999885559082</v>
      </c>
      <c r="O214">
        <f>IF(A214&lt;&gt;$K$12,MIN(O213,VLOOKUP(A214,A:D,4)),)</f>
        <v>0.68199998140335083</v>
      </c>
      <c r="P214">
        <f t="shared" si="7"/>
        <v>0.72600001096725464</v>
      </c>
      <c r="Q214">
        <f t="shared" si="2"/>
        <v>0.70283333318574093</v>
      </c>
      <c r="R214">
        <f t="shared" si="3"/>
        <v>2.3166677781513711E-2</v>
      </c>
      <c r="S214">
        <f t="shared" si="4"/>
        <v>1.4380950506041656E-2</v>
      </c>
      <c r="T214">
        <f t="shared" si="5"/>
        <v>2.1571425759062484E-4</v>
      </c>
      <c r="U214">
        <f t="shared" si="6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8"/>
        <v>213</v>
      </c>
      <c r="I215">
        <f>SUM($F$3:F215)/H215</f>
        <v>7104389.3201291077</v>
      </c>
      <c r="N215">
        <f>IF(A215&lt;&gt;$K$12,MAX(N214,VLOOKUP(A215,A:C,3)),)</f>
        <v>0.7369999885559082</v>
      </c>
      <c r="O215">
        <f>IF(A215&lt;&gt;$K$12,MIN(O214,VLOOKUP(A215,A:D,4)),)</f>
        <v>0.68199998140335083</v>
      </c>
      <c r="P215">
        <f t="shared" si="7"/>
        <v>0.72600001096725464</v>
      </c>
      <c r="Q215">
        <f t="shared" si="2"/>
        <v>0.7033809536979313</v>
      </c>
      <c r="R215">
        <f t="shared" si="3"/>
        <v>2.2619057269323339E-2</v>
      </c>
      <c r="S215">
        <f t="shared" si="4"/>
        <v>1.4850339516490492E-2</v>
      </c>
      <c r="T215">
        <f t="shared" si="5"/>
        <v>2.2275509274735737E-4</v>
      </c>
      <c r="U215">
        <f t="shared" si="6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8"/>
        <v>214</v>
      </c>
      <c r="I216">
        <f>SUM($F$3:F216)/H216</f>
        <v>7089084.7205023365</v>
      </c>
      <c r="N216">
        <f>IF(A216&lt;&gt;$K$12,MAX(N215,VLOOKUP(A216,A:C,3)),)</f>
        <v>0.7369999885559082</v>
      </c>
      <c r="O216">
        <f>IF(A216&lt;&gt;$K$12,MIN(O215,VLOOKUP(A216,A:D,4)),)</f>
        <v>0.68199998140335083</v>
      </c>
      <c r="P216">
        <f t="shared" si="7"/>
        <v>0.72766665617624915</v>
      </c>
      <c r="Q216">
        <f t="shared" si="2"/>
        <v>0.70471428547586712</v>
      </c>
      <c r="R216">
        <f t="shared" si="3"/>
        <v>2.295237070038203E-2</v>
      </c>
      <c r="S216">
        <f t="shared" si="4"/>
        <v>1.6142855087916068E-2</v>
      </c>
      <c r="T216">
        <f t="shared" si="5"/>
        <v>2.4214282631874101E-4</v>
      </c>
      <c r="U216">
        <f t="shared" si="6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8"/>
        <v>215</v>
      </c>
      <c r="I217">
        <f>SUM($F$3:F217)/H217</f>
        <v>7062285.7264534887</v>
      </c>
      <c r="N217">
        <f>IF(A217&lt;&gt;$K$12,MAX(N216,VLOOKUP(A217,A:C,3)),)</f>
        <v>0.73799997568130493</v>
      </c>
      <c r="O217">
        <f>IF(A217&lt;&gt;$K$12,MIN(O216,VLOOKUP(A217,A:D,4)),)</f>
        <v>0.68199998140335083</v>
      </c>
      <c r="P217">
        <f t="shared" si="7"/>
        <v>0.73366665840148926</v>
      </c>
      <c r="Q217">
        <f t="shared" si="2"/>
        <v>0.70814285675684618</v>
      </c>
      <c r="R217">
        <f t="shared" si="3"/>
        <v>2.5523801644643074E-2</v>
      </c>
      <c r="S217">
        <f t="shared" si="4"/>
        <v>1.6360541184743244E-2</v>
      </c>
      <c r="T217">
        <f t="shared" si="5"/>
        <v>2.4540811777114865E-4</v>
      </c>
      <c r="U217">
        <f t="shared" si="6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8"/>
        <v>216</v>
      </c>
      <c r="I218">
        <f>SUM($F$3:F218)/H218</f>
        <v>7033717.2740162034</v>
      </c>
      <c r="N218">
        <f>IF(A218&lt;&gt;$K$12,MAX(N217,VLOOKUP(A218,A:C,3)),)</f>
        <v>0.73799997568130493</v>
      </c>
      <c r="O218">
        <f>IF(A218&lt;&gt;$K$12,MIN(O217,VLOOKUP(A218,A:D,4)),)</f>
        <v>0.68199998140335083</v>
      </c>
      <c r="P218">
        <f t="shared" si="7"/>
        <v>0.73033334811528527</v>
      </c>
      <c r="Q218">
        <f t="shared" si="2"/>
        <v>0.712642857006618</v>
      </c>
      <c r="R218">
        <f t="shared" si="3"/>
        <v>1.7690491108667272E-2</v>
      </c>
      <c r="S218">
        <f t="shared" si="4"/>
        <v>1.4404762358892534E-2</v>
      </c>
      <c r="T218">
        <f t="shared" si="5"/>
        <v>2.16071435383388E-4</v>
      </c>
      <c r="U218">
        <f t="shared" si="6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8"/>
        <v>217</v>
      </c>
      <c r="I219">
        <f>SUM($F$3:F219)/H219</f>
        <v>7016633.3234447008</v>
      </c>
      <c r="N219">
        <f>IF(A219&lt;&gt;$K$12,MAX(N218,VLOOKUP(A219,A:C,3)),)</f>
        <v>0.74800002574920654</v>
      </c>
      <c r="O219">
        <f>IF(A219&lt;&gt;$K$12,MIN(O218,VLOOKUP(A219,A:D,4)),)</f>
        <v>0.68199998140335083</v>
      </c>
      <c r="P219">
        <f t="shared" si="7"/>
        <v>0.74366666873296106</v>
      </c>
      <c r="Q219">
        <f t="shared" si="2"/>
        <v>0.71719047569093264</v>
      </c>
      <c r="R219">
        <f t="shared" si="3"/>
        <v>2.6476193042028418E-2</v>
      </c>
      <c r="S219">
        <f t="shared" si="4"/>
        <v>1.3639456966296331E-2</v>
      </c>
      <c r="T219">
        <f t="shared" si="5"/>
        <v>2.0459185449444496E-4</v>
      </c>
      <c r="U219">
        <f t="shared" si="6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8"/>
        <v>218</v>
      </c>
      <c r="I220">
        <f>SUM($F$3:F220)/H220</f>
        <v>6986962.0696674315</v>
      </c>
      <c r="N220">
        <f>IF(A220&lt;&gt;$K$12,MAX(N219,VLOOKUP(A220,A:C,3)),)</f>
        <v>0.74800002574920654</v>
      </c>
      <c r="O220">
        <f>IF(A220&lt;&gt;$K$12,MIN(O219,VLOOKUP(A220,A:D,4)),)</f>
        <v>0.68199998140335083</v>
      </c>
      <c r="P220">
        <f t="shared" si="7"/>
        <v>0.74099999666213989</v>
      </c>
      <c r="Q220">
        <f t="shared" si="2"/>
        <v>0.72088094978105466</v>
      </c>
      <c r="R220">
        <f t="shared" si="3"/>
        <v>2.0119046881085234E-2</v>
      </c>
      <c r="S220">
        <f t="shared" si="4"/>
        <v>1.2295921846311888E-2</v>
      </c>
      <c r="T220">
        <f t="shared" si="5"/>
        <v>1.8443882769467832E-4</v>
      </c>
      <c r="U220">
        <f t="shared" si="6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8"/>
        <v>219</v>
      </c>
      <c r="I221">
        <f>SUM($F$3:F221)/H221</f>
        <v>6966069.54880137</v>
      </c>
      <c r="N221">
        <f>IF(A221&lt;&gt;$K$12,MAX(N220,VLOOKUP(A221,A:C,3)),)</f>
        <v>0.74800002574920654</v>
      </c>
      <c r="O221">
        <f>IF(A221&lt;&gt;$K$12,MIN(O220,VLOOKUP(A221,A:D,4)),)</f>
        <v>0.68199998140335083</v>
      </c>
      <c r="P221">
        <f t="shared" si="7"/>
        <v>0.72633332014083862</v>
      </c>
      <c r="Q221">
        <f t="shared" si="2"/>
        <v>0.72209523547263377</v>
      </c>
      <c r="R221">
        <f t="shared" si="3"/>
        <v>4.2380846682048556E-3</v>
      </c>
      <c r="S221">
        <f t="shared" si="4"/>
        <v>1.135374271139806E-2</v>
      </c>
      <c r="T221">
        <f t="shared" si="5"/>
        <v>1.7030614067097089E-4</v>
      </c>
      <c r="U221">
        <f t="shared" si="6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8"/>
        <v>220</v>
      </c>
      <c r="I222">
        <f>SUM($F$3:F222)/H222</f>
        <v>6946613.3235795451</v>
      </c>
      <c r="N222">
        <f>IF(A222&lt;&gt;$K$12,MAX(N221,VLOOKUP(A222,A:C,3)),)</f>
        <v>0.74800002574920654</v>
      </c>
      <c r="O222">
        <f>IF(A222&lt;&gt;$K$12,MIN(O221,VLOOKUP(A222,A:D,4)),)</f>
        <v>0.68199998140335083</v>
      </c>
      <c r="P222">
        <f t="shared" si="7"/>
        <v>0.71933333079020179</v>
      </c>
      <c r="Q222">
        <f t="shared" si="2"/>
        <v>0.72266666378293709</v>
      </c>
      <c r="R222">
        <f t="shared" si="3"/>
        <v>-3.333332992735305E-3</v>
      </c>
      <c r="S222">
        <f t="shared" si="4"/>
        <v>1.0619049169579366E-2</v>
      </c>
      <c r="T222">
        <f t="shared" si="5"/>
        <v>1.5928573754369049E-4</v>
      </c>
      <c r="U222">
        <f t="shared" si="6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8"/>
        <v>221</v>
      </c>
      <c r="I223">
        <f>SUM($F$3:F223)/H223</f>
        <v>6918131.3628393663</v>
      </c>
      <c r="N223">
        <f>IF(A223&lt;&gt;$K$12,MAX(N222,VLOOKUP(A223,A:C,3)),)</f>
        <v>0.74800002574920654</v>
      </c>
      <c r="O223">
        <f>IF(A223&lt;&gt;$K$12,MIN(O222,VLOOKUP(A223,A:D,4)),)</f>
        <v>0.68199998140335083</v>
      </c>
      <c r="P223">
        <f t="shared" si="7"/>
        <v>0.72200000286102295</v>
      </c>
      <c r="Q223">
        <f t="shared" si="2"/>
        <v>0.72397618776275985</v>
      </c>
      <c r="R223">
        <f t="shared" si="3"/>
        <v>-1.9761849017368993E-3</v>
      </c>
      <c r="S223">
        <f t="shared" si="4"/>
        <v>8.9795954373418363E-3</v>
      </c>
      <c r="T223">
        <f t="shared" si="5"/>
        <v>1.3469393156012753E-4</v>
      </c>
      <c r="U223">
        <f t="shared" si="6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8"/>
        <v>222</v>
      </c>
      <c r="I224">
        <f>SUM($F$3:F224)/H224</f>
        <v>6893725.8747184686</v>
      </c>
      <c r="N224">
        <f>IF(A224&lt;&gt;$K$12,MAX(N223,VLOOKUP(A224,A:C,3)),)</f>
        <v>0.74800002574920654</v>
      </c>
      <c r="O224">
        <f>IF(A224&lt;&gt;$K$12,MIN(O223,VLOOKUP(A224,A:D,4)),)</f>
        <v>0.68199998140335083</v>
      </c>
      <c r="P224">
        <f t="shared" si="7"/>
        <v>0.7279999852180481</v>
      </c>
      <c r="Q224">
        <f t="shared" si="2"/>
        <v>0.72621428256943099</v>
      </c>
      <c r="R224">
        <f t="shared" si="3"/>
        <v>1.7857026486171046E-3</v>
      </c>
      <c r="S224">
        <f t="shared" si="4"/>
        <v>6.7380936372847889E-3</v>
      </c>
      <c r="T224">
        <f t="shared" si="5"/>
        <v>1.0107140455927183E-4</v>
      </c>
      <c r="U224">
        <f t="shared" si="6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8"/>
        <v>223</v>
      </c>
      <c r="I225">
        <f>SUM($F$3:F225)/H225</f>
        <v>6873002.888733184</v>
      </c>
      <c r="N225">
        <f>IF(A225&lt;&gt;$K$12,MAX(N224,VLOOKUP(A225,A:C,3)),)</f>
        <v>0.74800002574920654</v>
      </c>
      <c r="O225">
        <f>IF(A225&lt;&gt;$K$12,MIN(O224,VLOOKUP(A225,A:D,4)),)</f>
        <v>0.68199998140335083</v>
      </c>
      <c r="P225">
        <f t="shared" si="7"/>
        <v>0.731333335240682</v>
      </c>
      <c r="Q225">
        <f t="shared" si="2"/>
        <v>0.72864285537174767</v>
      </c>
      <c r="R225">
        <f t="shared" si="3"/>
        <v>2.6904798689343368E-3</v>
      </c>
      <c r="S225">
        <f t="shared" si="4"/>
        <v>5.255104327688419E-3</v>
      </c>
      <c r="T225">
        <f t="shared" si="5"/>
        <v>7.8826564915326276E-5</v>
      </c>
      <c r="U225">
        <f t="shared" si="6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8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7"/>
        <v>0.74066666762034095</v>
      </c>
      <c r="Q226">
        <f t="shared" si="2"/>
        <v>0.72985714248248512</v>
      </c>
      <c r="R226">
        <f t="shared" si="3"/>
        <v>1.0809525137855824E-2</v>
      </c>
      <c r="S226">
        <f t="shared" si="4"/>
        <v>5.9319742682839892E-3</v>
      </c>
      <c r="T226">
        <f t="shared" si="5"/>
        <v>8.8979614024259839E-5</v>
      </c>
      <c r="U226">
        <f t="shared" si="6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8"/>
        <v>225</v>
      </c>
      <c r="I227">
        <f>SUM($F$3:F227)/H227</f>
        <v>6828489.6363888886</v>
      </c>
      <c r="N227">
        <f>IF(A227&lt;&gt;$K$13,MAX(N226,VLOOKUP(A227,A:C,3)),)</f>
        <v>0.75599998235702515</v>
      </c>
      <c r="O227">
        <f>IF(A227&lt;&gt;$K$13,MIN(O226,VLOOKUP(A227,A:D,4)),)</f>
        <v>0.74400001764297485</v>
      </c>
      <c r="P227">
        <f t="shared" si="7"/>
        <v>0.75100000699361169</v>
      </c>
      <c r="Q227">
        <f t="shared" si="2"/>
        <v>0.73192857134909861</v>
      </c>
      <c r="R227">
        <f t="shared" si="3"/>
        <v>1.9071435644513079E-2</v>
      </c>
      <c r="S227">
        <f t="shared" si="4"/>
        <v>7.1938773807214374E-3</v>
      </c>
      <c r="T227">
        <f t="shared" si="5"/>
        <v>1.0790816071082156E-4</v>
      </c>
      <c r="U227">
        <f t="shared" si="6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8"/>
        <v>226</v>
      </c>
      <c r="I228">
        <f>SUM($F$3:F228)/H228</f>
        <v>6814603.3990597343</v>
      </c>
      <c r="N228">
        <f>IF(A228&lt;&gt;$K$13,MAX(N227,VLOOKUP(A228,A:C,3)),)</f>
        <v>0.76200002431869507</v>
      </c>
      <c r="O228">
        <f>IF(A228&lt;&gt;$K$13,MIN(O227,VLOOKUP(A228,A:D,4)),)</f>
        <v>0.74400001764297485</v>
      </c>
      <c r="P228">
        <f t="shared" si="7"/>
        <v>0.7573333581288656</v>
      </c>
      <c r="Q228">
        <f t="shared" si="2"/>
        <v>0.73416666757492799</v>
      </c>
      <c r="R228">
        <f t="shared" si="3"/>
        <v>2.3166690553937608E-2</v>
      </c>
      <c r="S228">
        <f t="shared" si="4"/>
        <v>8.9761943233256682E-3</v>
      </c>
      <c r="T228">
        <f t="shared" si="5"/>
        <v>1.3464291484988501E-4</v>
      </c>
      <c r="U228">
        <f t="shared" si="6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8"/>
        <v>227</v>
      </c>
      <c r="I229">
        <f>SUM($F$3:F229)/H229</f>
        <v>6796578.7276982376</v>
      </c>
      <c r="N229">
        <f>IF(A229&lt;&gt;$K$13,MAX(N228,VLOOKUP(A229,A:C,3)),)</f>
        <v>0.7850000262260437</v>
      </c>
      <c r="O229">
        <f>IF(A229&lt;&gt;$K$13,MIN(O228,VLOOKUP(A229,A:D,4)),)</f>
        <v>0.74400001764297485</v>
      </c>
      <c r="P229">
        <f t="shared" si="7"/>
        <v>0.77866667509078979</v>
      </c>
      <c r="Q229">
        <f t="shared" si="2"/>
        <v>0.73792857215518048</v>
      </c>
      <c r="R229">
        <f t="shared" si="3"/>
        <v>4.0738102935609311E-2</v>
      </c>
      <c r="S229">
        <f t="shared" si="4"/>
        <v>1.210884861394663E-2</v>
      </c>
      <c r="T229">
        <f t="shared" si="5"/>
        <v>1.8163272920919944E-4</v>
      </c>
      <c r="U229">
        <f t="shared" si="6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8"/>
        <v>228</v>
      </c>
      <c r="I230">
        <f>SUM($F$3:F230)/H230</f>
        <v>6786321.8034539474</v>
      </c>
      <c r="N230">
        <f>IF(A230&lt;&gt;$K$13,MAX(N229,VLOOKUP(A230,A:C,3)),)</f>
        <v>0.78799998760223389</v>
      </c>
      <c r="O230">
        <f>IF(A230&lt;&gt;$K$13,MIN(O229,VLOOKUP(A230,A:D,4)),)</f>
        <v>0.74400001764297485</v>
      </c>
      <c r="P230">
        <f t="shared" si="7"/>
        <v>0.78200000524520874</v>
      </c>
      <c r="Q230">
        <f t="shared" si="2"/>
        <v>0.74180952566010627</v>
      </c>
      <c r="R230">
        <f t="shared" si="3"/>
        <v>4.0190479585102468E-2</v>
      </c>
      <c r="S230">
        <f t="shared" si="4"/>
        <v>1.4802726555843795E-2</v>
      </c>
      <c r="T230">
        <f t="shared" si="5"/>
        <v>2.2204089833765693E-4</v>
      </c>
      <c r="U230">
        <f t="shared" si="6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8"/>
        <v>229</v>
      </c>
      <c r="I231">
        <f>SUM($F$3:F231)/H231</f>
        <v>6768379.8130458519</v>
      </c>
      <c r="N231">
        <f>IF(A231&lt;&gt;$K$13,MAX(N230,VLOOKUP(A231,A:C,3)),)</f>
        <v>0.78899997472763062</v>
      </c>
      <c r="O231">
        <f>IF(A231&lt;&gt;$K$13,MIN(O230,VLOOKUP(A231,A:D,4)),)</f>
        <v>0.74400001764297485</v>
      </c>
      <c r="P231">
        <f t="shared" si="7"/>
        <v>0.78333332141240442</v>
      </c>
      <c r="Q231">
        <f t="shared" si="2"/>
        <v>0.74535714444660006</v>
      </c>
      <c r="R231">
        <f t="shared" si="3"/>
        <v>3.7976176965804354E-2</v>
      </c>
      <c r="S231">
        <f t="shared" si="4"/>
        <v>1.7935377805411417E-2</v>
      </c>
      <c r="T231">
        <f t="shared" si="5"/>
        <v>2.6903066708117124E-4</v>
      </c>
      <c r="U231">
        <f t="shared" si="6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8"/>
        <v>230</v>
      </c>
      <c r="I232">
        <f>SUM($F$3:F232)/H232</f>
        <v>6746737.7269021738</v>
      </c>
      <c r="N232">
        <f>IF(A232&lt;&gt;$K$13,MAX(N231,VLOOKUP(A232,A:C,3)),)</f>
        <v>0.79400002956390381</v>
      </c>
      <c r="O232">
        <f>IF(A232&lt;&gt;$K$13,MIN(O231,VLOOKUP(A232,A:D,4)),)</f>
        <v>0.74400001764297485</v>
      </c>
      <c r="P232">
        <f t="shared" si="7"/>
        <v>0.77666668097178138</v>
      </c>
      <c r="Q232">
        <f t="shared" si="2"/>
        <v>0.74866666822206407</v>
      </c>
      <c r="R232">
        <f t="shared" si="3"/>
        <v>2.8000012749717307E-2</v>
      </c>
      <c r="S232">
        <f t="shared" si="4"/>
        <v>1.9571434072896743E-2</v>
      </c>
      <c r="T232">
        <f t="shared" si="5"/>
        <v>2.9357151109345116E-4</v>
      </c>
      <c r="U232">
        <f t="shared" si="6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8"/>
        <v>231</v>
      </c>
      <c r="I233">
        <f>SUM($F$3:F233)/H233</f>
        <v>6722069.165313853</v>
      </c>
      <c r="N233">
        <f>IF(A233&lt;&gt;$K$13,MAX(N232,VLOOKUP(A233,A:C,3)),)</f>
        <v>0.79400002956390381</v>
      </c>
      <c r="O233">
        <f>IF(A233&lt;&gt;$K$13,MIN(O232,VLOOKUP(A233,A:D,4)),)</f>
        <v>0.74400001764297485</v>
      </c>
      <c r="P233">
        <f t="shared" si="7"/>
        <v>0.7776666680971781</v>
      </c>
      <c r="Q233">
        <f t="shared" si="2"/>
        <v>0.75109523960522229</v>
      </c>
      <c r="R233">
        <f t="shared" si="3"/>
        <v>2.6571428491955817E-2</v>
      </c>
      <c r="S233">
        <f t="shared" si="4"/>
        <v>2.1299324473556185E-2</v>
      </c>
      <c r="T233">
        <f t="shared" si="5"/>
        <v>3.1948986710334274E-4</v>
      </c>
      <c r="U233">
        <f t="shared" si="6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8"/>
        <v>232</v>
      </c>
      <c r="I234">
        <f>SUM($F$3:F234)/H234</f>
        <v>6698385.2464978453</v>
      </c>
      <c r="N234">
        <f>IF(A234&lt;&gt;$K$13,MAX(N233,VLOOKUP(A234,A:C,3)),)</f>
        <v>0.79400002956390381</v>
      </c>
      <c r="O234">
        <f>IF(A234&lt;&gt;$K$13,MIN(O233,VLOOKUP(A234,A:D,4)),)</f>
        <v>0.74400001764297485</v>
      </c>
      <c r="P234">
        <f t="shared" si="7"/>
        <v>0.78200000524520874</v>
      </c>
      <c r="Q234">
        <f t="shared" si="2"/>
        <v>0.75402381164687005</v>
      </c>
      <c r="R234">
        <f t="shared" si="3"/>
        <v>2.7976193598338694E-2</v>
      </c>
      <c r="S234">
        <f t="shared" si="4"/>
        <v>2.2785718951906477E-2</v>
      </c>
      <c r="T234">
        <f t="shared" si="5"/>
        <v>3.4178578427859714E-4</v>
      </c>
      <c r="U234">
        <f t="shared" si="6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8"/>
        <v>233</v>
      </c>
      <c r="I235">
        <f>SUM($F$3:F235)/H235</f>
        <v>6679753.1338519314</v>
      </c>
      <c r="N235">
        <f>IF(A235&lt;&gt;$K$13,MAX(N234,VLOOKUP(A235,A:C,3)),)</f>
        <v>0.79400002956390381</v>
      </c>
      <c r="O235">
        <f>IF(A235&lt;&gt;$K$13,MIN(O234,VLOOKUP(A235,A:D,4)),)</f>
        <v>0.74400001764297485</v>
      </c>
      <c r="P235">
        <f t="shared" si="7"/>
        <v>0.77466666698455811</v>
      </c>
      <c r="Q235">
        <f t="shared" si="2"/>
        <v>0.75747619356427864</v>
      </c>
      <c r="R235">
        <f t="shared" si="3"/>
        <v>1.7190473420279462E-2</v>
      </c>
      <c r="S235">
        <f t="shared" si="4"/>
        <v>2.1809524013882586E-2</v>
      </c>
      <c r="T235">
        <f t="shared" si="5"/>
        <v>3.2714286020823878E-4</v>
      </c>
      <c r="U235">
        <f t="shared" si="6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8"/>
        <v>234</v>
      </c>
      <c r="I236">
        <f>SUM($F$3:F236)/H236</f>
        <v>6660239.65892094</v>
      </c>
      <c r="N236">
        <f>IF(A236&lt;&gt;$K$13,MAX(N235,VLOOKUP(A236,A:C,3)),)</f>
        <v>0.80500000715255737</v>
      </c>
      <c r="O236">
        <f>IF(A236&lt;&gt;$K$13,MIN(O235,VLOOKUP(A236,A:D,4)),)</f>
        <v>0.74400001764297485</v>
      </c>
      <c r="P236">
        <f t="shared" si="7"/>
        <v>0.79366666078567505</v>
      </c>
      <c r="Q236">
        <f t="shared" si="2"/>
        <v>0.76278571713538401</v>
      </c>
      <c r="R236">
        <f t="shared" si="3"/>
        <v>3.0880943650291037E-2</v>
      </c>
      <c r="S236">
        <f t="shared" si="4"/>
        <v>2.091156382139036E-2</v>
      </c>
      <c r="T236">
        <f t="shared" si="5"/>
        <v>3.1367345732085538E-4</v>
      </c>
      <c r="U236">
        <f t="shared" si="6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8"/>
        <v>235</v>
      </c>
      <c r="I237">
        <f>SUM($F$3:F237)/H237</f>
        <v>6639288.7922872342</v>
      </c>
      <c r="N237">
        <f>IF(A237&lt;&gt;$K$13,MAX(N236,VLOOKUP(A237,A:C,3)),)</f>
        <v>0.80500000715255737</v>
      </c>
      <c r="O237">
        <f>IF(A237&lt;&gt;$K$13,MIN(O236,VLOOKUP(A237,A:D,4)),)</f>
        <v>0.74400001764297485</v>
      </c>
      <c r="P237">
        <f t="shared" si="7"/>
        <v>0.79500001668930054</v>
      </c>
      <c r="Q237">
        <f t="shared" si="2"/>
        <v>0.76800000383740386</v>
      </c>
      <c r="R237">
        <f t="shared" si="3"/>
        <v>2.7000012851896682E-2</v>
      </c>
      <c r="S237">
        <f t="shared" si="4"/>
        <v>1.8809523712210081E-2</v>
      </c>
      <c r="T237">
        <f t="shared" si="5"/>
        <v>2.8214285568315122E-4</v>
      </c>
      <c r="U237">
        <f t="shared" si="6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8"/>
        <v>236</v>
      </c>
      <c r="I238">
        <f>SUM($F$3:F238)/H238</f>
        <v>6616601.5558792371</v>
      </c>
      <c r="N238">
        <f>IF(A238&lt;&gt;$K$13,MAX(N237,VLOOKUP(A238,A:C,3)),)</f>
        <v>0.81000000238418579</v>
      </c>
      <c r="O238">
        <f>IF(A238&lt;&gt;$K$13,MIN(O237,VLOOKUP(A238,A:D,4)),)</f>
        <v>0.74400001764297485</v>
      </c>
      <c r="P238">
        <f t="shared" si="7"/>
        <v>0.80200000603993737</v>
      </c>
      <c r="Q238">
        <f t="shared" si="2"/>
        <v>0.77328571961039594</v>
      </c>
      <c r="R238">
        <f t="shared" si="3"/>
        <v>2.8714286429541436E-2</v>
      </c>
      <c r="S238">
        <f t="shared" si="4"/>
        <v>1.6115644351154739E-2</v>
      </c>
      <c r="T238">
        <f t="shared" si="5"/>
        <v>2.4173466526732109E-4</v>
      </c>
      <c r="U238">
        <f t="shared" si="6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8"/>
        <v>237</v>
      </c>
      <c r="I239">
        <f>SUM($F$3:F239)/H239</f>
        <v>6609180.4607067509</v>
      </c>
      <c r="N239">
        <f>IF(A239&lt;&gt;$K$13,MAX(N238,VLOOKUP(A239,A:C,3)),)</f>
        <v>0.82999998331069946</v>
      </c>
      <c r="O239">
        <f>IF(A239&lt;&gt;$K$13,MIN(O238,VLOOKUP(A239,A:D,4)),)</f>
        <v>0.74400001764297485</v>
      </c>
      <c r="P239">
        <f t="shared" si="7"/>
        <v>0.82266666491826379</v>
      </c>
      <c r="Q239">
        <f t="shared" si="2"/>
        <v>0.77980952887308042</v>
      </c>
      <c r="R239">
        <f t="shared" si="3"/>
        <v>4.2857136045183375E-2</v>
      </c>
      <c r="S239">
        <f t="shared" si="4"/>
        <v>1.4571425460633789E-2</v>
      </c>
      <c r="T239">
        <f t="shared" si="5"/>
        <v>2.1857138190950682E-4</v>
      </c>
      <c r="U239">
        <f t="shared" si="6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8"/>
        <v>238</v>
      </c>
      <c r="I240">
        <f>SUM($F$3:F240)/H240</f>
        <v>6602667.937762605</v>
      </c>
      <c r="N240">
        <f>IF(A240&lt;&gt;$K$13,MAX(N239,VLOOKUP(A240,A:C,3)),)</f>
        <v>0.82999998331069946</v>
      </c>
      <c r="O240">
        <f>IF(A240&lt;&gt;$K$13,MIN(O239,VLOOKUP(A240,A:D,4)),)</f>
        <v>0.74400001764297485</v>
      </c>
      <c r="P240">
        <f t="shared" si="7"/>
        <v>0.82266666491826379</v>
      </c>
      <c r="Q240">
        <f t="shared" si="2"/>
        <v>0.78566667153721781</v>
      </c>
      <c r="R240">
        <f t="shared" si="3"/>
        <v>3.6999993381045981E-2</v>
      </c>
      <c r="S240">
        <f t="shared" si="4"/>
        <v>1.5380950809336087E-2</v>
      </c>
      <c r="T240">
        <f t="shared" si="5"/>
        <v>2.3071426214004128E-4</v>
      </c>
      <c r="U240">
        <f t="shared" si="6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8"/>
        <v>239</v>
      </c>
      <c r="I241">
        <f>SUM($F$3:F241)/H241</f>
        <v>6582222.8878138075</v>
      </c>
      <c r="N241">
        <f>IF(A241&lt;&gt;$K$13,MAX(N240,VLOOKUP(A241,A:C,3)),)</f>
        <v>0.82999998331069946</v>
      </c>
      <c r="O241">
        <f>IF(A241&lt;&gt;$K$13,MIN(O240,VLOOKUP(A241,A:D,4)),)</f>
        <v>0.74400001764297485</v>
      </c>
      <c r="P241">
        <f t="shared" si="7"/>
        <v>0.81566665569941199</v>
      </c>
      <c r="Q241">
        <f t="shared" si="2"/>
        <v>0.79028571787334634</v>
      </c>
      <c r="R241">
        <f t="shared" si="3"/>
        <v>2.5380937826065653E-2</v>
      </c>
      <c r="S241">
        <f t="shared" si="4"/>
        <v>1.5707480258682165E-2</v>
      </c>
      <c r="T241">
        <f t="shared" si="5"/>
        <v>2.3561220388023247E-4</v>
      </c>
      <c r="U241">
        <f t="shared" si="6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8"/>
        <v>240</v>
      </c>
      <c r="I242">
        <f>SUM($F$3:F242)/H242</f>
        <v>6562514.8757812502</v>
      </c>
      <c r="N242">
        <f>IF(A242&lt;&gt;$K$13,MAX(N241,VLOOKUP(A242,A:C,3)),)</f>
        <v>0.82999998331069946</v>
      </c>
      <c r="O242">
        <f>IF(A242&lt;&gt;$K$13,MIN(O241,VLOOKUP(A242,A:D,4)),)</f>
        <v>0.74400001764297485</v>
      </c>
      <c r="P242">
        <f t="shared" si="7"/>
        <v>0.8216666579246521</v>
      </c>
      <c r="Q242">
        <f t="shared" si="2"/>
        <v>0.79488095357304522</v>
      </c>
      <c r="R242">
        <f t="shared" si="3"/>
        <v>2.6785704351606876E-2</v>
      </c>
      <c r="S242">
        <f t="shared" si="4"/>
        <v>1.5768706393079694E-2</v>
      </c>
      <c r="T242">
        <f t="shared" si="5"/>
        <v>2.3653059589619541E-4</v>
      </c>
      <c r="U242">
        <f t="shared" si="6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8"/>
        <v>241</v>
      </c>
      <c r="I243">
        <f>SUM($F$3:F243)/H243</f>
        <v>6546935.5733921165</v>
      </c>
      <c r="N243">
        <f>IF(A243&lt;&gt;$K$13,MAX(N242,VLOOKUP(A243,A:C,3)),)</f>
        <v>0.84299999475479126</v>
      </c>
      <c r="O243">
        <f>IF(A243&lt;&gt;$K$13,MIN(O242,VLOOKUP(A243,A:D,4)),)</f>
        <v>0.74400001764297485</v>
      </c>
      <c r="P243">
        <f t="shared" si="7"/>
        <v>0.83933333555857337</v>
      </c>
      <c r="Q243">
        <f t="shared" si="2"/>
        <v>0.79921428646360115</v>
      </c>
      <c r="R243">
        <f t="shared" si="3"/>
        <v>4.0119049094972214E-2</v>
      </c>
      <c r="S243">
        <f t="shared" si="4"/>
        <v>1.8387752325356405E-2</v>
      </c>
      <c r="T243">
        <f t="shared" si="5"/>
        <v>2.7581628488034606E-4</v>
      </c>
      <c r="U243">
        <f t="shared" si="6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8"/>
        <v>242</v>
      </c>
      <c r="I244">
        <f>SUM($F$3:F244)/H244</f>
        <v>6528310.2776342975</v>
      </c>
      <c r="N244">
        <f>IF(A244&lt;&gt;$K$13,MAX(N243,VLOOKUP(A244,A:C,3)),)</f>
        <v>0.85500001907348633</v>
      </c>
      <c r="O244">
        <f>IF(A244&lt;&gt;$K$13,MIN(O243,VLOOKUP(A244,A:D,4)),)</f>
        <v>0.74400001764297485</v>
      </c>
      <c r="P244">
        <f t="shared" si="7"/>
        <v>0.84933334589004517</v>
      </c>
      <c r="Q244">
        <f t="shared" si="2"/>
        <v>0.8040238107953751</v>
      </c>
      <c r="R244">
        <f t="shared" si="3"/>
        <v>4.5309535094670061E-2</v>
      </c>
      <c r="S244">
        <f t="shared" si="4"/>
        <v>2.1027208590994051E-2</v>
      </c>
      <c r="T244">
        <f t="shared" si="5"/>
        <v>3.1540812886491075E-4</v>
      </c>
      <c r="U244">
        <f t="shared" si="6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8"/>
        <v>243</v>
      </c>
      <c r="I245">
        <f>SUM($F$3:F245)/H245</f>
        <v>6510578.5933641978</v>
      </c>
      <c r="N245">
        <f>IF(A245&lt;&gt;$K$13,MAX(N244,VLOOKUP(A245,A:C,3)),)</f>
        <v>0.86000001430511475</v>
      </c>
      <c r="O245">
        <f>IF(A245&lt;&gt;$K$13,MIN(O244,VLOOKUP(A245,A:D,4)),)</f>
        <v>0.74400001764297485</v>
      </c>
      <c r="P245">
        <f t="shared" si="7"/>
        <v>0.85133334000905359</v>
      </c>
      <c r="Q245">
        <f t="shared" si="2"/>
        <v>0.80888095498085022</v>
      </c>
      <c r="R245">
        <f t="shared" si="3"/>
        <v>4.2452385028203365E-2</v>
      </c>
      <c r="S245">
        <f t="shared" si="4"/>
        <v>2.2928568578901749E-2</v>
      </c>
      <c r="T245">
        <f t="shared" si="5"/>
        <v>3.4392852868352623E-4</v>
      </c>
      <c r="U245">
        <f t="shared" si="6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8"/>
        <v>244</v>
      </c>
      <c r="I246">
        <f>SUM($F$3:F246)/H246</f>
        <v>6501309.8286372954</v>
      </c>
      <c r="N246">
        <f>IF(A246&lt;&gt;$K$13,MAX(N245,VLOOKUP(A246,A:C,3)),)</f>
        <v>0.86000001430511475</v>
      </c>
      <c r="O246">
        <f>IF(A246&lt;&gt;$K$13,MIN(O245,VLOOKUP(A246,A:D,4)),)</f>
        <v>0.74400001764297485</v>
      </c>
      <c r="P246">
        <f t="shared" si="7"/>
        <v>0.84333334366480506</v>
      </c>
      <c r="Q246">
        <f t="shared" si="2"/>
        <v>0.81364285945892323</v>
      </c>
      <c r="R246">
        <f t="shared" si="3"/>
        <v>2.9690484205881829E-2</v>
      </c>
      <c r="S246">
        <f t="shared" si="4"/>
        <v>2.2408161844526035E-2</v>
      </c>
      <c r="T246">
        <f t="shared" si="5"/>
        <v>3.3612242766789053E-4</v>
      </c>
      <c r="U246">
        <f t="shared" si="6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8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7"/>
        <v>0.84433335065841675</v>
      </c>
      <c r="Q247">
        <f t="shared" si="2"/>
        <v>0.8184047653561547</v>
      </c>
      <c r="R247">
        <f t="shared" si="3"/>
        <v>2.5928585302262053E-2</v>
      </c>
      <c r="S247">
        <f t="shared" si="4"/>
        <v>2.1061225813262315E-2</v>
      </c>
      <c r="T247">
        <f t="shared" si="5"/>
        <v>3.1591838719893469E-4</v>
      </c>
      <c r="U247">
        <f t="shared" si="6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8"/>
        <v>246</v>
      </c>
      <c r="I248">
        <f>SUM($F$3:F248)/H248</f>
        <v>6465771.3462906508</v>
      </c>
      <c r="N248">
        <f>IF(A248&lt;&gt;$K$14,MAX(N247,VLOOKUP(A248,A:C,3)),)</f>
        <v>0.84799998998641968</v>
      </c>
      <c r="O248">
        <f>IF(A248&lt;&gt;$K$14,MIN(O247,VLOOKUP(A248,A:D,4)),)</f>
        <v>0.83700001239776611</v>
      </c>
      <c r="P248">
        <f t="shared" si="7"/>
        <v>0.84133332967758179</v>
      </c>
      <c r="Q248">
        <f t="shared" si="2"/>
        <v>0.82264285995846709</v>
      </c>
      <c r="R248">
        <f t="shared" si="3"/>
        <v>1.86904697191147E-2</v>
      </c>
      <c r="S248">
        <f t="shared" si="4"/>
        <v>1.9027213661038139E-2</v>
      </c>
      <c r="T248">
        <f t="shared" si="5"/>
        <v>2.8540820491557205E-4</v>
      </c>
      <c r="U248">
        <f t="shared" si="6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8"/>
        <v>247</v>
      </c>
      <c r="I249">
        <f>SUM($F$3:F249)/H249</f>
        <v>6456477.5584514169</v>
      </c>
      <c r="N249">
        <f>IF(A249&lt;&gt;$K$14,MAX(N248,VLOOKUP(A249,A:C,3)),)</f>
        <v>0.85000002384185791</v>
      </c>
      <c r="O249">
        <f>IF(A249&lt;&gt;$K$14,MIN(O248,VLOOKUP(A249,A:D,4)),)</f>
        <v>0.83499997854232788</v>
      </c>
      <c r="P249">
        <f t="shared" si="7"/>
        <v>0.84500000874201453</v>
      </c>
      <c r="Q249">
        <f t="shared" si="2"/>
        <v>0.82766667008399963</v>
      </c>
      <c r="R249">
        <f t="shared" si="3"/>
        <v>1.7333338658014896E-2</v>
      </c>
      <c r="S249">
        <f t="shared" si="4"/>
        <v>1.7190480516070399E-2</v>
      </c>
      <c r="T249">
        <f t="shared" si="5"/>
        <v>2.5785720774105597E-4</v>
      </c>
      <c r="U249">
        <f t="shared" si="6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8"/>
        <v>248</v>
      </c>
      <c r="I250">
        <f>SUM($F$3:F250)/H250</f>
        <v>6437648.6166834673</v>
      </c>
      <c r="N250">
        <f>IF(A250&lt;&gt;$K$14,MAX(N249,VLOOKUP(A250,A:C,3)),)</f>
        <v>0.85799998044967651</v>
      </c>
      <c r="O250">
        <f>IF(A250&lt;&gt;$K$14,MIN(O249,VLOOKUP(A250,A:D,4)),)</f>
        <v>0.83300000429153442</v>
      </c>
      <c r="P250">
        <f t="shared" si="7"/>
        <v>0.84366665283838904</v>
      </c>
      <c r="Q250">
        <f t="shared" si="2"/>
        <v>0.83123809808776483</v>
      </c>
      <c r="R250">
        <f t="shared" si="3"/>
        <v>1.242855475062421E-2</v>
      </c>
      <c r="S250">
        <f t="shared" si="4"/>
        <v>1.539456033382286E-2</v>
      </c>
      <c r="T250">
        <f t="shared" si="5"/>
        <v>2.3091840500734289E-4</v>
      </c>
      <c r="U250">
        <f t="shared" si="6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8"/>
        <v>249</v>
      </c>
      <c r="I251">
        <f>SUM($F$3:F251)/H251</f>
        <v>6417853.7186244978</v>
      </c>
      <c r="N251">
        <f>IF(A251&lt;&gt;$K$14,MAX(N250,VLOOKUP(A251,A:C,3)),)</f>
        <v>0.85799998044967651</v>
      </c>
      <c r="O251">
        <f>IF(A251&lt;&gt;$K$14,MIN(O250,VLOOKUP(A251,A:D,4)),)</f>
        <v>0.83300000429153442</v>
      </c>
      <c r="P251">
        <f t="shared" si="7"/>
        <v>0.84066667159398401</v>
      </c>
      <c r="Q251">
        <f t="shared" si="2"/>
        <v>0.8345000020095279</v>
      </c>
      <c r="R251">
        <f t="shared" si="3"/>
        <v>6.1666695844561081E-3</v>
      </c>
      <c r="S251">
        <f t="shared" si="4"/>
        <v>1.2547622935301619E-2</v>
      </c>
      <c r="T251">
        <f t="shared" si="5"/>
        <v>1.8821434402952427E-4</v>
      </c>
      <c r="U251">
        <f t="shared" si="6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8"/>
        <v>250</v>
      </c>
      <c r="I252">
        <f>SUM($F$3:F252)/H252</f>
        <v>6398088.3357499996</v>
      </c>
      <c r="N252">
        <f>IF(A252&lt;&gt;$K$14,MAX(N251,VLOOKUP(A252,A:C,3)),)</f>
        <v>0.85799998044967651</v>
      </c>
      <c r="O252">
        <f>IF(A252&lt;&gt;$K$14,MIN(O251,VLOOKUP(A252,A:D,4)),)</f>
        <v>0.83300000429153442</v>
      </c>
      <c r="P252">
        <f t="shared" si="7"/>
        <v>0.84633334477742517</v>
      </c>
      <c r="Q252">
        <f t="shared" si="2"/>
        <v>0.83766666906220577</v>
      </c>
      <c r="R252">
        <f t="shared" si="3"/>
        <v>8.6666757152193963E-3</v>
      </c>
      <c r="S252">
        <f t="shared" si="4"/>
        <v>9.7142903983187257E-3</v>
      </c>
      <c r="T252">
        <f t="shared" si="5"/>
        <v>1.4571435597478087E-4</v>
      </c>
      <c r="U252">
        <f t="shared" si="6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8"/>
        <v>251</v>
      </c>
      <c r="I253">
        <f>SUM($F$3:F253)/H253</f>
        <v>6376189.6132968124</v>
      </c>
      <c r="N253">
        <f>IF(A253&lt;&gt;$K$14,MAX(N252,VLOOKUP(A253,A:C,3)),)</f>
        <v>0.85799998044967651</v>
      </c>
      <c r="O253">
        <f>IF(A253&lt;&gt;$K$14,MIN(O252,VLOOKUP(A253,A:D,4)),)</f>
        <v>0.83300000429153442</v>
      </c>
      <c r="P253">
        <f t="shared" si="7"/>
        <v>0.84766666094462073</v>
      </c>
      <c r="Q253">
        <f t="shared" si="2"/>
        <v>0.83945238306408831</v>
      </c>
      <c r="R253">
        <f t="shared" si="3"/>
        <v>8.2142778805324168E-3</v>
      </c>
      <c r="S253">
        <f t="shared" si="4"/>
        <v>8.3537454507789065E-3</v>
      </c>
      <c r="T253">
        <f t="shared" si="5"/>
        <v>1.2530618176168358E-4</v>
      </c>
      <c r="U253">
        <f t="shared" si="6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8"/>
        <v>252</v>
      </c>
      <c r="I254">
        <f>SUM($F$3:F254)/H254</f>
        <v>6360431.0394345243</v>
      </c>
      <c r="N254">
        <f>IF(A254&lt;&gt;$K$14,MAX(N253,VLOOKUP(A254,A:C,3)),)</f>
        <v>0.85799998044967651</v>
      </c>
      <c r="O254">
        <f>IF(A254&lt;&gt;$K$14,MIN(O253,VLOOKUP(A254,A:D,4)),)</f>
        <v>0.82099997997283936</v>
      </c>
      <c r="P254">
        <f t="shared" si="7"/>
        <v>0.83000000317891443</v>
      </c>
      <c r="Q254">
        <f t="shared" si="2"/>
        <v>0.83997619293984915</v>
      </c>
      <c r="R254">
        <f t="shared" si="3"/>
        <v>-9.9761897609347283E-3</v>
      </c>
      <c r="S254">
        <f t="shared" si="4"/>
        <v>7.6054456282635009E-3</v>
      </c>
      <c r="T254">
        <f t="shared" si="5"/>
        <v>1.1408168442395251E-4</v>
      </c>
      <c r="U254">
        <f t="shared" si="6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8"/>
        <v>253</v>
      </c>
      <c r="I255">
        <f>SUM($F$3:F255)/H255</f>
        <v>6341394.2052865615</v>
      </c>
      <c r="N255">
        <f>IF(A255&lt;&gt;$K$14,MAX(N254,VLOOKUP(A255,A:C,3)),)</f>
        <v>0.85799998044967651</v>
      </c>
      <c r="O255">
        <f>IF(A255&lt;&gt;$K$14,MIN(O254,VLOOKUP(A255,A:D,4)),)</f>
        <v>0.80900001525878906</v>
      </c>
      <c r="P255">
        <f t="shared" si="7"/>
        <v>0.81700001160303748</v>
      </c>
      <c r="Q255">
        <f t="shared" si="2"/>
        <v>0.84007143264725104</v>
      </c>
      <c r="R255">
        <f t="shared" si="3"/>
        <v>-2.3071421044213558E-2</v>
      </c>
      <c r="S255">
        <f t="shared" si="4"/>
        <v>7.4693889034037298E-3</v>
      </c>
      <c r="T255">
        <f t="shared" si="5"/>
        <v>1.1204083355105594E-4</v>
      </c>
      <c r="U255">
        <f t="shared" si="6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8"/>
        <v>254</v>
      </c>
      <c r="I256">
        <f>SUM($F$3:F256)/H256</f>
        <v>6326440.3619586611</v>
      </c>
      <c r="N256">
        <f>IF(A256&lt;&gt;$K$14,MAX(N255,VLOOKUP(A256,A:C,3)),)</f>
        <v>0.85799998044967651</v>
      </c>
      <c r="O256">
        <f>IF(A256&lt;&gt;$K$14,MIN(O255,VLOOKUP(A256,A:D,4)),)</f>
        <v>0.80400002002716064</v>
      </c>
      <c r="P256">
        <f t="shared" si="7"/>
        <v>0.81400001049041748</v>
      </c>
      <c r="Q256">
        <f t="shared" si="2"/>
        <v>0.83952381497337691</v>
      </c>
      <c r="R256">
        <f t="shared" si="3"/>
        <v>-2.5523804482959433E-2</v>
      </c>
      <c r="S256">
        <f t="shared" si="4"/>
        <v>8.2516998660808281E-3</v>
      </c>
      <c r="T256">
        <f t="shared" si="5"/>
        <v>1.2377549799121241E-4</v>
      </c>
      <c r="U256">
        <f t="shared" si="6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8"/>
        <v>255</v>
      </c>
      <c r="I257">
        <f>SUM($F$3:F257)/H257</f>
        <v>6318254.7801470589</v>
      </c>
      <c r="N257">
        <f>IF(A257&lt;&gt;$K$14,MAX(N256,VLOOKUP(A257,A:C,3)),)</f>
        <v>0.85799998044967651</v>
      </c>
      <c r="O257">
        <f>IF(A257&lt;&gt;$K$14,MIN(O256,VLOOKUP(A257,A:D,4)),)</f>
        <v>0.80400002002716064</v>
      </c>
      <c r="P257">
        <f t="shared" si="7"/>
        <v>0.82833331823348999</v>
      </c>
      <c r="Q257">
        <f t="shared" si="2"/>
        <v>0.83873809945015676</v>
      </c>
      <c r="R257">
        <f t="shared" si="3"/>
        <v>-1.040478121666677E-2</v>
      </c>
      <c r="S257">
        <f t="shared" si="4"/>
        <v>9.374150613538277E-3</v>
      </c>
      <c r="T257">
        <f t="shared" si="5"/>
        <v>1.4061225920307415E-4</v>
      </c>
      <c r="U257">
        <f t="shared" si="6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8"/>
        <v>256</v>
      </c>
      <c r="I258">
        <f>SUM($F$3:F258)/H258</f>
        <v>6302892.4645996094</v>
      </c>
      <c r="N258">
        <f>IF(A258&lt;&gt;$K$14,MAX(N257,VLOOKUP(A258,A:C,3)),)</f>
        <v>0.85799998044967651</v>
      </c>
      <c r="O258">
        <f>IF(A258&lt;&gt;$K$14,MIN(O257,VLOOKUP(A258,A:D,4)),)</f>
        <v>0.80400002002716064</v>
      </c>
      <c r="P258">
        <f t="shared" si="7"/>
        <v>0.82666665315628052</v>
      </c>
      <c r="Q258">
        <f t="shared" si="2"/>
        <v>0.83711904996917352</v>
      </c>
      <c r="R258">
        <f t="shared" si="3"/>
        <v>-1.0452396812893006E-2</v>
      </c>
      <c r="S258">
        <f t="shared" si="4"/>
        <v>9.9421790262469046E-3</v>
      </c>
      <c r="T258">
        <f t="shared" si="5"/>
        <v>1.4913268539370355E-4</v>
      </c>
      <c r="U258">
        <f t="shared" si="6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8"/>
        <v>257</v>
      </c>
      <c r="I259">
        <f>SUM($F$3:F259)/H259</f>
        <v>6287557.9024805445</v>
      </c>
      <c r="N259">
        <f>IF(A259&lt;&gt;$K$14,MAX(N258,VLOOKUP(A259,A:C,3)),)</f>
        <v>0.85799998044967651</v>
      </c>
      <c r="O259">
        <f>IF(A259&lt;&gt;$K$14,MIN(O258,VLOOKUP(A259,A:D,4)),)</f>
        <v>0.80400002002716064</v>
      </c>
      <c r="P259">
        <f t="shared" si="7"/>
        <v>0.82233333587646484</v>
      </c>
      <c r="Q259">
        <f t="shared" si="2"/>
        <v>0.83504762110256003</v>
      </c>
      <c r="R259">
        <f t="shared" si="3"/>
        <v>-1.271428522609519E-2</v>
      </c>
      <c r="S259">
        <f t="shared" si="4"/>
        <v>1.027891343953659E-2</v>
      </c>
      <c r="T259">
        <f t="shared" si="5"/>
        <v>1.5418370159304883E-4</v>
      </c>
      <c r="U259">
        <f t="shared" si="6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8"/>
        <v>258</v>
      </c>
      <c r="I260">
        <f>SUM($F$3:F260)/H260</f>
        <v>6274660.8447189927</v>
      </c>
      <c r="N260">
        <f>IF(A260&lt;&gt;$K$14,MAX(N259,VLOOKUP(A260,A:C,3)),)</f>
        <v>0.85799998044967651</v>
      </c>
      <c r="O260">
        <f>IF(A260&lt;&gt;$K$14,MIN(O259,VLOOKUP(A260,A:D,4)),)</f>
        <v>0.80400002002716064</v>
      </c>
      <c r="P260">
        <f t="shared" si="7"/>
        <v>0.8213333090146383</v>
      </c>
      <c r="Q260">
        <f t="shared" si="2"/>
        <v>0.83347619005611961</v>
      </c>
      <c r="R260">
        <f t="shared" si="3"/>
        <v>-1.2142881041481313E-2</v>
      </c>
      <c r="S260">
        <f t="shared" si="4"/>
        <v>1.0666669834227784E-2</v>
      </c>
      <c r="T260">
        <f t="shared" si="5"/>
        <v>1.6000004751341677E-4</v>
      </c>
      <c r="U260">
        <f t="shared" si="6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8"/>
        <v>259</v>
      </c>
      <c r="I261">
        <f>SUM($F$3:F261)/H261</f>
        <v>6257755.6054536682</v>
      </c>
      <c r="N261">
        <f>IF(A261&lt;&gt;$K$14,MAX(N260,VLOOKUP(A261,A:C,3)),)</f>
        <v>0.85799998044967651</v>
      </c>
      <c r="O261">
        <f>IF(A261&lt;&gt;$K$14,MIN(O260,VLOOKUP(A261,A:D,4)),)</f>
        <v>0.80400002002716064</v>
      </c>
      <c r="P261">
        <f t="shared" si="7"/>
        <v>0.82366667191187537</v>
      </c>
      <c r="Q261">
        <f t="shared" si="2"/>
        <v>0.83199999871708108</v>
      </c>
      <c r="R261">
        <f t="shared" si="3"/>
        <v>-8.3333268052057097E-3</v>
      </c>
      <c r="S261">
        <f t="shared" si="4"/>
        <v>1.0380953753075644E-2</v>
      </c>
      <c r="T261">
        <f t="shared" si="5"/>
        <v>1.5571430629613464E-4</v>
      </c>
      <c r="U261">
        <f t="shared" si="6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8"/>
        <v>260</v>
      </c>
      <c r="I262">
        <f>SUM($F$3:F262)/H262</f>
        <v>6240366.9300480774</v>
      </c>
      <c r="N262">
        <f>IF(A262&lt;&gt;$K$14,MAX(N261,VLOOKUP(A262,A:C,3)),)</f>
        <v>0.85799998044967651</v>
      </c>
      <c r="O262">
        <f>IF(A262&lt;&gt;$K$14,MIN(O261,VLOOKUP(A262,A:D,4)),)</f>
        <v>0.80400002002716064</v>
      </c>
      <c r="P262">
        <f t="shared" si="7"/>
        <v>0.81999997297922766</v>
      </c>
      <c r="Q262">
        <f t="shared" si="2"/>
        <v>0.83047618752434149</v>
      </c>
      <c r="R262">
        <f t="shared" si="3"/>
        <v>-1.0476214545113827E-2</v>
      </c>
      <c r="S262">
        <f t="shared" si="4"/>
        <v>1.0136057324960954E-2</v>
      </c>
      <c r="T262">
        <f t="shared" si="5"/>
        <v>1.5204085987441431E-4</v>
      </c>
      <c r="U262">
        <f t="shared" si="6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8"/>
        <v>261</v>
      </c>
      <c r="I263">
        <f>SUM($F$3:F263)/H263</f>
        <v>6225964.0184386969</v>
      </c>
      <c r="N263">
        <f>IF(A263&lt;&gt;$K$14,MAX(N262,VLOOKUP(A263,A:C,3)),)</f>
        <v>0.85799998044967651</v>
      </c>
      <c r="O263">
        <f>IF(A263&lt;&gt;$K$14,MIN(O262,VLOOKUP(A263,A:D,4)),)</f>
        <v>0.80400002002716064</v>
      </c>
      <c r="P263">
        <f t="shared" si="7"/>
        <v>0.81466666857401526</v>
      </c>
      <c r="Q263">
        <f t="shared" si="2"/>
        <v>0.82830952036948424</v>
      </c>
      <c r="R263">
        <f t="shared" si="3"/>
        <v>-1.364285179546898E-2</v>
      </c>
      <c r="S263">
        <f t="shared" si="4"/>
        <v>9.5442184785596382E-3</v>
      </c>
      <c r="T263">
        <f t="shared" si="5"/>
        <v>1.4316327717839457E-4</v>
      </c>
      <c r="U263">
        <f t="shared" si="6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8"/>
        <v>262</v>
      </c>
      <c r="I264">
        <f>SUM($F$3:F264)/H264</f>
        <v>6207800.7969942745</v>
      </c>
      <c r="N264">
        <f>IF(A264&lt;&gt;$K$14,MAX(N263,VLOOKUP(A264,A:C,3)),)</f>
        <v>0.85799998044967651</v>
      </c>
      <c r="O264">
        <f>IF(A264&lt;&gt;$K$14,MIN(O263,VLOOKUP(A264,A:D,4)),)</f>
        <v>0.80400002002716064</v>
      </c>
      <c r="P264">
        <f t="shared" si="7"/>
        <v>0.80833335717519128</v>
      </c>
      <c r="Q264">
        <f t="shared" si="2"/>
        <v>0.82578571353639874</v>
      </c>
      <c r="R264">
        <f t="shared" si="3"/>
        <v>-1.7452356361207455E-2</v>
      </c>
      <c r="S264">
        <f t="shared" si="4"/>
        <v>9.2789100951889015E-3</v>
      </c>
      <c r="T264">
        <f t="shared" si="5"/>
        <v>1.3918365142783352E-4</v>
      </c>
      <c r="U264">
        <f t="shared" si="6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8"/>
        <v>263</v>
      </c>
      <c r="I265">
        <f>SUM($F$3:F265)/H265</f>
        <v>6191003.8395912545</v>
      </c>
      <c r="N265">
        <f>IF(A265&lt;&gt;$K$14,MAX(N264,VLOOKUP(A265,A:C,3)),)</f>
        <v>0.85799998044967651</v>
      </c>
      <c r="O265">
        <f>IF(A265&lt;&gt;$K$14,MIN(O264,VLOOKUP(A265,A:D,4)),)</f>
        <v>0.80299997329711914</v>
      </c>
      <c r="P265">
        <f t="shared" si="7"/>
        <v>0.8089999953905741</v>
      </c>
      <c r="Q265">
        <f t="shared" si="2"/>
        <v>0.82352380809329795</v>
      </c>
      <c r="R265">
        <f t="shared" si="3"/>
        <v>-1.4523812702723848E-2</v>
      </c>
      <c r="S265">
        <f t="shared" si="4"/>
        <v>8.7891148061168354E-3</v>
      </c>
      <c r="T265">
        <f t="shared" si="5"/>
        <v>1.3183672209175252E-4</v>
      </c>
      <c r="U265">
        <f t="shared" si="6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8"/>
        <v>264</v>
      </c>
      <c r="I266">
        <f>SUM($F$3:F266)/H266</f>
        <v>6172156.4765625</v>
      </c>
      <c r="N266">
        <f>IF(A266&lt;&gt;$K$14,MAX(N265,VLOOKUP(A266,A:C,3)),)</f>
        <v>0.85799998044967651</v>
      </c>
      <c r="O266">
        <f>IF(A266&lt;&gt;$K$14,MIN(O265,VLOOKUP(A266,A:D,4)),)</f>
        <v>0.80299997329711914</v>
      </c>
      <c r="P266">
        <f t="shared" si="7"/>
        <v>0.80733335018157959</v>
      </c>
      <c r="Q266">
        <f t="shared" si="2"/>
        <v>0.82073809419359467</v>
      </c>
      <c r="R266">
        <f t="shared" si="3"/>
        <v>-1.340474401201508E-2</v>
      </c>
      <c r="S266">
        <f t="shared" si="4"/>
        <v>7.8333275658743796E-3</v>
      </c>
      <c r="T266">
        <f t="shared" si="5"/>
        <v>1.1749991348811568E-4</v>
      </c>
      <c r="U266">
        <f t="shared" si="6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8"/>
        <v>265</v>
      </c>
      <c r="I267">
        <f>SUM($F$3:F267)/H267</f>
        <v>6154298.1502358494</v>
      </c>
      <c r="N267">
        <f>IF(A267&lt;&gt;$K$14,MAX(N266,VLOOKUP(A267,A:C,3)),)</f>
        <v>0.85799998044967651</v>
      </c>
      <c r="O267">
        <f>IF(A267&lt;&gt;$K$14,MIN(O266,VLOOKUP(A267,A:D,4)),)</f>
        <v>0.80299997329711914</v>
      </c>
      <c r="P267">
        <f t="shared" si="7"/>
        <v>0.81300000349680579</v>
      </c>
      <c r="Q267">
        <f t="shared" si="2"/>
        <v>0.81826190437589374</v>
      </c>
      <c r="R267">
        <f t="shared" si="3"/>
        <v>-5.2619008790879551E-3</v>
      </c>
      <c r="S267">
        <f t="shared" si="4"/>
        <v>6.3571333885192949E-3</v>
      </c>
      <c r="T267">
        <f t="shared" si="5"/>
        <v>9.5357000827789418E-5</v>
      </c>
      <c r="U267">
        <f t="shared" si="6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8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7"/>
        <v>0.80433334906895959</v>
      </c>
      <c r="Q268">
        <f t="shared" si="2"/>
        <v>0.81642857193946838</v>
      </c>
      <c r="R268">
        <f t="shared" si="3"/>
        <v>-1.2095222870508793E-2</v>
      </c>
      <c r="S268">
        <f t="shared" si="4"/>
        <v>6.3333241712479338E-3</v>
      </c>
      <c r="T268">
        <f t="shared" si="5"/>
        <v>9.499986256871901E-5</v>
      </c>
      <c r="U268">
        <f t="shared" si="6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8"/>
        <v>267</v>
      </c>
      <c r="I269">
        <f>SUM($F$3:F269)/H269</f>
        <v>6123920.2614700375</v>
      </c>
      <c r="N269">
        <f>IF(A269&lt;&gt;$K$15,MAX(N268,VLOOKUP(A269,A:C,3)),)</f>
        <v>0.81499999761581421</v>
      </c>
      <c r="O269">
        <f>IF(A269&lt;&gt;$K$15,MIN(O268,VLOOKUP(A269,A:D,4)),)</f>
        <v>0.7929999828338623</v>
      </c>
      <c r="P269">
        <f t="shared" si="7"/>
        <v>0.80766665935516357</v>
      </c>
      <c r="Q269">
        <f t="shared" si="2"/>
        <v>0.81576190392176318</v>
      </c>
      <c r="R269">
        <f t="shared" si="3"/>
        <v>-8.095244566599602E-3</v>
      </c>
      <c r="S269">
        <f t="shared" si="4"/>
        <v>6.8231196630568836E-3</v>
      </c>
      <c r="T269">
        <f t="shared" si="5"/>
        <v>1.0234679494585326E-4</v>
      </c>
      <c r="U269">
        <f t="shared" si="6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8"/>
        <v>268</v>
      </c>
      <c r="I270">
        <f>SUM($F$3:F270)/H270</f>
        <v>6107730.6373600746</v>
      </c>
      <c r="N270">
        <f>IF(A270&lt;&gt;$K$15,MAX(N269,VLOOKUP(A270,A:C,3)),)</f>
        <v>0.81499999761581421</v>
      </c>
      <c r="O270">
        <f>IF(A270&lt;&gt;$K$15,MIN(O269,VLOOKUP(A270,A:D,4)),)</f>
        <v>0.79199999570846558</v>
      </c>
      <c r="P270">
        <f t="shared" si="7"/>
        <v>0.80066667000452674</v>
      </c>
      <c r="Q270">
        <f t="shared" si="2"/>
        <v>0.81480952245848515</v>
      </c>
      <c r="R270">
        <f t="shared" si="3"/>
        <v>-1.414285245395841E-2</v>
      </c>
      <c r="S270">
        <f t="shared" si="4"/>
        <v>7.6394466315807897E-3</v>
      </c>
      <c r="T270">
        <f t="shared" si="5"/>
        <v>1.1459169947371184E-4</v>
      </c>
      <c r="U270">
        <f t="shared" si="6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8"/>
        <v>269</v>
      </c>
      <c r="I271">
        <f>SUM($F$3:F271)/H271</f>
        <v>6099038.3301579924</v>
      </c>
      <c r="N271">
        <f>IF(A271&lt;&gt;$K$15,MAX(N270,VLOOKUP(A271,A:C,3)),)</f>
        <v>0.82700002193450928</v>
      </c>
      <c r="O271">
        <f>IF(A271&lt;&gt;$K$15,MIN(O270,VLOOKUP(A271,A:D,4)),)</f>
        <v>0.7850000262260437</v>
      </c>
      <c r="P271">
        <f t="shared" si="7"/>
        <v>0.79966668287913001</v>
      </c>
      <c r="Q271">
        <f t="shared" si="2"/>
        <v>0.81276190564745943</v>
      </c>
      <c r="R271">
        <f t="shared" si="3"/>
        <v>-1.3095222768329418E-2</v>
      </c>
      <c r="S271">
        <f t="shared" si="4"/>
        <v>7.4761822110130617E-3</v>
      </c>
      <c r="T271">
        <f t="shared" si="5"/>
        <v>1.1214273316519592E-4</v>
      </c>
      <c r="U271">
        <f t="shared" si="6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8"/>
        <v>270</v>
      </c>
      <c r="I272">
        <f>SUM($F$3:F272)/H272</f>
        <v>6087588.9289351851</v>
      </c>
      <c r="N272">
        <f>IF(A272&lt;&gt;$K$15,MAX(N271,VLOOKUP(A272,A:C,3)),)</f>
        <v>0.82700002193450928</v>
      </c>
      <c r="O272">
        <f>IF(A272&lt;&gt;$K$15,MIN(O271,VLOOKUP(A272,A:D,4)),)</f>
        <v>0.7839999794960022</v>
      </c>
      <c r="P272">
        <f t="shared" si="7"/>
        <v>0.78866666555404663</v>
      </c>
      <c r="Q272">
        <f t="shared" ref="Q272:Q526" si="9">SUM(P259:P272)/14</f>
        <v>0.8100476208187285</v>
      </c>
      <c r="R272">
        <f t="shared" ref="R272:R526" si="10">P272-Q272</f>
        <v>-2.1380955264681867E-2</v>
      </c>
      <c r="S272">
        <f t="shared" ref="S272:S526" si="11">AVEDEV(P259:P272)</f>
        <v>7.8163195629509085E-3</v>
      </c>
      <c r="T272">
        <f t="shared" ref="T272:T526" si="12">0.015*S272</f>
        <v>1.1724479344426362E-4</v>
      </c>
      <c r="U272">
        <f t="shared" ref="U272:U526" si="13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8"/>
        <v>271</v>
      </c>
      <c r="I273">
        <f>SUM($F$3:F273)/H273</f>
        <v>6072887.1321494468</v>
      </c>
      <c r="N273">
        <f>IF(A273&lt;&gt;$K$15,MAX(N272,VLOOKUP(A273,A:C,3)),)</f>
        <v>0.82700002193450928</v>
      </c>
      <c r="O273">
        <f>IF(A273&lt;&gt;$K$15,MIN(O272,VLOOKUP(A273,A:D,4)),)</f>
        <v>0.7839999794960022</v>
      </c>
      <c r="P273">
        <f t="shared" si="7"/>
        <v>0.80066667000452674</v>
      </c>
      <c r="Q273">
        <f t="shared" si="9"/>
        <v>0.80850000182787551</v>
      </c>
      <c r="R273">
        <f t="shared" si="10"/>
        <v>-7.833331823348777E-3</v>
      </c>
      <c r="S273">
        <f t="shared" si="11"/>
        <v>7.2380871999830976E-3</v>
      </c>
      <c r="T273">
        <f t="shared" si="12"/>
        <v>1.0857130799974646E-4</v>
      </c>
      <c r="U273">
        <f t="shared" si="13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8"/>
        <v>272</v>
      </c>
      <c r="I274">
        <f>SUM($F$3:F274)/H274</f>
        <v>6059542.3265165444</v>
      </c>
      <c r="N274">
        <f>IF(A274&lt;&gt;$K$15,MAX(N273,VLOOKUP(A274,A:C,3)),)</f>
        <v>0.82700002193450928</v>
      </c>
      <c r="O274">
        <f>IF(A274&lt;&gt;$K$15,MIN(O273,VLOOKUP(A274,A:D,4)),)</f>
        <v>0.7839999794960022</v>
      </c>
      <c r="P274">
        <f t="shared" si="7"/>
        <v>0.80266666412353516</v>
      </c>
      <c r="Q274">
        <f t="shared" si="9"/>
        <v>0.80716667004993969</v>
      </c>
      <c r="R274">
        <f t="shared" si="10"/>
        <v>-4.5000059264045378E-3</v>
      </c>
      <c r="S274">
        <f t="shared" si="11"/>
        <v>6.6190455235591705E-3</v>
      </c>
      <c r="T274">
        <f t="shared" si="12"/>
        <v>9.9285682853387559E-5</v>
      </c>
      <c r="U274">
        <f t="shared" si="13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8"/>
        <v>273</v>
      </c>
      <c r="I275">
        <f>SUM($F$3:F275)/H275</f>
        <v>6044585.761217949</v>
      </c>
      <c r="N275">
        <f>IF(A275&lt;&gt;$K$15,MAX(N274,VLOOKUP(A275,A:C,3)),)</f>
        <v>0.82700002193450928</v>
      </c>
      <c r="O275">
        <f>IF(A275&lt;&gt;$K$15,MIN(O274,VLOOKUP(A275,A:D,4)),)</f>
        <v>0.7839999794960022</v>
      </c>
      <c r="P275">
        <f t="shared" si="7"/>
        <v>0.8063333431879679</v>
      </c>
      <c r="Q275">
        <f t="shared" si="9"/>
        <v>0.80592857514108918</v>
      </c>
      <c r="R275">
        <f t="shared" si="10"/>
        <v>4.0476804687872292E-4</v>
      </c>
      <c r="S275">
        <f t="shared" si="11"/>
        <v>5.5578213159729961E-3</v>
      </c>
      <c r="T275">
        <f t="shared" si="12"/>
        <v>8.3367319739594938E-5</v>
      </c>
      <c r="U275">
        <f t="shared" si="13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8"/>
        <v>274</v>
      </c>
      <c r="I276">
        <f>SUM($F$3:F276)/H276</f>
        <v>6027083.2730383212</v>
      </c>
      <c r="N276">
        <f>IF(A276&lt;&gt;$K$15,MAX(N275,VLOOKUP(A276,A:C,3)),)</f>
        <v>0.82700002193450928</v>
      </c>
      <c r="O276">
        <f>IF(A276&lt;&gt;$K$15,MIN(O275,VLOOKUP(A276,A:D,4)),)</f>
        <v>0.7839999794960022</v>
      </c>
      <c r="P276">
        <f t="shared" si="7"/>
        <v>0.79900000492731726</v>
      </c>
      <c r="Q276">
        <f t="shared" si="9"/>
        <v>0.80442857742309559</v>
      </c>
      <c r="R276">
        <f t="shared" si="10"/>
        <v>-5.4285724957783277E-3</v>
      </c>
      <c r="S276">
        <f t="shared" si="11"/>
        <v>5.0476193428039551E-3</v>
      </c>
      <c r="T276">
        <f t="shared" si="12"/>
        <v>7.5714290142059318E-5</v>
      </c>
      <c r="U276">
        <f t="shared" si="13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8"/>
        <v>275</v>
      </c>
      <c r="I277">
        <f>SUM($F$3:F277)/H277</f>
        <v>6015307.3520454541</v>
      </c>
      <c r="N277">
        <f>IF(A277&lt;&gt;$K$15,MAX(N276,VLOOKUP(A277,A:C,3)),)</f>
        <v>0.82700002193450928</v>
      </c>
      <c r="O277">
        <f>IF(A277&lt;&gt;$K$15,MIN(O276,VLOOKUP(A277,A:D,4)),)</f>
        <v>0.7839999794960022</v>
      </c>
      <c r="P277">
        <f t="shared" si="7"/>
        <v>0.80999998251597083</v>
      </c>
      <c r="Q277">
        <f t="shared" si="9"/>
        <v>0.80409524270466382</v>
      </c>
      <c r="R277">
        <f t="shared" si="10"/>
        <v>5.9047398113070138E-3</v>
      </c>
      <c r="S277">
        <f t="shared" si="11"/>
        <v>4.7482998192716064E-3</v>
      </c>
      <c r="T277">
        <f t="shared" si="12"/>
        <v>7.122449728907409E-5</v>
      </c>
      <c r="U277">
        <f t="shared" si="13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8"/>
        <v>276</v>
      </c>
      <c r="I278">
        <f>SUM($F$3:F278)/H278</f>
        <v>6003339.9377264492</v>
      </c>
      <c r="N278">
        <f>IF(A278&lt;&gt;$K$15,MAX(N277,VLOOKUP(A278,A:C,3)),)</f>
        <v>0.82700002193450928</v>
      </c>
      <c r="O278">
        <f>IF(A278&lt;&gt;$K$15,MIN(O277,VLOOKUP(A278,A:D,4)),)</f>
        <v>0.7839999794960022</v>
      </c>
      <c r="P278">
        <f t="shared" si="7"/>
        <v>0.81233332554499305</v>
      </c>
      <c r="Q278">
        <f t="shared" si="9"/>
        <v>0.80438095473107829</v>
      </c>
      <c r="R278">
        <f t="shared" si="10"/>
        <v>7.9523708139147553E-3</v>
      </c>
      <c r="S278">
        <f t="shared" si="11"/>
        <v>4.9999966507866212E-3</v>
      </c>
      <c r="T278">
        <f t="shared" si="12"/>
        <v>7.4999949761799323E-5</v>
      </c>
      <c r="U278">
        <f t="shared" si="13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8"/>
        <v>277</v>
      </c>
      <c r="I279">
        <f>SUM($F$3:F279)/H279</f>
        <v>5994005.5119584836</v>
      </c>
      <c r="N279">
        <f>IF(A279&lt;&gt;$K$15,MAX(N278,VLOOKUP(A279,A:C,3)),)</f>
        <v>0.82700002193450928</v>
      </c>
      <c r="O279">
        <f>IF(A279&lt;&gt;$K$15,MIN(O278,VLOOKUP(A279,A:D,4)),)</f>
        <v>0.7839999794960022</v>
      </c>
      <c r="P279">
        <f t="shared" si="7"/>
        <v>0.8160000046094259</v>
      </c>
      <c r="Q279">
        <f t="shared" si="9"/>
        <v>0.80488095538956783</v>
      </c>
      <c r="R279">
        <f t="shared" si="10"/>
        <v>1.1119049219858068E-2</v>
      </c>
      <c r="S279">
        <f t="shared" si="11"/>
        <v>5.4999973092760357E-3</v>
      </c>
      <c r="T279">
        <f t="shared" si="12"/>
        <v>8.2499959639140529E-5</v>
      </c>
      <c r="U279">
        <f t="shared" si="13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8"/>
        <v>278</v>
      </c>
      <c r="I280">
        <f>SUM($F$3:F280)/H280</f>
        <v>5974814.8518435247</v>
      </c>
      <c r="N280">
        <f>IF(A280&lt;&gt;$K$15,MAX(N279,VLOOKUP(A280,A:C,3)),)</f>
        <v>0.82700002193450928</v>
      </c>
      <c r="O280">
        <f>IF(A280&lt;&gt;$K$15,MIN(O279,VLOOKUP(A280,A:D,4)),)</f>
        <v>0.7839999794960022</v>
      </c>
      <c r="P280">
        <f t="shared" si="7"/>
        <v>0.81499999761581421</v>
      </c>
      <c r="Q280">
        <f t="shared" si="9"/>
        <v>0.80542857306344173</v>
      </c>
      <c r="R280">
        <f t="shared" si="10"/>
        <v>9.5714245523724761E-3</v>
      </c>
      <c r="S280">
        <f t="shared" si="11"/>
        <v>6.0476149831499371E-3</v>
      </c>
      <c r="T280">
        <f t="shared" si="12"/>
        <v>9.0714224747249049E-5</v>
      </c>
      <c r="U280">
        <f t="shared" si="13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8"/>
        <v>279</v>
      </c>
      <c r="I281">
        <f>SUM($F$3:F281)/H281</f>
        <v>5957931.289650538</v>
      </c>
      <c r="N281">
        <f>IF(A281&lt;&gt;$K$15,MAX(N280,VLOOKUP(A281,A:C,3)),)</f>
        <v>0.82700002193450928</v>
      </c>
      <c r="O281">
        <f>IF(A281&lt;&gt;$K$15,MIN(O280,VLOOKUP(A281,A:D,4)),)</f>
        <v>0.7839999794960022</v>
      </c>
      <c r="P281">
        <f t="shared" si="7"/>
        <v>0.82066667079925537</v>
      </c>
      <c r="Q281">
        <f t="shared" si="9"/>
        <v>0.80597619215647387</v>
      </c>
      <c r="R281">
        <f t="shared" si="10"/>
        <v>1.4690478642781502E-2</v>
      </c>
      <c r="S281">
        <f t="shared" si="11"/>
        <v>6.5952340761820504E-3</v>
      </c>
      <c r="T281">
        <f t="shared" si="12"/>
        <v>9.8928511142730747E-5</v>
      </c>
      <c r="U281">
        <f t="shared" si="13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8"/>
        <v>280</v>
      </c>
      <c r="I282">
        <f>SUM($F$3:F282)/H282</f>
        <v>5946162.2493303567</v>
      </c>
      <c r="N282">
        <f>IF(A282&lt;&gt;$K$15,MAX(N281,VLOOKUP(A282,A:C,3)),)</f>
        <v>0.82700002193450928</v>
      </c>
      <c r="O282">
        <f>IF(A282&lt;&gt;$K$15,MIN(O281,VLOOKUP(A282,A:D,4)),)</f>
        <v>0.7839999794960022</v>
      </c>
      <c r="P282">
        <f t="shared" si="7"/>
        <v>0.82366669178009033</v>
      </c>
      <c r="Q282">
        <f t="shared" si="9"/>
        <v>0.80735714520726898</v>
      </c>
      <c r="R282">
        <f t="shared" si="10"/>
        <v>1.6309546572821354E-2</v>
      </c>
      <c r="S282">
        <f t="shared" si="11"/>
        <v>7.6904736814044873E-3</v>
      </c>
      <c r="T282">
        <f t="shared" si="12"/>
        <v>1.1535710522106731E-4</v>
      </c>
      <c r="U282">
        <f t="shared" si="13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8"/>
        <v>281</v>
      </c>
      <c r="I283">
        <f>SUM($F$3:F283)/H283</f>
        <v>5932993.7004003562</v>
      </c>
      <c r="N283">
        <f>IF(A283&lt;&gt;$K$15,MAX(N282,VLOOKUP(A283,A:C,3)),)</f>
        <v>0.82700002193450928</v>
      </c>
      <c r="O283">
        <f>IF(A283&lt;&gt;$K$15,MIN(O282,VLOOKUP(A283,A:D,4)),)</f>
        <v>0.7839999794960022</v>
      </c>
      <c r="P283">
        <f t="shared" si="7"/>
        <v>0.8133333524068197</v>
      </c>
      <c r="Q283">
        <f t="shared" si="9"/>
        <v>0.80776190899667288</v>
      </c>
      <c r="R283">
        <f t="shared" si="10"/>
        <v>5.5714434101468147E-3</v>
      </c>
      <c r="S283">
        <f t="shared" si="11"/>
        <v>8.0952374708084963E-3</v>
      </c>
      <c r="T283">
        <f t="shared" si="12"/>
        <v>1.2142856206212743E-4</v>
      </c>
      <c r="U283">
        <f t="shared" si="13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8"/>
        <v>282</v>
      </c>
      <c r="I284">
        <f>SUM($F$3:F284)/H284</f>
        <v>5916360.3964982266</v>
      </c>
      <c r="N284">
        <f>IF(A284&lt;&gt;$K$15,MAX(N283,VLOOKUP(A284,A:C,3)),)</f>
        <v>0.82700002193450928</v>
      </c>
      <c r="O284">
        <f>IF(A284&lt;&gt;$K$15,MIN(O283,VLOOKUP(A284,A:D,4)),)</f>
        <v>0.7839999794960022</v>
      </c>
      <c r="P284">
        <f t="shared" si="7"/>
        <v>0.81533332665761316</v>
      </c>
      <c r="Q284">
        <f t="shared" si="9"/>
        <v>0.80880952732903622</v>
      </c>
      <c r="R284">
        <f t="shared" si="10"/>
        <v>6.5237993285769402E-3</v>
      </c>
      <c r="S284">
        <f t="shared" si="11"/>
        <v>7.9795904710990295E-3</v>
      </c>
      <c r="T284">
        <f t="shared" si="12"/>
        <v>1.1969385706648544E-4</v>
      </c>
      <c r="U284">
        <f t="shared" si="13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8"/>
        <v>283</v>
      </c>
      <c r="I285">
        <f>SUM($F$3:F285)/H285</f>
        <v>5905231.2502208482</v>
      </c>
      <c r="N285">
        <f>IF(A285&lt;&gt;$K$15,MAX(N284,VLOOKUP(A285,A:C,3)),)</f>
        <v>0.82700002193450928</v>
      </c>
      <c r="O285">
        <f>IF(A285&lt;&gt;$K$15,MIN(O284,VLOOKUP(A285,A:D,4)),)</f>
        <v>0.7839999794960022</v>
      </c>
      <c r="P285">
        <f t="shared" si="7"/>
        <v>0.81733334064483643</v>
      </c>
      <c r="Q285">
        <f t="shared" si="9"/>
        <v>0.81007143145515814</v>
      </c>
      <c r="R285">
        <f t="shared" si="10"/>
        <v>7.2619091896782839E-3</v>
      </c>
      <c r="S285">
        <f t="shared" si="11"/>
        <v>7.5850369167976672E-3</v>
      </c>
      <c r="T285">
        <f t="shared" si="12"/>
        <v>1.1377555375196501E-4</v>
      </c>
      <c r="U285">
        <f t="shared" si="13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8"/>
        <v>284</v>
      </c>
      <c r="I286">
        <f>SUM($F$3:F286)/H286</f>
        <v>5890844.5204665493</v>
      </c>
      <c r="N286">
        <f>IF(A286&lt;&gt;$K$15,MAX(N285,VLOOKUP(A286,A:C,3)),)</f>
        <v>0.82700002193450928</v>
      </c>
      <c r="O286">
        <f>IF(A286&lt;&gt;$K$15,MIN(O285,VLOOKUP(A286,A:D,4)),)</f>
        <v>0.7839999794960022</v>
      </c>
      <c r="P286">
        <f t="shared" si="7"/>
        <v>0.79766664902369178</v>
      </c>
      <c r="Q286">
        <f t="shared" si="9"/>
        <v>0.81071428741727558</v>
      </c>
      <c r="R286">
        <f t="shared" si="10"/>
        <v>-1.3047638393583805E-2</v>
      </c>
      <c r="S286">
        <f t="shared" si="11"/>
        <v>6.8503443886633797E-3</v>
      </c>
      <c r="T286">
        <f t="shared" si="12"/>
        <v>1.027551658299507E-4</v>
      </c>
      <c r="U286">
        <f t="shared" si="13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8"/>
        <v>285</v>
      </c>
      <c r="I287">
        <f>SUM($F$3:F287)/H287</f>
        <v>5875538.7502192985</v>
      </c>
      <c r="N287">
        <f>IF(A287&lt;&gt;$K$15,MAX(N286,VLOOKUP(A287,A:C,3)),)</f>
        <v>0.82700002193450928</v>
      </c>
      <c r="O287">
        <f>IF(A287&lt;&gt;$K$15,MIN(O286,VLOOKUP(A287,A:D,4)),)</f>
        <v>0.77999997138977051</v>
      </c>
      <c r="P287">
        <f t="shared" si="7"/>
        <v>0.7869999806086222</v>
      </c>
      <c r="Q287">
        <f t="shared" si="9"/>
        <v>0.80973809531756802</v>
      </c>
      <c r="R287">
        <f t="shared" si="10"/>
        <v>-2.2738114708945822E-2</v>
      </c>
      <c r="S287">
        <f t="shared" si="11"/>
        <v>8.0034049595294719E-3</v>
      </c>
      <c r="T287">
        <f t="shared" si="12"/>
        <v>1.2005107439294208E-4</v>
      </c>
      <c r="U287">
        <f t="shared" si="13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8"/>
        <v>286</v>
      </c>
      <c r="I288">
        <f>SUM($F$3:F288)/H288</f>
        <v>5861491.4119318184</v>
      </c>
      <c r="N288">
        <f>IF(A288&lt;&gt;$K$15,MAX(N287,VLOOKUP(A288,A:C,3)),)</f>
        <v>0.82700002193450928</v>
      </c>
      <c r="O288">
        <f>IF(A288&lt;&gt;$K$15,MIN(O287,VLOOKUP(A288,A:D,4)),)</f>
        <v>0.77999997138977051</v>
      </c>
      <c r="P288">
        <f t="shared" si="7"/>
        <v>0.78833335638046265</v>
      </c>
      <c r="Q288">
        <f t="shared" si="9"/>
        <v>0.80871428762163422</v>
      </c>
      <c r="R288">
        <f t="shared" si="10"/>
        <v>-2.0380931241171574E-2</v>
      </c>
      <c r="S288">
        <f t="shared" si="11"/>
        <v>9.3197291400157357E-3</v>
      </c>
      <c r="T288">
        <f t="shared" si="12"/>
        <v>1.3979593710023602E-4</v>
      </c>
      <c r="U288">
        <f t="shared" si="13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8"/>
        <v>287</v>
      </c>
      <c r="I289">
        <f>SUM($F$3:F289)/H289</f>
        <v>5844782.7310540071</v>
      </c>
      <c r="N289">
        <f>IF(A289&lt;&gt;$K$15,MAX(N288,VLOOKUP(A289,A:C,3)),)</f>
        <v>0.82700002193450928</v>
      </c>
      <c r="O289">
        <f>IF(A289&lt;&gt;$K$15,MIN(O288,VLOOKUP(A289,A:D,4)),)</f>
        <v>0.77499997615814209</v>
      </c>
      <c r="P289">
        <f t="shared" si="7"/>
        <v>0.77966664234797156</v>
      </c>
      <c r="Q289">
        <f t="shared" si="9"/>
        <v>0.80680952327592015</v>
      </c>
      <c r="R289">
        <f t="shared" si="10"/>
        <v>-2.7142880927948587E-2</v>
      </c>
      <c r="S289">
        <f t="shared" si="11"/>
        <v>1.1768711870219495E-2</v>
      </c>
      <c r="T289">
        <f t="shared" si="12"/>
        <v>1.7653067805329241E-4</v>
      </c>
      <c r="U289">
        <f t="shared" si="13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8"/>
        <v>288</v>
      </c>
      <c r="I290">
        <f>SUM($F$3:F290)/H290</f>
        <v>5833976.912543403</v>
      </c>
      <c r="N290">
        <f>IF(A290&lt;&gt;$K$15,MAX(N289,VLOOKUP(A290,A:C,3)),)</f>
        <v>0.82700002193450928</v>
      </c>
      <c r="O290">
        <f>IF(A290&lt;&gt;$K$15,MIN(O289,VLOOKUP(A290,A:D,4)),)</f>
        <v>0.77399998903274536</v>
      </c>
      <c r="P290">
        <f t="shared" si="7"/>
        <v>0.778333326180776</v>
      </c>
      <c r="Q290">
        <f t="shared" si="9"/>
        <v>0.8053333319368815</v>
      </c>
      <c r="R290">
        <f t="shared" si="10"/>
        <v>-2.7000005756105505E-2</v>
      </c>
      <c r="S290">
        <f t="shared" si="11"/>
        <v>1.3666672163269198E-2</v>
      </c>
      <c r="T290">
        <f t="shared" si="12"/>
        <v>2.0500008244903796E-4</v>
      </c>
      <c r="U290">
        <f t="shared" si="13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8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7"/>
        <v>0.76766665776570642</v>
      </c>
      <c r="Q291">
        <f t="shared" si="9"/>
        <v>0.80230952302614855</v>
      </c>
      <c r="R291">
        <f t="shared" si="10"/>
        <v>-3.4642865260442135E-2</v>
      </c>
      <c r="S291">
        <f t="shared" si="11"/>
        <v>1.6455789407094319E-2</v>
      </c>
      <c r="T291">
        <f t="shared" si="12"/>
        <v>2.4683684110641478E-4</v>
      </c>
      <c r="U291">
        <f t="shared" si="13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8"/>
        <v>290</v>
      </c>
      <c r="I292">
        <f>SUM($F$3:F292)/H292</f>
        <v>5804115.3476293106</v>
      </c>
      <c r="N292">
        <f>IF(A292&lt;&gt;$K$16,MAX(N291,VLOOKUP(A292,A:C,3)),)</f>
        <v>0.77399998903274536</v>
      </c>
      <c r="O292">
        <f>IF(A292&lt;&gt;$K$16,MIN(O291,VLOOKUP(A292,A:D,4)),)</f>
        <v>0.76099997758865356</v>
      </c>
      <c r="P292">
        <f t="shared" si="7"/>
        <v>0.7653333147366842</v>
      </c>
      <c r="Q292">
        <f t="shared" si="9"/>
        <v>0.79895237939698371</v>
      </c>
      <c r="R292">
        <f t="shared" si="10"/>
        <v>-3.3619064660299514E-2</v>
      </c>
      <c r="S292">
        <f t="shared" si="11"/>
        <v>1.8380961247852878E-2</v>
      </c>
      <c r="T292">
        <f t="shared" si="12"/>
        <v>2.7571441871779317E-4</v>
      </c>
      <c r="U292">
        <f t="shared" si="13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8"/>
        <v>291</v>
      </c>
      <c r="I293">
        <f>SUM($F$3:F293)/H293</f>
        <v>5792324.5732388319</v>
      </c>
      <c r="N293">
        <f>IF(A293&lt;&gt;$K$16,MAX(N292,VLOOKUP(A293,A:C,3)),)</f>
        <v>0.77399998903274536</v>
      </c>
      <c r="O293">
        <f>IF(A293&lt;&gt;$K$16,MIN(O292,VLOOKUP(A293,A:D,4)),)</f>
        <v>0.75700002908706665</v>
      </c>
      <c r="P293">
        <f t="shared" si="7"/>
        <v>0.7600000103314718</v>
      </c>
      <c r="Q293">
        <f t="shared" si="9"/>
        <v>0.79495237980570133</v>
      </c>
      <c r="R293">
        <f t="shared" si="10"/>
        <v>-3.4952369474229528E-2</v>
      </c>
      <c r="S293">
        <f t="shared" si="11"/>
        <v>1.9761910041173298E-2</v>
      </c>
      <c r="T293">
        <f t="shared" si="12"/>
        <v>2.9642865061759946E-4</v>
      </c>
      <c r="U293">
        <f t="shared" si="13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8"/>
        <v>292</v>
      </c>
      <c r="I294">
        <f>SUM($F$3:F294)/H294</f>
        <v>5783888.5301797949</v>
      </c>
      <c r="N294">
        <f>IF(A294&lt;&gt;$K$16,MAX(N293,VLOOKUP(A294,A:C,3)),)</f>
        <v>0.77399998903274536</v>
      </c>
      <c r="O294">
        <f>IF(A294&lt;&gt;$K$16,MIN(O293,VLOOKUP(A294,A:D,4)),)</f>
        <v>0.75199997425079346</v>
      </c>
      <c r="P294">
        <f t="shared" si="7"/>
        <v>0.75499999523162842</v>
      </c>
      <c r="Q294">
        <f t="shared" si="9"/>
        <v>0.7906666653496881</v>
      </c>
      <c r="R294">
        <f t="shared" si="10"/>
        <v>-3.5666670118059685E-2</v>
      </c>
      <c r="S294">
        <f t="shared" si="11"/>
        <v>2.0571434173454268E-2</v>
      </c>
      <c r="T294">
        <f t="shared" si="12"/>
        <v>3.0857151260181402E-4</v>
      </c>
      <c r="U294">
        <f t="shared" si="13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8"/>
        <v>293</v>
      </c>
      <c r="I295">
        <f>SUM($F$3:F295)/H295</f>
        <v>5770784.8184726965</v>
      </c>
      <c r="N295">
        <f>IF(A295&lt;&gt;$K$16,MAX(N294,VLOOKUP(A295,A:C,3)),)</f>
        <v>0.77399998903274536</v>
      </c>
      <c r="O295">
        <f>IF(A295&lt;&gt;$K$16,MIN(O294,VLOOKUP(A295,A:D,4)),)</f>
        <v>0.74900001287460327</v>
      </c>
      <c r="P295">
        <f t="shared" si="7"/>
        <v>0.75600000222524011</v>
      </c>
      <c r="Q295">
        <f t="shared" si="9"/>
        <v>0.78604761759440123</v>
      </c>
      <c r="R295">
        <f t="shared" si="10"/>
        <v>-3.0047615369161118E-2</v>
      </c>
      <c r="S295">
        <f t="shared" si="11"/>
        <v>2.0047624905904123E-2</v>
      </c>
      <c r="T295">
        <f t="shared" si="12"/>
        <v>3.0071437358856183E-4</v>
      </c>
      <c r="U295">
        <f t="shared" si="13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8"/>
        <v>294</v>
      </c>
      <c r="I296">
        <f>SUM($F$3:F296)/H296</f>
        <v>5759008.6830357146</v>
      </c>
      <c r="N296">
        <f>IF(A296&lt;&gt;$K$16,MAX(N295,VLOOKUP(A296,A:C,3)),)</f>
        <v>0.77399998903274536</v>
      </c>
      <c r="O296">
        <f>IF(A296&lt;&gt;$K$16,MIN(O295,VLOOKUP(A296,A:D,4)),)</f>
        <v>0.74900001287460327</v>
      </c>
      <c r="P296">
        <f t="shared" si="7"/>
        <v>0.76466665665308631</v>
      </c>
      <c r="Q296">
        <f t="shared" si="9"/>
        <v>0.78183332937104366</v>
      </c>
      <c r="R296">
        <f t="shared" si="10"/>
        <v>-1.7166672717957354E-2</v>
      </c>
      <c r="S296">
        <f t="shared" si="11"/>
        <v>1.8285718499397745E-2</v>
      </c>
      <c r="T296">
        <f t="shared" si="12"/>
        <v>2.7428577749096617E-4</v>
      </c>
      <c r="U296">
        <f t="shared" si="13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8"/>
        <v>295</v>
      </c>
      <c r="I297">
        <f>SUM($F$3:F297)/H297</f>
        <v>5743536.7891949154</v>
      </c>
      <c r="N297">
        <f>IF(A297&lt;&gt;$K$16,MAX(N296,VLOOKUP(A297,A:C,3)),)</f>
        <v>0.77399998903274536</v>
      </c>
      <c r="O297">
        <f>IF(A297&lt;&gt;$K$16,MIN(O296,VLOOKUP(A297,A:D,4)),)</f>
        <v>0.74900001287460327</v>
      </c>
      <c r="P297">
        <f t="shared" si="7"/>
        <v>0.76066664854685462</v>
      </c>
      <c r="Q297">
        <f t="shared" si="9"/>
        <v>0.77807142195247447</v>
      </c>
      <c r="R297">
        <f t="shared" si="10"/>
        <v>-1.7404773405619856E-2</v>
      </c>
      <c r="S297">
        <f t="shared" si="11"/>
        <v>1.6738095453807278E-2</v>
      </c>
      <c r="T297">
        <f t="shared" si="12"/>
        <v>2.5107143180710918E-4</v>
      </c>
      <c r="U297">
        <f t="shared" si="13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8"/>
        <v>296</v>
      </c>
      <c r="I298">
        <f>SUM($F$3:F298)/H298</f>
        <v>5726712.3608530406</v>
      </c>
      <c r="N298">
        <f>IF(A298&lt;&gt;$K$16,MAX(N297,VLOOKUP(A298,A:C,3)),)</f>
        <v>0.77399998903274536</v>
      </c>
      <c r="O298">
        <f>IF(A298&lt;&gt;$K$16,MIN(O297,VLOOKUP(A298,A:D,4)),)</f>
        <v>0.74900001287460327</v>
      </c>
      <c r="P298">
        <f t="shared" si="7"/>
        <v>0.76299999157587683</v>
      </c>
      <c r="Q298">
        <f t="shared" si="9"/>
        <v>0.77433332658949339</v>
      </c>
      <c r="R298">
        <f t="shared" si="10"/>
        <v>-1.1333335013616552E-2</v>
      </c>
      <c r="S298">
        <f t="shared" si="11"/>
        <v>1.461904794991419E-2</v>
      </c>
      <c r="T298">
        <f t="shared" si="12"/>
        <v>2.1928571924871286E-4</v>
      </c>
      <c r="U298">
        <f t="shared" si="13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8"/>
        <v>297</v>
      </c>
      <c r="I299">
        <f>SUM($F$3:F299)/H299</f>
        <v>5717956.7636784511</v>
      </c>
      <c r="N299">
        <f>IF(A299&lt;&gt;$K$16,MAX(N298,VLOOKUP(A299,A:C,3)),)</f>
        <v>0.77399998903274536</v>
      </c>
      <c r="O299">
        <f>IF(A299&lt;&gt;$K$16,MIN(O298,VLOOKUP(A299,A:D,4)),)</f>
        <v>0.74900001287460327</v>
      </c>
      <c r="P299">
        <f t="shared" si="7"/>
        <v>0.76966667175292969</v>
      </c>
      <c r="Q299">
        <f t="shared" si="9"/>
        <v>0.77092856452578573</v>
      </c>
      <c r="R299">
        <f t="shared" si="10"/>
        <v>-1.2618927728560436E-3</v>
      </c>
      <c r="S299">
        <f t="shared" si="11"/>
        <v>1.0908161701799193E-2</v>
      </c>
      <c r="T299">
        <f t="shared" si="12"/>
        <v>1.636224255269879E-4</v>
      </c>
      <c r="U299">
        <f t="shared" si="13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8"/>
        <v>298</v>
      </c>
      <c r="I300">
        <f>SUM($F$3:F300)/H300</f>
        <v>5705318.6709312079</v>
      </c>
      <c r="N300">
        <f>IF(A300&lt;&gt;$K$16,MAX(N299,VLOOKUP(A300,A:C,3)),)</f>
        <v>0.77399998903274536</v>
      </c>
      <c r="O300">
        <f>IF(A300&lt;&gt;$K$16,MIN(O299,VLOOKUP(A300,A:D,4)),)</f>
        <v>0.74900001287460327</v>
      </c>
      <c r="P300">
        <f t="shared" si="7"/>
        <v>0.76066666841506958</v>
      </c>
      <c r="Q300">
        <f t="shared" si="9"/>
        <v>0.76828570876802704</v>
      </c>
      <c r="R300">
        <f t="shared" si="10"/>
        <v>-7.6190403529574624E-3</v>
      </c>
      <c r="S300">
        <f t="shared" si="11"/>
        <v>8.7959190615179983E-3</v>
      </c>
      <c r="T300">
        <f t="shared" si="12"/>
        <v>1.3193878592276996E-4</v>
      </c>
      <c r="U300">
        <f t="shared" si="13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8"/>
        <v>299</v>
      </c>
      <c r="I301">
        <f>SUM($F$3:F301)/H301</f>
        <v>5694567.7890886292</v>
      </c>
      <c r="N301">
        <f>IF(A301&lt;&gt;$K$16,MAX(N300,VLOOKUP(A301,A:C,3)),)</f>
        <v>0.77399998903274536</v>
      </c>
      <c r="O301">
        <f>IF(A301&lt;&gt;$K$16,MIN(O300,VLOOKUP(A301,A:D,4)),)</f>
        <v>0.73500001430511475</v>
      </c>
      <c r="P301">
        <f t="shared" si="7"/>
        <v>0.74299999078114831</v>
      </c>
      <c r="Q301">
        <f t="shared" si="9"/>
        <v>0.76514285235177915</v>
      </c>
      <c r="R301">
        <f t="shared" si="10"/>
        <v>-2.2142861570630834E-2</v>
      </c>
      <c r="S301">
        <f t="shared" si="11"/>
        <v>8.3061221505509163E-3</v>
      </c>
      <c r="T301">
        <f t="shared" si="12"/>
        <v>1.2459183225826373E-4</v>
      </c>
      <c r="U301">
        <f t="shared" si="13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8"/>
        <v>300</v>
      </c>
      <c r="I302">
        <f>SUM($F$3:F302)/H302</f>
        <v>5680294.5797916669</v>
      </c>
      <c r="N302">
        <f>IF(A302&lt;&gt;$K$16,MAX(N301,VLOOKUP(A302,A:C,3)),)</f>
        <v>0.77399998903274536</v>
      </c>
      <c r="O302">
        <f>IF(A302&lt;&gt;$K$16,MIN(O301,VLOOKUP(A302,A:D,4)),)</f>
        <v>0.72899997234344482</v>
      </c>
      <c r="P302">
        <f t="shared" si="7"/>
        <v>0.73266665140787757</v>
      </c>
      <c r="Q302">
        <f t="shared" si="9"/>
        <v>0.76116665913945158</v>
      </c>
      <c r="R302">
        <f t="shared" si="10"/>
        <v>-2.8500007731574017E-2</v>
      </c>
      <c r="S302">
        <f t="shared" si="11"/>
        <v>8.5952352909814712E-3</v>
      </c>
      <c r="T302">
        <f t="shared" si="12"/>
        <v>1.2892852936472206E-4</v>
      </c>
      <c r="U302">
        <f t="shared" si="13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8"/>
        <v>301</v>
      </c>
      <c r="I303">
        <f>SUM($F$3:F303)/H303</f>
        <v>5669262.3718853816</v>
      </c>
      <c r="N303">
        <f>IF(A303&lt;&gt;$K$16,MAX(N302,VLOOKUP(A303,A:C,3)),)</f>
        <v>0.77399998903274536</v>
      </c>
      <c r="O303">
        <f>IF(A303&lt;&gt;$K$16,MIN(O302,VLOOKUP(A303,A:D,4)),)</f>
        <v>0.72399997711181641</v>
      </c>
      <c r="P303">
        <f t="shared" si="7"/>
        <v>0.72866666316986084</v>
      </c>
      <c r="Q303">
        <f t="shared" si="9"/>
        <v>0.75752380348387227</v>
      </c>
      <c r="R303">
        <f t="shared" si="10"/>
        <v>-2.8857140314011431E-2</v>
      </c>
      <c r="S303">
        <f t="shared" si="11"/>
        <v>1.0326530657657937E-2</v>
      </c>
      <c r="T303">
        <f t="shared" si="12"/>
        <v>1.5489795986486904E-4</v>
      </c>
      <c r="U303">
        <f t="shared" si="13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8"/>
        <v>302</v>
      </c>
      <c r="I304">
        <f>SUM($F$3:F304)/H304</f>
        <v>5658278.721647351</v>
      </c>
      <c r="N304">
        <f>IF(A304&lt;&gt;$K$16,MAX(N303,VLOOKUP(A304,A:C,3)),)</f>
        <v>0.77399998903274536</v>
      </c>
      <c r="O304">
        <f>IF(A304&lt;&gt;$K$16,MIN(O303,VLOOKUP(A304,A:D,4)),)</f>
        <v>0.72399997711181641</v>
      </c>
      <c r="P304">
        <f t="shared" si="7"/>
        <v>0.73033334811528527</v>
      </c>
      <c r="Q304">
        <f t="shared" si="9"/>
        <v>0.75409523362205155</v>
      </c>
      <c r="R304">
        <f t="shared" si="10"/>
        <v>-2.3761885506766278E-2</v>
      </c>
      <c r="S304">
        <f t="shared" si="11"/>
        <v>1.1673468716290476E-2</v>
      </c>
      <c r="T304">
        <f t="shared" si="12"/>
        <v>1.7510203074435712E-4</v>
      </c>
      <c r="U304">
        <f t="shared" si="13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8"/>
        <v>303</v>
      </c>
      <c r="I305">
        <f>SUM($F$3:F305)/H305</f>
        <v>5646530.6070544552</v>
      </c>
      <c r="N305">
        <f>IF(A305&lt;&gt;$K$16,MAX(N304,VLOOKUP(A305,A:C,3)),)</f>
        <v>0.77399998903274536</v>
      </c>
      <c r="O305">
        <f>IF(A305&lt;&gt;$K$16,MIN(O304,VLOOKUP(A305,A:D,4)),)</f>
        <v>0.71899998188018799</v>
      </c>
      <c r="P305">
        <f t="shared" si="7"/>
        <v>0.72200000286102295</v>
      </c>
      <c r="Q305">
        <f t="shared" si="9"/>
        <v>0.75083332970028838</v>
      </c>
      <c r="R305">
        <f t="shared" si="10"/>
        <v>-2.8833326839265427E-2</v>
      </c>
      <c r="S305">
        <f t="shared" si="11"/>
        <v>1.3928570309463793E-2</v>
      </c>
      <c r="T305">
        <f t="shared" si="12"/>
        <v>2.0892855464195689E-4</v>
      </c>
      <c r="U305">
        <f t="shared" si="13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8"/>
        <v>304</v>
      </c>
      <c r="I306">
        <f>SUM($F$3:F306)/H306</f>
        <v>5631283.7958470397</v>
      </c>
      <c r="N306">
        <f>IF(A306&lt;&gt;$K$16,MAX(N305,VLOOKUP(A306,A:C,3)),)</f>
        <v>0.77399998903274536</v>
      </c>
      <c r="O306">
        <f>IF(A306&lt;&gt;$K$16,MIN(O305,VLOOKUP(A306,A:D,4)),)</f>
        <v>0.71299999952316284</v>
      </c>
      <c r="P306">
        <f t="shared" si="7"/>
        <v>0.71666665871938073</v>
      </c>
      <c r="Q306">
        <f t="shared" si="9"/>
        <v>0.74735713998476683</v>
      </c>
      <c r="R306">
        <f t="shared" si="10"/>
        <v>-3.0690481265386094E-2</v>
      </c>
      <c r="S306">
        <f t="shared" si="11"/>
        <v>1.582993212200343E-2</v>
      </c>
      <c r="T306">
        <f t="shared" si="12"/>
        <v>2.3744898183005145E-4</v>
      </c>
      <c r="U306">
        <f t="shared" si="13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8"/>
        <v>305</v>
      </c>
      <c r="I307">
        <f>SUM($F$3:F307)/H307</f>
        <v>5616510.7342213113</v>
      </c>
      <c r="N307">
        <f>IF(A307&lt;&gt;$K$16,MAX(N306,VLOOKUP(A307,A:C,3)),)</f>
        <v>0.77399998903274536</v>
      </c>
      <c r="O307">
        <f>IF(A307&lt;&gt;$K$16,MIN(O306,VLOOKUP(A307,A:D,4)),)</f>
        <v>0.70099997520446777</v>
      </c>
      <c r="P307">
        <f t="shared" si="7"/>
        <v>0.70899999141693115</v>
      </c>
      <c r="Q307">
        <f t="shared" si="9"/>
        <v>0.74371428149087093</v>
      </c>
      <c r="R307">
        <f t="shared" si="10"/>
        <v>-3.471429007393978E-2</v>
      </c>
      <c r="S307">
        <f t="shared" si="11"/>
        <v>1.7666666280655625E-2</v>
      </c>
      <c r="T307">
        <f t="shared" si="12"/>
        <v>2.6499999420983433E-4</v>
      </c>
      <c r="U307">
        <f t="shared" si="13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8"/>
        <v>306</v>
      </c>
      <c r="I308">
        <f>SUM($F$3:F308)/H308</f>
        <v>5599559.0651552286</v>
      </c>
      <c r="N308">
        <f>IF(A308&lt;&gt;$K$16,MAX(N307,VLOOKUP(A308,A:C,3)),)</f>
        <v>0.77399998903274536</v>
      </c>
      <c r="O308">
        <f>IF(A308&lt;&gt;$K$16,MIN(O307,VLOOKUP(A308,A:D,4)),)</f>
        <v>0.70099997520446777</v>
      </c>
      <c r="P308">
        <f t="shared" si="7"/>
        <v>0.71166664361953735</v>
      </c>
      <c r="Q308">
        <f t="shared" si="9"/>
        <v>0.74061904209000728</v>
      </c>
      <c r="R308">
        <f t="shared" si="10"/>
        <v>-2.8952398470469931E-2</v>
      </c>
      <c r="S308">
        <f t="shared" si="11"/>
        <v>1.9047619331450685E-2</v>
      </c>
      <c r="T308">
        <f t="shared" si="12"/>
        <v>2.8571428997176026E-4</v>
      </c>
      <c r="U308">
        <f t="shared" si="13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8"/>
        <v>307</v>
      </c>
      <c r="I309">
        <f>SUM($F$3:F309)/H309</f>
        <v>5588050.0779723125</v>
      </c>
      <c r="N309">
        <f>IF(A309&lt;&gt;$K$16,MAX(N308,VLOOKUP(A309,A:C,3)),)</f>
        <v>0.77399998903274536</v>
      </c>
      <c r="O309">
        <f>IF(A309&lt;&gt;$K$16,MIN(O308,VLOOKUP(A309,A:D,4)),)</f>
        <v>0.70099997520446777</v>
      </c>
      <c r="P309">
        <f t="shared" si="7"/>
        <v>0.71766666571299231</v>
      </c>
      <c r="Q309">
        <f t="shared" si="9"/>
        <v>0.7378809466248466</v>
      </c>
      <c r="R309">
        <f t="shared" si="10"/>
        <v>-2.0214280911854288E-2</v>
      </c>
      <c r="S309">
        <f t="shared" si="11"/>
        <v>1.919727828226931E-2</v>
      </c>
      <c r="T309">
        <f t="shared" si="12"/>
        <v>2.8795917423403964E-4</v>
      </c>
      <c r="U309">
        <f t="shared" si="13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8"/>
        <v>308</v>
      </c>
      <c r="I310">
        <f>SUM($F$3:F310)/H310</f>
        <v>5577386.928368507</v>
      </c>
      <c r="N310">
        <f>IF(A310&lt;&gt;$K$16,MAX(N309,VLOOKUP(A310,A:C,3)),)</f>
        <v>0.77399998903274536</v>
      </c>
      <c r="O310">
        <f>IF(A310&lt;&gt;$K$16,MIN(O309,VLOOKUP(A310,A:D,4)),)</f>
        <v>0.70099997520446777</v>
      </c>
      <c r="P310">
        <f t="shared" si="7"/>
        <v>0.71066665649414063</v>
      </c>
      <c r="Q310">
        <f t="shared" si="9"/>
        <v>0.73402380375635057</v>
      </c>
      <c r="R310">
        <f t="shared" si="10"/>
        <v>-2.3357147262209943E-2</v>
      </c>
      <c r="S310">
        <f t="shared" si="11"/>
        <v>1.8125850327160891E-2</v>
      </c>
      <c r="T310">
        <f t="shared" si="12"/>
        <v>2.7188775490741334E-4</v>
      </c>
      <c r="U310">
        <f t="shared" si="13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8"/>
        <v>309</v>
      </c>
      <c r="I311">
        <f>SUM($F$3:F311)/H311</f>
        <v>5567080.8250404531</v>
      </c>
      <c r="N311">
        <f>IF(A311&lt;&gt;$K$16,MAX(N310,VLOOKUP(A311,A:C,3)),)</f>
        <v>0.77399998903274536</v>
      </c>
      <c r="O311">
        <f>IF(A311&lt;&gt;$K$16,MIN(O310,VLOOKUP(A311,A:D,4)),)</f>
        <v>0.70099997520446777</v>
      </c>
      <c r="P311">
        <f t="shared" si="7"/>
        <v>0.70966664950052893</v>
      </c>
      <c r="Q311">
        <f t="shared" si="9"/>
        <v>0.7303809466816128</v>
      </c>
      <c r="R311">
        <f t="shared" si="10"/>
        <v>-2.0714297181083863E-2</v>
      </c>
      <c r="S311">
        <f t="shared" si="11"/>
        <v>1.672789150354807E-2</v>
      </c>
      <c r="T311">
        <f t="shared" si="12"/>
        <v>2.5091837255322106E-4</v>
      </c>
      <c r="U311">
        <f t="shared" si="13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8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7"/>
        <v>0.6993333101272583</v>
      </c>
      <c r="Q312">
        <f t="shared" si="9"/>
        <v>0.72583332657814015</v>
      </c>
      <c r="R312">
        <f t="shared" si="10"/>
        <v>-2.6500016450881847E-2</v>
      </c>
      <c r="S312">
        <f t="shared" si="11"/>
        <v>1.5714290596189943E-2</v>
      </c>
      <c r="T312">
        <f t="shared" si="12"/>
        <v>2.3571435894284914E-4</v>
      </c>
      <c r="U312">
        <f t="shared" si="13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8"/>
        <v>311</v>
      </c>
      <c r="I313">
        <f>SUM($F$3:F313)/H313</f>
        <v>5545341.4049437298</v>
      </c>
      <c r="N313">
        <f>IF(A313&lt;&gt;$K$17,MAX(N312,VLOOKUP(A313,A:C,3)),)</f>
        <v>0.69499999284744263</v>
      </c>
      <c r="O313">
        <f>IF(A313&lt;&gt;$K$17,MIN(O312,VLOOKUP(A313,A:D,4)),)</f>
        <v>0.67799997329711914</v>
      </c>
      <c r="P313">
        <f t="shared" si="7"/>
        <v>0.6839999953905741</v>
      </c>
      <c r="Q313">
        <f t="shared" si="9"/>
        <v>0.71971427826654344</v>
      </c>
      <c r="R313">
        <f t="shared" si="10"/>
        <v>-3.5714282875969339E-2</v>
      </c>
      <c r="S313">
        <f t="shared" si="11"/>
        <v>1.4149665021571991E-2</v>
      </c>
      <c r="T313">
        <f t="shared" si="12"/>
        <v>2.1224497532357987E-4</v>
      </c>
      <c r="U313">
        <f t="shared" si="13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8"/>
        <v>312</v>
      </c>
      <c r="I314">
        <f>SUM($F$3:F314)/H314</f>
        <v>5533917.554286859</v>
      </c>
      <c r="N314">
        <f>IF(A314&lt;&gt;$K$17,MAX(N313,VLOOKUP(A314,A:C,3)),)</f>
        <v>0.69499999284744263</v>
      </c>
      <c r="O314">
        <f>IF(A314&lt;&gt;$K$17,MIN(O313,VLOOKUP(A314,A:D,4)),)</f>
        <v>0.67799997329711914</v>
      </c>
      <c r="P314">
        <f t="shared" si="7"/>
        <v>0.68333333730697632</v>
      </c>
      <c r="Q314">
        <f t="shared" si="9"/>
        <v>0.71419046890167959</v>
      </c>
      <c r="R314">
        <f t="shared" si="10"/>
        <v>-3.0857131594703269E-2</v>
      </c>
      <c r="S314">
        <f t="shared" si="11"/>
        <v>1.3095242636544371E-2</v>
      </c>
      <c r="T314">
        <f t="shared" si="12"/>
        <v>1.9642863954816555E-4</v>
      </c>
      <c r="U314">
        <f t="shared" si="13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8"/>
        <v>313</v>
      </c>
      <c r="I315">
        <f>SUM($F$3:F315)/H315</f>
        <v>5528005.1052316297</v>
      </c>
      <c r="N315">
        <f>IF(A315&lt;&gt;$K$17,MAX(N314,VLOOKUP(A315,A:C,3)),)</f>
        <v>0.70200002193450928</v>
      </c>
      <c r="O315">
        <f>IF(A315&lt;&gt;$K$17,MIN(O314,VLOOKUP(A315,A:D,4)),)</f>
        <v>0.67799997329711914</v>
      </c>
      <c r="P315">
        <f t="shared" si="7"/>
        <v>0.6940000057220459</v>
      </c>
      <c r="Q315">
        <f t="shared" si="9"/>
        <v>0.71069046996888663</v>
      </c>
      <c r="R315">
        <f t="shared" si="10"/>
        <v>-1.669046424684073E-2</v>
      </c>
      <c r="S315">
        <f t="shared" si="11"/>
        <v>1.2119049117678693E-2</v>
      </c>
      <c r="T315">
        <f t="shared" si="12"/>
        <v>1.8178573676518039E-4</v>
      </c>
      <c r="U315">
        <f t="shared" si="13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8"/>
        <v>314</v>
      </c>
      <c r="I316">
        <f>SUM($F$3:F316)/H316</f>
        <v>5517042.3501194268</v>
      </c>
      <c r="N316">
        <f>IF(A316&lt;&gt;$K$17,MAX(N315,VLOOKUP(A316,A:C,3)),)</f>
        <v>0.72200000286102295</v>
      </c>
      <c r="O316">
        <f>IF(A316&lt;&gt;$K$17,MIN(O315,VLOOKUP(A316,A:D,4)),)</f>
        <v>0.67799997329711914</v>
      </c>
      <c r="P316">
        <f t="shared" si="7"/>
        <v>0.70866668224334717</v>
      </c>
      <c r="Q316">
        <f t="shared" si="9"/>
        <v>0.70897618645713456</v>
      </c>
      <c r="R316">
        <f t="shared" si="10"/>
        <v>-3.0950421378739268E-4</v>
      </c>
      <c r="S316">
        <f t="shared" si="11"/>
        <v>1.0792514499352868E-2</v>
      </c>
      <c r="T316">
        <f t="shared" si="12"/>
        <v>1.61887717490293E-4</v>
      </c>
      <c r="U316">
        <f t="shared" si="13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8"/>
        <v>315</v>
      </c>
      <c r="I317">
        <f>SUM($F$3:F317)/H317</f>
        <v>5508426.6601190474</v>
      </c>
      <c r="N317">
        <f>IF(A317&lt;&gt;$K$17,MAX(N316,VLOOKUP(A317,A:C,3)),)</f>
        <v>0.7279999852180481</v>
      </c>
      <c r="O317">
        <f>IF(A317&lt;&gt;$K$17,MIN(O316,VLOOKUP(A317,A:D,4)),)</f>
        <v>0.67799997329711914</v>
      </c>
      <c r="P317">
        <f t="shared" si="7"/>
        <v>0.71799999475479126</v>
      </c>
      <c r="Q317">
        <f t="shared" si="9"/>
        <v>0.70821428157034383</v>
      </c>
      <c r="R317">
        <f t="shared" si="10"/>
        <v>9.785713184447431E-3</v>
      </c>
      <c r="S317">
        <f t="shared" si="11"/>
        <v>1.0312925390645726E-2</v>
      </c>
      <c r="T317">
        <f t="shared" si="12"/>
        <v>1.5469388085968588E-4</v>
      </c>
      <c r="U317">
        <f t="shared" si="13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8"/>
        <v>316</v>
      </c>
      <c r="I318">
        <f>SUM($F$3:F318)/H318</f>
        <v>5501815.1960047465</v>
      </c>
      <c r="N318">
        <f>IF(A318&lt;&gt;$K$17,MAX(N317,VLOOKUP(A318,A:C,3)),)</f>
        <v>0.72899997234344482</v>
      </c>
      <c r="O318">
        <f>IF(A318&lt;&gt;$K$17,MIN(O317,VLOOKUP(A318,A:D,4)),)</f>
        <v>0.67799997329711914</v>
      </c>
      <c r="P318">
        <f t="shared" si="7"/>
        <v>0.72566666205724084</v>
      </c>
      <c r="Q318">
        <f t="shared" si="9"/>
        <v>0.70788094685191205</v>
      </c>
      <c r="R318">
        <f t="shared" si="10"/>
        <v>1.7785715205328789E-2</v>
      </c>
      <c r="S318">
        <f t="shared" si="11"/>
        <v>1.0122448408684743E-2</v>
      </c>
      <c r="T318">
        <f t="shared" si="12"/>
        <v>1.5183672613027115E-4</v>
      </c>
      <c r="U318">
        <f t="shared" si="13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8"/>
        <v>317</v>
      </c>
      <c r="I319">
        <f>SUM($F$3:F319)/H319</f>
        <v>5491691.4887618292</v>
      </c>
      <c r="N319">
        <f>IF(A319&lt;&gt;$K$17,MAX(N318,VLOOKUP(A319,A:C,3)),)</f>
        <v>0.74199998378753662</v>
      </c>
      <c r="O319">
        <f>IF(A319&lt;&gt;$K$17,MIN(O318,VLOOKUP(A319,A:D,4)),)</f>
        <v>0.67799997329711914</v>
      </c>
      <c r="P319">
        <f t="shared" si="7"/>
        <v>0.73366665840148926</v>
      </c>
      <c r="Q319">
        <f t="shared" si="9"/>
        <v>0.70871427939051679</v>
      </c>
      <c r="R319">
        <f t="shared" si="10"/>
        <v>2.495237901097247E-2</v>
      </c>
      <c r="S319">
        <f t="shared" si="11"/>
        <v>1.0605438023197395E-2</v>
      </c>
      <c r="T319">
        <f t="shared" si="12"/>
        <v>1.5908157034796093E-4</v>
      </c>
      <c r="U319">
        <f t="shared" si="13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8"/>
        <v>318</v>
      </c>
      <c r="I320">
        <f>SUM($F$3:F320)/H320</f>
        <v>5488427.3771619499</v>
      </c>
      <c r="N320">
        <f>IF(A320&lt;&gt;$K$17,MAX(N319,VLOOKUP(A320,A:C,3)),)</f>
        <v>0.74199998378753662</v>
      </c>
      <c r="O320">
        <f>IF(A320&lt;&gt;$K$17,MIN(O319,VLOOKUP(A320,A:D,4)),)</f>
        <v>0.67799997329711914</v>
      </c>
      <c r="P320">
        <f t="shared" si="7"/>
        <v>0.72733332713445031</v>
      </c>
      <c r="Q320">
        <f t="shared" si="9"/>
        <v>0.70947618427730752</v>
      </c>
      <c r="R320">
        <f t="shared" si="10"/>
        <v>1.7857142857142794E-2</v>
      </c>
      <c r="S320">
        <f t="shared" si="11"/>
        <v>1.121768335095878E-2</v>
      </c>
      <c r="T320">
        <f t="shared" si="12"/>
        <v>1.6826525026438169E-4</v>
      </c>
      <c r="U320">
        <f t="shared" si="13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8"/>
        <v>319</v>
      </c>
      <c r="I321">
        <f>SUM($F$3:F321)/H321</f>
        <v>5487670.8650078373</v>
      </c>
      <c r="N321">
        <f>IF(A321&lt;&gt;$K$17,MAX(N320,VLOOKUP(A321,A:C,3)),)</f>
        <v>0.74199998378753662</v>
      </c>
      <c r="O321">
        <f>IF(A321&lt;&gt;$K$17,MIN(O320,VLOOKUP(A321,A:D,4)),)</f>
        <v>0.67799997329711914</v>
      </c>
      <c r="P321">
        <f t="shared" si="7"/>
        <v>0.71666665871938073</v>
      </c>
      <c r="Q321">
        <f t="shared" si="9"/>
        <v>0.71002380337033955</v>
      </c>
      <c r="R321">
        <f t="shared" si="10"/>
        <v>6.6428553490411879E-3</v>
      </c>
      <c r="S321">
        <f t="shared" si="11"/>
        <v>1.1591834275900921E-2</v>
      </c>
      <c r="T321">
        <f t="shared" si="12"/>
        <v>1.7387751413851382E-4</v>
      </c>
      <c r="U321">
        <f t="shared" si="13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8"/>
        <v>320</v>
      </c>
      <c r="I322">
        <f>SUM($F$3:F322)/H322</f>
        <v>5481092.2123046871</v>
      </c>
      <c r="N322">
        <f>IF(A322&lt;&gt;$K$17,MAX(N321,VLOOKUP(A322,A:C,3)),)</f>
        <v>0.74199998378753662</v>
      </c>
      <c r="O322">
        <f>IF(A322&lt;&gt;$K$17,MIN(O321,VLOOKUP(A322,A:D,4)),)</f>
        <v>0.67799997329711914</v>
      </c>
      <c r="P322">
        <f t="shared" ref="P322:P576" si="14">(C322+D322+E322)/3</f>
        <v>0.71466666460037231</v>
      </c>
      <c r="Q322">
        <f t="shared" si="9"/>
        <v>0.71023809058325627</v>
      </c>
      <c r="R322">
        <f t="shared" si="10"/>
        <v>4.4285740171160493E-3</v>
      </c>
      <c r="S322">
        <f t="shared" si="11"/>
        <v>1.1775509029829601E-2</v>
      </c>
      <c r="T322">
        <f t="shared" si="12"/>
        <v>1.7663263544744401E-4</v>
      </c>
      <c r="U322">
        <f t="shared" si="13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8"/>
        <v>321</v>
      </c>
      <c r="I323">
        <f>SUM($F$3:F323)/H323</f>
        <v>5472091.6135124611</v>
      </c>
      <c r="N323">
        <f>IF(A323&lt;&gt;$K$17,MAX(N322,VLOOKUP(A323,A:C,3)),)</f>
        <v>0.74199998378753662</v>
      </c>
      <c r="O323">
        <f>IF(A323&lt;&gt;$K$17,MIN(O322,VLOOKUP(A323,A:D,4)),)</f>
        <v>0.67799997329711914</v>
      </c>
      <c r="P323">
        <f t="shared" si="14"/>
        <v>0.7066666682561239</v>
      </c>
      <c r="Q323">
        <f t="shared" si="9"/>
        <v>0.70945237647919424</v>
      </c>
      <c r="R323">
        <f t="shared" si="10"/>
        <v>-2.7857082230703378E-3</v>
      </c>
      <c r="S323">
        <f t="shared" si="11"/>
        <v>1.1530608546977152E-2</v>
      </c>
      <c r="T323">
        <f t="shared" si="12"/>
        <v>1.7295912820465727E-4</v>
      </c>
      <c r="U323">
        <f t="shared" si="13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15">H323+1</f>
        <v>322</v>
      </c>
      <c r="I324">
        <f>SUM($F$3:F324)/H324</f>
        <v>5472226.7358307457</v>
      </c>
      <c r="N324">
        <f>IF(A324&lt;&gt;$K$17,MAX(N323,VLOOKUP(A324,A:C,3)),)</f>
        <v>0.74199998378753662</v>
      </c>
      <c r="O324">
        <f>IF(A324&lt;&gt;$K$17,MIN(O323,VLOOKUP(A324,A:D,4)),)</f>
        <v>0.67799997329711914</v>
      </c>
      <c r="P324">
        <f t="shared" si="14"/>
        <v>0.69866667191187537</v>
      </c>
      <c r="Q324">
        <f t="shared" si="9"/>
        <v>0.70859523472331809</v>
      </c>
      <c r="R324">
        <f t="shared" si="10"/>
        <v>-9.9285628114427205E-3</v>
      </c>
      <c r="S324">
        <f t="shared" si="11"/>
        <v>1.2224488517865053E-2</v>
      </c>
      <c r="T324">
        <f t="shared" si="12"/>
        <v>1.833673277679758E-4</v>
      </c>
      <c r="U324">
        <f t="shared" si="13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15"/>
        <v>323</v>
      </c>
      <c r="I325">
        <f>SUM($F$3:F325)/H325</f>
        <v>5464373.402283282</v>
      </c>
      <c r="N325">
        <f>IF(A325&lt;&gt;$K$17,MAX(N324,VLOOKUP(A325,A:C,3)),)</f>
        <v>0.74199998378753662</v>
      </c>
      <c r="O325">
        <f>IF(A325&lt;&gt;$K$17,MIN(O324,VLOOKUP(A325,A:D,4)),)</f>
        <v>0.67799997329711914</v>
      </c>
      <c r="P325">
        <f t="shared" si="14"/>
        <v>0.71100000540415442</v>
      </c>
      <c r="Q325">
        <f t="shared" si="9"/>
        <v>0.70869047443071975</v>
      </c>
      <c r="R325">
        <f t="shared" si="10"/>
        <v>2.3095309734346703E-3</v>
      </c>
      <c r="S325">
        <f t="shared" si="11"/>
        <v>1.2309521436691293E-2</v>
      </c>
      <c r="T325">
        <f t="shared" si="12"/>
        <v>1.846428215503694E-4</v>
      </c>
      <c r="U325">
        <f t="shared" si="13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15"/>
        <v>324</v>
      </c>
      <c r="I326">
        <f>SUM($F$3:F326)/H326</f>
        <v>5458394.4720293209</v>
      </c>
      <c r="N326">
        <f>IF(A326&lt;&gt;$K$17,MAX(N325,VLOOKUP(A326,A:C,3)),)</f>
        <v>0.74199998378753662</v>
      </c>
      <c r="O326">
        <f>IF(A326&lt;&gt;$K$17,MIN(O325,VLOOKUP(A326,A:D,4)),)</f>
        <v>0.67799997329711914</v>
      </c>
      <c r="P326">
        <f t="shared" si="14"/>
        <v>0.7096666693687439</v>
      </c>
      <c r="Q326">
        <f t="shared" si="9"/>
        <v>0.70942857151939742</v>
      </c>
      <c r="R326">
        <f t="shared" si="10"/>
        <v>2.3809784934647471E-4</v>
      </c>
      <c r="S326">
        <f t="shared" si="11"/>
        <v>1.1605438326491817E-2</v>
      </c>
      <c r="T326">
        <f t="shared" si="12"/>
        <v>1.7408157489737724E-4</v>
      </c>
      <c r="U326">
        <f t="shared" si="13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15"/>
        <v>325</v>
      </c>
      <c r="I327">
        <f>SUM($F$3:F327)/H327</f>
        <v>5450893.8736538459</v>
      </c>
      <c r="N327">
        <f>IF(A327&lt;&gt;$K$17,MAX(N326,VLOOKUP(A327,A:C,3)),)</f>
        <v>0.74199998378753662</v>
      </c>
      <c r="O327">
        <f>IF(A327&lt;&gt;$K$17,MIN(O326,VLOOKUP(A327,A:D,4)),)</f>
        <v>0.67799997329711914</v>
      </c>
      <c r="P327">
        <f t="shared" si="14"/>
        <v>0.68866668144861853</v>
      </c>
      <c r="Q327">
        <f t="shared" si="9"/>
        <v>0.7097619062378292</v>
      </c>
      <c r="R327">
        <f t="shared" si="10"/>
        <v>-2.1095224789210665E-2</v>
      </c>
      <c r="S327">
        <f t="shared" si="11"/>
        <v>1.1238089629582004E-2</v>
      </c>
      <c r="T327">
        <f t="shared" si="12"/>
        <v>1.6857134444373006E-4</v>
      </c>
      <c r="U327">
        <f t="shared" si="13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15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14"/>
        <v>0.68566664059956872</v>
      </c>
      <c r="Q328">
        <f t="shared" si="9"/>
        <v>0.70992857075872884</v>
      </c>
      <c r="R328">
        <f t="shared" si="10"/>
        <v>-2.4261930159160117E-2</v>
      </c>
      <c r="S328">
        <f t="shared" si="11"/>
        <v>1.1071425108682547E-2</v>
      </c>
      <c r="T328">
        <f t="shared" si="12"/>
        <v>1.660713766302382E-4</v>
      </c>
      <c r="U328">
        <f t="shared" si="13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15"/>
        <v>327</v>
      </c>
      <c r="I329">
        <f>SUM($F$3:F329)/H329</f>
        <v>5440388.4340596329</v>
      </c>
      <c r="N329">
        <f>IF(A329&lt;&gt;$K$18,MAX(N328,VLOOKUP(A329,A:C,3)),)</f>
        <v>0.70499998331069946</v>
      </c>
      <c r="O329">
        <f>IF(A329&lt;&gt;$K$18,MIN(O328,VLOOKUP(A329,A:D,4)),)</f>
        <v>0.68400001525878906</v>
      </c>
      <c r="P329">
        <f t="shared" si="14"/>
        <v>0.69799999396006263</v>
      </c>
      <c r="Q329">
        <f t="shared" si="9"/>
        <v>0.71021428420430144</v>
      </c>
      <c r="R329">
        <f t="shared" si="10"/>
        <v>-1.2214290244238812E-2</v>
      </c>
      <c r="S329">
        <f t="shared" si="11"/>
        <v>1.0785711663109923E-2</v>
      </c>
      <c r="T329">
        <f t="shared" si="12"/>
        <v>1.6178567494664885E-4</v>
      </c>
      <c r="U329">
        <f t="shared" si="13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15"/>
        <v>328</v>
      </c>
      <c r="I330">
        <f>SUM($F$3:F330)/H330</f>
        <v>5434741.213224085</v>
      </c>
      <c r="N330">
        <f>IF(A330&lt;&gt;$K$18,MAX(N329,VLOOKUP(A330,A:C,3)),)</f>
        <v>0.72200000286102295</v>
      </c>
      <c r="O330">
        <f>IF(A330&lt;&gt;$K$18,MIN(O329,VLOOKUP(A330,A:D,4)),)</f>
        <v>0.68400001525878906</v>
      </c>
      <c r="P330">
        <f t="shared" si="14"/>
        <v>0.71466666460037231</v>
      </c>
      <c r="Q330">
        <f t="shared" si="9"/>
        <v>0.71064285437266039</v>
      </c>
      <c r="R330">
        <f t="shared" si="10"/>
        <v>4.0238102277119214E-3</v>
      </c>
      <c r="S330">
        <f t="shared" si="11"/>
        <v>1.0931971527281259E-2</v>
      </c>
      <c r="T330">
        <f t="shared" si="12"/>
        <v>1.6397957290921887E-4</v>
      </c>
      <c r="U330">
        <f t="shared" si="13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15"/>
        <v>329</v>
      </c>
      <c r="I331">
        <f>SUM($F$3:F331)/H331</f>
        <v>5427246.8660714282</v>
      </c>
      <c r="N331">
        <f>IF(A331&lt;&gt;$K$18,MAX(N330,VLOOKUP(A331,A:C,3)),)</f>
        <v>0.72200000286102295</v>
      </c>
      <c r="O331">
        <f>IF(A331&lt;&gt;$K$18,MIN(O330,VLOOKUP(A331,A:D,4)),)</f>
        <v>0.68400001525878906</v>
      </c>
      <c r="P331">
        <f t="shared" si="14"/>
        <v>0.71266665061314904</v>
      </c>
      <c r="Q331">
        <f t="shared" si="9"/>
        <v>0.71026190121968591</v>
      </c>
      <c r="R331">
        <f t="shared" si="10"/>
        <v>2.4047493934631348E-3</v>
      </c>
      <c r="S331">
        <f t="shared" si="11"/>
        <v>1.0605440253303169E-2</v>
      </c>
      <c r="T331">
        <f t="shared" si="12"/>
        <v>1.5908160379954754E-4</v>
      </c>
      <c r="U331">
        <f t="shared" si="13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15"/>
        <v>330</v>
      </c>
      <c r="I332">
        <f>SUM($F$3:F332)/H332</f>
        <v>5421897.3361742422</v>
      </c>
      <c r="N332">
        <f>IF(A332&lt;&gt;$K$18,MAX(N331,VLOOKUP(A332,A:C,3)),)</f>
        <v>0.73799997568130493</v>
      </c>
      <c r="O332">
        <f>IF(A332&lt;&gt;$K$18,MIN(O331,VLOOKUP(A332,A:D,4)),)</f>
        <v>0.68400001525878906</v>
      </c>
      <c r="P332">
        <f t="shared" si="14"/>
        <v>0.72999999920527137</v>
      </c>
      <c r="Q332">
        <f t="shared" si="9"/>
        <v>0.71057142530168804</v>
      </c>
      <c r="R332">
        <f t="shared" si="10"/>
        <v>1.9428573903583324E-2</v>
      </c>
      <c r="S332">
        <f t="shared" si="11"/>
        <v>1.0870746609305046E-2</v>
      </c>
      <c r="T332">
        <f t="shared" si="12"/>
        <v>1.630611991395757E-4</v>
      </c>
      <c r="U332">
        <f t="shared" si="13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15"/>
        <v>331</v>
      </c>
      <c r="I333">
        <f>SUM($F$3:F333)/H333</f>
        <v>5412841.7550981874</v>
      </c>
      <c r="N333">
        <f>IF(A333&lt;&gt;$K$18,MAX(N332,VLOOKUP(A333,A:C,3)),)</f>
        <v>0.73900002241134644</v>
      </c>
      <c r="O333">
        <f>IF(A333&lt;&gt;$K$18,MIN(O332,VLOOKUP(A333,A:D,4)),)</f>
        <v>0.68400001525878906</v>
      </c>
      <c r="P333">
        <f t="shared" si="14"/>
        <v>0.7346666852633158</v>
      </c>
      <c r="Q333">
        <f t="shared" si="9"/>
        <v>0.71064285579181852</v>
      </c>
      <c r="R333">
        <f t="shared" si="10"/>
        <v>2.4023829471497282E-2</v>
      </c>
      <c r="S333">
        <f t="shared" si="11"/>
        <v>1.0931972743702587E-2</v>
      </c>
      <c r="T333">
        <f t="shared" si="12"/>
        <v>1.639795911555388E-4</v>
      </c>
      <c r="U333">
        <f t="shared" si="13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15"/>
        <v>332</v>
      </c>
      <c r="I334">
        <f>SUM($F$3:F334)/H334</f>
        <v>5404838.620293675</v>
      </c>
      <c r="N334">
        <f>IF(A334&lt;&gt;$K$18,MAX(N333,VLOOKUP(A334,A:C,3)),)</f>
        <v>0.73900002241134644</v>
      </c>
      <c r="O334">
        <f>IF(A334&lt;&gt;$K$18,MIN(O333,VLOOKUP(A334,A:D,4)),)</f>
        <v>0.68400001525878906</v>
      </c>
      <c r="P334">
        <f t="shared" si="14"/>
        <v>0.72899999221165979</v>
      </c>
      <c r="Q334">
        <f t="shared" si="9"/>
        <v>0.71076190329733346</v>
      </c>
      <c r="R334">
        <f t="shared" si="10"/>
        <v>1.8238088914326323E-2</v>
      </c>
      <c r="S334">
        <f t="shared" si="11"/>
        <v>1.1034013462715415E-2</v>
      </c>
      <c r="T334">
        <f t="shared" si="12"/>
        <v>1.6551020194073123E-4</v>
      </c>
      <c r="U334">
        <f t="shared" si="13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15"/>
        <v>333</v>
      </c>
      <c r="I335">
        <f>SUM($F$3:F335)/H335</f>
        <v>5397341.8256381378</v>
      </c>
      <c r="N335">
        <f>IF(A335&lt;&gt;$K$18,MAX(N334,VLOOKUP(A335,A:C,3)),)</f>
        <v>0.73900002241134644</v>
      </c>
      <c r="O335">
        <f>IF(A335&lt;&gt;$K$18,MIN(O334,VLOOKUP(A335,A:D,4)),)</f>
        <v>0.68400001525878906</v>
      </c>
      <c r="P335">
        <f t="shared" si="14"/>
        <v>0.72433334589004517</v>
      </c>
      <c r="Q335">
        <f t="shared" si="9"/>
        <v>0.71130952380952384</v>
      </c>
      <c r="R335">
        <f t="shared" si="10"/>
        <v>1.302382208052133E-2</v>
      </c>
      <c r="S335">
        <f t="shared" si="11"/>
        <v>1.1547619388217023E-2</v>
      </c>
      <c r="T335">
        <f t="shared" si="12"/>
        <v>1.7321429082325533E-4</v>
      </c>
      <c r="U335">
        <f t="shared" si="13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15"/>
        <v>334</v>
      </c>
      <c r="I336">
        <f>SUM($F$3:F336)/H336</f>
        <v>5392209.9638847308</v>
      </c>
      <c r="N336">
        <f>IF(A336&lt;&gt;$K$18,MAX(N335,VLOOKUP(A336,A:C,3)),)</f>
        <v>0.73900002241134644</v>
      </c>
      <c r="O336">
        <f>IF(A336&lt;&gt;$K$18,MIN(O335,VLOOKUP(A336,A:D,4)),)</f>
        <v>0.68400001525878906</v>
      </c>
      <c r="P336">
        <f t="shared" si="14"/>
        <v>0.71133333444595337</v>
      </c>
      <c r="Q336">
        <f t="shared" si="9"/>
        <v>0.71107142879849394</v>
      </c>
      <c r="R336">
        <f t="shared" si="10"/>
        <v>2.6190564745942613E-4</v>
      </c>
      <c r="S336">
        <f t="shared" si="11"/>
        <v>1.1309524377187099E-2</v>
      </c>
      <c r="T336">
        <f t="shared" si="12"/>
        <v>1.6964286565780646E-4</v>
      </c>
      <c r="U336">
        <f t="shared" si="13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15"/>
        <v>335</v>
      </c>
      <c r="I337">
        <f>SUM($F$3:F337)/H337</f>
        <v>5386741.5878731348</v>
      </c>
      <c r="N337">
        <f>IF(A337&lt;&gt;$K$18,MAX(N336,VLOOKUP(A337,A:C,3)),)</f>
        <v>0.73900002241134644</v>
      </c>
      <c r="O337">
        <f>IF(A337&lt;&gt;$K$18,MIN(O336,VLOOKUP(A337,A:D,4)),)</f>
        <v>0.68400001525878906</v>
      </c>
      <c r="P337">
        <f t="shared" si="14"/>
        <v>0.72666668891906738</v>
      </c>
      <c r="Q337">
        <f t="shared" si="9"/>
        <v>0.71250000170298988</v>
      </c>
      <c r="R337">
        <f t="shared" si="10"/>
        <v>1.41666872160775E-2</v>
      </c>
      <c r="S337">
        <f t="shared" si="11"/>
        <v>1.2071430683135995E-2</v>
      </c>
      <c r="T337">
        <f t="shared" si="12"/>
        <v>1.8107146024703993E-4</v>
      </c>
      <c r="U337">
        <f t="shared" si="13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15"/>
        <v>336</v>
      </c>
      <c r="I338">
        <f>SUM($F$3:F338)/H338</f>
        <v>5379649.8063616073</v>
      </c>
      <c r="N338">
        <f>IF(A338&lt;&gt;$K$18,MAX(N337,VLOOKUP(A338,A:C,3)),)</f>
        <v>0.73900002241134644</v>
      </c>
      <c r="O338">
        <f>IF(A338&lt;&gt;$K$18,MIN(O337,VLOOKUP(A338,A:D,4)),)</f>
        <v>0.68400001525878906</v>
      </c>
      <c r="P338">
        <f t="shared" si="14"/>
        <v>0.72633334000905359</v>
      </c>
      <c r="Q338">
        <f t="shared" si="9"/>
        <v>0.71447619228135972</v>
      </c>
      <c r="R338">
        <f t="shared" si="10"/>
        <v>1.1857147727693862E-2</v>
      </c>
      <c r="S338">
        <f t="shared" si="11"/>
        <v>1.2047624304181057E-2</v>
      </c>
      <c r="T338">
        <f t="shared" si="12"/>
        <v>1.8071436456271585E-4</v>
      </c>
      <c r="U338">
        <f t="shared" si="13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15"/>
        <v>337</v>
      </c>
      <c r="I339">
        <f>SUM($F$3:F339)/H339</f>
        <v>5380667.4745919881</v>
      </c>
      <c r="N339">
        <f>IF(A339&lt;&gt;$K$18,MAX(N338,VLOOKUP(A339,A:C,3)),)</f>
        <v>0.74299997091293335</v>
      </c>
      <c r="O339">
        <f>IF(A339&lt;&gt;$K$18,MIN(O338,VLOOKUP(A339,A:D,4)),)</f>
        <v>0.68400001525878906</v>
      </c>
      <c r="P339">
        <f t="shared" si="14"/>
        <v>0.73599998156229651</v>
      </c>
      <c r="Q339">
        <f t="shared" si="9"/>
        <v>0.71626190486408425</v>
      </c>
      <c r="R339">
        <f t="shared" si="10"/>
        <v>1.9738076698212259E-2</v>
      </c>
      <c r="S339">
        <f t="shared" si="11"/>
        <v>1.3309528430302935E-2</v>
      </c>
      <c r="T339">
        <f t="shared" si="12"/>
        <v>1.9964292645454401E-4</v>
      </c>
      <c r="U339">
        <f t="shared" si="13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15"/>
        <v>338</v>
      </c>
      <c r="I340">
        <f>SUM($F$3:F340)/H340</f>
        <v>5367745.0856139055</v>
      </c>
      <c r="N340">
        <f>IF(A340&lt;&gt;$K$18,MAX(N339,VLOOKUP(A340,A:C,3)),)</f>
        <v>0.74500000476837158</v>
      </c>
      <c r="O340">
        <f>IF(A340&lt;&gt;$K$18,MIN(O339,VLOOKUP(A340,A:D,4)),)</f>
        <v>0.68400001525878906</v>
      </c>
      <c r="P340">
        <f t="shared" si="14"/>
        <v>0.73766668637593591</v>
      </c>
      <c r="Q340">
        <f t="shared" si="9"/>
        <v>0.71826190607888363</v>
      </c>
      <c r="R340">
        <f t="shared" si="10"/>
        <v>1.9404780297052282E-2</v>
      </c>
      <c r="S340">
        <f t="shared" si="11"/>
        <v>1.4081638686510975E-2</v>
      </c>
      <c r="T340">
        <f t="shared" si="12"/>
        <v>2.1122458029766461E-4</v>
      </c>
      <c r="U340">
        <f t="shared" si="13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15"/>
        <v>339</v>
      </c>
      <c r="I341">
        <f>SUM($F$3:F341)/H341</f>
        <v>5361592.1502581118</v>
      </c>
      <c r="N341">
        <f>IF(A341&lt;&gt;$K$18,MAX(N340,VLOOKUP(A341,A:C,3)),)</f>
        <v>0.74500000476837158</v>
      </c>
      <c r="O341">
        <f>IF(A341&lt;&gt;$K$18,MIN(O340,VLOOKUP(A341,A:D,4)),)</f>
        <v>0.68400001525878906</v>
      </c>
      <c r="P341">
        <f t="shared" si="14"/>
        <v>0.72733334700266516</v>
      </c>
      <c r="Q341">
        <f t="shared" si="9"/>
        <v>0.7210238107613155</v>
      </c>
      <c r="R341">
        <f t="shared" si="10"/>
        <v>6.309536241349667E-3</v>
      </c>
      <c r="S341">
        <f t="shared" si="11"/>
        <v>1.1826538512495901E-2</v>
      </c>
      <c r="T341">
        <f t="shared" si="12"/>
        <v>1.7739807768743851E-4</v>
      </c>
      <c r="U341">
        <f t="shared" si="13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15"/>
        <v>340</v>
      </c>
      <c r="I342">
        <f>SUM($F$3:F342)/H342</f>
        <v>5352862.1762867644</v>
      </c>
      <c r="N342">
        <f>IF(A342&lt;&gt;$K$18,MAX(N341,VLOOKUP(A342,A:C,3)),)</f>
        <v>0.74500000476837158</v>
      </c>
      <c r="O342">
        <f>IF(A342&lt;&gt;$K$18,MIN(O341,VLOOKUP(A342,A:D,4)),)</f>
        <v>0.68400001525878906</v>
      </c>
      <c r="P342">
        <f t="shared" si="14"/>
        <v>0.73366667826970422</v>
      </c>
      <c r="Q342">
        <f t="shared" si="9"/>
        <v>0.72445238488061092</v>
      </c>
      <c r="R342">
        <f t="shared" si="10"/>
        <v>9.2142933890932976E-3</v>
      </c>
      <c r="S342">
        <f t="shared" si="11"/>
        <v>8.7517049847816806E-3</v>
      </c>
      <c r="T342">
        <f t="shared" si="12"/>
        <v>1.312755747717252E-4</v>
      </c>
      <c r="U342">
        <f t="shared" si="13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15"/>
        <v>341</v>
      </c>
      <c r="I343">
        <f>SUM($F$3:F343)/H343</f>
        <v>5346411.2666788856</v>
      </c>
      <c r="N343">
        <f>IF(A343&lt;&gt;$K$18,MAX(N342,VLOOKUP(A343,A:C,3)),)</f>
        <v>0.74500000476837158</v>
      </c>
      <c r="O343">
        <f>IF(A343&lt;&gt;$K$18,MIN(O342,VLOOKUP(A343,A:D,4)),)</f>
        <v>0.68400001525878906</v>
      </c>
      <c r="P343">
        <f t="shared" si="14"/>
        <v>0.72633332014083862</v>
      </c>
      <c r="Q343">
        <f t="shared" si="9"/>
        <v>0.72647619389352347</v>
      </c>
      <c r="R343">
        <f t="shared" si="10"/>
        <v>-1.428737526848467E-4</v>
      </c>
      <c r="S343">
        <f t="shared" si="11"/>
        <v>6.1700725231040787E-3</v>
      </c>
      <c r="T343">
        <f t="shared" si="12"/>
        <v>9.2551087846561177E-5</v>
      </c>
      <c r="U343">
        <f t="shared" si="13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15"/>
        <v>342</v>
      </c>
      <c r="I344">
        <f>SUM($F$3:F344)/H344</f>
        <v>5340192.5582967838</v>
      </c>
      <c r="N344">
        <f>IF(A344&lt;&gt;$K$18,MAX(N343,VLOOKUP(A344,A:C,3)),)</f>
        <v>0.74500000476837158</v>
      </c>
      <c r="O344">
        <f>IF(A344&lt;&gt;$K$18,MIN(O343,VLOOKUP(A344,A:D,4)),)</f>
        <v>0.68400001525878906</v>
      </c>
      <c r="P344">
        <f t="shared" si="14"/>
        <v>0.718666672706604</v>
      </c>
      <c r="Q344">
        <f t="shared" si="9"/>
        <v>0.7267619087582543</v>
      </c>
      <c r="R344">
        <f t="shared" si="10"/>
        <v>-8.0952360516503008E-3</v>
      </c>
      <c r="S344">
        <f t="shared" si="11"/>
        <v>5.8571440832955414E-3</v>
      </c>
      <c r="T344">
        <f t="shared" si="12"/>
        <v>8.7857161249433113E-5</v>
      </c>
      <c r="U344">
        <f t="shared" si="13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15"/>
        <v>343</v>
      </c>
      <c r="I345">
        <f>SUM($F$3:F345)/H345</f>
        <v>5331803.6587099126</v>
      </c>
      <c r="N345">
        <f>IF(A345&lt;&gt;$K$18,MAX(N344,VLOOKUP(A345,A:C,3)),)</f>
        <v>0.74500000476837158</v>
      </c>
      <c r="O345">
        <f>IF(A345&lt;&gt;$K$18,MIN(O344,VLOOKUP(A345,A:D,4)),)</f>
        <v>0.68400001525878906</v>
      </c>
      <c r="P345">
        <f t="shared" si="14"/>
        <v>0.71566667159398401</v>
      </c>
      <c r="Q345">
        <f t="shared" si="9"/>
        <v>0.72697619597117114</v>
      </c>
      <c r="R345">
        <f t="shared" si="10"/>
        <v>-1.130952437718713E-2</v>
      </c>
      <c r="S345">
        <f t="shared" si="11"/>
        <v>5.6428568703787586E-3</v>
      </c>
      <c r="T345">
        <f t="shared" si="12"/>
        <v>8.4642853055681371E-5</v>
      </c>
      <c r="U345">
        <f t="shared" si="13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15"/>
        <v>344</v>
      </c>
      <c r="I346">
        <f>SUM($F$3:F346)/H346</f>
        <v>5323999.2876090119</v>
      </c>
      <c r="N346">
        <f>IF(A346&lt;&gt;$K$18,MAX(N345,VLOOKUP(A346,A:C,3)),)</f>
        <v>0.74500000476837158</v>
      </c>
      <c r="O346">
        <f>IF(A346&lt;&gt;$K$18,MIN(O345,VLOOKUP(A346,A:D,4)),)</f>
        <v>0.68400001525878906</v>
      </c>
      <c r="P346">
        <f t="shared" si="14"/>
        <v>0.71566667159398401</v>
      </c>
      <c r="Q346">
        <f t="shared" si="9"/>
        <v>0.7259523868560791</v>
      </c>
      <c r="R346">
        <f t="shared" si="10"/>
        <v>-1.0285715262095096E-2</v>
      </c>
      <c r="S346">
        <f t="shared" si="11"/>
        <v>6.2993197214035734E-3</v>
      </c>
      <c r="T346">
        <f t="shared" si="12"/>
        <v>9.4489795821053597E-5</v>
      </c>
      <c r="U346">
        <f t="shared" si="13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15"/>
        <v>345</v>
      </c>
      <c r="I347">
        <f>SUM($F$3:F347)/H347</f>
        <v>5312517.5505434787</v>
      </c>
      <c r="N347">
        <f>IF(A347&lt;&gt;$K$18,MAX(N346,VLOOKUP(A347,A:C,3)),)</f>
        <v>0.74500000476837158</v>
      </c>
      <c r="O347">
        <f>IF(A347&lt;&gt;$K$18,MIN(O346,VLOOKUP(A347,A:D,4)),)</f>
        <v>0.68400001525878906</v>
      </c>
      <c r="P347">
        <f t="shared" si="14"/>
        <v>0.71200001239776611</v>
      </c>
      <c r="Q347">
        <f t="shared" si="9"/>
        <v>0.72433333879425421</v>
      </c>
      <c r="R347">
        <f t="shared" si="10"/>
        <v>-1.2333326396488098E-2</v>
      </c>
      <c r="S347">
        <f t="shared" si="11"/>
        <v>6.904761604711286E-3</v>
      </c>
      <c r="T347">
        <f t="shared" si="12"/>
        <v>1.0357142407066929E-4</v>
      </c>
      <c r="U347">
        <f t="shared" si="13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15"/>
        <v>346</v>
      </c>
      <c r="I348">
        <f>SUM($F$3:F348)/H348</f>
        <v>5304844.3784320811</v>
      </c>
      <c r="N348">
        <f>IF(A348&lt;&gt;$K$18,MAX(N347,VLOOKUP(A348,A:C,3)),)</f>
        <v>0.74500000476837158</v>
      </c>
      <c r="O348">
        <f>IF(A348&lt;&gt;$K$18,MIN(O347,VLOOKUP(A348,A:D,4)),)</f>
        <v>0.68400001525878906</v>
      </c>
      <c r="P348">
        <f t="shared" si="14"/>
        <v>0.70299998919169104</v>
      </c>
      <c r="Q348">
        <f t="shared" si="9"/>
        <v>0.72247619572139921</v>
      </c>
      <c r="R348">
        <f t="shared" si="10"/>
        <v>-1.9476206529708162E-2</v>
      </c>
      <c r="S348">
        <f t="shared" si="11"/>
        <v>8.3605460569161159E-3</v>
      </c>
      <c r="T348">
        <f t="shared" si="12"/>
        <v>1.2540819085374172E-4</v>
      </c>
      <c r="U348">
        <f t="shared" si="13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15"/>
        <v>347</v>
      </c>
      <c r="I349">
        <f>SUM($F$3:F349)/H349</f>
        <v>5295743.0978025934</v>
      </c>
      <c r="N349">
        <f>IF(A349&lt;&gt;$K$18,MAX(N348,VLOOKUP(A349,A:C,3)),)</f>
        <v>0.74500000476837158</v>
      </c>
      <c r="O349">
        <f>IF(A349&lt;&gt;$K$18,MIN(O348,VLOOKUP(A349,A:D,4)),)</f>
        <v>0.68400001525878906</v>
      </c>
      <c r="P349">
        <f t="shared" si="14"/>
        <v>0.71566667159398401</v>
      </c>
      <c r="Q349">
        <f t="shared" si="9"/>
        <v>0.72185714755739483</v>
      </c>
      <c r="R349">
        <f t="shared" si="10"/>
        <v>-6.1904759634108242E-3</v>
      </c>
      <c r="S349">
        <f t="shared" si="11"/>
        <v>8.7142870539710614E-3</v>
      </c>
      <c r="T349">
        <f t="shared" si="12"/>
        <v>1.3071430580956591E-4</v>
      </c>
      <c r="U349">
        <f t="shared" si="13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15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14"/>
        <v>0.72099999586741126</v>
      </c>
      <c r="Q350">
        <f t="shared" si="9"/>
        <v>0.72254762337321321</v>
      </c>
      <c r="R350">
        <f t="shared" si="10"/>
        <v>-1.5476275058019517E-3</v>
      </c>
      <c r="S350">
        <f t="shared" si="11"/>
        <v>8.0238112381526405E-3</v>
      </c>
      <c r="T350">
        <f t="shared" si="12"/>
        <v>1.203571685722896E-4</v>
      </c>
      <c r="U350">
        <f t="shared" si="13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15"/>
        <v>349</v>
      </c>
      <c r="I351">
        <f>SUM($F$3:F351)/H351</f>
        <v>5276945.1430873927</v>
      </c>
      <c r="N351">
        <f>IF(A351&lt;&gt;$K$19,MAX(N350,VLOOKUP(A351,A:C,3)),)</f>
        <v>0.74000000953674316</v>
      </c>
      <c r="O351">
        <f>IF(A351&lt;&gt;$K$19,MIN(O350,VLOOKUP(A351,A:D,4)),)</f>
        <v>0.72899997234344482</v>
      </c>
      <c r="P351">
        <f t="shared" si="14"/>
        <v>0.734333336353302</v>
      </c>
      <c r="Q351">
        <f t="shared" si="9"/>
        <v>0.72309524104708711</v>
      </c>
      <c r="R351">
        <f t="shared" si="10"/>
        <v>1.123809530621489E-2</v>
      </c>
      <c r="S351">
        <f t="shared" si="11"/>
        <v>8.5714289120265418E-3</v>
      </c>
      <c r="T351">
        <f t="shared" si="12"/>
        <v>1.2857143368039811E-4</v>
      </c>
      <c r="U351">
        <f t="shared" si="13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15"/>
        <v>350</v>
      </c>
      <c r="I352">
        <f>SUM($F$3:F352)/H352</f>
        <v>5269907.5769642862</v>
      </c>
      <c r="N352">
        <f>IF(A352&lt;&gt;$K$19,MAX(N351,VLOOKUP(A352,A:C,3)),)</f>
        <v>0.74000000953674316</v>
      </c>
      <c r="O352">
        <f>IF(A352&lt;&gt;$K$19,MIN(O351,VLOOKUP(A352,A:D,4)),)</f>
        <v>0.72899997234344482</v>
      </c>
      <c r="P352">
        <f t="shared" si="14"/>
        <v>0.73099998633066809</v>
      </c>
      <c r="Q352">
        <f t="shared" si="9"/>
        <v>0.72342857292720242</v>
      </c>
      <c r="R352">
        <f t="shared" si="10"/>
        <v>7.5714134034656766E-3</v>
      </c>
      <c r="S352">
        <f t="shared" si="11"/>
        <v>8.9047607921418637E-3</v>
      </c>
      <c r="T352">
        <f t="shared" si="12"/>
        <v>1.3357141188212796E-4</v>
      </c>
      <c r="U352">
        <f t="shared" si="13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15"/>
        <v>351</v>
      </c>
      <c r="I353">
        <f>SUM($F$3:F353)/H353</f>
        <v>5264193.5981125357</v>
      </c>
      <c r="N353">
        <f>IF(A353&lt;&gt;$K$19,MAX(N352,VLOOKUP(A353,A:C,3)),)</f>
        <v>0.74000000953674316</v>
      </c>
      <c r="O353">
        <f>IF(A353&lt;&gt;$K$19,MIN(O352,VLOOKUP(A353,A:D,4)),)</f>
        <v>0.72899997234344482</v>
      </c>
      <c r="P353">
        <f t="shared" si="14"/>
        <v>0.73333334922790527</v>
      </c>
      <c r="Q353">
        <f t="shared" si="9"/>
        <v>0.7232380991890317</v>
      </c>
      <c r="R353">
        <f t="shared" si="10"/>
        <v>1.0095250038873571E-2</v>
      </c>
      <c r="S353">
        <f t="shared" si="11"/>
        <v>8.7142870539710614E-3</v>
      </c>
      <c r="T353">
        <f t="shared" si="12"/>
        <v>1.3071430580956591E-4</v>
      </c>
      <c r="U353">
        <f t="shared" si="13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15"/>
        <v>352</v>
      </c>
      <c r="I354">
        <f>SUM($F$3:F354)/H354</f>
        <v>5254259.2412997158</v>
      </c>
      <c r="N354">
        <f>IF(A354&lt;&gt;$K$19,MAX(N353,VLOOKUP(A354,A:C,3)),)</f>
        <v>0.74599999189376831</v>
      </c>
      <c r="O354">
        <f>IF(A354&lt;&gt;$K$19,MIN(O353,VLOOKUP(A354,A:D,4)),)</f>
        <v>0.72899997234344482</v>
      </c>
      <c r="P354">
        <f t="shared" si="14"/>
        <v>0.73966666062672937</v>
      </c>
      <c r="Q354">
        <f t="shared" si="9"/>
        <v>0.72338095449265982</v>
      </c>
      <c r="R354">
        <f t="shared" si="10"/>
        <v>1.6285706134069544E-2</v>
      </c>
      <c r="S354">
        <f t="shared" si="11"/>
        <v>8.8571423575991657E-3</v>
      </c>
      <c r="T354">
        <f t="shared" si="12"/>
        <v>1.3285713536398747E-4</v>
      </c>
      <c r="U354">
        <f t="shared" si="13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15"/>
        <v>353</v>
      </c>
      <c r="I355">
        <f>SUM($F$3:F355)/H355</f>
        <v>5245217.4502478754</v>
      </c>
      <c r="N355">
        <f>IF(A355&lt;&gt;$K$19,MAX(N354,VLOOKUP(A355,A:C,3)),)</f>
        <v>0.75199997425079346</v>
      </c>
      <c r="O355">
        <f>IF(A355&lt;&gt;$K$19,MIN(O354,VLOOKUP(A355,A:D,4)),)</f>
        <v>0.72899997234344482</v>
      </c>
      <c r="P355">
        <f t="shared" si="14"/>
        <v>0.74599999189376831</v>
      </c>
      <c r="Q355">
        <f t="shared" si="9"/>
        <v>0.72471428627059586</v>
      </c>
      <c r="R355">
        <f t="shared" si="10"/>
        <v>2.1285705623172446E-2</v>
      </c>
      <c r="S355">
        <f t="shared" si="11"/>
        <v>1.0190474135535104E-2</v>
      </c>
      <c r="T355">
        <f t="shared" si="12"/>
        <v>1.5285711203302655E-4</v>
      </c>
      <c r="U355">
        <f t="shared" si="13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15"/>
        <v>354</v>
      </c>
      <c r="I356">
        <f>SUM($F$3:F356)/H356</f>
        <v>5240145.6608403958</v>
      </c>
      <c r="N356">
        <f>IF(A356&lt;&gt;$K$19,MAX(N355,VLOOKUP(A356,A:C,3)),)</f>
        <v>0.75199997425079346</v>
      </c>
      <c r="O356">
        <f>IF(A356&lt;&gt;$K$19,MIN(O355,VLOOKUP(A356,A:D,4)),)</f>
        <v>0.72899997234344482</v>
      </c>
      <c r="P356">
        <f t="shared" si="14"/>
        <v>0.74466667572657264</v>
      </c>
      <c r="Q356">
        <f t="shared" si="9"/>
        <v>0.72550000037465778</v>
      </c>
      <c r="R356">
        <f t="shared" si="10"/>
        <v>1.9166675351914852E-2</v>
      </c>
      <c r="S356">
        <f t="shared" si="11"/>
        <v>1.0976188239597133E-2</v>
      </c>
      <c r="T356">
        <f t="shared" si="12"/>
        <v>1.64642823593957E-4</v>
      </c>
      <c r="U356">
        <f t="shared" si="13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15"/>
        <v>355</v>
      </c>
      <c r="I357">
        <f>SUM($F$3:F357)/H357</f>
        <v>5236928.6308098594</v>
      </c>
      <c r="N357">
        <f>IF(A357&lt;&gt;$K$19,MAX(N356,VLOOKUP(A357,A:C,3)),)</f>
        <v>0.75199997425079346</v>
      </c>
      <c r="O357">
        <f>IF(A357&lt;&gt;$K$19,MIN(O356,VLOOKUP(A357,A:D,4)),)</f>
        <v>0.72899997234344482</v>
      </c>
      <c r="P357">
        <f t="shared" si="14"/>
        <v>0.74833333492279053</v>
      </c>
      <c r="Q357">
        <f t="shared" si="9"/>
        <v>0.72707143000194008</v>
      </c>
      <c r="R357">
        <f t="shared" si="10"/>
        <v>2.126190492085045E-2</v>
      </c>
      <c r="S357">
        <f t="shared" si="11"/>
        <v>1.2547617866879412E-2</v>
      </c>
      <c r="T357">
        <f t="shared" si="12"/>
        <v>1.8821426800319117E-4</v>
      </c>
      <c r="U357">
        <f t="shared" si="13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15"/>
        <v>356</v>
      </c>
      <c r="I358">
        <f>SUM($F$3:F358)/H358</f>
        <v>5226883.606566011</v>
      </c>
      <c r="N358">
        <f>IF(A358&lt;&gt;$K$19,MAX(N357,VLOOKUP(A358,A:C,3)),)</f>
        <v>0.75199997425079346</v>
      </c>
      <c r="O358">
        <f>IF(A358&lt;&gt;$K$19,MIN(O357,VLOOKUP(A358,A:D,4)),)</f>
        <v>0.72899997234344482</v>
      </c>
      <c r="P358">
        <f t="shared" si="14"/>
        <v>0.74666666984558105</v>
      </c>
      <c r="Q358">
        <f t="shared" si="9"/>
        <v>0.72907142979758122</v>
      </c>
      <c r="R358">
        <f t="shared" si="10"/>
        <v>1.7595240047999838E-2</v>
      </c>
      <c r="S358">
        <f t="shared" si="11"/>
        <v>1.3061223792381029E-2</v>
      </c>
      <c r="T358">
        <f t="shared" si="12"/>
        <v>1.9591835688571543E-4</v>
      </c>
      <c r="U358">
        <f t="shared" si="13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15"/>
        <v>357</v>
      </c>
      <c r="I359">
        <f>SUM($F$3:F359)/H359</f>
        <v>5220651.4424019605</v>
      </c>
      <c r="N359">
        <f>IF(A359&lt;&gt;$K$19,MAX(N358,VLOOKUP(A359,A:C,3)),)</f>
        <v>0.75199997425079346</v>
      </c>
      <c r="O359">
        <f>IF(A359&lt;&gt;$K$19,MIN(O358,VLOOKUP(A359,A:D,4)),)</f>
        <v>0.72899997234344482</v>
      </c>
      <c r="P359">
        <f t="shared" si="14"/>
        <v>0.74033331871032715</v>
      </c>
      <c r="Q359">
        <f t="shared" si="9"/>
        <v>0.73083333316303445</v>
      </c>
      <c r="R359">
        <f t="shared" si="10"/>
        <v>9.4999855472926997E-3</v>
      </c>
      <c r="S359">
        <f t="shared" si="11"/>
        <v>1.24047607386193E-2</v>
      </c>
      <c r="T359">
        <f t="shared" si="12"/>
        <v>1.8607141107928951E-4</v>
      </c>
      <c r="U359">
        <f t="shared" si="13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15"/>
        <v>358</v>
      </c>
      <c r="I360">
        <f>SUM($F$3:F360)/H360</f>
        <v>5219063.3098812848</v>
      </c>
      <c r="N360">
        <f>IF(A360&lt;&gt;$K$19,MAX(N359,VLOOKUP(A360,A:C,3)),)</f>
        <v>0.75199997425079346</v>
      </c>
      <c r="O360">
        <f>IF(A360&lt;&gt;$K$19,MIN(O359,VLOOKUP(A360,A:D,4)),)</f>
        <v>0.72899997234344482</v>
      </c>
      <c r="P360">
        <f t="shared" si="14"/>
        <v>0.73666667938232422</v>
      </c>
      <c r="Q360">
        <f t="shared" si="9"/>
        <v>0.73233333371934428</v>
      </c>
      <c r="R360">
        <f t="shared" si="10"/>
        <v>4.3333456629799372E-3</v>
      </c>
      <c r="S360">
        <f t="shared" si="11"/>
        <v>1.1285716173600207E-2</v>
      </c>
      <c r="T360">
        <f t="shared" si="12"/>
        <v>1.6928574260400309E-4</v>
      </c>
      <c r="U360">
        <f t="shared" si="13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15"/>
        <v>359</v>
      </c>
      <c r="I361">
        <f>SUM($F$3:F361)/H361</f>
        <v>5213857.5625</v>
      </c>
      <c r="N361">
        <f>IF(A361&lt;&gt;$K$19,MAX(N360,VLOOKUP(A361,A:C,3)),)</f>
        <v>0.75199997425079346</v>
      </c>
      <c r="O361">
        <f>IF(A361&lt;&gt;$K$19,MIN(O360,VLOOKUP(A361,A:D,4)),)</f>
        <v>0.72899997234344482</v>
      </c>
      <c r="P361">
        <f t="shared" si="14"/>
        <v>0.74033331871032715</v>
      </c>
      <c r="Q361">
        <f t="shared" si="9"/>
        <v>0.73435714131309859</v>
      </c>
      <c r="R361">
        <f t="shared" si="10"/>
        <v>5.9761773972285548E-3</v>
      </c>
      <c r="S361">
        <f t="shared" si="11"/>
        <v>9.6870741876615395E-3</v>
      </c>
      <c r="T361">
        <f t="shared" si="12"/>
        <v>1.4530611281492309E-4</v>
      </c>
      <c r="U361">
        <f t="shared" si="13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15"/>
        <v>360</v>
      </c>
      <c r="I362">
        <f>SUM($F$3:F362)/H362</f>
        <v>5206617.9581597224</v>
      </c>
      <c r="N362">
        <f>IF(A362&lt;&gt;$K$19,MAX(N361,VLOOKUP(A362,A:C,3)),)</f>
        <v>0.75199997425079346</v>
      </c>
      <c r="O362">
        <f>IF(A362&lt;&gt;$K$19,MIN(O361,VLOOKUP(A362,A:D,4)),)</f>
        <v>0.72899997234344482</v>
      </c>
      <c r="P362">
        <f t="shared" si="14"/>
        <v>0.73633333047231042</v>
      </c>
      <c r="Q362">
        <f t="shared" si="9"/>
        <v>0.73673809426171455</v>
      </c>
      <c r="R362">
        <f t="shared" si="10"/>
        <v>-4.0476378940412783E-4</v>
      </c>
      <c r="S362">
        <f t="shared" si="11"/>
        <v>6.9761872291564941E-3</v>
      </c>
      <c r="T362">
        <f t="shared" si="12"/>
        <v>1.0464280843734741E-4</v>
      </c>
      <c r="U362">
        <f t="shared" si="13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15"/>
        <v>361</v>
      </c>
      <c r="I363">
        <f>SUM($F$3:F363)/H363</f>
        <v>5200690.2131232684</v>
      </c>
      <c r="N363">
        <f>IF(A363&lt;&gt;$K$19,MAX(N362,VLOOKUP(A363,A:C,3)),)</f>
        <v>0.75199997425079346</v>
      </c>
      <c r="O363">
        <f>IF(A363&lt;&gt;$K$19,MIN(O362,VLOOKUP(A363,A:D,4)),)</f>
        <v>0.72600001096725464</v>
      </c>
      <c r="P363">
        <f t="shared" si="14"/>
        <v>0.73100000619888306</v>
      </c>
      <c r="Q363">
        <f t="shared" si="9"/>
        <v>0.7378333324477786</v>
      </c>
      <c r="R363">
        <f t="shared" si="10"/>
        <v>-6.8333262488955437E-3</v>
      </c>
      <c r="S363">
        <f t="shared" si="11"/>
        <v>5.8809490430922762E-3</v>
      </c>
      <c r="T363">
        <f t="shared" si="12"/>
        <v>8.8214235646384139E-5</v>
      </c>
      <c r="U363">
        <f t="shared" si="13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15"/>
        <v>362</v>
      </c>
      <c r="I364">
        <f>SUM($F$3:F364)/H364</f>
        <v>5197209.5771754142</v>
      </c>
      <c r="N364">
        <f>IF(A364&lt;&gt;$K$19,MAX(N363,VLOOKUP(A364,A:C,3)),)</f>
        <v>0.75199997425079346</v>
      </c>
      <c r="O364">
        <f>IF(A364&lt;&gt;$K$19,MIN(O363,VLOOKUP(A364,A:D,4)),)</f>
        <v>0.7160000205039978</v>
      </c>
      <c r="P364">
        <f t="shared" si="14"/>
        <v>0.72099999586741126</v>
      </c>
      <c r="Q364">
        <f t="shared" si="9"/>
        <v>0.73783333244777871</v>
      </c>
      <c r="R364">
        <f t="shared" si="10"/>
        <v>-1.6833336580367453E-2</v>
      </c>
      <c r="S364">
        <f t="shared" si="11"/>
        <v>5.8809490430922762E-3</v>
      </c>
      <c r="T364">
        <f t="shared" si="12"/>
        <v>8.8214235646384139E-5</v>
      </c>
      <c r="U364">
        <f t="shared" si="13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15"/>
        <v>363</v>
      </c>
      <c r="I365">
        <f>SUM($F$3:F365)/H365</f>
        <v>5189674.013601928</v>
      </c>
      <c r="N365">
        <f>IF(A365&lt;&gt;$K$19,MAX(N364,VLOOKUP(A365,A:C,3)),)</f>
        <v>0.75199997425079346</v>
      </c>
      <c r="O365">
        <f>IF(A365&lt;&gt;$K$19,MIN(O364,VLOOKUP(A365,A:D,4)),)</f>
        <v>0.71299999952316284</v>
      </c>
      <c r="P365">
        <f t="shared" si="14"/>
        <v>0.71633332967758179</v>
      </c>
      <c r="Q365">
        <f t="shared" si="9"/>
        <v>0.73654761768522714</v>
      </c>
      <c r="R365">
        <f t="shared" si="10"/>
        <v>-2.0214288007645353E-2</v>
      </c>
      <c r="S365">
        <f t="shared" si="11"/>
        <v>7.1836726195147315E-3</v>
      </c>
      <c r="T365">
        <f t="shared" si="12"/>
        <v>1.0775508929272096E-4</v>
      </c>
      <c r="U365">
        <f t="shared" si="13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15"/>
        <v>364</v>
      </c>
      <c r="I366">
        <f>SUM($F$3:F366)/H366</f>
        <v>5184197.9860920329</v>
      </c>
      <c r="N366">
        <f>IF(A366&lt;&gt;$K$19,MAX(N365,VLOOKUP(A366,A:C,3)),)</f>
        <v>0.75199997425079346</v>
      </c>
      <c r="O366">
        <f>IF(A366&lt;&gt;$K$19,MIN(O365,VLOOKUP(A366,A:D,4)),)</f>
        <v>0.71100002527236938</v>
      </c>
      <c r="P366">
        <f t="shared" si="14"/>
        <v>0.71533334255218506</v>
      </c>
      <c r="Q366">
        <f t="shared" si="9"/>
        <v>0.73542857170104969</v>
      </c>
      <c r="R366">
        <f t="shared" si="10"/>
        <v>-2.0095229148864635E-2</v>
      </c>
      <c r="S366">
        <f t="shared" si="11"/>
        <v>8.5918335687546876E-3</v>
      </c>
      <c r="T366">
        <f t="shared" si="12"/>
        <v>1.288775035313203E-4</v>
      </c>
      <c r="U366">
        <f t="shared" si="13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15"/>
        <v>365</v>
      </c>
      <c r="I367">
        <f>SUM($F$3:F367)/H367</f>
        <v>5178317.9943493148</v>
      </c>
      <c r="N367">
        <f>IF(A367&lt;&gt;$K$19,MAX(N366,VLOOKUP(A367,A:C,3)),)</f>
        <v>0.75199997425079346</v>
      </c>
      <c r="O367">
        <f>IF(A367&lt;&gt;$K$19,MIN(O366,VLOOKUP(A367,A:D,4)),)</f>
        <v>0.7070000171661377</v>
      </c>
      <c r="P367">
        <f t="shared" si="14"/>
        <v>0.70999999841054284</v>
      </c>
      <c r="Q367">
        <f t="shared" si="9"/>
        <v>0.73376190378552397</v>
      </c>
      <c r="R367">
        <f t="shared" si="10"/>
        <v>-2.3761905374981129E-2</v>
      </c>
      <c r="S367">
        <f t="shared" si="11"/>
        <v>1.0734692317287924E-2</v>
      </c>
      <c r="T367">
        <f t="shared" si="12"/>
        <v>1.6102038475931886E-4</v>
      </c>
      <c r="U367">
        <f t="shared" si="13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15"/>
        <v>366</v>
      </c>
      <c r="I368">
        <f>SUM($F$3:F368)/H368</f>
        <v>5178050.4697745899</v>
      </c>
      <c r="N368">
        <f>IF(A368&lt;&gt;$K$19,MAX(N367,VLOOKUP(A368,A:C,3)),)</f>
        <v>0.75199997425079346</v>
      </c>
      <c r="O368">
        <f>IF(A368&lt;&gt;$K$19,MIN(O367,VLOOKUP(A368,A:D,4)),)</f>
        <v>0.7070000171661377</v>
      </c>
      <c r="P368">
        <f t="shared" si="14"/>
        <v>0.71566667159398401</v>
      </c>
      <c r="Q368">
        <f t="shared" si="9"/>
        <v>0.73204761885461356</v>
      </c>
      <c r="R368">
        <f t="shared" si="10"/>
        <v>-1.6380947260629553E-2</v>
      </c>
      <c r="S368">
        <f t="shared" si="11"/>
        <v>1.1850338403870453E-2</v>
      </c>
      <c r="T368">
        <f t="shared" si="12"/>
        <v>1.7775507605805678E-4</v>
      </c>
      <c r="U368">
        <f t="shared" si="13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15"/>
        <v>367</v>
      </c>
      <c r="I369">
        <f>SUM($F$3:F369)/H369</f>
        <v>5182398.8336171666</v>
      </c>
      <c r="N369">
        <f>IF(A369&lt;&gt;$K$19,MAX(N368,VLOOKUP(A369,A:C,3)),)</f>
        <v>0.75199997425079346</v>
      </c>
      <c r="O369">
        <f>IF(A369&lt;&gt;$K$19,MIN(O368,VLOOKUP(A369,A:D,4)),)</f>
        <v>0.7070000171661377</v>
      </c>
      <c r="P369">
        <f t="shared" si="14"/>
        <v>0.72599999109903968</v>
      </c>
      <c r="Q369">
        <f t="shared" si="9"/>
        <v>0.73061904736927574</v>
      </c>
      <c r="R369">
        <f t="shared" si="10"/>
        <v>-4.619056270236066E-3</v>
      </c>
      <c r="S369">
        <f t="shared" si="11"/>
        <v>1.1340136430701435E-2</v>
      </c>
      <c r="T369">
        <f t="shared" si="12"/>
        <v>1.7010204646052151E-4</v>
      </c>
      <c r="U369">
        <f t="shared" si="13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15"/>
        <v>368</v>
      </c>
      <c r="I370">
        <f>SUM($F$3:F370)/H370</f>
        <v>5174784.9780910322</v>
      </c>
      <c r="N370">
        <f>IF(A370&lt;&gt;$K$19,MAX(N369,VLOOKUP(A370,A:C,3)),)</f>
        <v>0.75199997425079346</v>
      </c>
      <c r="O370">
        <f>IF(A370&lt;&gt;$K$19,MIN(O369,VLOOKUP(A370,A:D,4)),)</f>
        <v>0.7070000171661377</v>
      </c>
      <c r="P370">
        <f t="shared" si="14"/>
        <v>0.72066666682561242</v>
      </c>
      <c r="Q370">
        <f t="shared" si="9"/>
        <v>0.72890476101920731</v>
      </c>
      <c r="R370">
        <f t="shared" si="10"/>
        <v>-8.2380941935948915E-3</v>
      </c>
      <c r="S370">
        <f t="shared" si="11"/>
        <v>1.1047618729727609E-2</v>
      </c>
      <c r="T370">
        <f t="shared" si="12"/>
        <v>1.6571428094591412E-4</v>
      </c>
      <c r="U370">
        <f t="shared" si="13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15"/>
        <v>369</v>
      </c>
      <c r="I371">
        <f>SUM($F$3:F371)/H371</f>
        <v>5171443.2877710024</v>
      </c>
      <c r="N371">
        <f>IF(A371&lt;&gt;$K$19,MAX(N370,VLOOKUP(A371,A:C,3)),)</f>
        <v>0.75199997425079346</v>
      </c>
      <c r="O371">
        <f>IF(A371&lt;&gt;$K$19,MIN(O370,VLOOKUP(A371,A:D,4)),)</f>
        <v>0.7070000171661377</v>
      </c>
      <c r="P371">
        <f t="shared" si="14"/>
        <v>0.72200000286102295</v>
      </c>
      <c r="Q371">
        <f t="shared" si="9"/>
        <v>0.72702380872908101</v>
      </c>
      <c r="R371">
        <f t="shared" si="10"/>
        <v>-5.0238058680580622E-3</v>
      </c>
      <c r="S371">
        <f t="shared" si="11"/>
        <v>9.8843529921810759E-3</v>
      </c>
      <c r="T371">
        <f t="shared" si="12"/>
        <v>1.4826529488271614E-4</v>
      </c>
      <c r="U371">
        <f t="shared" si="13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15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14"/>
        <v>0.72366666793823242</v>
      </c>
      <c r="Q372">
        <f t="shared" si="9"/>
        <v>0.7253809514499846</v>
      </c>
      <c r="R372">
        <f t="shared" si="10"/>
        <v>-1.7142835117521793E-3</v>
      </c>
      <c r="S372">
        <f t="shared" si="11"/>
        <v>8.340133696186294E-3</v>
      </c>
      <c r="T372">
        <f t="shared" si="12"/>
        <v>1.2510200544279442E-4</v>
      </c>
      <c r="U372">
        <f t="shared" si="13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15"/>
        <v>371</v>
      </c>
      <c r="I373">
        <f>SUM($F$3:F373)/H373</f>
        <v>5153287.2592654983</v>
      </c>
      <c r="N373">
        <f>IF(A373&lt;&gt;$K$20,MAX(N372,VLOOKUP(A373,A:C,3)),)</f>
        <v>0.72899997234344482</v>
      </c>
      <c r="O373">
        <f>IF(A373&lt;&gt;$K$20,MIN(O372,VLOOKUP(A373,A:D,4)),)</f>
        <v>0.7149999737739563</v>
      </c>
      <c r="P373">
        <f t="shared" si="14"/>
        <v>0.72433330615361535</v>
      </c>
      <c r="Q373">
        <f t="shared" si="9"/>
        <v>0.7242380934102195</v>
      </c>
      <c r="R373">
        <f t="shared" si="10"/>
        <v>9.5212743395856059E-5</v>
      </c>
      <c r="S373">
        <f t="shared" si="11"/>
        <v>7.0340102221690083E-3</v>
      </c>
      <c r="T373">
        <f t="shared" si="12"/>
        <v>1.0551015333253512E-4</v>
      </c>
      <c r="U373">
        <f t="shared" si="13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15"/>
        <v>372</v>
      </c>
      <c r="I374">
        <f>SUM($F$3:F374)/H374</f>
        <v>5143834.6053427421</v>
      </c>
      <c r="N374">
        <f>IF(A374&lt;&gt;$K$20,MAX(N373,VLOOKUP(A374,A:C,3)),)</f>
        <v>0.72899997234344482</v>
      </c>
      <c r="O374">
        <f>IF(A374&lt;&gt;$K$20,MIN(O373,VLOOKUP(A374,A:D,4)),)</f>
        <v>0.7149999737739563</v>
      </c>
      <c r="P374">
        <f t="shared" si="14"/>
        <v>0.72433334589004517</v>
      </c>
      <c r="Q374">
        <f t="shared" si="9"/>
        <v>0.72335714101791382</v>
      </c>
      <c r="R374">
        <f t="shared" si="10"/>
        <v>9.7620487213134766E-4</v>
      </c>
      <c r="S374">
        <f t="shared" si="11"/>
        <v>6.0714256195794946E-3</v>
      </c>
      <c r="T374">
        <f t="shared" si="12"/>
        <v>9.1071384293692418E-5</v>
      </c>
      <c r="U374">
        <f t="shared" si="13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15"/>
        <v>373</v>
      </c>
      <c r="I375">
        <f>SUM($F$3:F375)/H375</f>
        <v>5133129.9549262738</v>
      </c>
      <c r="N375">
        <f>IF(A375&lt;&gt;$K$20,MAX(N374,VLOOKUP(A375,A:C,3)),)</f>
        <v>0.74400001764297485</v>
      </c>
      <c r="O375">
        <f>IF(A375&lt;&gt;$K$20,MIN(O374,VLOOKUP(A375,A:D,4)),)</f>
        <v>0.7149999737739563</v>
      </c>
      <c r="P375">
        <f t="shared" si="14"/>
        <v>0.73799999554951989</v>
      </c>
      <c r="Q375">
        <f t="shared" si="9"/>
        <v>0.72319047507785617</v>
      </c>
      <c r="R375">
        <f t="shared" si="10"/>
        <v>1.4809520471663729E-2</v>
      </c>
      <c r="S375">
        <f t="shared" si="11"/>
        <v>5.9047596795218328E-3</v>
      </c>
      <c r="T375">
        <f t="shared" si="12"/>
        <v>8.8571395192827494E-5</v>
      </c>
      <c r="U375">
        <f t="shared" si="13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15"/>
        <v>374</v>
      </c>
      <c r="I376">
        <f>SUM($F$3:F376)/H376</f>
        <v>5126185.7625334226</v>
      </c>
      <c r="N376">
        <f>IF(A376&lt;&gt;$K$20,MAX(N375,VLOOKUP(A376,A:C,3)),)</f>
        <v>0.75099998712539673</v>
      </c>
      <c r="O376">
        <f>IF(A376&lt;&gt;$K$20,MIN(O375,VLOOKUP(A376,A:D,4)),)</f>
        <v>0.7149999737739563</v>
      </c>
      <c r="P376">
        <f t="shared" si="14"/>
        <v>0.74533333381017053</v>
      </c>
      <c r="Q376">
        <f t="shared" si="9"/>
        <v>0.72383333245913195</v>
      </c>
      <c r="R376">
        <f t="shared" si="10"/>
        <v>2.1500001351038578E-2</v>
      </c>
      <c r="S376">
        <f t="shared" si="11"/>
        <v>6.571426278068916E-3</v>
      </c>
      <c r="T376">
        <f t="shared" si="12"/>
        <v>9.8571394171033733E-5</v>
      </c>
      <c r="U376">
        <f t="shared" si="13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15"/>
        <v>375</v>
      </c>
      <c r="I377">
        <f>SUM($F$3:F377)/H377</f>
        <v>5119661.2698333338</v>
      </c>
      <c r="N377">
        <f>IF(A377&lt;&gt;$K$20,MAX(N376,VLOOKUP(A377,A:C,3)),)</f>
        <v>0.75199997425079346</v>
      </c>
      <c r="O377">
        <f>IF(A377&lt;&gt;$K$20,MIN(O376,VLOOKUP(A377,A:D,4)),)</f>
        <v>0.7149999737739563</v>
      </c>
      <c r="P377">
        <f t="shared" si="14"/>
        <v>0.74833331505457557</v>
      </c>
      <c r="Q377">
        <f t="shared" si="9"/>
        <v>0.72507142594882423</v>
      </c>
      <c r="R377">
        <f t="shared" si="10"/>
        <v>2.3261889105751332E-2</v>
      </c>
      <c r="S377">
        <f t="shared" si="11"/>
        <v>8.1972759597155574E-3</v>
      </c>
      <c r="T377">
        <f t="shared" si="12"/>
        <v>1.2295913939573336E-4</v>
      </c>
      <c r="U377">
        <f t="shared" si="13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15"/>
        <v>376</v>
      </c>
      <c r="I378">
        <f>SUM($F$3:F378)/H378</f>
        <v>5109560.872839096</v>
      </c>
      <c r="N378">
        <f>IF(A378&lt;&gt;$K$20,MAX(N377,VLOOKUP(A378,A:C,3)),)</f>
        <v>0.75499999523162842</v>
      </c>
      <c r="O378">
        <f>IF(A378&lt;&gt;$K$20,MIN(O377,VLOOKUP(A378,A:D,4)),)</f>
        <v>0.7149999737739563</v>
      </c>
      <c r="P378">
        <f t="shared" si="14"/>
        <v>0.75066667795181274</v>
      </c>
      <c r="Q378">
        <f t="shared" si="9"/>
        <v>0.72719047466913855</v>
      </c>
      <c r="R378">
        <f t="shared" si="10"/>
        <v>2.3476203282674191E-2</v>
      </c>
      <c r="S378">
        <f t="shared" si="11"/>
        <v>1.051020338421774E-2</v>
      </c>
      <c r="T378">
        <f t="shared" si="12"/>
        <v>1.576530507632661E-4</v>
      </c>
      <c r="U378">
        <f t="shared" si="13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15"/>
        <v>377</v>
      </c>
      <c r="I379">
        <f>SUM($F$3:F379)/H379</f>
        <v>5103426.7697281167</v>
      </c>
      <c r="N379">
        <f>IF(A379&lt;&gt;$K$20,MAX(N378,VLOOKUP(A379,A:C,3)),)</f>
        <v>0.75599998235702515</v>
      </c>
      <c r="O379">
        <f>IF(A379&lt;&gt;$K$20,MIN(O378,VLOOKUP(A379,A:D,4)),)</f>
        <v>0.7149999737739563</v>
      </c>
      <c r="P379">
        <f t="shared" si="14"/>
        <v>0.75033332904179895</v>
      </c>
      <c r="Q379">
        <f t="shared" si="9"/>
        <v>0.72961904605229688</v>
      </c>
      <c r="R379">
        <f t="shared" si="10"/>
        <v>2.0714282989502064E-2</v>
      </c>
      <c r="S379">
        <f t="shared" si="11"/>
        <v>1.2081631592341808E-2</v>
      </c>
      <c r="T379">
        <f t="shared" si="12"/>
        <v>1.8122447388512711E-4</v>
      </c>
      <c r="U379">
        <f t="shared" si="13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15"/>
        <v>378</v>
      </c>
      <c r="I380">
        <f>SUM($F$3:F380)/H380</f>
        <v>5097570.0851521166</v>
      </c>
      <c r="N380">
        <f>IF(A380&lt;&gt;$K$20,MAX(N379,VLOOKUP(A380,A:C,3)),)</f>
        <v>0.75599998235702515</v>
      </c>
      <c r="O380">
        <f>IF(A380&lt;&gt;$K$20,MIN(O379,VLOOKUP(A380,A:D,4)),)</f>
        <v>0.7149999737739563</v>
      </c>
      <c r="P380">
        <f t="shared" si="14"/>
        <v>0.75233332316080725</v>
      </c>
      <c r="Q380">
        <f t="shared" si="9"/>
        <v>0.73226190181005557</v>
      </c>
      <c r="R380">
        <f t="shared" si="10"/>
        <v>2.0071421350751684E-2</v>
      </c>
      <c r="S380">
        <f t="shared" si="11"/>
        <v>1.306122338690723E-2</v>
      </c>
      <c r="T380">
        <f t="shared" si="12"/>
        <v>1.9591835080360844E-4</v>
      </c>
      <c r="U380">
        <f t="shared" si="13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15"/>
        <v>379</v>
      </c>
      <c r="I381">
        <f>SUM($F$3:F381)/H381</f>
        <v>5091004.2010224275</v>
      </c>
      <c r="N381">
        <f>IF(A381&lt;&gt;$K$20,MAX(N380,VLOOKUP(A381,A:C,3)),)</f>
        <v>0.77399998903274536</v>
      </c>
      <c r="O381">
        <f>IF(A381&lt;&gt;$K$20,MIN(O380,VLOOKUP(A381,A:D,4)),)</f>
        <v>0.7149999737739563</v>
      </c>
      <c r="P381">
        <f t="shared" si="14"/>
        <v>0.75866665442784631</v>
      </c>
      <c r="Q381">
        <f t="shared" si="9"/>
        <v>0.73573809152557745</v>
      </c>
      <c r="R381">
        <f t="shared" si="10"/>
        <v>2.2928562902268856E-2</v>
      </c>
      <c r="S381">
        <f t="shared" si="11"/>
        <v>1.3357141188212804E-2</v>
      </c>
      <c r="T381">
        <f t="shared" si="12"/>
        <v>2.0035711782319206E-4</v>
      </c>
      <c r="U381">
        <f t="shared" si="13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15"/>
        <v>380</v>
      </c>
      <c r="I382">
        <f>SUM($F$3:F382)/H382</f>
        <v>5087239.2083881581</v>
      </c>
      <c r="N382">
        <f>IF(A382&lt;&gt;$K$20,MAX(N381,VLOOKUP(A382,A:C,3)),)</f>
        <v>0.77799999713897705</v>
      </c>
      <c r="O382">
        <f>IF(A382&lt;&gt;$K$20,MIN(O381,VLOOKUP(A382,A:D,4)),)</f>
        <v>0.7149999737739563</v>
      </c>
      <c r="P382">
        <f t="shared" si="14"/>
        <v>0.77066665887832642</v>
      </c>
      <c r="Q382">
        <f t="shared" si="9"/>
        <v>0.73966666204588749</v>
      </c>
      <c r="R382">
        <f t="shared" si="10"/>
        <v>3.0999996832438925E-2</v>
      </c>
      <c r="S382">
        <f t="shared" si="11"/>
        <v>1.4095236857732134E-2</v>
      </c>
      <c r="T382">
        <f t="shared" si="12"/>
        <v>2.1142855286598199E-4</v>
      </c>
      <c r="U382">
        <f t="shared" si="13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15"/>
        <v>381</v>
      </c>
      <c r="I383">
        <f>SUM($F$3:F383)/H383</f>
        <v>5077771.1264763782</v>
      </c>
      <c r="N383">
        <f>IF(A383&lt;&gt;$K$20,MAX(N382,VLOOKUP(A383,A:C,3)),)</f>
        <v>0.79500001668930054</v>
      </c>
      <c r="O383">
        <f>IF(A383&lt;&gt;$K$20,MIN(O382,VLOOKUP(A383,A:D,4)),)</f>
        <v>0.7149999737739563</v>
      </c>
      <c r="P383">
        <f t="shared" si="14"/>
        <v>0.78099999825159705</v>
      </c>
      <c r="Q383">
        <f t="shared" si="9"/>
        <v>0.74359523398535587</v>
      </c>
      <c r="R383">
        <f t="shared" si="10"/>
        <v>3.7404764266241175E-2</v>
      </c>
      <c r="S383">
        <f t="shared" si="11"/>
        <v>1.5510202670583919E-2</v>
      </c>
      <c r="T383">
        <f t="shared" si="12"/>
        <v>2.3265304005875878E-4</v>
      </c>
      <c r="U383">
        <f t="shared" si="13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15"/>
        <v>382</v>
      </c>
      <c r="I384">
        <f>SUM($F$3:F384)/H384</f>
        <v>5077656.5554646598</v>
      </c>
      <c r="N384">
        <f>IF(A384&lt;&gt;$K$20,MAX(N383,VLOOKUP(A384,A:C,3)),)</f>
        <v>0.79500001668930054</v>
      </c>
      <c r="O384">
        <f>IF(A384&lt;&gt;$K$20,MIN(O383,VLOOKUP(A384,A:D,4)),)</f>
        <v>0.7149999737739563</v>
      </c>
      <c r="P384">
        <f t="shared" si="14"/>
        <v>0.77733333905537927</v>
      </c>
      <c r="Q384">
        <f t="shared" si="9"/>
        <v>0.74764285343033932</v>
      </c>
      <c r="R384">
        <f t="shared" si="10"/>
        <v>2.9690485625039953E-2</v>
      </c>
      <c r="S384">
        <f t="shared" si="11"/>
        <v>1.5455781197061329E-2</v>
      </c>
      <c r="T384">
        <f t="shared" si="12"/>
        <v>2.3183671795591992E-4</v>
      </c>
      <c r="U384">
        <f t="shared" si="13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15"/>
        <v>383</v>
      </c>
      <c r="I385">
        <f>SUM($F$3:F385)/H385</f>
        <v>5069298.4443537863</v>
      </c>
      <c r="N385">
        <f>IF(A385&lt;&gt;$K$20,MAX(N384,VLOOKUP(A385,A:C,3)),)</f>
        <v>0.79500001668930054</v>
      </c>
      <c r="O385">
        <f>IF(A385&lt;&gt;$K$20,MIN(O384,VLOOKUP(A385,A:D,4)),)</f>
        <v>0.7149999737739563</v>
      </c>
      <c r="P385">
        <f t="shared" si="14"/>
        <v>0.77966666221618652</v>
      </c>
      <c r="Q385">
        <f t="shared" si="9"/>
        <v>0.75176190052713665</v>
      </c>
      <c r="R385">
        <f t="shared" si="10"/>
        <v>2.7904761689049873E-2</v>
      </c>
      <c r="S385">
        <f t="shared" si="11"/>
        <v>1.5585033261046108E-2</v>
      </c>
      <c r="T385">
        <f t="shared" si="12"/>
        <v>2.3377549891569161E-4</v>
      </c>
      <c r="U385">
        <f t="shared" si="13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15"/>
        <v>384</v>
      </c>
      <c r="I386">
        <f>SUM($F$3:F386)/H386</f>
        <v>5072194.0265299482</v>
      </c>
      <c r="N386">
        <f>IF(A386&lt;&gt;$K$20,MAX(N385,VLOOKUP(A386,A:C,3)),)</f>
        <v>0.79500001668930054</v>
      </c>
      <c r="O386">
        <f>IF(A386&lt;&gt;$K$20,MIN(O385,VLOOKUP(A386,A:D,4)),)</f>
        <v>0.7149999737739563</v>
      </c>
      <c r="P386">
        <f t="shared" si="14"/>
        <v>0.78599999348322547</v>
      </c>
      <c r="Q386">
        <f t="shared" si="9"/>
        <v>0.75621428092320753</v>
      </c>
      <c r="R386">
        <f t="shared" si="10"/>
        <v>2.9785712560017941E-2</v>
      </c>
      <c r="S386">
        <f t="shared" si="11"/>
        <v>1.6578231539045047E-2</v>
      </c>
      <c r="T386">
        <f t="shared" si="12"/>
        <v>2.4867347308567571E-4</v>
      </c>
      <c r="U386">
        <f t="shared" si="13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15"/>
        <v>385</v>
      </c>
      <c r="I387">
        <f>SUM($F$3:F387)/H387</f>
        <v>5065822.6134740263</v>
      </c>
      <c r="N387">
        <f>IF(A387&lt;&gt;$K$20,MAX(N386,VLOOKUP(A387,A:C,3)),)</f>
        <v>0.81000000238418579</v>
      </c>
      <c r="O387">
        <f>IF(A387&lt;&gt;$K$20,MIN(O386,VLOOKUP(A387,A:D,4)),)</f>
        <v>0.7149999737739563</v>
      </c>
      <c r="P387">
        <f t="shared" si="14"/>
        <v>0.79833332697550452</v>
      </c>
      <c r="Q387">
        <f t="shared" si="9"/>
        <v>0.76149999669619972</v>
      </c>
      <c r="R387">
        <f t="shared" si="10"/>
        <v>3.6833330279304799E-2</v>
      </c>
      <c r="S387">
        <f t="shared" si="11"/>
        <v>1.7714285526145877E-2</v>
      </c>
      <c r="T387">
        <f t="shared" si="12"/>
        <v>2.6571428289218815E-4</v>
      </c>
      <c r="U387">
        <f t="shared" si="13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15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14"/>
        <v>0.79233332475026452</v>
      </c>
      <c r="Q388">
        <f t="shared" si="9"/>
        <v>0.76635713804335825</v>
      </c>
      <c r="R388">
        <f t="shared" si="10"/>
        <v>2.5976186706906268E-2</v>
      </c>
      <c r="S388">
        <f t="shared" si="11"/>
        <v>1.7261905329568037E-2</v>
      </c>
      <c r="T388">
        <f t="shared" si="12"/>
        <v>2.5892857994352057E-4</v>
      </c>
      <c r="U388">
        <f t="shared" si="13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15"/>
        <v>387</v>
      </c>
      <c r="I389">
        <f>SUM($F$3:F389)/H389</f>
        <v>5051773.4010012923</v>
      </c>
      <c r="N389">
        <f>IF(A389&lt;&gt;$K$21,MAX(N388,VLOOKUP(A389,A:C,3)),)</f>
        <v>0.80000001192092896</v>
      </c>
      <c r="O389">
        <f>IF(A389&lt;&gt;$K$21,MIN(O388,VLOOKUP(A389,A:D,4)),)</f>
        <v>0.78799998760223389</v>
      </c>
      <c r="P389">
        <f t="shared" si="14"/>
        <v>0.79566667477289832</v>
      </c>
      <c r="Q389">
        <f t="shared" si="9"/>
        <v>0.77047618655931382</v>
      </c>
      <c r="R389">
        <f t="shared" si="10"/>
        <v>2.5190488213584494E-2</v>
      </c>
      <c r="S389">
        <f t="shared" si="11"/>
        <v>1.674149798698165E-2</v>
      </c>
      <c r="T389">
        <f t="shared" si="12"/>
        <v>2.5112246980472474E-4</v>
      </c>
      <c r="U389">
        <f t="shared" si="13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15"/>
        <v>388</v>
      </c>
      <c r="I390">
        <f>SUM($F$3:F390)/H390</f>
        <v>5041902.8509987118</v>
      </c>
      <c r="N390">
        <f>IF(A390&lt;&gt;$K$21,MAX(N389,VLOOKUP(A390,A:C,3)),)</f>
        <v>0.80199998617172241</v>
      </c>
      <c r="O390">
        <f>IF(A390&lt;&gt;$K$21,MIN(O389,VLOOKUP(A390,A:D,4)),)</f>
        <v>0.78799998760223389</v>
      </c>
      <c r="P390">
        <f t="shared" si="14"/>
        <v>0.79700001080830896</v>
      </c>
      <c r="Q390">
        <f t="shared" si="9"/>
        <v>0.77416666348775232</v>
      </c>
      <c r="R390">
        <f t="shared" si="10"/>
        <v>2.2833347320556641E-2</v>
      </c>
      <c r="S390">
        <f t="shared" si="11"/>
        <v>1.6285717487335198E-2</v>
      </c>
      <c r="T390">
        <f t="shared" si="12"/>
        <v>2.4428576231002794E-4</v>
      </c>
      <c r="U390">
        <f t="shared" si="13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15"/>
        <v>389</v>
      </c>
      <c r="I391">
        <f>SUM($F$3:F391)/H391</f>
        <v>5034678.1650064271</v>
      </c>
      <c r="N391">
        <f>IF(A391&lt;&gt;$K$21,MAX(N390,VLOOKUP(A391,A:C,3)),)</f>
        <v>0.80199998617172241</v>
      </c>
      <c r="O391">
        <f>IF(A391&lt;&gt;$K$21,MIN(O390,VLOOKUP(A391,A:D,4)),)</f>
        <v>0.78100001811981201</v>
      </c>
      <c r="P391">
        <f t="shared" si="14"/>
        <v>0.78800000747044885</v>
      </c>
      <c r="Q391">
        <f t="shared" si="9"/>
        <v>0.77699999866031466</v>
      </c>
      <c r="R391">
        <f t="shared" si="10"/>
        <v>1.1000008810134188E-2</v>
      </c>
      <c r="S391">
        <f t="shared" si="11"/>
        <v>1.4619049977283083E-2</v>
      </c>
      <c r="T391">
        <f t="shared" si="12"/>
        <v>2.1928574965924625E-4</v>
      </c>
      <c r="U391">
        <f t="shared" si="13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15"/>
        <v>390</v>
      </c>
      <c r="I392">
        <f>SUM($F$3:F392)/H392</f>
        <v>5023444.3748397436</v>
      </c>
      <c r="N392">
        <f>IF(A392&lt;&gt;$K$21,MAX(N391,VLOOKUP(A392,A:C,3)),)</f>
        <v>0.80199998617172241</v>
      </c>
      <c r="O392">
        <f>IF(A392&lt;&gt;$K$21,MIN(O391,VLOOKUP(A392,A:D,4)),)</f>
        <v>0.77600002288818359</v>
      </c>
      <c r="P392">
        <f t="shared" si="14"/>
        <v>0.77933335304260254</v>
      </c>
      <c r="Q392">
        <f t="shared" si="9"/>
        <v>0.77904761830965685</v>
      </c>
      <c r="R392">
        <f t="shared" si="10"/>
        <v>2.8573473294568608E-4</v>
      </c>
      <c r="S392">
        <f t="shared" si="11"/>
        <v>1.2272112426303652E-2</v>
      </c>
      <c r="T392">
        <f t="shared" si="12"/>
        <v>1.8408168639455478E-4</v>
      </c>
      <c r="U392">
        <f t="shared" si="13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15"/>
        <v>391</v>
      </c>
      <c r="I393">
        <f>SUM($F$3:F393)/H393</f>
        <v>5014480.3227301789</v>
      </c>
      <c r="N393">
        <f>IF(A393&lt;&gt;$K$21,MAX(N392,VLOOKUP(A393,A:C,3)),)</f>
        <v>0.80199998617172241</v>
      </c>
      <c r="O393">
        <f>IF(A393&lt;&gt;$K$21,MIN(O392,VLOOKUP(A393,A:D,4)),)</f>
        <v>0.77600002288818359</v>
      </c>
      <c r="P393">
        <f t="shared" si="14"/>
        <v>0.78033332029978431</v>
      </c>
      <c r="Q393">
        <f t="shared" si="9"/>
        <v>0.78119047482808435</v>
      </c>
      <c r="R393">
        <f t="shared" si="10"/>
        <v>-8.5715452830004146E-4</v>
      </c>
      <c r="S393">
        <f t="shared" si="11"/>
        <v>1.0027212756020689E-2</v>
      </c>
      <c r="T393">
        <f t="shared" si="12"/>
        <v>1.5040819134031034E-4</v>
      </c>
      <c r="U393">
        <f t="shared" si="13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15"/>
        <v>392</v>
      </c>
      <c r="I394">
        <f>SUM($F$3:F394)/H394</f>
        <v>5004675.8117028065</v>
      </c>
      <c r="N394">
        <f>IF(A394&lt;&gt;$K$21,MAX(N393,VLOOKUP(A394,A:C,3)),)</f>
        <v>0.80199998617172241</v>
      </c>
      <c r="O394">
        <f>IF(A394&lt;&gt;$K$21,MIN(O393,VLOOKUP(A394,A:D,4)),)</f>
        <v>0.77600002288818359</v>
      </c>
      <c r="P394">
        <f t="shared" si="14"/>
        <v>0.77800001700719201</v>
      </c>
      <c r="Q394">
        <f t="shared" si="9"/>
        <v>0.78302381010282607</v>
      </c>
      <c r="R394">
        <f t="shared" si="10"/>
        <v>-5.0237930956340549E-3</v>
      </c>
      <c r="S394">
        <f t="shared" si="11"/>
        <v>8.4557825205277392E-3</v>
      </c>
      <c r="T394">
        <f t="shared" si="12"/>
        <v>1.2683673780791607E-4</v>
      </c>
      <c r="U394">
        <f t="shared" si="13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15"/>
        <v>393</v>
      </c>
      <c r="I395">
        <f>SUM($F$3:F395)/H395</f>
        <v>4995903.354166667</v>
      </c>
      <c r="N395">
        <f>IF(A395&lt;&gt;$K$21,MAX(N394,VLOOKUP(A395,A:C,3)),)</f>
        <v>0.80199998617172241</v>
      </c>
      <c r="O395">
        <f>IF(A395&lt;&gt;$K$21,MIN(O394,VLOOKUP(A395,A:D,4)),)</f>
        <v>0.77399998903274536</v>
      </c>
      <c r="P395">
        <f t="shared" si="14"/>
        <v>0.78333332141240442</v>
      </c>
      <c r="Q395">
        <f t="shared" si="9"/>
        <v>0.78478571488743742</v>
      </c>
      <c r="R395">
        <f t="shared" si="10"/>
        <v>-1.4523934750330092E-3</v>
      </c>
      <c r="S395">
        <f t="shared" si="11"/>
        <v>6.9455784194323534E-3</v>
      </c>
      <c r="T395">
        <f t="shared" si="12"/>
        <v>1.041836762914853E-4</v>
      </c>
      <c r="U395">
        <f t="shared" si="13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15"/>
        <v>394</v>
      </c>
      <c r="I396">
        <f>SUM($F$3:F396)/H396</f>
        <v>4988857.6603743657</v>
      </c>
      <c r="N396">
        <f>IF(A396&lt;&gt;$K$21,MAX(N395,VLOOKUP(A396,A:C,3)),)</f>
        <v>0.80199998617172241</v>
      </c>
      <c r="O396">
        <f>IF(A396&lt;&gt;$K$21,MIN(O395,VLOOKUP(A396,A:D,4)),)</f>
        <v>0.77399998903274536</v>
      </c>
      <c r="P396">
        <f t="shared" si="14"/>
        <v>0.78366665045420325</v>
      </c>
      <c r="Q396">
        <f t="shared" si="9"/>
        <v>0.7857142857142857</v>
      </c>
      <c r="R396">
        <f t="shared" si="10"/>
        <v>-2.0476352600824477E-3</v>
      </c>
      <c r="S396">
        <f t="shared" si="11"/>
        <v>6.1496605678480476E-3</v>
      </c>
      <c r="T396">
        <f t="shared" si="12"/>
        <v>9.224490851772071E-5</v>
      </c>
      <c r="U396">
        <f t="shared" si="13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15"/>
        <v>395</v>
      </c>
      <c r="I397">
        <f>SUM($F$3:F397)/H397</f>
        <v>4981426.375158228</v>
      </c>
      <c r="N397">
        <f>IF(A397&lt;&gt;$K$21,MAX(N396,VLOOKUP(A397,A:C,3)),)</f>
        <v>0.80199998617172241</v>
      </c>
      <c r="O397">
        <f>IF(A397&lt;&gt;$K$21,MIN(O396,VLOOKUP(A397,A:D,4)),)</f>
        <v>0.77399998903274536</v>
      </c>
      <c r="P397">
        <f t="shared" si="14"/>
        <v>0.78666667143503821</v>
      </c>
      <c r="Q397">
        <f t="shared" si="9"/>
        <v>0.78611904808453148</v>
      </c>
      <c r="R397">
        <f t="shared" si="10"/>
        <v>5.4762335050673183E-4</v>
      </c>
      <c r="S397">
        <f t="shared" si="11"/>
        <v>5.8979611007534682E-3</v>
      </c>
      <c r="T397">
        <f t="shared" si="12"/>
        <v>8.846941651130202E-5</v>
      </c>
      <c r="U397">
        <f t="shared" si="13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15"/>
        <v>396</v>
      </c>
      <c r="I398">
        <f>SUM($F$3:F398)/H398</f>
        <v>4972087.6923926771</v>
      </c>
      <c r="N398">
        <f>IF(A398&lt;&gt;$K$21,MAX(N397,VLOOKUP(A398,A:C,3)),)</f>
        <v>0.80199998617172241</v>
      </c>
      <c r="O398">
        <f>IF(A398&lt;&gt;$K$21,MIN(O397,VLOOKUP(A398,A:D,4)),)</f>
        <v>0.77399998903274536</v>
      </c>
      <c r="P398">
        <f t="shared" si="14"/>
        <v>0.7873333295186361</v>
      </c>
      <c r="Q398">
        <f t="shared" si="9"/>
        <v>0.78683333311762116</v>
      </c>
      <c r="R398">
        <f t="shared" si="10"/>
        <v>4.9999640101494602E-4</v>
      </c>
      <c r="S398">
        <f t="shared" si="11"/>
        <v>5.3809536557619187E-3</v>
      </c>
      <c r="T398">
        <f t="shared" si="12"/>
        <v>8.0714304836428777E-5</v>
      </c>
      <c r="U398">
        <f t="shared" si="13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15"/>
        <v>397</v>
      </c>
      <c r="I399">
        <f>SUM($F$3:F399)/H399</f>
        <v>4961716.1893891692</v>
      </c>
      <c r="N399">
        <f>IF(A399&lt;&gt;$K$21,MAX(N398,VLOOKUP(A399,A:C,3)),)</f>
        <v>0.80199998617172241</v>
      </c>
      <c r="O399">
        <f>IF(A399&lt;&gt;$K$21,MIN(O398,VLOOKUP(A399,A:D,4)),)</f>
        <v>0.77399998903274536</v>
      </c>
      <c r="P399">
        <f t="shared" si="14"/>
        <v>0.78700000047683716</v>
      </c>
      <c r="Q399">
        <f t="shared" si="9"/>
        <v>0.787357142993382</v>
      </c>
      <c r="R399">
        <f t="shared" si="10"/>
        <v>-3.5714251654483942E-4</v>
      </c>
      <c r="S399">
        <f t="shared" si="11"/>
        <v>4.9353756872164067E-3</v>
      </c>
      <c r="T399">
        <f t="shared" si="12"/>
        <v>7.4030635308246096E-5</v>
      </c>
      <c r="U399">
        <f t="shared" si="13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15"/>
        <v>398</v>
      </c>
      <c r="I400">
        <f>SUM($F$3:F400)/H400</f>
        <v>4953659.1135364324</v>
      </c>
      <c r="N400">
        <f>IF(A400&lt;&gt;$K$21,MAX(N399,VLOOKUP(A400,A:C,3)),)</f>
        <v>0.80199998617172241</v>
      </c>
      <c r="O400">
        <f>IF(A400&lt;&gt;$K$21,MIN(O399,VLOOKUP(A400,A:D,4)),)</f>
        <v>0.7720000147819519</v>
      </c>
      <c r="P400">
        <f t="shared" si="14"/>
        <v>0.78066666920979821</v>
      </c>
      <c r="Q400">
        <f t="shared" si="9"/>
        <v>0.78697619125956586</v>
      </c>
      <c r="R400">
        <f t="shared" si="10"/>
        <v>-6.3095220497676463E-3</v>
      </c>
      <c r="S400">
        <f t="shared" si="11"/>
        <v>5.2619051365625346E-3</v>
      </c>
      <c r="T400">
        <f t="shared" si="12"/>
        <v>7.8928577048438018E-5</v>
      </c>
      <c r="U400">
        <f t="shared" si="13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15"/>
        <v>399</v>
      </c>
      <c r="I401">
        <f>SUM($F$3:F401)/H401</f>
        <v>4948930.9102443606</v>
      </c>
      <c r="N401">
        <f>IF(A401&lt;&gt;$K$21,MAX(N400,VLOOKUP(A401,A:C,3)),)</f>
        <v>0.80199998617172241</v>
      </c>
      <c r="O401">
        <f>IF(A401&lt;&gt;$K$21,MIN(O400,VLOOKUP(A401,A:D,4)),)</f>
        <v>0.75999999046325684</v>
      </c>
      <c r="P401">
        <f t="shared" si="14"/>
        <v>0.7653333147366842</v>
      </c>
      <c r="Q401">
        <f t="shared" si="9"/>
        <v>0.78461904752822165</v>
      </c>
      <c r="R401">
        <f t="shared" si="10"/>
        <v>-1.9285732791537447E-2</v>
      </c>
      <c r="S401">
        <f t="shared" si="11"/>
        <v>5.9523837906973699E-3</v>
      </c>
      <c r="T401">
        <f t="shared" si="12"/>
        <v>8.9285756860460545E-5</v>
      </c>
      <c r="U401">
        <f t="shared" si="13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15"/>
        <v>400</v>
      </c>
      <c r="I402">
        <f>SUM($F$3:F402)/H402</f>
        <v>4938949.08296875</v>
      </c>
      <c r="N402">
        <f>IF(A402&lt;&gt;$K$21,MAX(N401,VLOOKUP(A402,A:C,3)),)</f>
        <v>0.80199998617172241</v>
      </c>
      <c r="O402">
        <f>IF(A402&lt;&gt;$K$21,MIN(O401,VLOOKUP(A402,A:D,4)),)</f>
        <v>0.75599998235702515</v>
      </c>
      <c r="P402">
        <f t="shared" si="14"/>
        <v>0.7683333158493042</v>
      </c>
      <c r="Q402">
        <f t="shared" si="9"/>
        <v>0.78290476117815289</v>
      </c>
      <c r="R402">
        <f t="shared" si="10"/>
        <v>-1.4571445328848687E-2</v>
      </c>
      <c r="S402">
        <f t="shared" si="11"/>
        <v>6.4897967033645731E-3</v>
      </c>
      <c r="T402">
        <f t="shared" si="12"/>
        <v>9.7346950550468591E-5</v>
      </c>
      <c r="U402">
        <f t="shared" si="13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15"/>
        <v>401</v>
      </c>
      <c r="I403">
        <f>SUM($F$3:F403)/H403</f>
        <v>4929681.1301433919</v>
      </c>
      <c r="N403">
        <f>IF(A403&lt;&gt;$K$21,MAX(N402,VLOOKUP(A403,A:C,3)),)</f>
        <v>0.80199998617172241</v>
      </c>
      <c r="O403">
        <f>IF(A403&lt;&gt;$K$21,MIN(O402,VLOOKUP(A403,A:D,4)),)</f>
        <v>0.75599998235702515</v>
      </c>
      <c r="P403">
        <f t="shared" si="14"/>
        <v>0.77366665999094641</v>
      </c>
      <c r="Q403">
        <f t="shared" si="9"/>
        <v>0.78133333155087059</v>
      </c>
      <c r="R403">
        <f t="shared" si="10"/>
        <v>-7.6666715599241764E-3</v>
      </c>
      <c r="S403">
        <f t="shared" si="11"/>
        <v>6.2380958171117896E-3</v>
      </c>
      <c r="T403">
        <f t="shared" si="12"/>
        <v>9.3571437256676846E-5</v>
      </c>
      <c r="U403">
        <f t="shared" si="13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15"/>
        <v>402</v>
      </c>
      <c r="I404">
        <f>SUM($F$3:F404)/H404</f>
        <v>4921121.7243470149</v>
      </c>
      <c r="N404">
        <f>IF(A404&lt;&gt;$K$21,MAX(N403,VLOOKUP(A404,A:C,3)),)</f>
        <v>0.80199998617172241</v>
      </c>
      <c r="O404">
        <f>IF(A404&lt;&gt;$K$21,MIN(O403,VLOOKUP(A404,A:D,4)),)</f>
        <v>0.75599998235702515</v>
      </c>
      <c r="P404">
        <f t="shared" si="14"/>
        <v>0.76866668462753296</v>
      </c>
      <c r="Q404">
        <f t="shared" si="9"/>
        <v>0.77930952253795804</v>
      </c>
      <c r="R404">
        <f t="shared" si="10"/>
        <v>-1.0642837910425085E-2</v>
      </c>
      <c r="S404">
        <f t="shared" si="11"/>
        <v>6.0782314968757922E-3</v>
      </c>
      <c r="T404">
        <f t="shared" si="12"/>
        <v>9.1173472453136878E-5</v>
      </c>
      <c r="U404">
        <f t="shared" si="13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15"/>
        <v>403</v>
      </c>
      <c r="I405">
        <f>SUM($F$3:F405)/H405</f>
        <v>4911484.4544044668</v>
      </c>
      <c r="N405">
        <f>IF(A405&lt;&gt;$K$21,MAX(N404,VLOOKUP(A405,A:C,3)),)</f>
        <v>0.80199998617172241</v>
      </c>
      <c r="O405">
        <f>IF(A405&lt;&gt;$K$21,MIN(O404,VLOOKUP(A405,A:D,4)),)</f>
        <v>0.75599998235702515</v>
      </c>
      <c r="P405">
        <f t="shared" si="14"/>
        <v>0.76933334271113074</v>
      </c>
      <c r="Q405">
        <f t="shared" si="9"/>
        <v>0.77797618934086377</v>
      </c>
      <c r="R405">
        <f t="shared" si="10"/>
        <v>-8.6428466297330253E-3</v>
      </c>
      <c r="S405">
        <f t="shared" si="11"/>
        <v>6.3639469698173311E-3</v>
      </c>
      <c r="T405">
        <f t="shared" si="12"/>
        <v>9.5459204547259957E-5</v>
      </c>
      <c r="U405">
        <f t="shared" si="13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15"/>
        <v>404</v>
      </c>
      <c r="I406">
        <f>SUM($F$3:F406)/H406</f>
        <v>4901848.6042698016</v>
      </c>
      <c r="N406">
        <f>IF(A406&lt;&gt;$K$21,MAX(N405,VLOOKUP(A406,A:C,3)),)</f>
        <v>0.80199998617172241</v>
      </c>
      <c r="O406">
        <f>IF(A406&lt;&gt;$K$21,MIN(O405,VLOOKUP(A406,A:D,4)),)</f>
        <v>0.75599998235702515</v>
      </c>
      <c r="P406">
        <f t="shared" si="14"/>
        <v>0.76499998569488525</v>
      </c>
      <c r="Q406">
        <f t="shared" si="9"/>
        <v>0.77695237738745537</v>
      </c>
      <c r="R406">
        <f t="shared" si="10"/>
        <v>-1.1952391692570119E-2</v>
      </c>
      <c r="S406">
        <f t="shared" si="11"/>
        <v>7.3401372448927971E-3</v>
      </c>
      <c r="T406">
        <f t="shared" si="12"/>
        <v>1.1010205867339195E-4</v>
      </c>
      <c r="U406">
        <f t="shared" si="13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15"/>
        <v>405</v>
      </c>
      <c r="I407">
        <f>SUM($F$3:F407)/H407</f>
        <v>4895828.7311728392</v>
      </c>
      <c r="N407">
        <f>IF(A407&lt;&gt;$K$21,MAX(N406,VLOOKUP(A407,A:C,3)),)</f>
        <v>0.80199998617172241</v>
      </c>
      <c r="O407">
        <f>IF(A407&lt;&gt;$K$21,MIN(O406,VLOOKUP(A407,A:D,4)),)</f>
        <v>0.75599998235702515</v>
      </c>
      <c r="P407">
        <f t="shared" si="14"/>
        <v>0.75799999634424842</v>
      </c>
      <c r="Q407">
        <f t="shared" si="9"/>
        <v>0.77535713996206013</v>
      </c>
      <c r="R407">
        <f t="shared" si="10"/>
        <v>-1.735714361781171E-2</v>
      </c>
      <c r="S407">
        <f t="shared" si="11"/>
        <v>8.4523828256697995E-3</v>
      </c>
      <c r="T407">
        <f t="shared" si="12"/>
        <v>1.2678574238504699E-4</v>
      </c>
      <c r="U407">
        <f t="shared" si="13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15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14"/>
        <v>0.76166667540868127</v>
      </c>
      <c r="Q408">
        <f t="shared" si="9"/>
        <v>0.77419047270502361</v>
      </c>
      <c r="R408">
        <f t="shared" si="10"/>
        <v>-1.2523797296342343E-2</v>
      </c>
      <c r="S408">
        <f t="shared" si="11"/>
        <v>9.0748294681107945E-3</v>
      </c>
      <c r="T408">
        <f t="shared" si="12"/>
        <v>1.3612244202166192E-4</v>
      </c>
      <c r="U408">
        <f t="shared" si="13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15"/>
        <v>407</v>
      </c>
      <c r="I409">
        <f>SUM($F$3:F409)/H409</f>
        <v>4877725.8921990171</v>
      </c>
      <c r="N409">
        <f>IF(A409&lt;&gt;$K$22,MAX(N408,VLOOKUP(A409,A:C,3)),)</f>
        <v>0.77499997615814209</v>
      </c>
      <c r="O409">
        <f>IF(A409&lt;&gt;$K$22,MIN(O408,VLOOKUP(A409,A:D,4)),)</f>
        <v>0.7630000114440918</v>
      </c>
      <c r="P409">
        <f t="shared" si="14"/>
        <v>0.77033332983652747</v>
      </c>
      <c r="Q409">
        <f t="shared" si="9"/>
        <v>0.77326190187817534</v>
      </c>
      <c r="R409">
        <f t="shared" si="10"/>
        <v>-2.92857204164787E-3</v>
      </c>
      <c r="S409">
        <f t="shared" si="11"/>
        <v>8.4897956880582524E-3</v>
      </c>
      <c r="T409">
        <f t="shared" si="12"/>
        <v>1.2734693532087378E-4</v>
      </c>
      <c r="U409">
        <f t="shared" si="13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15"/>
        <v>408</v>
      </c>
      <c r="I410">
        <f>SUM($F$3:F410)/H410</f>
        <v>4870219.7012867648</v>
      </c>
      <c r="N410">
        <f>IF(A410&lt;&gt;$K$22,MAX(N409,VLOOKUP(A410,A:C,3)),)</f>
        <v>0.77499997615814209</v>
      </c>
      <c r="O410">
        <f>IF(A410&lt;&gt;$K$22,MIN(O409,VLOOKUP(A410,A:D,4)),)</f>
        <v>0.7630000114440918</v>
      </c>
      <c r="P410">
        <f t="shared" si="14"/>
        <v>0.76899997393290198</v>
      </c>
      <c r="Q410">
        <f t="shared" si="9"/>
        <v>0.77221428212665377</v>
      </c>
      <c r="R410">
        <f t="shared" si="10"/>
        <v>-3.2143081937517914E-3</v>
      </c>
      <c r="S410">
        <f t="shared" si="11"/>
        <v>7.7517028568553359E-3</v>
      </c>
      <c r="T410">
        <f t="shared" si="12"/>
        <v>1.1627554285283004E-4</v>
      </c>
      <c r="U410">
        <f t="shared" si="13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15"/>
        <v>409</v>
      </c>
      <c r="I411">
        <f>SUM($F$3:F411)/H411</f>
        <v>4859126.0100855744</v>
      </c>
      <c r="N411">
        <f>IF(A411&lt;&gt;$K$22,MAX(N410,VLOOKUP(A411,A:C,3)),)</f>
        <v>0.77499997615814209</v>
      </c>
      <c r="O411">
        <f>IF(A411&lt;&gt;$K$22,MIN(O410,VLOOKUP(A411,A:D,4)),)</f>
        <v>0.7630000114440918</v>
      </c>
      <c r="P411">
        <f t="shared" si="14"/>
        <v>0.76800000667572021</v>
      </c>
      <c r="Q411">
        <f t="shared" si="9"/>
        <v>0.77088094892955961</v>
      </c>
      <c r="R411">
        <f t="shared" si="10"/>
        <v>-2.8809422538393914E-3</v>
      </c>
      <c r="S411">
        <f t="shared" si="11"/>
        <v>6.4489804968542019E-3</v>
      </c>
      <c r="T411">
        <f t="shared" si="12"/>
        <v>9.6734707452813019E-5</v>
      </c>
      <c r="U411">
        <f t="shared" si="13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15"/>
        <v>410</v>
      </c>
      <c r="I412">
        <f>SUM($F$3:F412)/H412</f>
        <v>4856342.2881097561</v>
      </c>
      <c r="N412">
        <f>IF(A412&lt;&gt;$K$22,MAX(N411,VLOOKUP(A412,A:C,3)),)</f>
        <v>0.77499997615814209</v>
      </c>
      <c r="O412">
        <f>IF(A412&lt;&gt;$K$22,MIN(O411,VLOOKUP(A412,A:D,4)),)</f>
        <v>0.75999999046325684</v>
      </c>
      <c r="P412">
        <f t="shared" si="14"/>
        <v>0.76599999268849694</v>
      </c>
      <c r="Q412">
        <f t="shared" si="9"/>
        <v>0.76935713915597836</v>
      </c>
      <c r="R412">
        <f t="shared" si="10"/>
        <v>-3.35714646748142E-3</v>
      </c>
      <c r="S412">
        <f t="shared" si="11"/>
        <v>4.8911575557423759E-3</v>
      </c>
      <c r="T412">
        <f t="shared" si="12"/>
        <v>7.3367363336135637E-5</v>
      </c>
      <c r="U412">
        <f t="shared" si="13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15"/>
        <v>411</v>
      </c>
      <c r="I413">
        <f>SUM($F$3:F413)/H413</f>
        <v>4851357.2703771293</v>
      </c>
      <c r="N413">
        <f>IF(A413&lt;&gt;$K$22,MAX(N412,VLOOKUP(A413,A:C,3)),)</f>
        <v>0.77499997615814209</v>
      </c>
      <c r="O413">
        <f>IF(A413&lt;&gt;$K$22,MIN(O412,VLOOKUP(A413,A:D,4)),)</f>
        <v>0.75400000810623169</v>
      </c>
      <c r="P413">
        <f t="shared" si="14"/>
        <v>0.75966666142145789</v>
      </c>
      <c r="Q413">
        <f t="shared" si="9"/>
        <v>0.76740475779487982</v>
      </c>
      <c r="R413">
        <f t="shared" si="10"/>
        <v>-7.7380963734219321E-3</v>
      </c>
      <c r="S413">
        <f t="shared" si="11"/>
        <v>4.108845782117755E-3</v>
      </c>
      <c r="T413">
        <f t="shared" si="12"/>
        <v>6.1632686731766324E-5</v>
      </c>
      <c r="U413">
        <f t="shared" si="13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15"/>
        <v>412</v>
      </c>
      <c r="I414">
        <f>SUM($F$3:F414)/H414</f>
        <v>4845463.4420509711</v>
      </c>
      <c r="N414">
        <f>IF(A414&lt;&gt;$K$22,MAX(N413,VLOOKUP(A414,A:C,3)),)</f>
        <v>0.77499997615814209</v>
      </c>
      <c r="O414">
        <f>IF(A414&lt;&gt;$K$22,MIN(O413,VLOOKUP(A414,A:D,4)),)</f>
        <v>0.74900001287460327</v>
      </c>
      <c r="P414">
        <f t="shared" si="14"/>
        <v>0.75166666507720947</v>
      </c>
      <c r="Q414">
        <f t="shared" si="9"/>
        <v>0.76533332892826622</v>
      </c>
      <c r="R414">
        <f t="shared" si="10"/>
        <v>-1.3666663851056748E-2</v>
      </c>
      <c r="S414">
        <f t="shared" si="11"/>
        <v>4.3809535552044266E-3</v>
      </c>
      <c r="T414">
        <f t="shared" si="12"/>
        <v>6.5714303328066401E-5</v>
      </c>
      <c r="U414">
        <f t="shared" si="13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15"/>
        <v>413</v>
      </c>
      <c r="I415">
        <f>SUM($F$3:F415)/H415</f>
        <v>4836624.065677966</v>
      </c>
      <c r="N415">
        <f>IF(A415&lt;&gt;$K$22,MAX(N414,VLOOKUP(A415,A:C,3)),)</f>
        <v>0.77499997615814209</v>
      </c>
      <c r="O415">
        <f>IF(A415&lt;&gt;$K$22,MIN(O414,VLOOKUP(A415,A:D,4)),)</f>
        <v>0.74900001287460327</v>
      </c>
      <c r="P415">
        <f t="shared" si="14"/>
        <v>0.75400000810623169</v>
      </c>
      <c r="Q415">
        <f t="shared" si="9"/>
        <v>0.76452380702609102</v>
      </c>
      <c r="R415">
        <f t="shared" si="10"/>
        <v>-1.0523798919859328E-2</v>
      </c>
      <c r="S415">
        <f t="shared" si="11"/>
        <v>5.3741469675180975E-3</v>
      </c>
      <c r="T415">
        <f t="shared" si="12"/>
        <v>8.0612204512771457E-5</v>
      </c>
      <c r="U415">
        <f t="shared" si="13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15"/>
        <v>414</v>
      </c>
      <c r="I416">
        <f>SUM($F$3:F416)/H416</f>
        <v>4832346.7128623184</v>
      </c>
      <c r="N416">
        <f>IF(A416&lt;&gt;$K$22,MAX(N415,VLOOKUP(A416,A:C,3)),)</f>
        <v>0.77499997615814209</v>
      </c>
      <c r="O416">
        <f>IF(A416&lt;&gt;$K$22,MIN(O415,VLOOKUP(A416,A:D,4)),)</f>
        <v>0.74599999189376831</v>
      </c>
      <c r="P416">
        <f t="shared" si="14"/>
        <v>0.74933334191640222</v>
      </c>
      <c r="Q416">
        <f t="shared" si="9"/>
        <v>0.76316666603088379</v>
      </c>
      <c r="R416">
        <f t="shared" si="10"/>
        <v>-1.3833324114481571E-2</v>
      </c>
      <c r="S416">
        <f t="shared" si="11"/>
        <v>6.3809497015816742E-3</v>
      </c>
      <c r="T416">
        <f t="shared" si="12"/>
        <v>9.5714245523725115E-5</v>
      </c>
      <c r="U416">
        <f t="shared" si="13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15"/>
        <v>415</v>
      </c>
      <c r="I417">
        <f>SUM($F$3:F417)/H417</f>
        <v>4823640.5834337352</v>
      </c>
      <c r="N417">
        <f>IF(A417&lt;&gt;$K$22,MAX(N416,VLOOKUP(A417,A:C,3)),)</f>
        <v>0.77499997615814209</v>
      </c>
      <c r="O417">
        <f>IF(A417&lt;&gt;$K$22,MIN(O416,VLOOKUP(A417,A:D,4)),)</f>
        <v>0.74299997091293335</v>
      </c>
      <c r="P417">
        <f t="shared" si="14"/>
        <v>0.74733332792917884</v>
      </c>
      <c r="Q417">
        <f t="shared" si="9"/>
        <v>0.76128571374075749</v>
      </c>
      <c r="R417">
        <f t="shared" si="10"/>
        <v>-1.3952385811578649E-2</v>
      </c>
      <c r="S417">
        <f t="shared" si="11"/>
        <v>6.8163259499738104E-3</v>
      </c>
      <c r="T417">
        <f t="shared" si="12"/>
        <v>1.0224488924960716E-4</v>
      </c>
      <c r="U417">
        <f t="shared" si="13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15"/>
        <v>416</v>
      </c>
      <c r="I418">
        <f>SUM($F$3:F418)/H418</f>
        <v>4812632.322415865</v>
      </c>
      <c r="N418">
        <f>IF(A418&lt;&gt;$K$22,MAX(N417,VLOOKUP(A418,A:C,3)),)</f>
        <v>0.77499997615814209</v>
      </c>
      <c r="O418">
        <f>IF(A418&lt;&gt;$K$22,MIN(O417,VLOOKUP(A418,A:D,4)),)</f>
        <v>0.73400002717971802</v>
      </c>
      <c r="P418">
        <f t="shared" si="14"/>
        <v>0.74200000365575158</v>
      </c>
      <c r="Q418">
        <f t="shared" si="9"/>
        <v>0.75938095081420176</v>
      </c>
      <c r="R418">
        <f t="shared" si="10"/>
        <v>-1.7380947158450177E-2</v>
      </c>
      <c r="S418">
        <f t="shared" si="11"/>
        <v>7.7074802651697161E-3</v>
      </c>
      <c r="T418">
        <f t="shared" si="12"/>
        <v>1.1561220397754574E-4</v>
      </c>
      <c r="U418">
        <f t="shared" si="13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15"/>
        <v>417</v>
      </c>
      <c r="I419">
        <f>SUM($F$3:F419)/H419</f>
        <v>4807916.1034172662</v>
      </c>
      <c r="N419">
        <f>IF(A419&lt;&gt;$K$22,MAX(N418,VLOOKUP(A419,A:C,3)),)</f>
        <v>0.77499997615814209</v>
      </c>
      <c r="O419">
        <f>IF(A419&lt;&gt;$K$22,MIN(O418,VLOOKUP(A419,A:D,4)),)</f>
        <v>0.73400002717971802</v>
      </c>
      <c r="P419">
        <f t="shared" si="14"/>
        <v>0.74466665585835778</v>
      </c>
      <c r="Q419">
        <f t="shared" si="9"/>
        <v>0.75761904461043217</v>
      </c>
      <c r="R419">
        <f t="shared" si="10"/>
        <v>-1.2952388752074384E-2</v>
      </c>
      <c r="S419">
        <f t="shared" si="11"/>
        <v>8.1020378742088228E-3</v>
      </c>
      <c r="T419">
        <f t="shared" si="12"/>
        <v>1.2153056811313234E-4</v>
      </c>
      <c r="U419">
        <f t="shared" si="13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15"/>
        <v>418</v>
      </c>
      <c r="I420">
        <f>SUM($F$3:F420)/H420</f>
        <v>4799324.7156100478</v>
      </c>
      <c r="N420">
        <f>IF(A420&lt;&gt;$K$22,MAX(N419,VLOOKUP(A420,A:C,3)),)</f>
        <v>0.77499997615814209</v>
      </c>
      <c r="O420">
        <f>IF(A420&lt;&gt;$K$22,MIN(O419,VLOOKUP(A420,A:D,4)),)</f>
        <v>0.7279999852180481</v>
      </c>
      <c r="P420">
        <f t="shared" si="14"/>
        <v>0.73199999332427979</v>
      </c>
      <c r="Q420">
        <f t="shared" si="9"/>
        <v>0.75526190229824608</v>
      </c>
      <c r="R420">
        <f t="shared" si="10"/>
        <v>-2.3261908973966294E-2</v>
      </c>
      <c r="S420">
        <f t="shared" si="11"/>
        <v>9.4047600314730584E-3</v>
      </c>
      <c r="T420">
        <f t="shared" si="12"/>
        <v>1.4107140047209588E-4</v>
      </c>
      <c r="U420">
        <f t="shared" si="13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15"/>
        <v>419</v>
      </c>
      <c r="I421">
        <f>SUM($F$3:F421)/H421</f>
        <v>4793421.3320405725</v>
      </c>
      <c r="N421">
        <f>IF(A421&lt;&gt;$K$22,MAX(N420,VLOOKUP(A421,A:C,3)),)</f>
        <v>0.77499997615814209</v>
      </c>
      <c r="O421">
        <f>IF(A421&lt;&gt;$K$22,MIN(O420,VLOOKUP(A421,A:D,4)),)</f>
        <v>0.7279999852180481</v>
      </c>
      <c r="P421">
        <f t="shared" si="14"/>
        <v>0.73366667826970422</v>
      </c>
      <c r="Q421">
        <f t="shared" si="9"/>
        <v>0.75352380815006448</v>
      </c>
      <c r="R421">
        <f t="shared" si="10"/>
        <v>-1.9857129880360258E-2</v>
      </c>
      <c r="S421">
        <f t="shared" si="11"/>
        <v>1.057142728850954E-2</v>
      </c>
      <c r="T421">
        <f t="shared" si="12"/>
        <v>1.5857140932764311E-4</v>
      </c>
      <c r="U421">
        <f t="shared" si="13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15"/>
        <v>420</v>
      </c>
      <c r="I422">
        <f>SUM($F$3:F422)/H422</f>
        <v>4789524.386011905</v>
      </c>
      <c r="N422">
        <f>IF(A422&lt;&gt;$K$22,MAX(N421,VLOOKUP(A422,A:C,3)),)</f>
        <v>0.77499997615814209</v>
      </c>
      <c r="O422">
        <f>IF(A422&lt;&gt;$K$22,MIN(O421,VLOOKUP(A422,A:D,4)),)</f>
        <v>0.7279999852180481</v>
      </c>
      <c r="P422">
        <f t="shared" si="14"/>
        <v>0.73400000731150306</v>
      </c>
      <c r="Q422">
        <f t="shared" si="9"/>
        <v>0.75154761757169453</v>
      </c>
      <c r="R422">
        <f t="shared" si="10"/>
        <v>-1.7547610260191471E-2</v>
      </c>
      <c r="S422">
        <f t="shared" si="11"/>
        <v>1.1119044962383442E-2</v>
      </c>
      <c r="T422">
        <f t="shared" si="12"/>
        <v>1.6678567443575163E-4</v>
      </c>
      <c r="U422">
        <f t="shared" si="13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15"/>
        <v>421</v>
      </c>
      <c r="I423">
        <f>SUM($F$3:F423)/H423</f>
        <v>4785736.9171615206</v>
      </c>
      <c r="N423">
        <f>IF(A423&lt;&gt;$K$22,MAX(N422,VLOOKUP(A423,A:C,3)),)</f>
        <v>0.77499997615814209</v>
      </c>
      <c r="O423">
        <f>IF(A423&lt;&gt;$K$22,MIN(O422,VLOOKUP(A423,A:D,4)),)</f>
        <v>0.7279999852180481</v>
      </c>
      <c r="P423">
        <f t="shared" si="14"/>
        <v>0.74033331871032715</v>
      </c>
      <c r="Q423">
        <f t="shared" si="9"/>
        <v>0.74940475963410869</v>
      </c>
      <c r="R423">
        <f t="shared" si="10"/>
        <v>-9.0714409237815374E-3</v>
      </c>
      <c r="S423">
        <f t="shared" si="11"/>
        <v>1.0272107156766495E-2</v>
      </c>
      <c r="T423">
        <f t="shared" si="12"/>
        <v>1.5408160735149741E-4</v>
      </c>
      <c r="U423">
        <f t="shared" si="13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15"/>
        <v>422</v>
      </c>
      <c r="I424">
        <f>SUM($F$3:F424)/H424</f>
        <v>4778168.583234597</v>
      </c>
      <c r="N424">
        <f>IF(A424&lt;&gt;$K$22,MAX(N423,VLOOKUP(A424,A:C,3)),)</f>
        <v>0.77499997615814209</v>
      </c>
      <c r="O424">
        <f>IF(A424&lt;&gt;$K$22,MIN(O423,VLOOKUP(A424,A:D,4)),)</f>
        <v>0.7279999852180481</v>
      </c>
      <c r="P424">
        <f t="shared" si="14"/>
        <v>0.7496666510899862</v>
      </c>
      <c r="Q424">
        <f t="shared" si="9"/>
        <v>0.74802380800247192</v>
      </c>
      <c r="R424">
        <f t="shared" si="10"/>
        <v>1.6428430875142785E-3</v>
      </c>
      <c r="S424">
        <f t="shared" si="11"/>
        <v>8.8809529940287301E-3</v>
      </c>
      <c r="T424">
        <f t="shared" si="12"/>
        <v>1.3321429491043094E-4</v>
      </c>
      <c r="U424">
        <f t="shared" si="13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15"/>
        <v>423</v>
      </c>
      <c r="I425">
        <f>SUM($F$3:F425)/H425</f>
        <v>4771088.5466903076</v>
      </c>
      <c r="N425">
        <f>IF(A425&lt;&gt;$K$22,MAX(N424,VLOOKUP(A425,A:C,3)),)</f>
        <v>0.77499997615814209</v>
      </c>
      <c r="O425">
        <f>IF(A425&lt;&gt;$K$22,MIN(O424,VLOOKUP(A425,A:D,4)),)</f>
        <v>0.7279999852180481</v>
      </c>
      <c r="P425">
        <f t="shared" si="14"/>
        <v>0.75633333126703894</v>
      </c>
      <c r="Q425">
        <f t="shared" si="9"/>
        <v>0.74719047404470895</v>
      </c>
      <c r="R425">
        <f t="shared" si="10"/>
        <v>9.142857222329992E-3</v>
      </c>
      <c r="S425">
        <f t="shared" si="11"/>
        <v>8.0680267340471935E-3</v>
      </c>
      <c r="T425">
        <f t="shared" si="12"/>
        <v>1.2102040101070789E-4</v>
      </c>
      <c r="U425">
        <f t="shared" si="13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15"/>
        <v>424</v>
      </c>
      <c r="I426">
        <f>SUM($F$3:F426)/H426</f>
        <v>4762837.1586084906</v>
      </c>
      <c r="N426">
        <f>IF(A426&lt;&gt;$K$22,MAX(N425,VLOOKUP(A426,A:C,3)),)</f>
        <v>0.77499997615814209</v>
      </c>
      <c r="O426">
        <f>IF(A426&lt;&gt;$K$22,MIN(O425,VLOOKUP(A426,A:D,4)),)</f>
        <v>0.7279999852180481</v>
      </c>
      <c r="P426">
        <f t="shared" si="14"/>
        <v>0.7603333592414856</v>
      </c>
      <c r="Q426">
        <f t="shared" si="9"/>
        <v>0.74678571451277953</v>
      </c>
      <c r="R426">
        <f t="shared" si="10"/>
        <v>1.3547644728706065E-2</v>
      </c>
      <c r="S426">
        <f t="shared" si="11"/>
        <v>7.7210899923934439E-3</v>
      </c>
      <c r="T426">
        <f t="shared" si="12"/>
        <v>1.1581634988590165E-4</v>
      </c>
      <c r="U426">
        <f t="shared" si="13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15"/>
        <v>425</v>
      </c>
      <c r="I427">
        <f>SUM($F$3:F427)/H427</f>
        <v>4755501.3185294122</v>
      </c>
      <c r="N427">
        <f>IF(A427&lt;&gt;$K$22,MAX(N426,VLOOKUP(A427,A:C,3)),)</f>
        <v>0.77499997615814209</v>
      </c>
      <c r="O427">
        <f>IF(A427&lt;&gt;$K$22,MIN(O426,VLOOKUP(A427,A:D,4)),)</f>
        <v>0.7279999852180481</v>
      </c>
      <c r="P427">
        <f t="shared" si="14"/>
        <v>0.76133334636688232</v>
      </c>
      <c r="Q427">
        <f t="shared" si="9"/>
        <v>0.74690476343745271</v>
      </c>
      <c r="R427">
        <f t="shared" si="10"/>
        <v>1.4428582929429612E-2</v>
      </c>
      <c r="S427">
        <f t="shared" si="11"/>
        <v>7.8231319278275913E-3</v>
      </c>
      <c r="T427">
        <f t="shared" si="12"/>
        <v>1.1734697891741387E-4</v>
      </c>
      <c r="U427">
        <f t="shared" si="13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15"/>
        <v>426</v>
      </c>
      <c r="I428">
        <f>SUM($F$3:F428)/H428</f>
        <v>4750348.0290492959</v>
      </c>
      <c r="N428">
        <f>IF(A428&lt;&gt;$K$22,MAX(N427,VLOOKUP(A428,A:C,3)),)</f>
        <v>0.77499997615814209</v>
      </c>
      <c r="O428">
        <f>IF(A428&lt;&gt;$K$22,MIN(O427,VLOOKUP(A428,A:D,4)),)</f>
        <v>0.7279999852180481</v>
      </c>
      <c r="P428">
        <f t="shared" si="14"/>
        <v>0.75566667318344116</v>
      </c>
      <c r="Q428">
        <f t="shared" si="9"/>
        <v>0.74719047830218355</v>
      </c>
      <c r="R428">
        <f t="shared" si="10"/>
        <v>8.4761948812576149E-3</v>
      </c>
      <c r="S428">
        <f t="shared" si="11"/>
        <v>8.0680303833111644E-3</v>
      </c>
      <c r="T428">
        <f t="shared" si="12"/>
        <v>1.2102045574966746E-4</v>
      </c>
      <c r="U428">
        <f t="shared" si="13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15"/>
        <v>427</v>
      </c>
      <c r="I429">
        <f>SUM($F$3:F429)/H429</f>
        <v>4752088.4364754101</v>
      </c>
      <c r="N429">
        <f>IF(A429&lt;&gt;$K$22,MAX(N428,VLOOKUP(A429,A:C,3)),)</f>
        <v>0.77499997615814209</v>
      </c>
      <c r="O429">
        <f>IF(A429&lt;&gt;$K$22,MIN(O428,VLOOKUP(A429,A:D,4)),)</f>
        <v>0.7279999852180481</v>
      </c>
      <c r="P429">
        <f t="shared" si="14"/>
        <v>0.75933331251144409</v>
      </c>
      <c r="Q429">
        <f t="shared" si="9"/>
        <v>0.74757142861684167</v>
      </c>
      <c r="R429">
        <f t="shared" si="10"/>
        <v>1.1761883894602421E-2</v>
      </c>
      <c r="S429">
        <f t="shared" si="11"/>
        <v>8.4285736083984375E-3</v>
      </c>
      <c r="T429">
        <f t="shared" si="12"/>
        <v>1.2642860412597656E-4</v>
      </c>
      <c r="U429">
        <f t="shared" si="13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15"/>
        <v>428</v>
      </c>
      <c r="I430">
        <f>SUM($F$3:F430)/H430</f>
        <v>4745305.5195677569</v>
      </c>
      <c r="N430">
        <f>IF(A430&lt;&gt;$K$22,MAX(N429,VLOOKUP(A430,A:C,3)),)</f>
        <v>0.77499997615814209</v>
      </c>
      <c r="O430">
        <f>IF(A430&lt;&gt;$K$22,MIN(O429,VLOOKUP(A430,A:D,4)),)</f>
        <v>0.7279999852180481</v>
      </c>
      <c r="P430">
        <f t="shared" si="14"/>
        <v>0.76233333349227905</v>
      </c>
      <c r="Q430">
        <f t="shared" si="9"/>
        <v>0.74849999944369006</v>
      </c>
      <c r="R430">
        <f t="shared" si="10"/>
        <v>1.3833334048588997E-2</v>
      </c>
      <c r="S430">
        <f t="shared" si="11"/>
        <v>9.3571444352467826E-3</v>
      </c>
      <c r="T430">
        <f t="shared" si="12"/>
        <v>1.4035716652870174E-4</v>
      </c>
      <c r="U430">
        <f t="shared" si="13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15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14"/>
        <v>0.76933334271113074</v>
      </c>
      <c r="Q431">
        <f t="shared" si="9"/>
        <v>0.75007142907097235</v>
      </c>
      <c r="R431">
        <f t="shared" si="10"/>
        <v>1.926191364015839E-2</v>
      </c>
      <c r="S431">
        <f t="shared" si="11"/>
        <v>1.0595242182413724E-2</v>
      </c>
      <c r="T431">
        <f t="shared" si="12"/>
        <v>1.5892863273620587E-4</v>
      </c>
      <c r="U431">
        <f t="shared" si="13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15"/>
        <v>430</v>
      </c>
      <c r="I432">
        <f>SUM($F$3:F432)/H432</f>
        <v>4732762.9404069772</v>
      </c>
      <c r="N432">
        <f>IF(A432&lt;&gt;$K$23,MAX(N431,VLOOKUP(A432,A:C,3)),)</f>
        <v>0.77900000000000003</v>
      </c>
      <c r="O432">
        <f>IF(A432&lt;&gt;$K$23,MIN(O431,VLOOKUP(A432,A:D,4)),)</f>
        <v>0.77300000000000002</v>
      </c>
      <c r="P432">
        <f t="shared" si="14"/>
        <v>0.77666666666666673</v>
      </c>
      <c r="Q432">
        <f t="shared" si="9"/>
        <v>0.75254761928603764</v>
      </c>
      <c r="R432">
        <f t="shared" si="10"/>
        <v>2.4119047380629088E-2</v>
      </c>
      <c r="S432">
        <f t="shared" si="11"/>
        <v>1.1564630164581082E-2</v>
      </c>
      <c r="T432">
        <f t="shared" si="12"/>
        <v>1.7346945246871624E-4</v>
      </c>
      <c r="U432">
        <f t="shared" si="13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15"/>
        <v>431</v>
      </c>
      <c r="I433">
        <f>SUM($F$3:F433)/H433</f>
        <v>4729751.7874129927</v>
      </c>
      <c r="N433">
        <f>IF(A433&lt;&gt;$K$23,MAX(N432,VLOOKUP(A433,A:C,3)),)</f>
        <v>0.77900000000000003</v>
      </c>
      <c r="O433">
        <f>IF(A433&lt;&gt;$K$23,MIN(O432,VLOOKUP(A433,A:D,4)),)</f>
        <v>0.76700000000000002</v>
      </c>
      <c r="P433">
        <f t="shared" si="14"/>
        <v>0.77133333333333332</v>
      </c>
      <c r="Q433">
        <f t="shared" si="9"/>
        <v>0.75445238196282161</v>
      </c>
      <c r="R433">
        <f t="shared" si="10"/>
        <v>1.688095137051171E-2</v>
      </c>
      <c r="S433">
        <f t="shared" si="11"/>
        <v>1.1799323015472509E-2</v>
      </c>
      <c r="T433">
        <f t="shared" si="12"/>
        <v>1.7698984523208762E-4</v>
      </c>
      <c r="U433">
        <f t="shared" si="13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15"/>
        <v>432</v>
      </c>
      <c r="I434">
        <f>SUM($F$3:F434)/H434</f>
        <v>4724224.8226273144</v>
      </c>
      <c r="N434">
        <f>IF(A434&lt;&gt;$K$23,MAX(N433,VLOOKUP(A434,A:C,3)),)</f>
        <v>0.77900000000000003</v>
      </c>
      <c r="O434">
        <f>IF(A434&lt;&gt;$K$23,MIN(O433,VLOOKUP(A434,A:D,4)),)</f>
        <v>0.76600000000000001</v>
      </c>
      <c r="P434">
        <f t="shared" si="14"/>
        <v>0.77233333333333343</v>
      </c>
      <c r="Q434">
        <f t="shared" si="9"/>
        <v>0.75733333482061116</v>
      </c>
      <c r="R434">
        <f t="shared" si="10"/>
        <v>1.4999998512722268E-2</v>
      </c>
      <c r="S434">
        <f t="shared" si="11"/>
        <v>1.0619049870238016E-2</v>
      </c>
      <c r="T434">
        <f t="shared" si="12"/>
        <v>1.5928574805357024E-4</v>
      </c>
      <c r="U434">
        <f t="shared" si="13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15"/>
        <v>433</v>
      </c>
      <c r="I435">
        <f>SUM($F$3:F435)/H435</f>
        <v>4720663.6059468826</v>
      </c>
      <c r="N435">
        <f>IF(A435&lt;&gt;$K$23,MAX(N434,VLOOKUP(A435,A:C,3)),)</f>
        <v>0.78600000000000003</v>
      </c>
      <c r="O435">
        <f>IF(A435&lt;&gt;$K$23,MIN(O434,VLOOKUP(A435,A:D,4)),)</f>
        <v>0.76600000000000001</v>
      </c>
      <c r="P435">
        <f t="shared" si="14"/>
        <v>0.78166666666666662</v>
      </c>
      <c r="Q435">
        <f t="shared" si="9"/>
        <v>0.76076190542039412</v>
      </c>
      <c r="R435">
        <f t="shared" si="10"/>
        <v>2.0904761246272496E-2</v>
      </c>
      <c r="S435">
        <f t="shared" si="11"/>
        <v>9.9523835182190011E-3</v>
      </c>
      <c r="T435">
        <f t="shared" si="12"/>
        <v>1.4928575277328501E-4</v>
      </c>
      <c r="U435">
        <f t="shared" si="13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15"/>
        <v>434</v>
      </c>
      <c r="I436">
        <f>SUM($F$3:F436)/H436</f>
        <v>4718207.936347926</v>
      </c>
      <c r="N436">
        <f>IF(A436&lt;&gt;$K$23,MAX(N435,VLOOKUP(A436,A:C,3)),)</f>
        <v>0.78800000000000003</v>
      </c>
      <c r="O436">
        <f>IF(A436&lt;&gt;$K$23,MIN(O435,VLOOKUP(A436,A:D,4)),)</f>
        <v>0.76600000000000001</v>
      </c>
      <c r="P436">
        <f t="shared" si="14"/>
        <v>0.78266666666666673</v>
      </c>
      <c r="Q436">
        <f t="shared" si="9"/>
        <v>0.76423809537433451</v>
      </c>
      <c r="R436">
        <f t="shared" si="10"/>
        <v>1.8428571292332219E-2</v>
      </c>
      <c r="S436">
        <f t="shared" si="11"/>
        <v>9.7959195902558617E-3</v>
      </c>
      <c r="T436">
        <f t="shared" si="12"/>
        <v>1.4693879385383791E-4</v>
      </c>
      <c r="U436">
        <f t="shared" si="13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15"/>
        <v>435</v>
      </c>
      <c r="I437">
        <f>SUM($F$3:F437)/H437</f>
        <v>4711027.6882183906</v>
      </c>
      <c r="N437">
        <f>IF(A437&lt;&gt;$K$23,MAX(N436,VLOOKUP(A437,A:C,3)),)</f>
        <v>0.78800000000000003</v>
      </c>
      <c r="O437">
        <f>IF(A437&lt;&gt;$K$23,MIN(O436,VLOOKUP(A437,A:D,4)),)</f>
        <v>0.76600000000000001</v>
      </c>
      <c r="P437">
        <f t="shared" si="14"/>
        <v>0.78266666666666662</v>
      </c>
      <c r="Q437">
        <f t="shared" si="9"/>
        <v>0.76726190594264432</v>
      </c>
      <c r="R437">
        <f t="shared" si="10"/>
        <v>1.5404760724022304E-2</v>
      </c>
      <c r="S437">
        <f t="shared" si="11"/>
        <v>9.40476206370763E-3</v>
      </c>
      <c r="T437">
        <f t="shared" si="12"/>
        <v>1.4107143095561445E-4</v>
      </c>
      <c r="U437">
        <f t="shared" si="13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15"/>
        <v>436</v>
      </c>
      <c r="I438">
        <f>SUM($F$3:F438)/H438</f>
        <v>4705195.1017775228</v>
      </c>
      <c r="N438">
        <f>IF(A438&lt;&gt;$K$23,MAX(N437,VLOOKUP(A438,A:C,3)),)</f>
        <v>0.78800000000000003</v>
      </c>
      <c r="O438">
        <f>IF(A438&lt;&gt;$K$23,MIN(O437,VLOOKUP(A438,A:D,4)),)</f>
        <v>0.76600000000000001</v>
      </c>
      <c r="P438">
        <f t="shared" si="14"/>
        <v>0.78333333333333333</v>
      </c>
      <c r="Q438">
        <f t="shared" si="9"/>
        <v>0.76966666896002633</v>
      </c>
      <c r="R438">
        <f t="shared" si="10"/>
        <v>1.3666664373306991E-2</v>
      </c>
      <c r="S438">
        <f t="shared" si="11"/>
        <v>8.9999977066403478E-3</v>
      </c>
      <c r="T438">
        <f t="shared" si="12"/>
        <v>1.3499996559960522E-4</v>
      </c>
      <c r="U438">
        <f t="shared" si="13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15"/>
        <v>437</v>
      </c>
      <c r="I439">
        <f>SUM($F$3:F439)/H439</f>
        <v>4697990.0809496567</v>
      </c>
      <c r="N439">
        <f>IF(A439&lt;&gt;$K$23,MAX(N438,VLOOKUP(A439,A:C,3)),)</f>
        <v>0.78800000000000003</v>
      </c>
      <c r="O439">
        <f>IF(A439&lt;&gt;$K$23,MIN(O438,VLOOKUP(A439,A:D,4)),)</f>
        <v>0.76600000000000001</v>
      </c>
      <c r="P439">
        <f t="shared" si="14"/>
        <v>0.77066666666666672</v>
      </c>
      <c r="Q439">
        <f t="shared" si="9"/>
        <v>0.77069047863142826</v>
      </c>
      <c r="R439">
        <f t="shared" si="10"/>
        <v>-2.3811964761533133E-5</v>
      </c>
      <c r="S439">
        <f t="shared" si="11"/>
        <v>7.9761880352383629E-3</v>
      </c>
      <c r="T439">
        <f t="shared" si="12"/>
        <v>1.1964282052857544E-4</v>
      </c>
      <c r="U439">
        <f t="shared" si="13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15"/>
        <v>438</v>
      </c>
      <c r="I440">
        <f>SUM($F$3:F440)/H440</f>
        <v>4688695.5830479451</v>
      </c>
      <c r="N440">
        <f>IF(A440&lt;&gt;$K$23,MAX(N439,VLOOKUP(A440,A:C,3)),)</f>
        <v>0.78800000000000003</v>
      </c>
      <c r="O440">
        <f>IF(A440&lt;&gt;$K$23,MIN(O439,VLOOKUP(A440,A:D,4)),)</f>
        <v>0.76600000000000001</v>
      </c>
      <c r="P440">
        <f t="shared" si="14"/>
        <v>0.77433333333333332</v>
      </c>
      <c r="Q440">
        <f t="shared" si="9"/>
        <v>0.77169047678084601</v>
      </c>
      <c r="R440">
        <f t="shared" si="10"/>
        <v>2.6428565524873049E-3</v>
      </c>
      <c r="S440">
        <f t="shared" si="11"/>
        <v>7.4047613143920976E-3</v>
      </c>
      <c r="T440">
        <f t="shared" si="12"/>
        <v>1.1107141971588146E-4</v>
      </c>
      <c r="U440">
        <f t="shared" si="13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15"/>
        <v>439</v>
      </c>
      <c r="I441">
        <f>SUM($F$3:F441)/H441</f>
        <v>4681634.8641799549</v>
      </c>
      <c r="N441">
        <f>IF(A441&lt;&gt;$K$23,MAX(N440,VLOOKUP(A441,A:C,3)),)</f>
        <v>0.78800000000000003</v>
      </c>
      <c r="O441">
        <f>IF(A441&lt;&gt;$K$23,MIN(O440,VLOOKUP(A441,A:D,4)),)</f>
        <v>0.76600000000000001</v>
      </c>
      <c r="P441">
        <f t="shared" si="14"/>
        <v>0.77566666666666662</v>
      </c>
      <c r="Q441">
        <f t="shared" si="9"/>
        <v>0.77271428537368769</v>
      </c>
      <c r="R441">
        <f t="shared" si="10"/>
        <v>2.9523812929789228E-3</v>
      </c>
      <c r="S441">
        <f t="shared" si="11"/>
        <v>6.8571431977408181E-3</v>
      </c>
      <c r="T441">
        <f t="shared" si="12"/>
        <v>1.0285714796611227E-4</v>
      </c>
      <c r="U441">
        <f t="shared" si="13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15"/>
        <v>440</v>
      </c>
      <c r="I442">
        <f>SUM($F$3:F442)/H442</f>
        <v>4674492.0576704545</v>
      </c>
      <c r="N442">
        <f>IF(A442&lt;&gt;$K$23,MAX(N441,VLOOKUP(A442,A:C,3)),)</f>
        <v>0.78800000000000003</v>
      </c>
      <c r="O442">
        <f>IF(A442&lt;&gt;$K$23,MIN(O441,VLOOKUP(A442,A:D,4)),)</f>
        <v>0.76600000000000001</v>
      </c>
      <c r="P442">
        <f t="shared" si="14"/>
        <v>0.77966666666666684</v>
      </c>
      <c r="Q442">
        <f t="shared" si="9"/>
        <v>0.77442857062248949</v>
      </c>
      <c r="R442">
        <f t="shared" si="10"/>
        <v>5.2380960441773539E-3</v>
      </c>
      <c r="S442">
        <f t="shared" si="11"/>
        <v>5.9047627108437728E-3</v>
      </c>
      <c r="T442">
        <f t="shared" si="12"/>
        <v>8.8571440662656582E-5</v>
      </c>
      <c r="U442">
        <f t="shared" si="13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15"/>
        <v>441</v>
      </c>
      <c r="I443">
        <f>SUM($F$3:F443)/H443</f>
        <v>4669983.4589002272</v>
      </c>
      <c r="N443">
        <f>IF(A443&lt;&gt;$K$23,MAX(N442,VLOOKUP(A443,A:C,3)),)</f>
        <v>0.78800000000000003</v>
      </c>
      <c r="O443">
        <f>IF(A443&lt;&gt;$K$23,MIN(O442,VLOOKUP(A443,A:D,4)),)</f>
        <v>0.76600000000000001</v>
      </c>
      <c r="P443">
        <f t="shared" si="14"/>
        <v>0.77400000000000002</v>
      </c>
      <c r="Q443">
        <f t="shared" si="9"/>
        <v>0.77547619115738642</v>
      </c>
      <c r="R443">
        <f t="shared" si="10"/>
        <v>-1.4761911573863973E-3</v>
      </c>
      <c r="S443">
        <f t="shared" si="11"/>
        <v>4.8571421759469203E-3</v>
      </c>
      <c r="T443">
        <f t="shared" si="12"/>
        <v>7.2857132639203803E-5</v>
      </c>
      <c r="U443">
        <f t="shared" si="13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15"/>
        <v>442</v>
      </c>
      <c r="I444">
        <f>SUM($F$3:F444)/H444</f>
        <v>4664973.5415723985</v>
      </c>
      <c r="N444">
        <f>IF(A444&lt;&gt;$K$23,MAX(N443,VLOOKUP(A444,A:C,3)),)</f>
        <v>0.78800000000000003</v>
      </c>
      <c r="O444">
        <f>IF(A444&lt;&gt;$K$23,MIN(O443,VLOOKUP(A444,A:D,4)),)</f>
        <v>0.76600000000000001</v>
      </c>
      <c r="P444">
        <f t="shared" si="14"/>
        <v>0.76966666666666672</v>
      </c>
      <c r="Q444">
        <f t="shared" si="9"/>
        <v>0.77600000066984265</v>
      </c>
      <c r="R444">
        <f t="shared" si="10"/>
        <v>-6.3333340031759278E-3</v>
      </c>
      <c r="S444">
        <f t="shared" si="11"/>
        <v>4.3809518068015207E-3</v>
      </c>
      <c r="T444">
        <f t="shared" si="12"/>
        <v>6.5714277102022807E-5</v>
      </c>
      <c r="U444">
        <f t="shared" si="13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15"/>
        <v>443</v>
      </c>
      <c r="I445">
        <f>SUM($F$3:F445)/H445</f>
        <v>4657841.9985891646</v>
      </c>
      <c r="N445">
        <f>IF(A445&lt;&gt;$K$23,MAX(N444,VLOOKUP(A445,A:C,3)),)</f>
        <v>0.78800000000000003</v>
      </c>
      <c r="O445">
        <f>IF(A445&lt;&gt;$K$23,MIN(O444,VLOOKUP(A445,A:D,4)),)</f>
        <v>0.754</v>
      </c>
      <c r="P445">
        <f t="shared" si="14"/>
        <v>0.76100000000000001</v>
      </c>
      <c r="Q445">
        <f t="shared" si="9"/>
        <v>0.77540476190476171</v>
      </c>
      <c r="R445">
        <f t="shared" si="10"/>
        <v>-1.4404761904761698E-2</v>
      </c>
      <c r="S445">
        <f t="shared" si="11"/>
        <v>4.9285714285714254E-3</v>
      </c>
      <c r="T445">
        <f t="shared" si="12"/>
        <v>7.3928571428571373E-5</v>
      </c>
      <c r="U445">
        <f t="shared" si="13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15"/>
        <v>444</v>
      </c>
      <c r="I446">
        <f>SUM($F$3:F446)/H446</f>
        <v>4650916.6787725221</v>
      </c>
      <c r="N446">
        <f>IF(A446&lt;&gt;$K$23,MAX(N445,VLOOKUP(A446,A:C,3)),)</f>
        <v>0.78800000000000003</v>
      </c>
      <c r="O446">
        <f>IF(A446&lt;&gt;$K$23,MIN(O445,VLOOKUP(A446,A:D,4)),)</f>
        <v>0.745</v>
      </c>
      <c r="P446">
        <f t="shared" si="14"/>
        <v>0.74833333333333341</v>
      </c>
      <c r="Q446">
        <f t="shared" si="9"/>
        <v>0.77338095238095239</v>
      </c>
      <c r="R446">
        <f t="shared" si="10"/>
        <v>-2.5047619047618985E-2</v>
      </c>
      <c r="S446">
        <f t="shared" si="11"/>
        <v>6.7074829931972656E-3</v>
      </c>
      <c r="T446">
        <f t="shared" si="12"/>
        <v>1.0061224489795899E-4</v>
      </c>
      <c r="U446">
        <f t="shared" si="13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15"/>
        <v>445</v>
      </c>
      <c r="I447">
        <f>SUM($F$3:F447)/H447</f>
        <v>4645655.7424157299</v>
      </c>
      <c r="N447">
        <f>IF(A447&lt;&gt;$K$23,MAX(N446,VLOOKUP(A447,A:C,3)),)</f>
        <v>0.78800000000000003</v>
      </c>
      <c r="O447">
        <f>IF(A447&lt;&gt;$K$23,MIN(O446,VLOOKUP(A447,A:D,4)),)</f>
        <v>0.72899999999999998</v>
      </c>
      <c r="P447">
        <f t="shared" si="14"/>
        <v>0.73733333333333329</v>
      </c>
      <c r="Q447">
        <f t="shared" si="9"/>
        <v>0.77095238095238094</v>
      </c>
      <c r="R447">
        <f t="shared" si="10"/>
        <v>-3.3619047619047659E-2</v>
      </c>
      <c r="S447">
        <f t="shared" si="11"/>
        <v>9.6802721088435437E-3</v>
      </c>
      <c r="T447">
        <f t="shared" si="12"/>
        <v>1.4520408163265315E-4</v>
      </c>
      <c r="U447">
        <f t="shared" si="13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15"/>
        <v>446</v>
      </c>
      <c r="I448">
        <f>SUM($F$3:F448)/H448</f>
        <v>4637445.7519618832</v>
      </c>
      <c r="N448">
        <f>IF(A448&lt;&gt;$K$23,MAX(N447,VLOOKUP(A448,A:C,3)),)</f>
        <v>0.78800000000000003</v>
      </c>
      <c r="O448">
        <f>IF(A448&lt;&gt;$K$23,MIN(O447,VLOOKUP(A448,A:D,4)),)</f>
        <v>0.72899999999999998</v>
      </c>
      <c r="P448">
        <f t="shared" si="14"/>
        <v>0.73866666666666669</v>
      </c>
      <c r="Q448">
        <f t="shared" si="9"/>
        <v>0.76854761904761904</v>
      </c>
      <c r="R448">
        <f t="shared" si="10"/>
        <v>-2.9880952380952341E-2</v>
      </c>
      <c r="S448">
        <f t="shared" si="11"/>
        <v>1.2693877551020425E-2</v>
      </c>
      <c r="T448">
        <f t="shared" si="12"/>
        <v>1.9040816326530637E-4</v>
      </c>
      <c r="U448">
        <f t="shared" si="13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15"/>
        <v>447</v>
      </c>
      <c r="I449">
        <f>SUM($F$3:F449)/H449</f>
        <v>4632035.3610178968</v>
      </c>
      <c r="N449">
        <f>IF(A449&lt;&gt;$K$23,MAX(N448,VLOOKUP(A449,A:C,3)),)</f>
        <v>0.78800000000000003</v>
      </c>
      <c r="O449">
        <f>IF(A449&lt;&gt;$K$23,MIN(O448,VLOOKUP(A449,A:D,4)),)</f>
        <v>0.72899999999999998</v>
      </c>
      <c r="P449">
        <f t="shared" si="14"/>
        <v>0.74533333333333329</v>
      </c>
      <c r="Q449">
        <f t="shared" si="9"/>
        <v>0.76595238095238105</v>
      </c>
      <c r="R449">
        <f t="shared" si="10"/>
        <v>-2.0619047619047759E-2</v>
      </c>
      <c r="S449">
        <f t="shared" si="11"/>
        <v>1.4156462585034002E-2</v>
      </c>
      <c r="T449">
        <f t="shared" si="12"/>
        <v>2.1234693877551002E-4</v>
      </c>
      <c r="U449">
        <f t="shared" si="13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15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14"/>
        <v>0.7496666510899862</v>
      </c>
      <c r="Q450">
        <f t="shared" si="9"/>
        <v>0.76359523698261811</v>
      </c>
      <c r="R450">
        <f t="shared" si="10"/>
        <v>-1.3928585892631906E-2</v>
      </c>
      <c r="S450">
        <f t="shared" si="11"/>
        <v>1.4462586305579363E-2</v>
      </c>
      <c r="T450">
        <f t="shared" si="12"/>
        <v>2.1693879458369045E-4</v>
      </c>
      <c r="U450">
        <f t="shared" si="13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15"/>
        <v>449</v>
      </c>
      <c r="I451">
        <f>SUM($F$3:F451)/H451</f>
        <v>4618049.4574053455</v>
      </c>
      <c r="N451">
        <f>IF(A451&lt;&gt;$K$24,MAX(N450,VLOOKUP(A451,A:C,3)),)</f>
        <v>0.74699997901916504</v>
      </c>
      <c r="O451">
        <f>IF(A451&lt;&gt;$K$24,MIN(O450,VLOOKUP(A451,A:D,4)),)</f>
        <v>0.74099999666213989</v>
      </c>
      <c r="P451">
        <f t="shared" si="14"/>
        <v>0.74333331982294715</v>
      </c>
      <c r="Q451">
        <f t="shared" si="9"/>
        <v>0.76078571220806668</v>
      </c>
      <c r="R451">
        <f t="shared" si="10"/>
        <v>-1.7452392385119531E-2</v>
      </c>
      <c r="S451">
        <f t="shared" si="11"/>
        <v>1.4578233666971443E-2</v>
      </c>
      <c r="T451">
        <f t="shared" si="12"/>
        <v>2.1867350500457165E-4</v>
      </c>
      <c r="U451">
        <f t="shared" si="13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15"/>
        <v>450</v>
      </c>
      <c r="I452">
        <f>SUM($F$3:F452)/H452</f>
        <v>4612169.7919444442</v>
      </c>
      <c r="N452">
        <f>IF(A452&lt;&gt;$K$24,MAX(N451,VLOOKUP(A452,A:C,3)),)</f>
        <v>0.74699997901916504</v>
      </c>
      <c r="O452">
        <f>IF(A452&lt;&gt;$K$24,MIN(O451,VLOOKUP(A452,A:D,4)),)</f>
        <v>0.73000001907348633</v>
      </c>
      <c r="P452">
        <f t="shared" si="14"/>
        <v>0.7346666852633158</v>
      </c>
      <c r="Q452">
        <f t="shared" si="9"/>
        <v>0.75730952306020816</v>
      </c>
      <c r="R452">
        <f t="shared" si="10"/>
        <v>-2.2642837796892357E-2</v>
      </c>
      <c r="S452">
        <f t="shared" si="11"/>
        <v>1.4833334082648888E-2</v>
      </c>
      <c r="T452">
        <f t="shared" si="12"/>
        <v>2.2250001123973331E-4</v>
      </c>
      <c r="U452">
        <f t="shared" si="13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15"/>
        <v>451</v>
      </c>
      <c r="I453">
        <f>SUM($F$3:F453)/H453</f>
        <v>4605706.8941241689</v>
      </c>
      <c r="N453">
        <f>IF(A453&lt;&gt;$K$24,MAX(N452,VLOOKUP(A453,A:C,3)),)</f>
        <v>0.74699997901916504</v>
      </c>
      <c r="O453">
        <f>IF(A453&lt;&gt;$K$24,MIN(O452,VLOOKUP(A453,A:D,4)),)</f>
        <v>0.73000001907348633</v>
      </c>
      <c r="P453">
        <f t="shared" si="14"/>
        <v>0.73566667238871253</v>
      </c>
      <c r="Q453">
        <f t="shared" si="9"/>
        <v>0.75480952346892571</v>
      </c>
      <c r="R453">
        <f t="shared" si="10"/>
        <v>-1.9142851080213186E-2</v>
      </c>
      <c r="S453">
        <f t="shared" si="11"/>
        <v>1.5068027502825472E-2</v>
      </c>
      <c r="T453">
        <f t="shared" si="12"/>
        <v>2.2602041254238207E-4</v>
      </c>
      <c r="U453">
        <f t="shared" si="13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15"/>
        <v>452</v>
      </c>
      <c r="I454">
        <f>SUM($F$3:F454)/H454</f>
        <v>4599508.6642699111</v>
      </c>
      <c r="N454">
        <f>IF(A454&lt;&gt;$K$24,MAX(N453,VLOOKUP(A454,A:C,3)),)</f>
        <v>0.74699997901916504</v>
      </c>
      <c r="O454">
        <f>IF(A454&lt;&gt;$K$24,MIN(O453,VLOOKUP(A454,A:D,4)),)</f>
        <v>0.7279999852180481</v>
      </c>
      <c r="P454">
        <f t="shared" si="14"/>
        <v>0.73266665140787757</v>
      </c>
      <c r="Q454">
        <f t="shared" si="9"/>
        <v>0.75183333190282176</v>
      </c>
      <c r="R454">
        <f t="shared" si="10"/>
        <v>-1.9166680494944188E-2</v>
      </c>
      <c r="S454">
        <f t="shared" si="11"/>
        <v>1.4404762926555808E-2</v>
      </c>
      <c r="T454">
        <f t="shared" si="12"/>
        <v>2.1607144389833711E-4</v>
      </c>
      <c r="U454">
        <f t="shared" si="13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15"/>
        <v>453</v>
      </c>
      <c r="I455">
        <f>SUM($F$3:F455)/H455</f>
        <v>4593731.3887969097</v>
      </c>
      <c r="N455">
        <f>IF(A455&lt;&gt;$K$24,MAX(N454,VLOOKUP(A455,A:C,3)),)</f>
        <v>0.74699997901916504</v>
      </c>
      <c r="O455">
        <f>IF(A455&lt;&gt;$K$24,MIN(O454,VLOOKUP(A455,A:D,4)),)</f>
        <v>0.72399997711181641</v>
      </c>
      <c r="P455">
        <f t="shared" si="14"/>
        <v>0.72966665029525757</v>
      </c>
      <c r="Q455">
        <f t="shared" si="9"/>
        <v>0.74854761644772105</v>
      </c>
      <c r="R455">
        <f t="shared" si="10"/>
        <v>-1.8880966152463485E-2</v>
      </c>
      <c r="S455">
        <f t="shared" si="11"/>
        <v>1.3037414597816195E-2</v>
      </c>
      <c r="T455">
        <f t="shared" si="12"/>
        <v>1.955612189672429E-4</v>
      </c>
      <c r="U455">
        <f t="shared" si="13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15"/>
        <v>454</v>
      </c>
      <c r="I456">
        <f>SUM($F$3:F456)/H456</f>
        <v>4585803.138904185</v>
      </c>
      <c r="N456">
        <f>IF(A456&lt;&gt;$K$24,MAX(N455,VLOOKUP(A456,A:C,3)),)</f>
        <v>0.74699997901916504</v>
      </c>
      <c r="O456">
        <f>IF(A456&lt;&gt;$K$24,MIN(O455,VLOOKUP(A456,A:D,4)),)</f>
        <v>0.72399997711181641</v>
      </c>
      <c r="P456">
        <f t="shared" si="14"/>
        <v>0.73533334334691369</v>
      </c>
      <c r="Q456">
        <f t="shared" si="9"/>
        <v>0.74538095049631026</v>
      </c>
      <c r="R456">
        <f t="shared" si="10"/>
        <v>-1.0047607149396565E-2</v>
      </c>
      <c r="S456">
        <f t="shared" si="11"/>
        <v>1.0823128372633559E-2</v>
      </c>
      <c r="T456">
        <f t="shared" si="12"/>
        <v>1.6234692558950338E-4</v>
      </c>
      <c r="U456">
        <f t="shared" si="13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15"/>
        <v>455</v>
      </c>
      <c r="I457">
        <f>SUM($F$3:F457)/H457</f>
        <v>4577364.0111263739</v>
      </c>
      <c r="N457">
        <f>IF(A457&lt;&gt;$K$24,MAX(N456,VLOOKUP(A457,A:C,3)),)</f>
        <v>0.74699997901916504</v>
      </c>
      <c r="O457">
        <f>IF(A457&lt;&gt;$K$24,MIN(O456,VLOOKUP(A457,A:D,4)),)</f>
        <v>0.72399997711181641</v>
      </c>
      <c r="P457">
        <f t="shared" si="14"/>
        <v>0.72900001207987464</v>
      </c>
      <c r="Q457">
        <f t="shared" si="9"/>
        <v>0.74216666564487277</v>
      </c>
      <c r="R457">
        <f t="shared" si="10"/>
        <v>-1.3166653564998132E-2</v>
      </c>
      <c r="S457">
        <f t="shared" si="11"/>
        <v>9.1904729110043239E-3</v>
      </c>
      <c r="T457">
        <f t="shared" si="12"/>
        <v>1.3785709366506484E-4</v>
      </c>
      <c r="U457">
        <f t="shared" si="13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15"/>
        <v>456</v>
      </c>
      <c r="I458">
        <f>SUM($F$3:F458)/H458</f>
        <v>4572264.528645833</v>
      </c>
      <c r="N458">
        <f>IF(A458&lt;&gt;$K$24,MAX(N457,VLOOKUP(A458,A:C,3)),)</f>
        <v>0.74699997901916504</v>
      </c>
      <c r="O458">
        <f>IF(A458&lt;&gt;$K$24,MIN(O457,VLOOKUP(A458,A:D,4)),)</f>
        <v>0.72399997711181641</v>
      </c>
      <c r="P458">
        <f t="shared" si="14"/>
        <v>0.73533334334691369</v>
      </c>
      <c r="Q458">
        <f t="shared" si="9"/>
        <v>0.73971428540774764</v>
      </c>
      <c r="R458">
        <f t="shared" si="10"/>
        <v>-4.3809420608339478E-3</v>
      </c>
      <c r="S458">
        <f t="shared" si="11"/>
        <v>7.0136015058375112E-3</v>
      </c>
      <c r="T458">
        <f t="shared" si="12"/>
        <v>1.0520402258756266E-4</v>
      </c>
      <c r="U458">
        <f t="shared" si="13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15"/>
        <v>457</v>
      </c>
      <c r="I459">
        <f>SUM($F$3:F459)/H459</f>
        <v>4565368.7681892775</v>
      </c>
      <c r="N459">
        <f>IF(A459&lt;&gt;$K$24,MAX(N458,VLOOKUP(A459,A:C,3)),)</f>
        <v>0.74699997901916504</v>
      </c>
      <c r="O459">
        <f>IF(A459&lt;&gt;$K$24,MIN(O458,VLOOKUP(A459,A:D,4)),)</f>
        <v>0.72399997711181641</v>
      </c>
      <c r="P459">
        <f t="shared" si="14"/>
        <v>0.73633333047231042</v>
      </c>
      <c r="Q459">
        <f t="shared" si="9"/>
        <v>0.73795238044148415</v>
      </c>
      <c r="R459">
        <f t="shared" si="10"/>
        <v>-1.6190499691737248E-3</v>
      </c>
      <c r="S459">
        <f t="shared" si="11"/>
        <v>5.0816288626924378E-3</v>
      </c>
      <c r="T459">
        <f t="shared" si="12"/>
        <v>7.6224432940386565E-5</v>
      </c>
      <c r="U459">
        <f t="shared" si="13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15"/>
        <v>458</v>
      </c>
      <c r="I460">
        <f>SUM($F$3:F460)/H460</f>
        <v>4556325.615788755</v>
      </c>
      <c r="N460">
        <f>IF(A460&lt;&gt;$K$24,MAX(N459,VLOOKUP(A460,A:C,3)),)</f>
        <v>0.74699997901916504</v>
      </c>
      <c r="O460">
        <f>IF(A460&lt;&gt;$K$24,MIN(O459,VLOOKUP(A460,A:D,4)),)</f>
        <v>0.72399997711181641</v>
      </c>
      <c r="P460">
        <f t="shared" si="14"/>
        <v>0.73566665252049768</v>
      </c>
      <c r="Q460">
        <f t="shared" si="9"/>
        <v>0.73704761752628156</v>
      </c>
      <c r="R460">
        <f t="shared" si="10"/>
        <v>-1.3809650057838851E-3</v>
      </c>
      <c r="S460">
        <f t="shared" si="11"/>
        <v>4.1564595164085205E-3</v>
      </c>
      <c r="T460">
        <f t="shared" si="12"/>
        <v>6.2346892746127799E-5</v>
      </c>
      <c r="U460">
        <f t="shared" si="13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15"/>
        <v>459</v>
      </c>
      <c r="I461">
        <f>SUM($F$3:F461)/H461</f>
        <v>4550881.1177151417</v>
      </c>
      <c r="N461">
        <f>IF(A461&lt;&gt;$K$24,MAX(N460,VLOOKUP(A461,A:C,3)),)</f>
        <v>0.74699997901916504</v>
      </c>
      <c r="O461">
        <f>IF(A461&lt;&gt;$K$24,MIN(O460,VLOOKUP(A461,A:D,4)),)</f>
        <v>0.72399997711181641</v>
      </c>
      <c r="P461">
        <f t="shared" si="14"/>
        <v>0.73666665951410926</v>
      </c>
      <c r="Q461">
        <f t="shared" si="9"/>
        <v>0.7369999979677655</v>
      </c>
      <c r="R461">
        <f t="shared" si="10"/>
        <v>-3.3333845365624004E-4</v>
      </c>
      <c r="S461">
        <f t="shared" si="11"/>
        <v>4.1428541488388194E-3</v>
      </c>
      <c r="T461">
        <f t="shared" si="12"/>
        <v>6.2142812232582288E-5</v>
      </c>
      <c r="U461">
        <f t="shared" si="13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15"/>
        <v>460</v>
      </c>
      <c r="I462">
        <f>SUM($F$3:F462)/H462</f>
        <v>4542935.3194972826</v>
      </c>
      <c r="N462">
        <f>IF(A462&lt;&gt;$K$24,MAX(N461,VLOOKUP(A462,A:C,3)),)</f>
        <v>0.74699997901916504</v>
      </c>
      <c r="O462">
        <f>IF(A462&lt;&gt;$K$24,MIN(O461,VLOOKUP(A462,A:D,4)),)</f>
        <v>0.72399997711181641</v>
      </c>
      <c r="P462">
        <f t="shared" si="14"/>
        <v>0.73966666062672937</v>
      </c>
      <c r="Q462">
        <f t="shared" si="9"/>
        <v>0.73707142610776988</v>
      </c>
      <c r="R462">
        <f t="shared" si="10"/>
        <v>2.5952345189594883E-3</v>
      </c>
      <c r="S462">
        <f t="shared" si="11"/>
        <v>4.244894348845174E-3</v>
      </c>
      <c r="T462">
        <f t="shared" si="12"/>
        <v>6.3673415232677613E-5</v>
      </c>
      <c r="U462">
        <f t="shared" si="13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15"/>
        <v>461</v>
      </c>
      <c r="I463">
        <f>SUM($F$3:F463)/H463</f>
        <v>4535254.1148996744</v>
      </c>
      <c r="N463">
        <f>IF(A463&lt;&gt;$K$24,MAX(N462,VLOOKUP(A463,A:C,3)),)</f>
        <v>0.74699997901916504</v>
      </c>
      <c r="O463">
        <f>IF(A463&lt;&gt;$K$24,MIN(O462,VLOOKUP(A463,A:D,4)),)</f>
        <v>0.72399997711181641</v>
      </c>
      <c r="P463">
        <f t="shared" si="14"/>
        <v>0.73933333158493042</v>
      </c>
      <c r="Q463">
        <f t="shared" si="9"/>
        <v>0.73664285455431255</v>
      </c>
      <c r="R463">
        <f t="shared" si="10"/>
        <v>2.690477030617866E-3</v>
      </c>
      <c r="S463">
        <f t="shared" si="11"/>
        <v>3.6360499810199304E-3</v>
      </c>
      <c r="T463">
        <f t="shared" si="12"/>
        <v>5.4540749715298953E-5</v>
      </c>
      <c r="U463">
        <f t="shared" si="13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15"/>
        <v>462</v>
      </c>
      <c r="I464">
        <f>SUM($F$3:F464)/H464</f>
        <v>4526062.2228760822</v>
      </c>
      <c r="N464">
        <f>IF(A464&lt;&gt;$K$24,MAX(N463,VLOOKUP(A464,A:C,3)),)</f>
        <v>0.74699997901916504</v>
      </c>
      <c r="O464">
        <f>IF(A464&lt;&gt;$K$24,MIN(O463,VLOOKUP(A464,A:D,4)),)</f>
        <v>0.72399997711181641</v>
      </c>
      <c r="P464">
        <f t="shared" si="14"/>
        <v>0.73633335034052527</v>
      </c>
      <c r="Q464">
        <f t="shared" si="9"/>
        <v>0.735690475929351</v>
      </c>
      <c r="R464">
        <f t="shared" si="10"/>
        <v>6.4287441117427679E-4</v>
      </c>
      <c r="S464">
        <f t="shared" si="11"/>
        <v>2.503399540777908E-3</v>
      </c>
      <c r="T464">
        <f t="shared" si="12"/>
        <v>3.7550993111668617E-5</v>
      </c>
      <c r="U464">
        <f t="shared" si="13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15"/>
        <v>463</v>
      </c>
      <c r="I465">
        <f>SUM($F$3:F465)/H465</f>
        <v>4518138.1144033475</v>
      </c>
      <c r="N465">
        <f>IF(A465&lt;&gt;$K$24,MAX(N464,VLOOKUP(A465,A:C,3)),)</f>
        <v>0.74699997901916504</v>
      </c>
      <c r="O465">
        <f>IF(A465&lt;&gt;$K$24,MIN(O464,VLOOKUP(A465,A:D,4)),)</f>
        <v>0.72399997711181641</v>
      </c>
      <c r="P465">
        <f t="shared" si="14"/>
        <v>0.72999999920527137</v>
      </c>
      <c r="Q465">
        <f t="shared" si="9"/>
        <v>0.73473809588523131</v>
      </c>
      <c r="R465">
        <f t="shared" si="10"/>
        <v>-4.7380966799599467E-3</v>
      </c>
      <c r="S465">
        <f t="shared" si="11"/>
        <v>2.5272115963657243E-3</v>
      </c>
      <c r="T465">
        <f t="shared" si="12"/>
        <v>3.790817394548586E-5</v>
      </c>
      <c r="U465">
        <f t="shared" si="13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15"/>
        <v>464</v>
      </c>
      <c r="I466">
        <f>SUM($F$3:F466)/H466</f>
        <v>4512097.515018858</v>
      </c>
      <c r="N466">
        <f>IF(A466&lt;&gt;$K$24,MAX(N465,VLOOKUP(A466,A:C,3)),)</f>
        <v>0.74699997901916504</v>
      </c>
      <c r="O466">
        <f>IF(A466&lt;&gt;$K$24,MIN(O465,VLOOKUP(A466,A:D,4)),)</f>
        <v>0.72399997711181641</v>
      </c>
      <c r="P466">
        <f t="shared" si="14"/>
        <v>0.72866666316986084</v>
      </c>
      <c r="Q466">
        <f t="shared" si="9"/>
        <v>0.73430952287855589</v>
      </c>
      <c r="R466">
        <f t="shared" si="10"/>
        <v>-5.6428597086950472E-3</v>
      </c>
      <c r="S466">
        <f t="shared" si="11"/>
        <v>3.0782340335197716E-3</v>
      </c>
      <c r="T466">
        <f t="shared" si="12"/>
        <v>4.617351050279657E-5</v>
      </c>
      <c r="U466">
        <f t="shared" si="13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15"/>
        <v>465</v>
      </c>
      <c r="I467">
        <f>SUM($F$3:F467)/H467</f>
        <v>4504054.7246639784</v>
      </c>
      <c r="N467">
        <f>IF(A467&lt;&gt;$K$24,MAX(N466,VLOOKUP(A467,A:C,3)),)</f>
        <v>0.74699997901916504</v>
      </c>
      <c r="O467">
        <f>IF(A467&lt;&gt;$K$24,MIN(O466,VLOOKUP(A467,A:D,4)),)</f>
        <v>0.72000002861022949</v>
      </c>
      <c r="P467">
        <f t="shared" si="14"/>
        <v>0.72500000397364295</v>
      </c>
      <c r="Q467">
        <f t="shared" si="9"/>
        <v>0.73354761799176516</v>
      </c>
      <c r="R467">
        <f t="shared" si="10"/>
        <v>-8.5476140181222071E-3</v>
      </c>
      <c r="S467">
        <f t="shared" si="11"/>
        <v>3.7551039741153258E-3</v>
      </c>
      <c r="T467">
        <f t="shared" si="12"/>
        <v>5.6326559611729883E-5</v>
      </c>
      <c r="U467">
        <f t="shared" si="13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15"/>
        <v>466</v>
      </c>
      <c r="I468">
        <f>SUM($F$3:F468)/H468</f>
        <v>4498548.4140960304</v>
      </c>
      <c r="N468">
        <f>IF(A468&lt;&gt;$K$24,MAX(N467,VLOOKUP(A468,A:C,3)),)</f>
        <v>0.74699997901916504</v>
      </c>
      <c r="O468">
        <f>IF(A468&lt;&gt;$K$24,MIN(O467,VLOOKUP(A468,A:D,4)),)</f>
        <v>0.71700000762939453</v>
      </c>
      <c r="P468">
        <f t="shared" si="14"/>
        <v>0.71966665983200073</v>
      </c>
      <c r="Q468">
        <f t="shared" si="9"/>
        <v>0.73261904716491699</v>
      </c>
      <c r="R468">
        <f t="shared" si="10"/>
        <v>-1.295238733291626E-2</v>
      </c>
      <c r="S468">
        <f t="shared" si="11"/>
        <v>4.8163277762276946E-3</v>
      </c>
      <c r="T468">
        <f t="shared" si="12"/>
        <v>7.2244916643415409E-5</v>
      </c>
      <c r="U468">
        <f t="shared" si="13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15"/>
        <v>467</v>
      </c>
      <c r="I469">
        <f>SUM($F$3:F469)/H469</f>
        <v>4490885.1412607068</v>
      </c>
      <c r="N469">
        <f>IF(A469&lt;&gt;$K$24,MAX(N468,VLOOKUP(A469,A:C,3)),)</f>
        <v>0.74699997901916504</v>
      </c>
      <c r="O469">
        <f>IF(A469&lt;&gt;$K$24,MIN(O468,VLOOKUP(A469,A:D,4)),)</f>
        <v>0.7149999737739563</v>
      </c>
      <c r="P469">
        <f t="shared" si="14"/>
        <v>0.721666673819224</v>
      </c>
      <c r="Q469">
        <f t="shared" si="9"/>
        <v>0.73204762027377168</v>
      </c>
      <c r="R469">
        <f t="shared" si="10"/>
        <v>-1.0380946454547679E-2</v>
      </c>
      <c r="S469">
        <f t="shared" si="11"/>
        <v>5.4693870803937073E-3</v>
      </c>
      <c r="T469">
        <f t="shared" si="12"/>
        <v>8.2040806205905604E-5</v>
      </c>
      <c r="U469">
        <f t="shared" si="13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15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14"/>
        <v>0.71966667970021569</v>
      </c>
      <c r="Q470">
        <f t="shared" si="9"/>
        <v>0.73092857287043622</v>
      </c>
      <c r="R470">
        <f t="shared" si="10"/>
        <v>-1.1261893170220527E-2</v>
      </c>
      <c r="S470">
        <f t="shared" si="11"/>
        <v>6.1190454732804201E-3</v>
      </c>
      <c r="T470">
        <f t="shared" si="12"/>
        <v>9.1785682099206303E-5</v>
      </c>
      <c r="U470">
        <f t="shared" si="13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15"/>
        <v>469</v>
      </c>
      <c r="I471">
        <f>SUM($F$3:F471)/H471</f>
        <v>4487196.5052638594</v>
      </c>
      <c r="N471">
        <f>IF(A471&lt;&gt;$K$25,MAX(N470,VLOOKUP(A471,A:C,3)),)</f>
        <v>0.7279999852180481</v>
      </c>
      <c r="O471">
        <f>IF(A471&lt;&gt;$K$25,MIN(O470,VLOOKUP(A471,A:D,4)),)</f>
        <v>0.7160000205039978</v>
      </c>
      <c r="P471">
        <f t="shared" si="14"/>
        <v>0.72266666094462073</v>
      </c>
      <c r="Q471">
        <f t="shared" si="9"/>
        <v>0.73047619064648939</v>
      </c>
      <c r="R471">
        <f t="shared" si="10"/>
        <v>-7.809529701868656E-3</v>
      </c>
      <c r="S471">
        <f t="shared" si="11"/>
        <v>6.5714276972271279E-3</v>
      </c>
      <c r="T471">
        <f t="shared" si="12"/>
        <v>9.857141545840691E-5</v>
      </c>
      <c r="U471">
        <f t="shared" si="13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15"/>
        <v>470</v>
      </c>
      <c r="I472">
        <f>SUM($F$3:F472)/H472</f>
        <v>4481019.4914228721</v>
      </c>
      <c r="N472">
        <f>IF(A472&lt;&gt;$K$25,MAX(N471,VLOOKUP(A472,A:C,3)),)</f>
        <v>0.73500001430511475</v>
      </c>
      <c r="O472">
        <f>IF(A472&lt;&gt;$K$25,MIN(O471,VLOOKUP(A472,A:D,4)),)</f>
        <v>0.7160000205039978</v>
      </c>
      <c r="P472">
        <f t="shared" si="14"/>
        <v>0.73266667127609253</v>
      </c>
      <c r="Q472">
        <f t="shared" si="9"/>
        <v>0.73028571407000231</v>
      </c>
      <c r="R472">
        <f t="shared" si="10"/>
        <v>2.3809572060902173E-3</v>
      </c>
      <c r="S472">
        <f t="shared" si="11"/>
        <v>6.3809511207399017E-3</v>
      </c>
      <c r="T472">
        <f t="shared" si="12"/>
        <v>9.5714266811098523E-5</v>
      </c>
      <c r="U472">
        <f t="shared" si="13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15"/>
        <v>471</v>
      </c>
      <c r="I473">
        <f>SUM($F$3:F473)/H473</f>
        <v>4474531.9765790869</v>
      </c>
      <c r="N473">
        <f>IF(A473&lt;&gt;$K$25,MAX(N472,VLOOKUP(A473,A:C,3)),)</f>
        <v>0.73500001430511475</v>
      </c>
      <c r="O473">
        <f>IF(A473&lt;&gt;$K$25,MIN(O472,VLOOKUP(A473,A:D,4)),)</f>
        <v>0.7160000205039978</v>
      </c>
      <c r="P473">
        <f t="shared" si="14"/>
        <v>0.73066667715708411</v>
      </c>
      <c r="Q473">
        <f t="shared" si="9"/>
        <v>0.72988095311891465</v>
      </c>
      <c r="R473">
        <f t="shared" si="10"/>
        <v>7.8572403816945524E-4</v>
      </c>
      <c r="S473">
        <f t="shared" si="11"/>
        <v>5.9931967534175524E-3</v>
      </c>
      <c r="T473">
        <f t="shared" si="12"/>
        <v>8.9897951301263278E-5</v>
      </c>
      <c r="U473">
        <f t="shared" si="13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15"/>
        <v>472</v>
      </c>
      <c r="I474">
        <f>SUM($F$3:F474)/H474</f>
        <v>4471277.6990863346</v>
      </c>
      <c r="N474">
        <f>IF(A474&lt;&gt;$K$25,MAX(N473,VLOOKUP(A474,A:C,3)),)</f>
        <v>0.73500001430511475</v>
      </c>
      <c r="O474">
        <f>IF(A474&lt;&gt;$K$25,MIN(O473,VLOOKUP(A474,A:D,4)),)</f>
        <v>0.7160000205039978</v>
      </c>
      <c r="P474">
        <f t="shared" si="14"/>
        <v>0.72233331203460693</v>
      </c>
      <c r="Q474">
        <f t="shared" si="9"/>
        <v>0.72892857165563663</v>
      </c>
      <c r="R474">
        <f t="shared" si="10"/>
        <v>-6.5952596210296921E-3</v>
      </c>
      <c r="S474">
        <f t="shared" si="11"/>
        <v>6.1190497307550317E-3</v>
      </c>
      <c r="T474">
        <f t="shared" si="12"/>
        <v>9.1785745961325469E-5</v>
      </c>
      <c r="U474">
        <f t="shared" si="13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15"/>
        <v>473</v>
      </c>
      <c r="I475">
        <f>SUM($F$3:F475)/H475</f>
        <v>4463453.6447542282</v>
      </c>
      <c r="N475">
        <f>IF(A475&lt;&gt;$K$25,MAX(N474,VLOOKUP(A475,A:C,3)),)</f>
        <v>0.73500001430511475</v>
      </c>
      <c r="O475">
        <f>IF(A475&lt;&gt;$K$25,MIN(O474,VLOOKUP(A475,A:D,4)),)</f>
        <v>0.71200001239776611</v>
      </c>
      <c r="P475">
        <f t="shared" si="14"/>
        <v>0.71466666460037231</v>
      </c>
      <c r="Q475">
        <f t="shared" si="9"/>
        <v>0.72735714344751268</v>
      </c>
      <c r="R475">
        <f t="shared" si="10"/>
        <v>-1.2690478847140363E-2</v>
      </c>
      <c r="S475">
        <f t="shared" si="11"/>
        <v>6.547621318272182E-3</v>
      </c>
      <c r="T475">
        <f t="shared" si="12"/>
        <v>9.821431977408272E-5</v>
      </c>
      <c r="U475">
        <f t="shared" si="13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15"/>
        <v>474</v>
      </c>
      <c r="I476">
        <f>SUM($F$3:F476)/H476</f>
        <v>4459354.5864319624</v>
      </c>
      <c r="N476">
        <f>IF(A476&lt;&gt;$K$25,MAX(N475,VLOOKUP(A476,A:C,3)),)</f>
        <v>0.73500001430511475</v>
      </c>
      <c r="O476">
        <f>IF(A476&lt;&gt;$K$25,MIN(O475,VLOOKUP(A476,A:D,4)),)</f>
        <v>0.71100002527236938</v>
      </c>
      <c r="P476">
        <f t="shared" si="14"/>
        <v>0.71533334255218506</v>
      </c>
      <c r="Q476">
        <f t="shared" si="9"/>
        <v>0.72561904929933096</v>
      </c>
      <c r="R476">
        <f t="shared" si="10"/>
        <v>-1.0285706747145906E-2</v>
      </c>
      <c r="S476">
        <f t="shared" si="11"/>
        <v>6.2789138482541463E-3</v>
      </c>
      <c r="T476">
        <f t="shared" si="12"/>
        <v>9.4183707723812188E-5</v>
      </c>
      <c r="U476">
        <f t="shared" si="13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15"/>
        <v>475</v>
      </c>
      <c r="I477">
        <f>SUM($F$3:F477)/H477</f>
        <v>4454195.109144737</v>
      </c>
      <c r="N477">
        <f>IF(A477&lt;&gt;$K$25,MAX(N476,VLOOKUP(A477,A:C,3)),)</f>
        <v>0.73500001430511475</v>
      </c>
      <c r="O477">
        <f>IF(A477&lt;&gt;$K$25,MIN(O476,VLOOKUP(A477,A:D,4)),)</f>
        <v>0.71100002527236938</v>
      </c>
      <c r="P477">
        <f t="shared" si="14"/>
        <v>0.71733331680297852</v>
      </c>
      <c r="Q477">
        <f t="shared" si="9"/>
        <v>0.72404761967204856</v>
      </c>
      <c r="R477">
        <f t="shared" si="10"/>
        <v>-6.7143028690700435E-3</v>
      </c>
      <c r="S477">
        <f t="shared" si="11"/>
        <v>5.5782352985978712E-3</v>
      </c>
      <c r="T477">
        <f t="shared" si="12"/>
        <v>8.3673529478968059E-5</v>
      </c>
      <c r="U477">
        <f t="shared" si="13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15"/>
        <v>476</v>
      </c>
      <c r="I478">
        <f>SUM($F$3:F478)/H478</f>
        <v>4452061.716058298</v>
      </c>
      <c r="N478">
        <f>IF(A478&lt;&gt;$K$25,MAX(N477,VLOOKUP(A478,A:C,3)),)</f>
        <v>0.73500001430511475</v>
      </c>
      <c r="O478">
        <f>IF(A478&lt;&gt;$K$25,MIN(O477,VLOOKUP(A478,A:D,4)),)</f>
        <v>0.71100002527236938</v>
      </c>
      <c r="P478">
        <f t="shared" si="14"/>
        <v>0.72566666205724084</v>
      </c>
      <c r="Q478">
        <f t="shared" si="9"/>
        <v>0.72328571336609992</v>
      </c>
      <c r="R478">
        <f t="shared" si="10"/>
        <v>2.3809486911409161E-3</v>
      </c>
      <c r="S478">
        <f t="shared" si="11"/>
        <v>4.7074852346563213E-3</v>
      </c>
      <c r="T478">
        <f t="shared" si="12"/>
        <v>7.0612278519844823E-5</v>
      </c>
      <c r="U478">
        <f t="shared" si="13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15"/>
        <v>477</v>
      </c>
      <c r="I479">
        <f>SUM($F$3:F479)/H479</f>
        <v>4448955.6537604826</v>
      </c>
      <c r="N479">
        <f>IF(A479&lt;&gt;$K$25,MAX(N478,VLOOKUP(A479,A:C,3)),)</f>
        <v>0.73600000143051147</v>
      </c>
      <c r="O479">
        <f>IF(A479&lt;&gt;$K$25,MIN(O478,VLOOKUP(A479,A:D,4)),)</f>
        <v>0.71100002527236938</v>
      </c>
      <c r="P479">
        <f t="shared" si="14"/>
        <v>0.72933334112167358</v>
      </c>
      <c r="Q479">
        <f t="shared" si="9"/>
        <v>0.72323809493155711</v>
      </c>
      <c r="R479">
        <f t="shared" si="10"/>
        <v>6.0952461901164767E-3</v>
      </c>
      <c r="S479">
        <f t="shared" si="11"/>
        <v>4.6530641666075057E-3</v>
      </c>
      <c r="T479">
        <f t="shared" si="12"/>
        <v>6.9795962499112589E-5</v>
      </c>
      <c r="U479">
        <f t="shared" si="13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15"/>
        <v>478</v>
      </c>
      <c r="I480">
        <f>SUM($F$3:F480)/H480</f>
        <v>4444242.3574137026</v>
      </c>
      <c r="N480">
        <f>IF(A480&lt;&gt;$K$25,MAX(N479,VLOOKUP(A480,A:C,3)),)</f>
        <v>0.73900002241134644</v>
      </c>
      <c r="O480">
        <f>IF(A480&lt;&gt;$K$25,MIN(O479,VLOOKUP(A480,A:D,4)),)</f>
        <v>0.71100002527236938</v>
      </c>
      <c r="P480">
        <f t="shared" si="14"/>
        <v>0.737333337465922</v>
      </c>
      <c r="Q480">
        <f t="shared" si="9"/>
        <v>0.72385714309556148</v>
      </c>
      <c r="R480">
        <f t="shared" si="10"/>
        <v>1.3476194370360517E-2</v>
      </c>
      <c r="S480">
        <f t="shared" si="11"/>
        <v>5.3605477826125002E-3</v>
      </c>
      <c r="T480">
        <f t="shared" si="12"/>
        <v>8.0408216739187504E-5</v>
      </c>
      <c r="U480">
        <f t="shared" si="13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15"/>
        <v>479</v>
      </c>
      <c r="I481">
        <f>SUM($F$3:F481)/H481</f>
        <v>4439806.5696111694</v>
      </c>
      <c r="N481">
        <f>IF(A481&lt;&gt;$K$25,MAX(N480,VLOOKUP(A481,A:C,3)),)</f>
        <v>0.75499999523162842</v>
      </c>
      <c r="O481">
        <f>IF(A481&lt;&gt;$K$25,MIN(O480,VLOOKUP(A481,A:D,4)),)</f>
        <v>0.71100002527236938</v>
      </c>
      <c r="P481">
        <f t="shared" si="14"/>
        <v>0.74966667095820105</v>
      </c>
      <c r="Q481">
        <f t="shared" si="9"/>
        <v>0.72561904788017262</v>
      </c>
      <c r="R481">
        <f t="shared" si="10"/>
        <v>2.4047623078028435E-2</v>
      </c>
      <c r="S481">
        <f t="shared" si="11"/>
        <v>7.3741532507396691E-3</v>
      </c>
      <c r="T481">
        <f t="shared" si="12"/>
        <v>1.1061229876109504E-4</v>
      </c>
      <c r="U481">
        <f t="shared" si="13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15"/>
        <v>480</v>
      </c>
      <c r="I482">
        <f>SUM($F$3:F482)/H482</f>
        <v>4439640.0975911459</v>
      </c>
      <c r="N482">
        <f>IF(A482&lt;&gt;$K$25,MAX(N481,VLOOKUP(A482,A:C,3)),)</f>
        <v>0.76700001955032349</v>
      </c>
      <c r="O482">
        <f>IF(A482&lt;&gt;$K$25,MIN(O481,VLOOKUP(A482,A:D,4)),)</f>
        <v>0.71100002527236938</v>
      </c>
      <c r="P482">
        <f t="shared" si="14"/>
        <v>0.762666662534078</v>
      </c>
      <c r="Q482">
        <f t="shared" si="9"/>
        <v>0.72869047664460673</v>
      </c>
      <c r="R482">
        <f t="shared" si="10"/>
        <v>3.3976185889471266E-2</v>
      </c>
      <c r="S482">
        <f t="shared" si="11"/>
        <v>1.0027214377915761E-2</v>
      </c>
      <c r="T482">
        <f t="shared" si="12"/>
        <v>1.5040821566873641E-4</v>
      </c>
      <c r="U482">
        <f t="shared" si="13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15"/>
        <v>481</v>
      </c>
      <c r="I483">
        <f>SUM($F$3:F483)/H483</f>
        <v>4439796.4050805615</v>
      </c>
      <c r="N483">
        <f>IF(A483&lt;&gt;$K$25,MAX(N482,VLOOKUP(A483,A:C,3)),)</f>
        <v>0.76700001955032349</v>
      </c>
      <c r="O483">
        <f>IF(A483&lt;&gt;$K$25,MIN(O482,VLOOKUP(A483,A:D,4)),)</f>
        <v>0.71100002527236938</v>
      </c>
      <c r="P483">
        <f t="shared" si="14"/>
        <v>0.76500000556310022</v>
      </c>
      <c r="Q483">
        <f t="shared" si="9"/>
        <v>0.73178571462631226</v>
      </c>
      <c r="R483">
        <f t="shared" si="10"/>
        <v>3.321429093678796E-2</v>
      </c>
      <c r="S483">
        <f t="shared" si="11"/>
        <v>1.262925352369036E-2</v>
      </c>
      <c r="T483">
        <f t="shared" si="12"/>
        <v>1.8943880285535538E-4</v>
      </c>
      <c r="U483">
        <f t="shared" si="13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15"/>
        <v>482</v>
      </c>
      <c r="I484">
        <f>SUM($F$3:F484)/H484</f>
        <v>4435476.702995332</v>
      </c>
      <c r="N484">
        <f>IF(A484&lt;&gt;$K$25,MAX(N483,VLOOKUP(A484,A:C,3)),)</f>
        <v>0.77399998903274536</v>
      </c>
      <c r="O484">
        <f>IF(A484&lt;&gt;$K$25,MIN(O483,VLOOKUP(A484,A:D,4)),)</f>
        <v>0.71100002527236938</v>
      </c>
      <c r="P484">
        <f t="shared" si="14"/>
        <v>0.77099998792012536</v>
      </c>
      <c r="Q484">
        <f t="shared" si="9"/>
        <v>0.73545237949916309</v>
      </c>
      <c r="R484">
        <f t="shared" si="10"/>
        <v>3.5547608420962273E-2</v>
      </c>
      <c r="S484">
        <f t="shared" si="11"/>
        <v>1.5486395277944598E-2</v>
      </c>
      <c r="T484">
        <f t="shared" si="12"/>
        <v>2.3229592916916897E-4</v>
      </c>
      <c r="U484">
        <f t="shared" si="13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15"/>
        <v>483</v>
      </c>
      <c r="I485">
        <f>SUM($F$3:F485)/H485</f>
        <v>4433102.0990553834</v>
      </c>
      <c r="N485">
        <f>IF(A485&lt;&gt;$K$25,MAX(N484,VLOOKUP(A485,A:C,3)),)</f>
        <v>0.77399998903274536</v>
      </c>
      <c r="O485">
        <f>IF(A485&lt;&gt;$K$25,MIN(O484,VLOOKUP(A485,A:D,4)),)</f>
        <v>0.71100002527236938</v>
      </c>
      <c r="P485">
        <f t="shared" si="14"/>
        <v>0.76433332761128747</v>
      </c>
      <c r="Q485">
        <f t="shared" si="9"/>
        <v>0.73842856997535355</v>
      </c>
      <c r="R485">
        <f t="shared" si="10"/>
        <v>2.5904757635933917E-2</v>
      </c>
      <c r="S485">
        <f t="shared" si="11"/>
        <v>1.721768638714646E-2</v>
      </c>
      <c r="T485">
        <f t="shared" si="12"/>
        <v>2.5826529580719691E-4</v>
      </c>
      <c r="U485">
        <f t="shared" si="13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15"/>
        <v>484</v>
      </c>
      <c r="I486">
        <f>SUM($F$3:F486)/H486</f>
        <v>4429234.7496771691</v>
      </c>
      <c r="N486">
        <f>IF(A486&lt;&gt;$K$25,MAX(N485,VLOOKUP(A486,A:C,3)),)</f>
        <v>0.77399998903274536</v>
      </c>
      <c r="O486">
        <f>IF(A486&lt;&gt;$K$25,MIN(O485,VLOOKUP(A486,A:D,4)),)</f>
        <v>0.71100002527236938</v>
      </c>
      <c r="P486">
        <f t="shared" si="14"/>
        <v>0.75066667795181274</v>
      </c>
      <c r="Q486">
        <f t="shared" si="9"/>
        <v>0.7397142847379049</v>
      </c>
      <c r="R486">
        <f t="shared" si="10"/>
        <v>1.0952393213907841E-2</v>
      </c>
      <c r="S486">
        <f t="shared" si="11"/>
        <v>1.7863946301596521E-2</v>
      </c>
      <c r="T486">
        <f t="shared" si="12"/>
        <v>2.679591945239478E-4</v>
      </c>
      <c r="U486">
        <f t="shared" si="13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15"/>
        <v>485</v>
      </c>
      <c r="I487">
        <f>SUM($F$3:F487)/H487</f>
        <v>4425518.012048969</v>
      </c>
      <c r="N487">
        <f>IF(A487&lt;&gt;$K$25,MAX(N486,VLOOKUP(A487,A:C,3)),)</f>
        <v>0.77399998903274536</v>
      </c>
      <c r="O487">
        <f>IF(A487&lt;&gt;$K$25,MIN(O486,VLOOKUP(A487,A:D,4)),)</f>
        <v>0.71100002527236938</v>
      </c>
      <c r="P487">
        <f t="shared" si="14"/>
        <v>0.75300000111262</v>
      </c>
      <c r="Q487">
        <f t="shared" si="9"/>
        <v>0.74130952216330037</v>
      </c>
      <c r="R487">
        <f t="shared" si="10"/>
        <v>1.1690478949319627E-2</v>
      </c>
      <c r="S487">
        <f t="shared" si="11"/>
        <v>1.8166668358303256E-2</v>
      </c>
      <c r="T487">
        <f t="shared" si="12"/>
        <v>2.7250002537454883E-4</v>
      </c>
      <c r="U487">
        <f t="shared" si="13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15"/>
        <v>486</v>
      </c>
      <c r="I488">
        <f>SUM($F$3:F488)/H488</f>
        <v>4421931.1848636828</v>
      </c>
      <c r="N488">
        <f>IF(A488&lt;&gt;$K$25,MAX(N487,VLOOKUP(A488,A:C,3)),)</f>
        <v>0.77399998903274536</v>
      </c>
      <c r="O488">
        <f>IF(A488&lt;&gt;$K$25,MIN(O487,VLOOKUP(A488,A:D,4)),)</f>
        <v>0.71100002527236938</v>
      </c>
      <c r="P488">
        <f t="shared" si="14"/>
        <v>0.74833333492279053</v>
      </c>
      <c r="Q488">
        <f t="shared" si="9"/>
        <v>0.74316666665531339</v>
      </c>
      <c r="R488">
        <f t="shared" si="10"/>
        <v>5.1666682674771369E-3</v>
      </c>
      <c r="S488">
        <f t="shared" si="11"/>
        <v>1.704761933307259E-2</v>
      </c>
      <c r="T488">
        <f t="shared" si="12"/>
        <v>2.5571428999608887E-4</v>
      </c>
      <c r="U488">
        <f t="shared" si="13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15"/>
        <v>487</v>
      </c>
      <c r="I489">
        <f>SUM($F$3:F489)/H489</f>
        <v>4417061.1002951749</v>
      </c>
      <c r="N489">
        <f>IF(A489&lt;&gt;$K$25,MAX(N488,VLOOKUP(A489,A:C,3)),)</f>
        <v>0.77399998903274536</v>
      </c>
      <c r="O489">
        <f>IF(A489&lt;&gt;$K$25,MIN(O488,VLOOKUP(A489,A:D,4)),)</f>
        <v>0.71100002527236938</v>
      </c>
      <c r="P489">
        <f t="shared" si="14"/>
        <v>0.74800000588099158</v>
      </c>
      <c r="Q489">
        <f t="shared" si="9"/>
        <v>0.74554761960392901</v>
      </c>
      <c r="R489">
        <f t="shared" si="10"/>
        <v>2.4523862770625682E-3</v>
      </c>
      <c r="S489">
        <f t="shared" si="11"/>
        <v>1.4676871145663637E-2</v>
      </c>
      <c r="T489">
        <f t="shared" si="12"/>
        <v>2.2015306718495454E-4</v>
      </c>
      <c r="U489">
        <f t="shared" si="13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15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14"/>
        <v>0.75266667207082116</v>
      </c>
      <c r="Q490">
        <f t="shared" si="9"/>
        <v>0.74821428599811735</v>
      </c>
      <c r="R490">
        <f t="shared" si="10"/>
        <v>4.4523860727038178E-3</v>
      </c>
      <c r="S490">
        <f t="shared" si="11"/>
        <v>1.1914966665968616E-2</v>
      </c>
      <c r="T490">
        <f t="shared" si="12"/>
        <v>1.7872449998952922E-4</v>
      </c>
      <c r="U490">
        <f t="shared" si="13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15"/>
        <v>489</v>
      </c>
      <c r="I491">
        <f>SUM($F$3:F491)/H491</f>
        <v>4412508.4986579753</v>
      </c>
      <c r="N491">
        <f>IF(A491&lt;&gt;$K$27,MAX(N490,VLOOKUP(A491,A:C,3)),)</f>
        <v>0.76499998569488525</v>
      </c>
      <c r="O491">
        <f>IF(A491&lt;&gt;$K$27,MIN(O490,VLOOKUP(A491,A:D,4)),)</f>
        <v>0.75199997425079346</v>
      </c>
      <c r="P491">
        <f t="shared" si="14"/>
        <v>0.75866665442784631</v>
      </c>
      <c r="Q491">
        <f t="shared" si="9"/>
        <v>0.75116666725703651</v>
      </c>
      <c r="R491">
        <f t="shared" si="10"/>
        <v>7.4999871708097965E-3</v>
      </c>
      <c r="S491">
        <f t="shared" si="11"/>
        <v>9.8809486343747286E-3</v>
      </c>
      <c r="T491">
        <f t="shared" si="12"/>
        <v>1.4821422951562092E-4</v>
      </c>
      <c r="U491">
        <f t="shared" si="13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15"/>
        <v>490</v>
      </c>
      <c r="I492">
        <f>SUM($F$3:F492)/H492</f>
        <v>4408856.4425382651</v>
      </c>
      <c r="N492">
        <f>IF(A492&lt;&gt;$K$27,MAX(N491,VLOOKUP(A492,A:C,3)),)</f>
        <v>0.76499998569488525</v>
      </c>
      <c r="O492">
        <f>IF(A492&lt;&gt;$K$27,MIN(O491,VLOOKUP(A492,A:D,4)),)</f>
        <v>0.75199997425079346</v>
      </c>
      <c r="P492">
        <f t="shared" si="14"/>
        <v>0.76133334636688232</v>
      </c>
      <c r="Q492">
        <f t="shared" si="9"/>
        <v>0.75371428756486814</v>
      </c>
      <c r="R492">
        <f t="shared" si="10"/>
        <v>7.6190588020141892E-3</v>
      </c>
      <c r="S492">
        <f t="shared" si="11"/>
        <v>8.6734655763016644E-3</v>
      </c>
      <c r="T492">
        <f t="shared" si="12"/>
        <v>1.3010198364452497E-4</v>
      </c>
      <c r="U492">
        <f t="shared" si="13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15"/>
        <v>491</v>
      </c>
      <c r="I493">
        <f>SUM($F$3:F493)/H493</f>
        <v>4407597.4681135435</v>
      </c>
      <c r="N493">
        <f>IF(A493&lt;&gt;$K$27,MAX(N492,VLOOKUP(A493,A:C,3)),)</f>
        <v>0.76499998569488525</v>
      </c>
      <c r="O493">
        <f>IF(A493&lt;&gt;$K$27,MIN(O492,VLOOKUP(A493,A:D,4)),)</f>
        <v>0.75199997425079346</v>
      </c>
      <c r="P493">
        <f t="shared" si="14"/>
        <v>0.75933335224787391</v>
      </c>
      <c r="Q493">
        <f t="shared" si="9"/>
        <v>0.75585714550245375</v>
      </c>
      <c r="R493">
        <f t="shared" si="10"/>
        <v>3.4762067454201517E-3</v>
      </c>
      <c r="S493">
        <f t="shared" si="11"/>
        <v>7.3333311648596088E-3</v>
      </c>
      <c r="T493">
        <f t="shared" si="12"/>
        <v>1.0999996747289413E-4</v>
      </c>
      <c r="U493">
        <f t="shared" si="13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15"/>
        <v>492</v>
      </c>
      <c r="I494">
        <f>SUM($F$3:F494)/H494</f>
        <v>4402828.3696011174</v>
      </c>
      <c r="N494">
        <f>IF(A494&lt;&gt;$K$27,MAX(N493,VLOOKUP(A494,A:C,3)),)</f>
        <v>0.76499998569488525</v>
      </c>
      <c r="O494">
        <f>IF(A494&lt;&gt;$K$27,MIN(O493,VLOOKUP(A494,A:D,4)),)</f>
        <v>0.75199997425079346</v>
      </c>
      <c r="P494">
        <f t="shared" si="14"/>
        <v>0.75466666618982947</v>
      </c>
      <c r="Q494">
        <f t="shared" si="9"/>
        <v>0.75709524041130416</v>
      </c>
      <c r="R494">
        <f t="shared" si="10"/>
        <v>-2.4285742214746886E-3</v>
      </c>
      <c r="S494">
        <f t="shared" si="11"/>
        <v>6.0952362560090746E-3</v>
      </c>
      <c r="T494">
        <f t="shared" si="12"/>
        <v>9.1428543840136112E-5</v>
      </c>
      <c r="U494">
        <f t="shared" si="13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15"/>
        <v>493</v>
      </c>
      <c r="I495">
        <f>SUM($F$3:F495)/H495</f>
        <v>4399063.403334179</v>
      </c>
      <c r="N495">
        <f>IF(A495&lt;&gt;$K$27,MAX(N494,VLOOKUP(A495,A:C,3)),)</f>
        <v>0.76499998569488525</v>
      </c>
      <c r="O495">
        <f>IF(A495&lt;&gt;$K$27,MIN(O494,VLOOKUP(A495,A:D,4)),)</f>
        <v>0.74400001764297485</v>
      </c>
      <c r="P495">
        <f t="shared" si="14"/>
        <v>0.74633334080378211</v>
      </c>
      <c r="Q495">
        <f t="shared" si="9"/>
        <v>0.75685714540027416</v>
      </c>
      <c r="R495">
        <f t="shared" si="10"/>
        <v>-1.0523804596492048E-2</v>
      </c>
      <c r="S495">
        <f t="shared" si="11"/>
        <v>6.3333312670389996E-3</v>
      </c>
      <c r="T495">
        <f t="shared" si="12"/>
        <v>9.499996900558499E-5</v>
      </c>
      <c r="U495">
        <f t="shared" si="13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15"/>
        <v>494</v>
      </c>
      <c r="I496">
        <f>SUM($F$3:F496)/H496</f>
        <v>4395736.7567687249</v>
      </c>
      <c r="N496">
        <f>IF(A496&lt;&gt;$K$27,MAX(N495,VLOOKUP(A496,A:C,3)),)</f>
        <v>0.76499998569488525</v>
      </c>
      <c r="O496">
        <f>IF(A496&lt;&gt;$K$27,MIN(O495,VLOOKUP(A496,A:D,4)),)</f>
        <v>0.74400001764297485</v>
      </c>
      <c r="P496">
        <f t="shared" si="14"/>
        <v>0.74966667095820105</v>
      </c>
      <c r="Q496">
        <f t="shared" si="9"/>
        <v>0.75592857457342588</v>
      </c>
      <c r="R496">
        <f t="shared" si="10"/>
        <v>-6.2619036152248286E-3</v>
      </c>
      <c r="S496">
        <f t="shared" si="11"/>
        <v>6.2993180995084786E-3</v>
      </c>
      <c r="T496">
        <f t="shared" si="12"/>
        <v>9.4489771492627171E-5</v>
      </c>
      <c r="U496">
        <f t="shared" si="13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15"/>
        <v>495</v>
      </c>
      <c r="I497">
        <f>SUM($F$3:F497)/H497</f>
        <v>4391740.1208964642</v>
      </c>
      <c r="N497">
        <f>IF(A497&lt;&gt;$K$27,MAX(N496,VLOOKUP(A497,A:C,3)),)</f>
        <v>0.76499998569488525</v>
      </c>
      <c r="O497">
        <f>IF(A497&lt;&gt;$K$27,MIN(O496,VLOOKUP(A497,A:D,4)),)</f>
        <v>0.74400001764297485</v>
      </c>
      <c r="P497">
        <f t="shared" si="14"/>
        <v>0.75500001509984338</v>
      </c>
      <c r="Q497">
        <f t="shared" si="9"/>
        <v>0.7552142895403362</v>
      </c>
      <c r="R497">
        <f t="shared" si="10"/>
        <v>-2.1427444049282318E-4</v>
      </c>
      <c r="S497">
        <f t="shared" si="11"/>
        <v>5.5136029817620114E-3</v>
      </c>
      <c r="T497">
        <f t="shared" si="12"/>
        <v>8.2704044726430174E-5</v>
      </c>
      <c r="U497">
        <f t="shared" si="13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15"/>
        <v>496</v>
      </c>
      <c r="I498">
        <f>SUM($F$3:F498)/H498</f>
        <v>4386516.0500882054</v>
      </c>
      <c r="N498">
        <f>IF(A498&lt;&gt;$K$27,MAX(N497,VLOOKUP(A498,A:C,3)),)</f>
        <v>0.76499998569488525</v>
      </c>
      <c r="O498">
        <f>IF(A498&lt;&gt;$K$27,MIN(O497,VLOOKUP(A498,A:D,4)),)</f>
        <v>0.74400001764297485</v>
      </c>
      <c r="P498">
        <f t="shared" si="14"/>
        <v>0.75266667207082116</v>
      </c>
      <c r="Q498">
        <f t="shared" si="9"/>
        <v>0.75390476697967179</v>
      </c>
      <c r="R498">
        <f t="shared" si="10"/>
        <v>-1.2380949088506288E-3</v>
      </c>
      <c r="S498">
        <f t="shared" si="11"/>
        <v>4.2721085807904359E-3</v>
      </c>
      <c r="T498">
        <f t="shared" si="12"/>
        <v>6.4081628711856541E-5</v>
      </c>
      <c r="U498">
        <f t="shared" si="13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15"/>
        <v>497</v>
      </c>
      <c r="I499">
        <f>SUM($F$3:F499)/H499</f>
        <v>4382136.7501886319</v>
      </c>
      <c r="N499">
        <f>IF(A499&lt;&gt;$K$27,MAX(N498,VLOOKUP(A499,A:C,3)),)</f>
        <v>0.76499998569488525</v>
      </c>
      <c r="O499">
        <f>IF(A499&lt;&gt;$K$27,MIN(O498,VLOOKUP(A499,A:D,4)),)</f>
        <v>0.74400001764297485</v>
      </c>
      <c r="P499">
        <f t="shared" si="14"/>
        <v>0.75866667429606116</v>
      </c>
      <c r="Q499">
        <f t="shared" si="9"/>
        <v>0.75350000602858425</v>
      </c>
      <c r="R499">
        <f t="shared" si="10"/>
        <v>5.1666682674769149E-3</v>
      </c>
      <c r="S499">
        <f t="shared" si="11"/>
        <v>3.8095246366903362E-3</v>
      </c>
      <c r="T499">
        <f t="shared" si="12"/>
        <v>5.7142869550355043E-5</v>
      </c>
      <c r="U499">
        <f t="shared" si="13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15"/>
        <v>498</v>
      </c>
      <c r="I500">
        <f>SUM($F$3:F500)/H500</f>
        <v>4376195.3149472894</v>
      </c>
      <c r="N500">
        <f>IF(A500&lt;&gt;$K$27,MAX(N499,VLOOKUP(A500,A:C,3)),)</f>
        <v>0.76499998569488525</v>
      </c>
      <c r="O500">
        <f>IF(A500&lt;&gt;$K$27,MIN(O499,VLOOKUP(A500,A:D,4)),)</f>
        <v>0.74400001764297485</v>
      </c>
      <c r="P500">
        <f t="shared" si="14"/>
        <v>0.7600000103314718</v>
      </c>
      <c r="Q500">
        <f t="shared" si="9"/>
        <v>0.75416667262713133</v>
      </c>
      <c r="R500">
        <f t="shared" si="10"/>
        <v>5.8333377043404688E-3</v>
      </c>
      <c r="S500">
        <f t="shared" si="11"/>
        <v>4.0714300814129111E-3</v>
      </c>
      <c r="T500">
        <f t="shared" si="12"/>
        <v>6.1071451221193668E-5</v>
      </c>
      <c r="U500">
        <f t="shared" si="13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15"/>
        <v>499</v>
      </c>
      <c r="I501">
        <f>SUM($F$3:F501)/H501</f>
        <v>4375324.80129008</v>
      </c>
      <c r="N501">
        <f>IF(A501&lt;&gt;$K$27,MAX(N500,VLOOKUP(A501,A:C,3)),)</f>
        <v>0.76499998569488525</v>
      </c>
      <c r="O501">
        <f>IF(A501&lt;&gt;$K$27,MIN(O500,VLOOKUP(A501,A:D,4)),)</f>
        <v>0.74400001764297485</v>
      </c>
      <c r="P501">
        <f t="shared" si="14"/>
        <v>0.75633333126703894</v>
      </c>
      <c r="Q501">
        <f t="shared" si="9"/>
        <v>0.75440476763816111</v>
      </c>
      <c r="R501">
        <f t="shared" si="10"/>
        <v>1.9285636288778329E-3</v>
      </c>
      <c r="S501">
        <f t="shared" si="11"/>
        <v>4.1088441602226767E-3</v>
      </c>
      <c r="T501">
        <f t="shared" si="12"/>
        <v>6.1632662403340142E-5</v>
      </c>
      <c r="U501">
        <f t="shared" si="13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15"/>
        <v>500</v>
      </c>
      <c r="I502">
        <f>SUM($F$3:F502)/H502</f>
        <v>4369431.3516875003</v>
      </c>
      <c r="N502">
        <f>IF(A502&lt;&gt;$K$27,MAX(N501,VLOOKUP(A502,A:C,3)),)</f>
        <v>0.76499998569488525</v>
      </c>
      <c r="O502">
        <f>IF(A502&lt;&gt;$K$27,MIN(O501,VLOOKUP(A502,A:D,4)),)</f>
        <v>0.74400001764297485</v>
      </c>
      <c r="P502">
        <f t="shared" si="14"/>
        <v>0.75366665919621789</v>
      </c>
      <c r="Q502">
        <f t="shared" si="9"/>
        <v>0.75478571937197736</v>
      </c>
      <c r="R502">
        <f t="shared" si="10"/>
        <v>-1.1190601757594676E-3</v>
      </c>
      <c r="S502">
        <f t="shared" si="11"/>
        <v>3.6904783475966707E-3</v>
      </c>
      <c r="T502">
        <f t="shared" si="12"/>
        <v>5.5357175213950057E-5</v>
      </c>
      <c r="U502">
        <f t="shared" si="13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15"/>
        <v>501</v>
      </c>
      <c r="I503">
        <f>SUM($F$3:F503)/H503</f>
        <v>4364005.1613647705</v>
      </c>
      <c r="N503">
        <f>IF(A503&lt;&gt;$K$27,MAX(N502,VLOOKUP(A503,A:C,3)),)</f>
        <v>0.76499998569488525</v>
      </c>
      <c r="O503">
        <f>IF(A503&lt;&gt;$K$27,MIN(O502,VLOOKUP(A503,A:D,4)),)</f>
        <v>0.74400001764297485</v>
      </c>
      <c r="P503">
        <f t="shared" si="14"/>
        <v>0.75033332904179895</v>
      </c>
      <c r="Q503">
        <f t="shared" si="9"/>
        <v>0.75495238531203501</v>
      </c>
      <c r="R503">
        <f t="shared" si="10"/>
        <v>-4.619056270236066E-3</v>
      </c>
      <c r="S503">
        <f t="shared" si="11"/>
        <v>3.5238124075390015E-3</v>
      </c>
      <c r="T503">
        <f t="shared" si="12"/>
        <v>5.2857186113085019E-5</v>
      </c>
      <c r="U503">
        <f t="shared" si="13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15"/>
        <v>502</v>
      </c>
      <c r="I504">
        <f>SUM($F$3:F504)/H504</f>
        <v>4359341.4100473104</v>
      </c>
      <c r="N504">
        <f>IF(A504&lt;&gt;$K$27,MAX(N503,VLOOKUP(A504,A:C,3)),)</f>
        <v>0.76499998569488525</v>
      </c>
      <c r="O504">
        <f>IF(A504&lt;&gt;$K$27,MIN(O503,VLOOKUP(A504,A:D,4)),)</f>
        <v>0.74000000953674316</v>
      </c>
      <c r="P504">
        <f t="shared" si="14"/>
        <v>0.74533333381017053</v>
      </c>
      <c r="Q504">
        <f t="shared" si="9"/>
        <v>0.75442857543627428</v>
      </c>
      <c r="R504">
        <f t="shared" si="10"/>
        <v>-9.0952416261037561E-3</v>
      </c>
      <c r="S504">
        <f t="shared" si="11"/>
        <v>4.0816352480933593E-3</v>
      </c>
      <c r="T504">
        <f t="shared" si="12"/>
        <v>6.1224528721400383E-5</v>
      </c>
      <c r="U504">
        <f t="shared" si="13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15"/>
        <v>503</v>
      </c>
      <c r="I505">
        <f>SUM($F$3:F505)/H505</f>
        <v>4353791.2283175942</v>
      </c>
      <c r="N505">
        <f>IF(A505&lt;&gt;$K$27,MAX(N504,VLOOKUP(A505,A:C,3)),)</f>
        <v>0.76499998569488525</v>
      </c>
      <c r="O505">
        <f>IF(A505&lt;&gt;$K$27,MIN(O504,VLOOKUP(A505,A:D,4)),)</f>
        <v>0.73799997568130493</v>
      </c>
      <c r="P505">
        <f t="shared" si="14"/>
        <v>0.74166665474573767</v>
      </c>
      <c r="Q505">
        <f t="shared" si="9"/>
        <v>0.75321428974469495</v>
      </c>
      <c r="R505">
        <f t="shared" si="10"/>
        <v>-1.1547634998957279E-2</v>
      </c>
      <c r="S505">
        <f t="shared" si="11"/>
        <v>4.7551052910941071E-3</v>
      </c>
      <c r="T505">
        <f t="shared" si="12"/>
        <v>7.1326579366411604E-5</v>
      </c>
      <c r="U505">
        <f t="shared" si="13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15"/>
        <v>504</v>
      </c>
      <c r="I506">
        <f>SUM($F$3:F506)/H506</f>
        <v>4347235.6901661707</v>
      </c>
      <c r="N506">
        <f>IF(A506&lt;&gt;$K$27,MAX(N505,VLOOKUP(A506,A:C,3)),)</f>
        <v>0.76499998569488525</v>
      </c>
      <c r="O506">
        <f>IF(A506&lt;&gt;$K$27,MIN(O505,VLOOKUP(A506,A:D,4)),)</f>
        <v>0.73400002717971802</v>
      </c>
      <c r="P506">
        <f t="shared" si="14"/>
        <v>0.73700000842412317</v>
      </c>
      <c r="Q506">
        <f t="shared" si="9"/>
        <v>0.75147619417735512</v>
      </c>
      <c r="R506">
        <f t="shared" si="10"/>
        <v>-1.4476185753231952E-2</v>
      </c>
      <c r="S506">
        <f t="shared" si="11"/>
        <v>5.5034038971881428E-3</v>
      </c>
      <c r="T506">
        <f t="shared" si="12"/>
        <v>8.2551058457822136E-5</v>
      </c>
      <c r="U506">
        <f t="shared" si="13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15"/>
        <v>505</v>
      </c>
      <c r="I507">
        <f>SUM($F$3:F507)/H507</f>
        <v>4346030.6689975243</v>
      </c>
      <c r="N507">
        <f>IF(A507&lt;&gt;$K$27,MAX(N506,VLOOKUP(A507,A:C,3)),)</f>
        <v>0.76499998569488525</v>
      </c>
      <c r="O507">
        <f>IF(A507&lt;&gt;$K$27,MIN(O506,VLOOKUP(A507,A:D,4)),)</f>
        <v>0.73400002717971802</v>
      </c>
      <c r="P507">
        <f t="shared" si="14"/>
        <v>0.75066667795181274</v>
      </c>
      <c r="Q507">
        <f t="shared" si="9"/>
        <v>0.75085714601335074</v>
      </c>
      <c r="R507">
        <f t="shared" si="10"/>
        <v>-1.9046806153799611E-4</v>
      </c>
      <c r="S507">
        <f t="shared" si="11"/>
        <v>5.0000009082612562E-3</v>
      </c>
      <c r="T507">
        <f t="shared" si="12"/>
        <v>7.500001362391884E-5</v>
      </c>
      <c r="U507">
        <f t="shared" si="13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15"/>
        <v>506</v>
      </c>
      <c r="I508">
        <f>SUM($F$3:F508)/H508</f>
        <v>4339703.335659585</v>
      </c>
      <c r="N508">
        <f>IF(A508&lt;&gt;$K$27,MAX(N507,VLOOKUP(A508,A:C,3)),)</f>
        <v>0.76499998569488525</v>
      </c>
      <c r="O508">
        <f>IF(A508&lt;&gt;$K$27,MIN(O507,VLOOKUP(A508,A:D,4)),)</f>
        <v>0.73400002717971802</v>
      </c>
      <c r="P508">
        <f t="shared" si="14"/>
        <v>0.74866668383280432</v>
      </c>
      <c r="Q508">
        <f t="shared" si="9"/>
        <v>0.75042857584499167</v>
      </c>
      <c r="R508">
        <f t="shared" si="10"/>
        <v>-1.7618920121873494E-3</v>
      </c>
      <c r="S508">
        <f t="shared" si="11"/>
        <v>4.8571441854749486E-3</v>
      </c>
      <c r="T508">
        <f t="shared" si="12"/>
        <v>7.285716278212423E-5</v>
      </c>
      <c r="U508">
        <f t="shared" si="13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15"/>
        <v>507</v>
      </c>
      <c r="I509">
        <f>SUM($F$3:F509)/H509</f>
        <v>4334035.4789817557</v>
      </c>
      <c r="N509">
        <f>IF(A509&lt;&gt;$K$27,MAX(N508,VLOOKUP(A509,A:C,3)),)</f>
        <v>0.76499998569488525</v>
      </c>
      <c r="O509">
        <f>IF(A509&lt;&gt;$K$27,MIN(O508,VLOOKUP(A509,A:D,4)),)</f>
        <v>0.73400002717971802</v>
      </c>
      <c r="P509">
        <f t="shared" si="14"/>
        <v>0.74799998601277673</v>
      </c>
      <c r="Q509">
        <f t="shared" si="9"/>
        <v>0.7505476219313485</v>
      </c>
      <c r="R509">
        <f t="shared" si="10"/>
        <v>-2.5476359185717667E-3</v>
      </c>
      <c r="S509">
        <f t="shared" si="11"/>
        <v>4.7380980991181898E-3</v>
      </c>
      <c r="T509">
        <f t="shared" si="12"/>
        <v>7.1071471486772839E-5</v>
      </c>
      <c r="U509">
        <f t="shared" si="13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15"/>
        <v>508</v>
      </c>
      <c r="I510">
        <f>SUM($F$3:F510)/H510</f>
        <v>4329964.7437869096</v>
      </c>
      <c r="N510">
        <f>IF(A510&lt;&gt;$K$27,MAX(N509,VLOOKUP(A510,A:C,3)),)</f>
        <v>0.76499998569488525</v>
      </c>
      <c r="O510">
        <f>IF(A510&lt;&gt;$K$27,MIN(O509,VLOOKUP(A510,A:D,4)),)</f>
        <v>0.73400002717971802</v>
      </c>
      <c r="P510">
        <f t="shared" si="14"/>
        <v>0.75366667906443274</v>
      </c>
      <c r="Q510">
        <f t="shared" si="9"/>
        <v>0.75083333679607922</v>
      </c>
      <c r="R510">
        <f t="shared" si="10"/>
        <v>2.8333422683535225E-3</v>
      </c>
      <c r="S510">
        <f t="shared" si="11"/>
        <v>4.8809548219044974E-3</v>
      </c>
      <c r="T510">
        <f t="shared" si="12"/>
        <v>7.3214322328567463E-5</v>
      </c>
      <c r="U510">
        <f t="shared" si="13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15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14"/>
        <v>0.76200000445048011</v>
      </c>
      <c r="Q511">
        <f t="shared" si="9"/>
        <v>0.75133333603541053</v>
      </c>
      <c r="R511">
        <f t="shared" si="10"/>
        <v>1.066666841506958E-2</v>
      </c>
      <c r="S511">
        <f t="shared" si="11"/>
        <v>5.3809540612356922E-3</v>
      </c>
      <c r="T511">
        <f t="shared" si="12"/>
        <v>8.0714310918535384E-5</v>
      </c>
      <c r="U511">
        <f t="shared" si="13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15"/>
        <v>510</v>
      </c>
      <c r="I512">
        <f>SUM($F$3:F512)/H512</f>
        <v>4319415.8742034314</v>
      </c>
      <c r="N512">
        <f>IF(A512&lt;&gt;$K$28,MAX(N511,VLOOKUP(A512,A:C,3)),)</f>
        <v>0.7630000114440918</v>
      </c>
      <c r="O512">
        <f>IF(A512&lt;&gt;$K$28,MIN(O511,VLOOKUP(A512,A:D,4)),)</f>
        <v>0.75700002908706665</v>
      </c>
      <c r="P512">
        <f t="shared" si="14"/>
        <v>0.75966668128967285</v>
      </c>
      <c r="Q512">
        <f t="shared" si="9"/>
        <v>0.75183333669389996</v>
      </c>
      <c r="R512">
        <f t="shared" si="10"/>
        <v>7.8333445957728953E-3</v>
      </c>
      <c r="S512">
        <f t="shared" si="11"/>
        <v>5.8809547197250988E-3</v>
      </c>
      <c r="T512">
        <f t="shared" si="12"/>
        <v>8.8214320795876482E-5</v>
      </c>
      <c r="U512">
        <f t="shared" si="13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15"/>
        <v>511</v>
      </c>
      <c r="I513">
        <f>SUM($F$3:F513)/H513</f>
        <v>4311345.9801247558</v>
      </c>
      <c r="N513">
        <f>IF(A513&lt;&gt;$K$28,MAX(N512,VLOOKUP(A513,A:C,3)),)</f>
        <v>0.7630000114440918</v>
      </c>
      <c r="O513">
        <f>IF(A513&lt;&gt;$K$28,MIN(O512,VLOOKUP(A513,A:D,4)),)</f>
        <v>0.75499999523162842</v>
      </c>
      <c r="P513">
        <f t="shared" si="14"/>
        <v>0.75699998935063684</v>
      </c>
      <c r="Q513">
        <f t="shared" si="9"/>
        <v>0.75171428776922677</v>
      </c>
      <c r="R513">
        <f t="shared" si="10"/>
        <v>5.2857015814100627E-3</v>
      </c>
      <c r="S513">
        <f t="shared" si="11"/>
        <v>5.7619057950519326E-3</v>
      </c>
      <c r="T513">
        <f t="shared" si="12"/>
        <v>8.6428586925778981E-5</v>
      </c>
      <c r="U513">
        <f t="shared" si="13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15"/>
        <v>512</v>
      </c>
      <c r="I514">
        <f>SUM($F$3:F514)/H514</f>
        <v>4303307.6090698242</v>
      </c>
      <c r="N514">
        <f>IF(A514&lt;&gt;$K$28,MAX(N513,VLOOKUP(A514,A:C,3)),)</f>
        <v>0.7630000114440918</v>
      </c>
      <c r="O514">
        <f>IF(A514&lt;&gt;$K$28,MIN(O513,VLOOKUP(A514,A:D,4)),)</f>
        <v>0.75499999523162842</v>
      </c>
      <c r="P514">
        <f t="shared" si="14"/>
        <v>0.75866665442784631</v>
      </c>
      <c r="Q514">
        <f t="shared" si="9"/>
        <v>0.75161904806182511</v>
      </c>
      <c r="R514">
        <f t="shared" si="10"/>
        <v>7.0476063660211974E-3</v>
      </c>
      <c r="S514">
        <f t="shared" si="11"/>
        <v>5.6666660876501119E-3</v>
      </c>
      <c r="T514">
        <f t="shared" si="12"/>
        <v>8.4999991314751671E-5</v>
      </c>
      <c r="U514">
        <f t="shared" si="13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15"/>
        <v>513</v>
      </c>
      <c r="I515">
        <f>SUM($F$3:F515)/H515</f>
        <v>4298247.1653874265</v>
      </c>
      <c r="N515">
        <f>IF(A515&lt;&gt;$K$28,MAX(N514,VLOOKUP(A515,A:C,3)),)</f>
        <v>0.76999998092651367</v>
      </c>
      <c r="O515">
        <f>IF(A515&lt;&gt;$K$28,MIN(O514,VLOOKUP(A515,A:D,4)),)</f>
        <v>0.75499999523162842</v>
      </c>
      <c r="P515">
        <f t="shared" si="14"/>
        <v>0.76633334159851074</v>
      </c>
      <c r="Q515">
        <f t="shared" si="9"/>
        <v>0.75233333451407314</v>
      </c>
      <c r="R515">
        <f t="shared" si="10"/>
        <v>1.4000007084437605E-2</v>
      </c>
      <c r="S515">
        <f t="shared" si="11"/>
        <v>6.3809525398980981E-3</v>
      </c>
      <c r="T515">
        <f t="shared" si="12"/>
        <v>9.571428809847147E-5</v>
      </c>
      <c r="U515">
        <f t="shared" si="13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15"/>
        <v>514</v>
      </c>
      <c r="I516">
        <f>SUM($F$3:F516)/H516</f>
        <v>4290730.9257660508</v>
      </c>
      <c r="N516">
        <f>IF(A516&lt;&gt;$K$28,MAX(N515,VLOOKUP(A516,A:C,3)),)</f>
        <v>0.76999998092651367</v>
      </c>
      <c r="O516">
        <f>IF(A516&lt;&gt;$K$28,MIN(O515,VLOOKUP(A516,A:D,4)),)</f>
        <v>0.75499999523162842</v>
      </c>
      <c r="P516">
        <f t="shared" si="14"/>
        <v>0.76100001732508338</v>
      </c>
      <c r="Q516">
        <f t="shared" si="9"/>
        <v>0.75285714580899199</v>
      </c>
      <c r="R516">
        <f t="shared" si="10"/>
        <v>8.1428715160913878E-3</v>
      </c>
      <c r="S516">
        <f t="shared" si="11"/>
        <v>6.9047638348170614E-3</v>
      </c>
      <c r="T516">
        <f t="shared" si="12"/>
        <v>1.0357145752225592E-4</v>
      </c>
      <c r="U516">
        <f t="shared" si="13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15"/>
        <v>515</v>
      </c>
      <c r="I517">
        <f>SUM($F$3:F517)/H517</f>
        <v>4285978.0501820389</v>
      </c>
      <c r="N517">
        <f>IF(A517&lt;&gt;$K$28,MAX(N516,VLOOKUP(A517,A:C,3)),)</f>
        <v>0.76999998092651367</v>
      </c>
      <c r="O517">
        <f>IF(A517&lt;&gt;$K$28,MIN(O516,VLOOKUP(A517,A:D,4)),)</f>
        <v>0.75499999523162842</v>
      </c>
      <c r="P517">
        <f t="shared" si="14"/>
        <v>0.75799999634424842</v>
      </c>
      <c r="Q517">
        <f t="shared" si="9"/>
        <v>0.75340476490202402</v>
      </c>
      <c r="R517">
        <f t="shared" si="10"/>
        <v>4.5952314422244012E-3</v>
      </c>
      <c r="S517">
        <f t="shared" si="11"/>
        <v>7.0136063763884416E-3</v>
      </c>
      <c r="T517">
        <f t="shared" si="12"/>
        <v>1.0520409564582662E-4</v>
      </c>
      <c r="U517">
        <f t="shared" si="13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15"/>
        <v>516</v>
      </c>
      <c r="I518">
        <f>SUM($F$3:F518)/H518</f>
        <v>4282880.5113250967</v>
      </c>
      <c r="N518">
        <f>IF(A518&lt;&gt;$K$28,MAX(N517,VLOOKUP(A518,A:C,3)),)</f>
        <v>0.76999998092651367</v>
      </c>
      <c r="O518">
        <f>IF(A518&lt;&gt;$K$28,MIN(O517,VLOOKUP(A518,A:D,4)),)</f>
        <v>0.75099998712539673</v>
      </c>
      <c r="P518">
        <f t="shared" si="14"/>
        <v>0.75299998124440515</v>
      </c>
      <c r="Q518">
        <f t="shared" si="9"/>
        <v>0.75395238257589792</v>
      </c>
      <c r="R518">
        <f t="shared" si="10"/>
        <v>-9.5240133149276929E-4</v>
      </c>
      <c r="S518">
        <f t="shared" si="11"/>
        <v>6.428572393599008E-3</v>
      </c>
      <c r="T518">
        <f t="shared" si="12"/>
        <v>9.6428585903985111E-5</v>
      </c>
      <c r="U518">
        <f t="shared" si="13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15"/>
        <v>517</v>
      </c>
      <c r="I519">
        <f>SUM($F$3:F519)/H519</f>
        <v>4277352.1196204061</v>
      </c>
      <c r="N519">
        <f>IF(A519&lt;&gt;$K$28,MAX(N518,VLOOKUP(A519,A:C,3)),)</f>
        <v>0.76999998092651367</v>
      </c>
      <c r="O519">
        <f>IF(A519&lt;&gt;$K$28,MIN(O518,VLOOKUP(A519,A:D,4)),)</f>
        <v>0.74800002574920654</v>
      </c>
      <c r="P519">
        <f t="shared" si="14"/>
        <v>0.75233334302902222</v>
      </c>
      <c r="Q519">
        <f t="shared" si="9"/>
        <v>0.75471428888184688</v>
      </c>
      <c r="R519">
        <f t="shared" si="10"/>
        <v>-2.3809458528246674E-3</v>
      </c>
      <c r="S519">
        <f t="shared" si="11"/>
        <v>5.6666660876501119E-3</v>
      </c>
      <c r="T519">
        <f t="shared" si="12"/>
        <v>8.4999991314751671E-5</v>
      </c>
      <c r="U519">
        <f t="shared" si="13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15"/>
        <v>518</v>
      </c>
      <c r="I520">
        <f>SUM($F$3:F520)/H520</f>
        <v>4270789.2776906369</v>
      </c>
      <c r="N520">
        <f>IF(A520&lt;&gt;$K$28,MAX(N519,VLOOKUP(A520,A:C,3)),)</f>
        <v>0.76999998092651367</v>
      </c>
      <c r="O520">
        <f>IF(A520&lt;&gt;$K$28,MIN(O519,VLOOKUP(A520,A:D,4)),)</f>
        <v>0.73900002241134644</v>
      </c>
      <c r="P520">
        <f t="shared" si="14"/>
        <v>0.74333333969116211</v>
      </c>
      <c r="Q520">
        <f t="shared" si="9"/>
        <v>0.75516666968663526</v>
      </c>
      <c r="R520">
        <f t="shared" si="10"/>
        <v>-1.1833329995473152E-2</v>
      </c>
      <c r="S520">
        <f t="shared" si="11"/>
        <v>5.214285282861616E-3</v>
      </c>
      <c r="T520">
        <f t="shared" si="12"/>
        <v>7.8214279242924242E-5</v>
      </c>
      <c r="U520">
        <f t="shared" si="13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15"/>
        <v>519</v>
      </c>
      <c r="I521">
        <f>SUM($F$3:F521)/H521</f>
        <v>4267261.6355370907</v>
      </c>
      <c r="N521">
        <f>IF(A521&lt;&gt;$K$28,MAX(N520,VLOOKUP(A521,A:C,3)),)</f>
        <v>0.76999998092651367</v>
      </c>
      <c r="O521">
        <f>IF(A521&lt;&gt;$K$28,MIN(O520,VLOOKUP(A521,A:D,4)),)</f>
        <v>0.72299998998641968</v>
      </c>
      <c r="P521">
        <f t="shared" si="14"/>
        <v>0.73199999332427979</v>
      </c>
      <c r="Q521">
        <f t="shared" si="9"/>
        <v>0.75383333507038297</v>
      </c>
      <c r="R521">
        <f t="shared" si="10"/>
        <v>-2.1833341746103185E-2</v>
      </c>
      <c r="S521">
        <f t="shared" si="11"/>
        <v>6.5476198991139701E-3</v>
      </c>
      <c r="T521">
        <f t="shared" si="12"/>
        <v>9.8214298486709543E-5</v>
      </c>
      <c r="U521">
        <f t="shared" si="13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15"/>
        <v>520</v>
      </c>
      <c r="I522">
        <f>SUM($F$3:F522)/H522</f>
        <v>4262421.5244591348</v>
      </c>
      <c r="N522">
        <f>IF(A522&lt;&gt;$K$28,MAX(N521,VLOOKUP(A522,A:C,3)),)</f>
        <v>0.76999998092651367</v>
      </c>
      <c r="O522">
        <f>IF(A522&lt;&gt;$K$28,MIN(O521,VLOOKUP(A522,A:D,4)),)</f>
        <v>0.72100001573562622</v>
      </c>
      <c r="P522">
        <f t="shared" si="14"/>
        <v>0.72566668192545569</v>
      </c>
      <c r="Q522">
        <f t="shared" si="9"/>
        <v>0.75219047779128656</v>
      </c>
      <c r="R522">
        <f t="shared" si="10"/>
        <v>-2.6523795865830868E-2</v>
      </c>
      <c r="S522">
        <f t="shared" si="11"/>
        <v>8.5374157444960772E-3</v>
      </c>
      <c r="T522">
        <f t="shared" si="12"/>
        <v>1.2806123616744116E-4</v>
      </c>
      <c r="U522">
        <f t="shared" si="13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15"/>
        <v>521</v>
      </c>
      <c r="I523">
        <f>SUM($F$3:F523)/H523</f>
        <v>4254861.7921665069</v>
      </c>
      <c r="N523">
        <f>IF(A523&lt;&gt;$K$28,MAX(N522,VLOOKUP(A523,A:C,3)),)</f>
        <v>0.76999998092651367</v>
      </c>
      <c r="O523">
        <f>IF(A523&lt;&gt;$K$28,MIN(O522,VLOOKUP(A523,A:D,4)),)</f>
        <v>0.72000002861022949</v>
      </c>
      <c r="P523">
        <f t="shared" si="14"/>
        <v>0.72233335177103675</v>
      </c>
      <c r="Q523">
        <f t="shared" si="9"/>
        <v>0.75035714677401955</v>
      </c>
      <c r="R523">
        <f t="shared" si="10"/>
        <v>-2.8023795002982799E-2</v>
      </c>
      <c r="S523">
        <f t="shared" si="11"/>
        <v>1.1156460054877653E-2</v>
      </c>
      <c r="T523">
        <f t="shared" si="12"/>
        <v>1.6734690082316478E-4</v>
      </c>
      <c r="U523">
        <f t="shared" si="13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15"/>
        <v>522</v>
      </c>
      <c r="I524">
        <f>SUM($F$3:F524)/H524</f>
        <v>4248506.6929477965</v>
      </c>
      <c r="N524">
        <f>IF(A524&lt;&gt;$K$28,MAX(N523,VLOOKUP(A524,A:C,3)),)</f>
        <v>0.76999998092651367</v>
      </c>
      <c r="O524">
        <f>IF(A524&lt;&gt;$K$28,MIN(O523,VLOOKUP(A524,A:D,4)),)</f>
        <v>0.71299999952316284</v>
      </c>
      <c r="P524">
        <f t="shared" si="14"/>
        <v>0.72066666682561242</v>
      </c>
      <c r="Q524">
        <f t="shared" si="9"/>
        <v>0.74800000304267511</v>
      </c>
      <c r="R524">
        <f t="shared" si="10"/>
        <v>-2.7333336217062687E-2</v>
      </c>
      <c r="S524">
        <f t="shared" si="11"/>
        <v>1.3714283096547058E-2</v>
      </c>
      <c r="T524">
        <f t="shared" si="12"/>
        <v>2.0571424644820585E-4</v>
      </c>
      <c r="U524">
        <f t="shared" si="13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15"/>
        <v>523</v>
      </c>
      <c r="I525">
        <f>SUM($F$3:F525)/H525</f>
        <v>4242294.0855043018</v>
      </c>
      <c r="N525">
        <f>IF(A525&lt;&gt;$K$28,MAX(N524,VLOOKUP(A525,A:C,3)),)</f>
        <v>0.76999998092651367</v>
      </c>
      <c r="O525">
        <f>IF(A525&lt;&gt;$K$28,MIN(O524,VLOOKUP(A525,A:D,4)),)</f>
        <v>0.71299999952316284</v>
      </c>
      <c r="P525">
        <f t="shared" si="14"/>
        <v>0.71866665283838904</v>
      </c>
      <c r="Q525">
        <f t="shared" si="9"/>
        <v>0.74490476364181146</v>
      </c>
      <c r="R525">
        <f t="shared" si="10"/>
        <v>-2.6238110803422421E-2</v>
      </c>
      <c r="S525">
        <f t="shared" si="11"/>
        <v>1.5251699353561941E-2</v>
      </c>
      <c r="T525">
        <f t="shared" si="12"/>
        <v>2.2877549030342911E-4</v>
      </c>
      <c r="U525">
        <f t="shared" si="13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15"/>
        <v>524</v>
      </c>
      <c r="I526">
        <f>SUM($F$3:F526)/H526</f>
        <v>4236003.4479365461</v>
      </c>
      <c r="N526">
        <f>IF(A526&lt;&gt;$K$28,MAX(N525,VLOOKUP(A526,A:C,3)),)</f>
        <v>0.76999998092651367</v>
      </c>
      <c r="O526">
        <f>IF(A526&lt;&gt;$K$28,MIN(O525,VLOOKUP(A526,A:D,4)),)</f>
        <v>0.70599997043609619</v>
      </c>
      <c r="P526">
        <f t="shared" si="14"/>
        <v>0.70899997154871619</v>
      </c>
      <c r="Q526">
        <f t="shared" si="9"/>
        <v>0.74128571294602885</v>
      </c>
      <c r="R526">
        <f t="shared" si="10"/>
        <v>-3.2285741397312662E-2</v>
      </c>
      <c r="S526">
        <f t="shared" si="11"/>
        <v>1.7054422777526255E-2</v>
      </c>
      <c r="T526">
        <f t="shared" si="12"/>
        <v>2.558163416628938E-4</v>
      </c>
      <c r="U526">
        <f t="shared" si="13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15"/>
        <v>525</v>
      </c>
      <c r="I527">
        <f>SUM($F$3:F527)/H527</f>
        <v>4231384.9651785716</v>
      </c>
      <c r="N527">
        <f>IF(A527&lt;&gt;$K$28,MAX(N526,VLOOKUP(A527,A:C,3)),)</f>
        <v>0.76999998092651367</v>
      </c>
      <c r="O527">
        <f>IF(A527&lt;&gt;$K$28,MIN(O526,VLOOKUP(A527,A:D,4)),)</f>
        <v>0.69700002670288086</v>
      </c>
      <c r="P527">
        <f t="shared" si="14"/>
        <v>0.70500000317891443</v>
      </c>
      <c r="Q527">
        <f t="shared" ref="Q527:Q781" si="16">SUM(P514:P527)/14</f>
        <v>0.73757142821947741</v>
      </c>
      <c r="R527">
        <f t="shared" ref="R527:R781" si="17">P527-Q527</f>
        <v>-3.2571425040562985E-2</v>
      </c>
      <c r="S527">
        <f t="shared" ref="S527:S781" si="18">AVEDEV(P514:P527)</f>
        <v>1.8523810874848144E-2</v>
      </c>
      <c r="T527">
        <f t="shared" ref="T527:T781" si="19">0.015*S527</f>
        <v>2.7785716312272215E-4</v>
      </c>
      <c r="U527">
        <f t="shared" ref="U527:U781" si="20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15"/>
        <v>526</v>
      </c>
      <c r="I528">
        <f>SUM($F$3:F528)/H528</f>
        <v>4225877.9614424901</v>
      </c>
      <c r="N528">
        <f>IF(A528&lt;&gt;$K$28,MAX(N527,VLOOKUP(A528,A:C,3)),)</f>
        <v>0.76999998092651367</v>
      </c>
      <c r="O528">
        <f>IF(A528&lt;&gt;$K$28,MIN(O527,VLOOKUP(A528,A:D,4)),)</f>
        <v>0.69300001859664917</v>
      </c>
      <c r="P528">
        <f t="shared" si="14"/>
        <v>0.69666667779286706</v>
      </c>
      <c r="Q528">
        <f t="shared" si="16"/>
        <v>0.73314285845983596</v>
      </c>
      <c r="R528">
        <f t="shared" si="17"/>
        <v>-3.6476180666968894E-2</v>
      </c>
      <c r="S528">
        <f t="shared" si="18"/>
        <v>1.9306124067630898E-2</v>
      </c>
      <c r="T528">
        <f t="shared" si="19"/>
        <v>2.8959186101446346E-4</v>
      </c>
      <c r="U528">
        <f t="shared" si="20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15"/>
        <v>527</v>
      </c>
      <c r="I529">
        <f>SUM($F$3:F529)/H529</f>
        <v>4221190.147473909</v>
      </c>
      <c r="N529">
        <f>IF(A529&lt;&gt;$K$28,MAX(N528,VLOOKUP(A529,A:C,3)),)</f>
        <v>0.76999998092651367</v>
      </c>
      <c r="O529">
        <f>IF(A529&lt;&gt;$K$28,MIN(O528,VLOOKUP(A529,A:D,4)),)</f>
        <v>0.69300001859664917</v>
      </c>
      <c r="P529">
        <f t="shared" si="14"/>
        <v>0.70166667302449548</v>
      </c>
      <c r="Q529">
        <f t="shared" si="16"/>
        <v>0.72852381070454919</v>
      </c>
      <c r="R529">
        <f t="shared" si="17"/>
        <v>-2.6857137680053711E-2</v>
      </c>
      <c r="S529">
        <f t="shared" si="18"/>
        <v>1.8360543818700885E-2</v>
      </c>
      <c r="T529">
        <f t="shared" si="19"/>
        <v>2.7540815728051326E-4</v>
      </c>
      <c r="U529">
        <f t="shared" si="20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15"/>
        <v>528</v>
      </c>
      <c r="I530">
        <f>SUM($F$3:F530)/H530</f>
        <v>4221017.628255208</v>
      </c>
      <c r="N530">
        <f>IF(A530&lt;&gt;$K$28,MAX(N529,VLOOKUP(A530,A:C,3)),)</f>
        <v>0.76999998092651367</v>
      </c>
      <c r="O530">
        <f>IF(A530&lt;&gt;$K$28,MIN(O529,VLOOKUP(A530,A:D,4)),)</f>
        <v>0.68699997663497925</v>
      </c>
      <c r="P530">
        <f t="shared" si="14"/>
        <v>0.69033332665761316</v>
      </c>
      <c r="Q530">
        <f t="shared" si="16"/>
        <v>0.72347618994258711</v>
      </c>
      <c r="R530">
        <f t="shared" si="17"/>
        <v>-3.3142863284973956E-2</v>
      </c>
      <c r="S530">
        <f t="shared" si="18"/>
        <v>1.763945655757879E-2</v>
      </c>
      <c r="T530">
        <f t="shared" si="19"/>
        <v>2.6459184836368182E-4</v>
      </c>
      <c r="U530">
        <f t="shared" si="20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15"/>
        <v>529</v>
      </c>
      <c r="I531">
        <f>SUM($F$3:F531)/H531</f>
        <v>4220752.1885042535</v>
      </c>
      <c r="N531">
        <f>IF(A531&lt;&gt;$K$28,MAX(N530,VLOOKUP(A531,A:C,3)),)</f>
        <v>0.76999998092651367</v>
      </c>
      <c r="O531">
        <f>IF(A531&lt;&gt;$K$28,MIN(O530,VLOOKUP(A531,A:D,4)),)</f>
        <v>0.68699997663497925</v>
      </c>
      <c r="P531">
        <f t="shared" si="14"/>
        <v>0.70733332633972168</v>
      </c>
      <c r="Q531">
        <f t="shared" si="16"/>
        <v>0.71985714208512086</v>
      </c>
      <c r="R531">
        <f t="shared" si="17"/>
        <v>-1.2523815745399181E-2</v>
      </c>
      <c r="S531">
        <f t="shared" si="18"/>
        <v>1.576190903073265E-2</v>
      </c>
      <c r="T531">
        <f t="shared" si="19"/>
        <v>2.3642863546098974E-4</v>
      </c>
      <c r="U531">
        <f t="shared" si="20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15"/>
        <v>530</v>
      </c>
      <c r="I532">
        <f>SUM($F$3:F532)/H532</f>
        <v>4219266.2409787737</v>
      </c>
      <c r="N532">
        <f>IF(A532&lt;&gt;$K$28,MAX(N531,VLOOKUP(A532,A:C,3)),)</f>
        <v>0.76999998092651367</v>
      </c>
      <c r="O532">
        <f>IF(A532&lt;&gt;$K$28,MIN(O531,VLOOKUP(A532,A:D,4)),)</f>
        <v>0.68699997663497925</v>
      </c>
      <c r="P532">
        <f t="shared" si="14"/>
        <v>0.70766667524973548</v>
      </c>
      <c r="Q532">
        <f t="shared" si="16"/>
        <v>0.71661904879978711</v>
      </c>
      <c r="R532">
        <f t="shared" si="17"/>
        <v>-8.9523735500516288E-3</v>
      </c>
      <c r="S532">
        <f t="shared" si="18"/>
        <v>1.4095241115206754E-2</v>
      </c>
      <c r="T532">
        <f t="shared" si="19"/>
        <v>2.1142861672810128E-4</v>
      </c>
      <c r="U532">
        <f t="shared" si="20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15"/>
        <v>531</v>
      </c>
      <c r="I533">
        <f>SUM($F$3:F533)/H533</f>
        <v>4217153.3215042371</v>
      </c>
      <c r="N533">
        <f>IF(A533&lt;&gt;$K$28,MAX(N532,VLOOKUP(A533,A:C,3)),)</f>
        <v>0.76999998092651367</v>
      </c>
      <c r="O533">
        <f>IF(A533&lt;&gt;$K$28,MIN(O532,VLOOKUP(A533,A:D,4)),)</f>
        <v>0.68699997663497925</v>
      </c>
      <c r="P533">
        <f t="shared" si="14"/>
        <v>0.71833332379659021</v>
      </c>
      <c r="Q533">
        <f t="shared" si="16"/>
        <v>0.71419047599747054</v>
      </c>
      <c r="R533">
        <f t="shared" si="17"/>
        <v>4.1428477991196644E-3</v>
      </c>
      <c r="S533">
        <f t="shared" si="18"/>
        <v>1.1666668312890181E-2</v>
      </c>
      <c r="T533">
        <f t="shared" si="19"/>
        <v>1.7500002469335269E-4</v>
      </c>
      <c r="U533">
        <f t="shared" si="20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15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14"/>
        <v>0.71499999364217126</v>
      </c>
      <c r="Q534">
        <f t="shared" si="16"/>
        <v>0.71216666556539987</v>
      </c>
      <c r="R534">
        <f t="shared" si="17"/>
        <v>2.8333280767713909E-3</v>
      </c>
      <c r="S534">
        <f t="shared" si="18"/>
        <v>9.6428578808194065E-3</v>
      </c>
      <c r="T534">
        <f t="shared" si="19"/>
        <v>1.446428682122911E-4</v>
      </c>
      <c r="U534">
        <f t="shared" si="20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15"/>
        <v>533</v>
      </c>
      <c r="I535">
        <f>SUM($F$3:F535)/H535</f>
        <v>4219019.7593222326</v>
      </c>
      <c r="N535">
        <f>IF(A535&lt;&gt;$K$29,MAX(N534,VLOOKUP(A535,A:C,3)),)</f>
        <v>0.72100001573562622</v>
      </c>
      <c r="O535">
        <f>IF(A535&lt;&gt;$K$29,MIN(O534,VLOOKUP(A535,A:D,4)),)</f>
        <v>0.7149999737739563</v>
      </c>
      <c r="P535">
        <f t="shared" si="14"/>
        <v>0.71766666571299231</v>
      </c>
      <c r="Q535">
        <f t="shared" si="16"/>
        <v>0.71114285645030784</v>
      </c>
      <c r="R535">
        <f t="shared" si="17"/>
        <v>6.5238092626844768E-3</v>
      </c>
      <c r="S535">
        <f t="shared" si="18"/>
        <v>8.6190487657274439E-3</v>
      </c>
      <c r="T535">
        <f t="shared" si="19"/>
        <v>1.2928573148591164E-4</v>
      </c>
      <c r="U535">
        <f t="shared" si="20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15"/>
        <v>534</v>
      </c>
      <c r="I536">
        <f>SUM($F$3:F536)/H536</f>
        <v>4213730.0238178838</v>
      </c>
      <c r="N536">
        <f>IF(A536&lt;&gt;$K$29,MAX(N535,VLOOKUP(A536,A:C,3)),)</f>
        <v>0.72399997711181641</v>
      </c>
      <c r="O536">
        <f>IF(A536&lt;&gt;$K$29,MIN(O535,VLOOKUP(A536,A:D,4)),)</f>
        <v>0.7149999737739563</v>
      </c>
      <c r="P536">
        <f t="shared" si="14"/>
        <v>0.72166665395100915</v>
      </c>
      <c r="Q536">
        <f t="shared" si="16"/>
        <v>0.71085714016641888</v>
      </c>
      <c r="R536">
        <f t="shared" si="17"/>
        <v>1.0809513784590274E-2</v>
      </c>
      <c r="S536">
        <f t="shared" si="18"/>
        <v>8.3333324818384048E-3</v>
      </c>
      <c r="T536">
        <f t="shared" si="19"/>
        <v>1.2499998722757607E-4</v>
      </c>
      <c r="U536">
        <f t="shared" si="20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15"/>
        <v>535</v>
      </c>
      <c r="I537">
        <f>SUM($F$3:F537)/H537</f>
        <v>4211775.9546144856</v>
      </c>
      <c r="N537">
        <f>IF(A537&lt;&gt;$K$29,MAX(N536,VLOOKUP(A537,A:C,3)),)</f>
        <v>0.72600001096725464</v>
      </c>
      <c r="O537">
        <f>IF(A537&lt;&gt;$K$29,MIN(O536,VLOOKUP(A537,A:D,4)),)</f>
        <v>0.7149999737739563</v>
      </c>
      <c r="P537">
        <f t="shared" si="14"/>
        <v>0.72133332490921021</v>
      </c>
      <c r="Q537">
        <f t="shared" si="16"/>
        <v>0.71078570967628851</v>
      </c>
      <c r="R537">
        <f t="shared" si="17"/>
        <v>1.0547615232921692E-2</v>
      </c>
      <c r="S537">
        <f t="shared" si="18"/>
        <v>8.2619019917079383E-3</v>
      </c>
      <c r="T537">
        <f t="shared" si="19"/>
        <v>1.2392852987561906E-4</v>
      </c>
      <c r="U537">
        <f t="shared" si="20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15"/>
        <v>536</v>
      </c>
      <c r="I538">
        <f>SUM($F$3:F538)/H538</f>
        <v>4209189.0591767728</v>
      </c>
      <c r="N538">
        <f>IF(A538&lt;&gt;$K$29,MAX(N537,VLOOKUP(A538,A:C,3)),)</f>
        <v>0.72600001096725464</v>
      </c>
      <c r="O538">
        <f>IF(A538&lt;&gt;$K$29,MIN(O537,VLOOKUP(A538,A:D,4)),)</f>
        <v>0.71299999952316284</v>
      </c>
      <c r="P538">
        <f t="shared" si="14"/>
        <v>0.71566667159398401</v>
      </c>
      <c r="Q538">
        <f t="shared" si="16"/>
        <v>0.71042856715974356</v>
      </c>
      <c r="R538">
        <f t="shared" si="17"/>
        <v>5.2381044342404426E-3</v>
      </c>
      <c r="S538">
        <f t="shared" si="18"/>
        <v>7.9047594751630503E-3</v>
      </c>
      <c r="T538">
        <f t="shared" si="19"/>
        <v>1.1857139212744575E-4</v>
      </c>
      <c r="U538">
        <f t="shared" si="20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15"/>
        <v>537</v>
      </c>
      <c r="I539">
        <f>SUM($F$3:F539)/H539</f>
        <v>4211523.157763035</v>
      </c>
      <c r="N539">
        <f>IF(A539&lt;&gt;$K$29,MAX(N538,VLOOKUP(A539,A:C,3)),)</f>
        <v>0.72600001096725464</v>
      </c>
      <c r="O539">
        <f>IF(A539&lt;&gt;$K$29,MIN(O538,VLOOKUP(A539,A:D,4)),)</f>
        <v>0.70099997520446777</v>
      </c>
      <c r="P539">
        <f t="shared" si="14"/>
        <v>0.70466665426890052</v>
      </c>
      <c r="Q539">
        <f t="shared" si="16"/>
        <v>0.70942856726192283</v>
      </c>
      <c r="R539">
        <f t="shared" si="17"/>
        <v>-4.7619129930223103E-3</v>
      </c>
      <c r="S539">
        <f t="shared" si="18"/>
        <v>7.585032862059915E-3</v>
      </c>
      <c r="T539">
        <f t="shared" si="19"/>
        <v>1.1377549293089872E-4</v>
      </c>
      <c r="U539">
        <f t="shared" si="20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15"/>
        <v>538</v>
      </c>
      <c r="I540">
        <f>SUM($F$3:F540)/H540</f>
        <v>4212624.2299605021</v>
      </c>
      <c r="N540">
        <f>IF(A540&lt;&gt;$K$29,MAX(N539,VLOOKUP(A540,A:C,3)),)</f>
        <v>0.72600001096725464</v>
      </c>
      <c r="O540">
        <f>IF(A540&lt;&gt;$K$29,MIN(O539,VLOOKUP(A540,A:D,4)),)</f>
        <v>0.6940000057220459</v>
      </c>
      <c r="P540">
        <f t="shared" si="14"/>
        <v>0.69766666491826379</v>
      </c>
      <c r="Q540">
        <f t="shared" si="16"/>
        <v>0.70861904535974773</v>
      </c>
      <c r="R540">
        <f t="shared" si="17"/>
        <v>-1.0952380441483944E-2</v>
      </c>
      <c r="S540">
        <f t="shared" si="18"/>
        <v>8.2789087782100725E-3</v>
      </c>
      <c r="T540">
        <f t="shared" si="19"/>
        <v>1.2418363167315108E-4</v>
      </c>
      <c r="U540">
        <f t="shared" si="20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15"/>
        <v>539</v>
      </c>
      <c r="I541">
        <f>SUM($F$3:F541)/H541</f>
        <v>4214093.9438195731</v>
      </c>
      <c r="N541">
        <f>IF(A541&lt;&gt;$K$29,MAX(N540,VLOOKUP(A541,A:C,3)),)</f>
        <v>0.72600001096725464</v>
      </c>
      <c r="O541">
        <f>IF(A541&lt;&gt;$K$29,MIN(O540,VLOOKUP(A541,A:D,4)),)</f>
        <v>0.6940000057220459</v>
      </c>
      <c r="P541">
        <f t="shared" si="14"/>
        <v>0.70200000206629432</v>
      </c>
      <c r="Q541">
        <f t="shared" si="16"/>
        <v>0.70840475956598914</v>
      </c>
      <c r="R541">
        <f t="shared" si="17"/>
        <v>-6.4047574996948242E-3</v>
      </c>
      <c r="S541">
        <f t="shared" si="18"/>
        <v>8.4625823157174242E-3</v>
      </c>
      <c r="T541">
        <f t="shared" si="19"/>
        <v>1.2693873473576135E-4</v>
      </c>
      <c r="U541">
        <f t="shared" si="20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15"/>
        <v>540</v>
      </c>
      <c r="I542">
        <f>SUM($F$3:F542)/H542</f>
        <v>4210159.6957754632</v>
      </c>
      <c r="N542">
        <f>IF(A542&lt;&gt;$K$29,MAX(N541,VLOOKUP(A542,A:C,3)),)</f>
        <v>0.72600001096725464</v>
      </c>
      <c r="O542">
        <f>IF(A542&lt;&gt;$K$29,MIN(O541,VLOOKUP(A542,A:D,4)),)</f>
        <v>0.6940000057220459</v>
      </c>
      <c r="P542">
        <f t="shared" si="14"/>
        <v>0.70333331823348999</v>
      </c>
      <c r="Q542">
        <f t="shared" si="16"/>
        <v>0.7088809481688908</v>
      </c>
      <c r="R542">
        <f t="shared" si="17"/>
        <v>-5.5476299354008107E-3</v>
      </c>
      <c r="S542">
        <f t="shared" si="18"/>
        <v>8.0544206560874531E-3</v>
      </c>
      <c r="T542">
        <f t="shared" si="19"/>
        <v>1.2081630984131179E-4</v>
      </c>
      <c r="U542">
        <f t="shared" si="20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15"/>
        <v>541</v>
      </c>
      <c r="I543">
        <f>SUM($F$3:F543)/H543</f>
        <v>4207464.0512361368</v>
      </c>
      <c r="N543">
        <f>IF(A543&lt;&gt;$K$29,MAX(N542,VLOOKUP(A543,A:C,3)),)</f>
        <v>0.72600001096725464</v>
      </c>
      <c r="O543">
        <f>IF(A543&lt;&gt;$K$29,MIN(O542,VLOOKUP(A543,A:D,4)),)</f>
        <v>0.69099998474121094</v>
      </c>
      <c r="P543">
        <f t="shared" si="14"/>
        <v>0.69566665093104041</v>
      </c>
      <c r="Q543">
        <f t="shared" si="16"/>
        <v>0.70845237516221538</v>
      </c>
      <c r="R543">
        <f t="shared" si="17"/>
        <v>-1.2785724231174966E-2</v>
      </c>
      <c r="S543">
        <f t="shared" si="18"/>
        <v>8.421768947523469E-3</v>
      </c>
      <c r="T543">
        <f t="shared" si="19"/>
        <v>1.2632653421285202E-4</v>
      </c>
      <c r="U543">
        <f t="shared" si="20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15"/>
        <v>542</v>
      </c>
      <c r="I544">
        <f>SUM($F$3:F544)/H544</f>
        <v>4207243.4570456641</v>
      </c>
      <c r="N544">
        <f>IF(A544&lt;&gt;$K$29,MAX(N543,VLOOKUP(A544,A:C,3)),)</f>
        <v>0.72600001096725464</v>
      </c>
      <c r="O544">
        <f>IF(A544&lt;&gt;$K$29,MIN(O543,VLOOKUP(A544,A:D,4)),)</f>
        <v>0.68699997663497925</v>
      </c>
      <c r="P544">
        <f t="shared" si="14"/>
        <v>0.69033332665761316</v>
      </c>
      <c r="Q544">
        <f t="shared" si="16"/>
        <v>0.70845237516221538</v>
      </c>
      <c r="R544">
        <f t="shared" si="17"/>
        <v>-1.811904850460222E-2</v>
      </c>
      <c r="S544">
        <f t="shared" si="18"/>
        <v>8.421768947523469E-3</v>
      </c>
      <c r="T544">
        <f t="shared" si="19"/>
        <v>1.2632653421285202E-4</v>
      </c>
      <c r="U544">
        <f t="shared" si="20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15"/>
        <v>543</v>
      </c>
      <c r="I545">
        <f>SUM($F$3:F545)/H545</f>
        <v>4204542.8245280851</v>
      </c>
      <c r="N545">
        <f>IF(A545&lt;&gt;$K$29,MAX(N544,VLOOKUP(A545,A:C,3)),)</f>
        <v>0.72600001096725464</v>
      </c>
      <c r="O545">
        <f>IF(A545&lt;&gt;$K$29,MIN(O544,VLOOKUP(A545,A:D,4)),)</f>
        <v>0.68199998140335083</v>
      </c>
      <c r="P545">
        <f t="shared" si="14"/>
        <v>0.68533333142598474</v>
      </c>
      <c r="Q545">
        <f t="shared" si="16"/>
        <v>0.70688094695409143</v>
      </c>
      <c r="R545">
        <f t="shared" si="17"/>
        <v>-2.1547615528106689E-2</v>
      </c>
      <c r="S545">
        <f t="shared" si="18"/>
        <v>9.8809543110075504E-3</v>
      </c>
      <c r="T545">
        <f t="shared" si="19"/>
        <v>1.4821431466511325E-4</v>
      </c>
      <c r="U545">
        <f t="shared" si="20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15"/>
        <v>544</v>
      </c>
      <c r="I546">
        <f>SUM($F$3:F546)/H546</f>
        <v>4203341.6428653495</v>
      </c>
      <c r="N546">
        <f>IF(A546&lt;&gt;$K$29,MAX(N545,VLOOKUP(A546,A:C,3)),)</f>
        <v>0.72600001096725464</v>
      </c>
      <c r="O546">
        <f>IF(A546&lt;&gt;$K$29,MIN(O545,VLOOKUP(A546,A:D,4)),)</f>
        <v>0.68199998140335083</v>
      </c>
      <c r="P546">
        <f t="shared" si="14"/>
        <v>0.68800002336502075</v>
      </c>
      <c r="Q546">
        <f t="shared" si="16"/>
        <v>0.70547618610518337</v>
      </c>
      <c r="R546">
        <f t="shared" si="17"/>
        <v>-1.7476162740162615E-2</v>
      </c>
      <c r="S546">
        <f t="shared" si="18"/>
        <v>1.0972788139265444E-2</v>
      </c>
      <c r="T546">
        <f t="shared" si="19"/>
        <v>1.6459182208898164E-4</v>
      </c>
      <c r="U546">
        <f t="shared" si="20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15"/>
        <v>545</v>
      </c>
      <c r="I547">
        <f>SUM($F$3:F547)/H547</f>
        <v>4200414.9609518349</v>
      </c>
      <c r="N547">
        <f>IF(A547&lt;&gt;$K$29,MAX(N546,VLOOKUP(A547,A:C,3)),)</f>
        <v>0.72600001096725464</v>
      </c>
      <c r="O547">
        <f>IF(A547&lt;&gt;$K$29,MIN(O546,VLOOKUP(A547,A:D,4)),)</f>
        <v>0.6809999942779541</v>
      </c>
      <c r="P547">
        <f t="shared" si="14"/>
        <v>0.6839999953905741</v>
      </c>
      <c r="Q547">
        <f t="shared" si="16"/>
        <v>0.70302380550475352</v>
      </c>
      <c r="R547">
        <f t="shared" si="17"/>
        <v>-1.9023810114179418E-2</v>
      </c>
      <c r="S547">
        <f t="shared" si="18"/>
        <v>1.1166663396926155E-2</v>
      </c>
      <c r="T547">
        <f t="shared" si="19"/>
        <v>1.6749995095389234E-4</v>
      </c>
      <c r="U547">
        <f t="shared" si="20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15"/>
        <v>546</v>
      </c>
      <c r="I548">
        <f>SUM($F$3:F548)/H548</f>
        <v>4196667.1313530216</v>
      </c>
      <c r="N548">
        <f>IF(A548&lt;&gt;$K$29,MAX(N547,VLOOKUP(A548,A:C,3)),)</f>
        <v>0.72600001096725464</v>
      </c>
      <c r="O548">
        <f>IF(A548&lt;&gt;$K$29,MIN(O547,VLOOKUP(A548,A:D,4)),)</f>
        <v>0.68000000715255737</v>
      </c>
      <c r="P548">
        <f t="shared" si="14"/>
        <v>0.68166667222976685</v>
      </c>
      <c r="Q548">
        <f t="shared" si="16"/>
        <v>0.70064285397529591</v>
      </c>
      <c r="R548">
        <f t="shared" si="17"/>
        <v>-1.8976181745529064E-2</v>
      </c>
      <c r="S548">
        <f t="shared" si="18"/>
        <v>1.1690473272686908E-2</v>
      </c>
      <c r="T548">
        <f t="shared" si="19"/>
        <v>1.753570990903036E-4</v>
      </c>
      <c r="U548">
        <f t="shared" si="20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15"/>
        <v>547</v>
      </c>
      <c r="I549">
        <f>SUM($F$3:F549)/H549</f>
        <v>4193278.162191499</v>
      </c>
      <c r="N549">
        <f>IF(A549&lt;&gt;$K$29,MAX(N548,VLOOKUP(A549,A:C,3)),)</f>
        <v>0.72600001096725464</v>
      </c>
      <c r="O549">
        <f>IF(A549&lt;&gt;$K$29,MIN(O548,VLOOKUP(A549,A:D,4)),)</f>
        <v>0.67500001192092896</v>
      </c>
      <c r="P549">
        <f t="shared" si="14"/>
        <v>0.67733333508173621</v>
      </c>
      <c r="Q549">
        <f t="shared" si="16"/>
        <v>0.6977619017873492</v>
      </c>
      <c r="R549">
        <f t="shared" si="17"/>
        <v>-2.0428566705612994E-2</v>
      </c>
      <c r="S549">
        <f t="shared" si="18"/>
        <v>1.172788775697047E-2</v>
      </c>
      <c r="T549">
        <f t="shared" si="19"/>
        <v>1.7591831635455703E-4</v>
      </c>
      <c r="U549">
        <f t="shared" si="20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15"/>
        <v>548</v>
      </c>
      <c r="I550">
        <f>SUM($F$3:F550)/H550</f>
        <v>4191998.2750342153</v>
      </c>
      <c r="N550">
        <f>IF(A550&lt;&gt;$K$29,MAX(N549,VLOOKUP(A550,A:C,3)),)</f>
        <v>0.72600001096725464</v>
      </c>
      <c r="O550">
        <f>IF(A550&lt;&gt;$K$29,MIN(O549,VLOOKUP(A550,A:D,4)),)</f>
        <v>0.67500001192092896</v>
      </c>
      <c r="P550">
        <f t="shared" si="14"/>
        <v>0.68500000238418579</v>
      </c>
      <c r="Q550">
        <f t="shared" si="16"/>
        <v>0.6951428552468617</v>
      </c>
      <c r="R550">
        <f t="shared" si="17"/>
        <v>-1.0142852862675911E-2</v>
      </c>
      <c r="S550">
        <f t="shared" si="18"/>
        <v>1.0619042884735832E-2</v>
      </c>
      <c r="T550">
        <f t="shared" si="19"/>
        <v>1.5928564327103746E-4</v>
      </c>
      <c r="U550">
        <f t="shared" si="20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15"/>
        <v>549</v>
      </c>
      <c r="I551">
        <f>SUM($F$3:F551)/H551</f>
        <v>4188350.7371926229</v>
      </c>
      <c r="N551">
        <f>IF(A551&lt;&gt;$K$29,MAX(N550,VLOOKUP(A551,A:C,3)),)</f>
        <v>0.72600001096725464</v>
      </c>
      <c r="O551">
        <f>IF(A551&lt;&gt;$K$29,MIN(O550,VLOOKUP(A551,A:D,4)),)</f>
        <v>0.67500001192092896</v>
      </c>
      <c r="P551">
        <f t="shared" si="14"/>
        <v>0.68633333841959632</v>
      </c>
      <c r="Q551">
        <f t="shared" si="16"/>
        <v>0.69264285621188926</v>
      </c>
      <c r="R551">
        <f t="shared" si="17"/>
        <v>-6.3095177922929402E-3</v>
      </c>
      <c r="S551">
        <f t="shared" si="18"/>
        <v>9.0204035343766885E-3</v>
      </c>
      <c r="T551">
        <f t="shared" si="19"/>
        <v>1.3530605301565032E-4</v>
      </c>
      <c r="U551">
        <f t="shared" si="20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15"/>
        <v>550</v>
      </c>
      <c r="I552">
        <f>SUM($F$3:F552)/H552</f>
        <v>4184879.372215909</v>
      </c>
      <c r="N552">
        <f>IF(A552&lt;&gt;$K$29,MAX(N551,VLOOKUP(A552,A:C,3)),)</f>
        <v>0.72600001096725464</v>
      </c>
      <c r="O552">
        <f>IF(A552&lt;&gt;$K$29,MIN(O551,VLOOKUP(A552,A:D,4)),)</f>
        <v>0.67500001192092896</v>
      </c>
      <c r="P552">
        <f t="shared" si="14"/>
        <v>0.68433334430058801</v>
      </c>
      <c r="Q552">
        <f t="shared" si="16"/>
        <v>0.69040476140521811</v>
      </c>
      <c r="R552">
        <f t="shared" si="17"/>
        <v>-6.0714171046301058E-3</v>
      </c>
      <c r="S552">
        <f t="shared" si="18"/>
        <v>7.3299261988425402E-3</v>
      </c>
      <c r="T552">
        <f t="shared" si="19"/>
        <v>1.099488929826381E-4</v>
      </c>
      <c r="U552">
        <f t="shared" si="20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15"/>
        <v>551</v>
      </c>
      <c r="I553">
        <f>SUM($F$3:F553)/H553</f>
        <v>4180882.3388725044</v>
      </c>
      <c r="N553">
        <f>IF(A553&lt;&gt;$K$29,MAX(N552,VLOOKUP(A553,A:C,3)),)</f>
        <v>0.72600001096725464</v>
      </c>
      <c r="O553">
        <f>IF(A553&lt;&gt;$K$29,MIN(O552,VLOOKUP(A553,A:D,4)),)</f>
        <v>0.67500001192092896</v>
      </c>
      <c r="P553">
        <f t="shared" si="14"/>
        <v>0.68633331855138147</v>
      </c>
      <c r="Q553">
        <f t="shared" si="16"/>
        <v>0.68909523742539558</v>
      </c>
      <c r="R553">
        <f t="shared" si="17"/>
        <v>-2.7619188740141132E-3</v>
      </c>
      <c r="S553">
        <f t="shared" si="18"/>
        <v>6.2176822399606967E-3</v>
      </c>
      <c r="T553">
        <f t="shared" si="19"/>
        <v>9.3265233599410441E-5</v>
      </c>
      <c r="U553">
        <f t="shared" si="20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15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14"/>
        <v>0.68500000238418579</v>
      </c>
      <c r="Q554">
        <f t="shared" si="16"/>
        <v>0.68819047581581849</v>
      </c>
      <c r="R554">
        <f t="shared" si="17"/>
        <v>-3.190473431632701E-3</v>
      </c>
      <c r="S554">
        <f t="shared" si="18"/>
        <v>5.5101992321663429E-3</v>
      </c>
      <c r="T554">
        <f t="shared" si="19"/>
        <v>8.2652988482495137E-5</v>
      </c>
      <c r="U554">
        <f t="shared" si="20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15"/>
        <v>553</v>
      </c>
      <c r="I555">
        <f>SUM($F$3:F555)/H555</f>
        <v>4175011.523903707</v>
      </c>
      <c r="N555">
        <f>IF(A555&lt;&gt;$K$30,MAX(N554,VLOOKUP(A555,A:C,3)),)</f>
        <v>0.68800002336502075</v>
      </c>
      <c r="O555">
        <f>IF(A555&lt;&gt;$K$30,MIN(O554,VLOOKUP(A555,A:D,4)),)</f>
        <v>0.67799997329711914</v>
      </c>
      <c r="P555">
        <f t="shared" si="14"/>
        <v>0.6839999953905741</v>
      </c>
      <c r="Q555">
        <f t="shared" si="16"/>
        <v>0.68690476105326692</v>
      </c>
      <c r="R555">
        <f t="shared" si="17"/>
        <v>-2.9047656626928209E-3</v>
      </c>
      <c r="S555">
        <f t="shared" si="18"/>
        <v>4.2448964248708908E-3</v>
      </c>
      <c r="T555">
        <f t="shared" si="19"/>
        <v>6.3673446373063361E-5</v>
      </c>
      <c r="U555">
        <f t="shared" si="20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15"/>
        <v>554</v>
      </c>
      <c r="I556">
        <f>SUM($F$3:F556)/H556</f>
        <v>4174402.8478677799</v>
      </c>
      <c r="N556">
        <f>IF(A556&lt;&gt;$K$30,MAX(N555,VLOOKUP(A556,A:C,3)),)</f>
        <v>0.69499999284744263</v>
      </c>
      <c r="O556">
        <f>IF(A556&lt;&gt;$K$30,MIN(O555,VLOOKUP(A556,A:D,4)),)</f>
        <v>0.67799997329711914</v>
      </c>
      <c r="P556">
        <f t="shared" si="14"/>
        <v>0.68566666046778357</v>
      </c>
      <c r="Q556">
        <f t="shared" si="16"/>
        <v>0.68564285692714499</v>
      </c>
      <c r="R556">
        <f t="shared" si="17"/>
        <v>2.3803540638578369E-5</v>
      </c>
      <c r="S556">
        <f t="shared" si="18"/>
        <v>2.6394538327950056E-3</v>
      </c>
      <c r="T556">
        <f t="shared" si="19"/>
        <v>3.9591807491925086E-5</v>
      </c>
      <c r="U556">
        <f t="shared" si="20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15"/>
        <v>555</v>
      </c>
      <c r="I557">
        <f>SUM($F$3:F557)/H557</f>
        <v>4173741.7616554056</v>
      </c>
      <c r="N557">
        <f>IF(A557&lt;&gt;$K$30,MAX(N556,VLOOKUP(A557,A:C,3)),)</f>
        <v>0.69499999284744263</v>
      </c>
      <c r="O557">
        <f>IF(A557&lt;&gt;$K$30,MIN(O556,VLOOKUP(A557,A:D,4)),)</f>
        <v>0.67799997329711914</v>
      </c>
      <c r="P557">
        <f t="shared" si="14"/>
        <v>0.68699999650319421</v>
      </c>
      <c r="Q557">
        <f t="shared" si="16"/>
        <v>0.68502381018229896</v>
      </c>
      <c r="R557">
        <f t="shared" si="17"/>
        <v>1.9761863208952457E-3</v>
      </c>
      <c r="S557">
        <f t="shared" si="18"/>
        <v>1.9761891592116687E-3</v>
      </c>
      <c r="T557">
        <f t="shared" si="19"/>
        <v>2.9642837388175032E-5</v>
      </c>
      <c r="U557">
        <f t="shared" si="20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15"/>
        <v>556</v>
      </c>
      <c r="I558">
        <f>SUM($F$3:F558)/H558</f>
        <v>4170738.8088466725</v>
      </c>
      <c r="N558">
        <f>IF(A558&lt;&gt;$K$30,MAX(N557,VLOOKUP(A558,A:C,3)),)</f>
        <v>0.69499999284744263</v>
      </c>
      <c r="O558">
        <f>IF(A558&lt;&gt;$K$30,MIN(O557,VLOOKUP(A558,A:D,4)),)</f>
        <v>0.67799997329711914</v>
      </c>
      <c r="P558">
        <f t="shared" si="14"/>
        <v>0.68866666158040368</v>
      </c>
      <c r="Q558">
        <f t="shared" si="16"/>
        <v>0.68490476267678402</v>
      </c>
      <c r="R558">
        <f t="shared" si="17"/>
        <v>3.7618989036196648E-3</v>
      </c>
      <c r="S558">
        <f t="shared" si="18"/>
        <v>1.8843529986686417E-3</v>
      </c>
      <c r="T558">
        <f t="shared" si="19"/>
        <v>2.8265294980029624E-5</v>
      </c>
      <c r="U558">
        <f t="shared" si="20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15"/>
        <v>557</v>
      </c>
      <c r="I559">
        <f>SUM($F$3:F559)/H559</f>
        <v>4170818.092852334</v>
      </c>
      <c r="N559">
        <f>IF(A559&lt;&gt;$K$30,MAX(N558,VLOOKUP(A559,A:C,3)),)</f>
        <v>0.69499999284744263</v>
      </c>
      <c r="O559">
        <f>IF(A559&lt;&gt;$K$30,MIN(O558,VLOOKUP(A559,A:D,4)),)</f>
        <v>0.67799997329711914</v>
      </c>
      <c r="P559">
        <f t="shared" si="14"/>
        <v>0.68366666634877526</v>
      </c>
      <c r="Q559">
        <f t="shared" si="16"/>
        <v>0.68478571517126918</v>
      </c>
      <c r="R559">
        <f t="shared" si="17"/>
        <v>-1.1190488224939177E-3</v>
      </c>
      <c r="S559">
        <f t="shared" si="18"/>
        <v>1.959183183657049E-3</v>
      </c>
      <c r="T559">
        <f t="shared" si="19"/>
        <v>2.9387747754855734E-5</v>
      </c>
      <c r="U559">
        <f t="shared" si="20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15"/>
        <v>558</v>
      </c>
      <c r="I560">
        <f>SUM($F$3:F560)/H560</f>
        <v>4169051.5729726702</v>
      </c>
      <c r="N560">
        <f>IF(A560&lt;&gt;$K$30,MAX(N559,VLOOKUP(A560,A:C,3)),)</f>
        <v>0.69499999284744263</v>
      </c>
      <c r="O560">
        <f>IF(A560&lt;&gt;$K$30,MIN(O559,VLOOKUP(A560,A:D,4)),)</f>
        <v>0.67000001668930054</v>
      </c>
      <c r="P560">
        <f t="shared" si="14"/>
        <v>0.67400000492731726</v>
      </c>
      <c r="Q560">
        <f t="shared" si="16"/>
        <v>0.6837857138542901</v>
      </c>
      <c r="R560">
        <f t="shared" si="17"/>
        <v>-9.7857089269728359E-3</v>
      </c>
      <c r="S560">
        <f t="shared" si="18"/>
        <v>2.6394538327950611E-3</v>
      </c>
      <c r="T560">
        <f t="shared" si="19"/>
        <v>3.9591807491925919E-5</v>
      </c>
      <c r="U560">
        <f t="shared" si="20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15"/>
        <v>559</v>
      </c>
      <c r="I561">
        <f>SUM($F$3:F561)/H561</f>
        <v>4167617.8595147585</v>
      </c>
      <c r="N561">
        <f>IF(A561&lt;&gt;$K$30,MAX(N560,VLOOKUP(A561,A:C,3)),)</f>
        <v>0.69499999284744263</v>
      </c>
      <c r="O561">
        <f>IF(A561&lt;&gt;$K$30,MIN(O560,VLOOKUP(A561,A:D,4)),)</f>
        <v>0.67000001668930054</v>
      </c>
      <c r="P561">
        <f t="shared" si="14"/>
        <v>0.67200001080830896</v>
      </c>
      <c r="Q561">
        <f t="shared" si="16"/>
        <v>0.68292857209841418</v>
      </c>
      <c r="R561">
        <f t="shared" si="17"/>
        <v>-1.0928561290105221E-2</v>
      </c>
      <c r="S561">
        <f t="shared" si="18"/>
        <v>3.8163236209324191E-3</v>
      </c>
      <c r="T561">
        <f t="shared" si="19"/>
        <v>5.7244854313986283E-5</v>
      </c>
      <c r="U561">
        <f t="shared" si="20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15"/>
        <v>560</v>
      </c>
      <c r="I562">
        <f>SUM($F$3:F562)/H562</f>
        <v>4167930.5061941966</v>
      </c>
      <c r="N562">
        <f>IF(A562&lt;&gt;$K$30,MAX(N561,VLOOKUP(A562,A:C,3)),)</f>
        <v>0.69499999284744263</v>
      </c>
      <c r="O562">
        <f>IF(A562&lt;&gt;$K$30,MIN(O561,VLOOKUP(A562,A:D,4)),)</f>
        <v>0.66399997472763062</v>
      </c>
      <c r="P562">
        <f t="shared" si="14"/>
        <v>0.66699999570846558</v>
      </c>
      <c r="Q562">
        <f t="shared" si="16"/>
        <v>0.68188095234689261</v>
      </c>
      <c r="R562">
        <f t="shared" si="17"/>
        <v>-1.4880956638427034E-2</v>
      </c>
      <c r="S562">
        <f t="shared" si="18"/>
        <v>5.3129232659631809E-3</v>
      </c>
      <c r="T562">
        <f t="shared" si="19"/>
        <v>7.9693848989447711E-5</v>
      </c>
      <c r="U562">
        <f t="shared" si="20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15"/>
        <v>561</v>
      </c>
      <c r="I563">
        <f>SUM($F$3:F563)/H563</f>
        <v>4165608.1844362747</v>
      </c>
      <c r="N563">
        <f>IF(A563&lt;&gt;$K$30,MAX(N562,VLOOKUP(A563,A:C,3)),)</f>
        <v>0.69499999284744263</v>
      </c>
      <c r="O563">
        <f>IF(A563&lt;&gt;$K$30,MIN(O562,VLOOKUP(A563,A:D,4)),)</f>
        <v>0.65399998426437378</v>
      </c>
      <c r="P563">
        <f t="shared" si="14"/>
        <v>0.65699998537699378</v>
      </c>
      <c r="Q563">
        <f t="shared" si="16"/>
        <v>0.68042857022512515</v>
      </c>
      <c r="R563">
        <f t="shared" si="17"/>
        <v>-2.3428584848131373E-2</v>
      </c>
      <c r="S563">
        <f t="shared" si="18"/>
        <v>7.3877548684879802E-3</v>
      </c>
      <c r="T563">
        <f t="shared" si="19"/>
        <v>1.108163230273197E-4</v>
      </c>
      <c r="U563">
        <f t="shared" si="20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15"/>
        <v>562</v>
      </c>
      <c r="I564">
        <f>SUM($F$3:F564)/H564</f>
        <v>4164695.1943394127</v>
      </c>
      <c r="N564">
        <f>IF(A564&lt;&gt;$K$30,MAX(N563,VLOOKUP(A564,A:C,3)),)</f>
        <v>0.69499999284744263</v>
      </c>
      <c r="O564">
        <f>IF(A564&lt;&gt;$K$30,MIN(O563,VLOOKUP(A564,A:D,4)),)</f>
        <v>0.64499998092651367</v>
      </c>
      <c r="P564">
        <f t="shared" si="14"/>
        <v>0.64966664711634314</v>
      </c>
      <c r="Q564">
        <f t="shared" si="16"/>
        <v>0.67790475913456494</v>
      </c>
      <c r="R564">
        <f t="shared" si="17"/>
        <v>-2.8238112018221795E-2</v>
      </c>
      <c r="S564">
        <f t="shared" si="18"/>
        <v>9.97959310505671E-3</v>
      </c>
      <c r="T564">
        <f t="shared" si="19"/>
        <v>1.4969389657585065E-4</v>
      </c>
      <c r="U564">
        <f t="shared" si="20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15"/>
        <v>563</v>
      </c>
      <c r="I565">
        <f>SUM($F$3:F565)/H565</f>
        <v>4161744.769482682</v>
      </c>
      <c r="N565">
        <f>IF(A565&lt;&gt;$K$30,MAX(N564,VLOOKUP(A565,A:C,3)),)</f>
        <v>0.69499999284744263</v>
      </c>
      <c r="O565">
        <f>IF(A565&lt;&gt;$K$30,MIN(O564,VLOOKUP(A565,A:D,4)),)</f>
        <v>0.63700002431869507</v>
      </c>
      <c r="P565">
        <f t="shared" si="14"/>
        <v>0.64066668351491296</v>
      </c>
      <c r="Q565">
        <f t="shared" si="16"/>
        <v>0.67464285521280198</v>
      </c>
      <c r="R565">
        <f t="shared" si="17"/>
        <v>-3.3976171697889024E-2</v>
      </c>
      <c r="S565">
        <f t="shared" si="18"/>
        <v>1.250340054635289E-2</v>
      </c>
      <c r="T565">
        <f t="shared" si="19"/>
        <v>1.8755100819529334E-4</v>
      </c>
      <c r="U565">
        <f t="shared" si="20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15"/>
        <v>564</v>
      </c>
      <c r="I566">
        <f>SUM($F$3:F566)/H566</f>
        <v>4160681.7468417552</v>
      </c>
      <c r="N566">
        <f>IF(A566&lt;&gt;$K$30,MAX(N565,VLOOKUP(A566,A:C,3)),)</f>
        <v>0.69499999284744263</v>
      </c>
      <c r="O566">
        <f>IF(A566&lt;&gt;$K$30,MIN(O565,VLOOKUP(A566,A:D,4)),)</f>
        <v>0.63599997758865356</v>
      </c>
      <c r="P566">
        <f t="shared" si="14"/>
        <v>0.64133334159851074</v>
      </c>
      <c r="Q566">
        <f t="shared" si="16"/>
        <v>0.67157142644836798</v>
      </c>
      <c r="R566">
        <f t="shared" si="17"/>
        <v>-3.0238084849857239E-2</v>
      </c>
      <c r="S566">
        <f t="shared" si="18"/>
        <v>1.4598639846659014E-2</v>
      </c>
      <c r="T566">
        <f t="shared" si="19"/>
        <v>2.189795976998852E-4</v>
      </c>
      <c r="U566">
        <f t="shared" si="20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15"/>
        <v>565</v>
      </c>
      <c r="I567">
        <f>SUM($F$3:F567)/H567</f>
        <v>4157658.5933075221</v>
      </c>
      <c r="N567">
        <f>IF(A567&lt;&gt;$K$30,MAX(N566,VLOOKUP(A567,A:C,3)),)</f>
        <v>0.69499999284744263</v>
      </c>
      <c r="O567">
        <f>IF(A567&lt;&gt;$K$30,MIN(O566,VLOOKUP(A567,A:D,4)),)</f>
        <v>0.63599997758865356</v>
      </c>
      <c r="P567">
        <f t="shared" si="14"/>
        <v>0.64533332983652747</v>
      </c>
      <c r="Q567">
        <f t="shared" si="16"/>
        <v>0.66864285582587824</v>
      </c>
      <c r="R567">
        <f t="shared" si="17"/>
        <v>-2.3309525989350766E-2</v>
      </c>
      <c r="S567">
        <f t="shared" si="18"/>
        <v>1.5836735971930908E-2</v>
      </c>
      <c r="T567">
        <f t="shared" si="19"/>
        <v>2.375510395789636E-4</v>
      </c>
      <c r="U567">
        <f t="shared" si="20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15"/>
        <v>566</v>
      </c>
      <c r="I568">
        <f>SUM($F$3:F568)/H568</f>
        <v>4153119.4774182863</v>
      </c>
      <c r="N568">
        <f>IF(A568&lt;&gt;$K$30,MAX(N567,VLOOKUP(A568,A:C,3)),)</f>
        <v>0.69499999284744263</v>
      </c>
      <c r="O568">
        <f>IF(A568&lt;&gt;$K$30,MIN(O567,VLOOKUP(A568,A:D,4)),)</f>
        <v>0.63499999046325684</v>
      </c>
      <c r="P568">
        <f t="shared" si="14"/>
        <v>0.64099999268849694</v>
      </c>
      <c r="Q568">
        <f t="shared" si="16"/>
        <v>0.66549999799047199</v>
      </c>
      <c r="R568">
        <f t="shared" si="17"/>
        <v>-2.4500005301975047E-2</v>
      </c>
      <c r="S568">
        <f t="shared" si="18"/>
        <v>1.6857143973006687E-2</v>
      </c>
      <c r="T568">
        <f t="shared" si="19"/>
        <v>2.5285715959510031E-4</v>
      </c>
      <c r="U568">
        <f t="shared" si="20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15"/>
        <v>567</v>
      </c>
      <c r="I569">
        <f>SUM($F$3:F569)/H569</f>
        <v>4151768.8257826278</v>
      </c>
      <c r="N569">
        <f>IF(A569&lt;&gt;$K$30,MAX(N568,VLOOKUP(A569,A:C,3)),)</f>
        <v>0.69499999284744263</v>
      </c>
      <c r="O569">
        <f>IF(A569&lt;&gt;$K$30,MIN(O568,VLOOKUP(A569,A:D,4)),)</f>
        <v>0.63499999046325684</v>
      </c>
      <c r="P569">
        <f t="shared" si="14"/>
        <v>0.65466666221618652</v>
      </c>
      <c r="Q569">
        <f t="shared" si="16"/>
        <v>0.6634047599065872</v>
      </c>
      <c r="R569">
        <f t="shared" si="17"/>
        <v>-8.7380976904006813E-3</v>
      </c>
      <c r="S569">
        <f t="shared" si="18"/>
        <v>1.6309525285448354E-2</v>
      </c>
      <c r="T569">
        <f t="shared" si="19"/>
        <v>2.4464287928172533E-4</v>
      </c>
      <c r="U569">
        <f t="shared" si="20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15"/>
        <v>568</v>
      </c>
      <c r="I570">
        <f>SUM($F$3:F570)/H570</f>
        <v>4152692.2961597713</v>
      </c>
      <c r="N570">
        <f>IF(A570&lt;&gt;$K$30,MAX(N569,VLOOKUP(A570,A:C,3)),)</f>
        <v>0.69499999284744263</v>
      </c>
      <c r="O570">
        <f>IF(A570&lt;&gt;$K$30,MIN(O569,VLOOKUP(A570,A:D,4)),)</f>
        <v>0.63499999046325684</v>
      </c>
      <c r="P570">
        <f t="shared" si="14"/>
        <v>0.66700001557668054</v>
      </c>
      <c r="Q570">
        <f t="shared" si="16"/>
        <v>0.66207142812865138</v>
      </c>
      <c r="R570">
        <f t="shared" si="17"/>
        <v>4.9285874480291536E-3</v>
      </c>
      <c r="S570">
        <f t="shared" si="18"/>
        <v>1.4976193507512423E-2</v>
      </c>
      <c r="T570">
        <f t="shared" si="19"/>
        <v>2.2464290261268633E-4</v>
      </c>
      <c r="U570">
        <f t="shared" si="20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15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14"/>
        <v>0.66266665856043494</v>
      </c>
      <c r="Q571">
        <f t="shared" si="16"/>
        <v>0.66033333256131133</v>
      </c>
      <c r="R571">
        <f t="shared" si="17"/>
        <v>2.3333259991236144E-3</v>
      </c>
      <c r="S571">
        <f t="shared" si="18"/>
        <v>1.3238097940172475E-2</v>
      </c>
      <c r="T571">
        <f t="shared" si="19"/>
        <v>1.9857146910258713E-4</v>
      </c>
      <c r="U571">
        <f t="shared" si="20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15"/>
        <v>570</v>
      </c>
      <c r="I572">
        <f>SUM($F$3:F572)/H572</f>
        <v>4147837.5898574563</v>
      </c>
      <c r="N572">
        <f>IF(A572&lt;&gt;$K$31,MAX(N571,VLOOKUP(A572,A:C,3)),)</f>
        <v>0.66299998760223389</v>
      </c>
      <c r="O572">
        <f>IF(A572&lt;&gt;$K$31,MIN(O571,VLOOKUP(A572,A:D,4)),)</f>
        <v>0.65700000524520874</v>
      </c>
      <c r="P572">
        <f t="shared" si="14"/>
        <v>0.66000000635782874</v>
      </c>
      <c r="Q572">
        <f t="shared" si="16"/>
        <v>0.65828571433112726</v>
      </c>
      <c r="R572">
        <f t="shared" si="17"/>
        <v>1.7142920267014805E-3</v>
      </c>
      <c r="S572">
        <f t="shared" si="18"/>
        <v>1.1190479709988552E-2</v>
      </c>
      <c r="T572">
        <f t="shared" si="19"/>
        <v>1.6785719564982828E-4</v>
      </c>
      <c r="U572">
        <f t="shared" si="20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15"/>
        <v>571</v>
      </c>
      <c r="I573">
        <f>SUM($F$3:F573)/H573</f>
        <v>4144269.0476685641</v>
      </c>
      <c r="N573">
        <f>IF(A573&lt;&gt;$K$31,MAX(N572,VLOOKUP(A573,A:C,3)),)</f>
        <v>0.66399997472763062</v>
      </c>
      <c r="O573">
        <f>IF(A573&lt;&gt;$K$31,MIN(O572,VLOOKUP(A573,A:D,4)),)</f>
        <v>0.65399998426437378</v>
      </c>
      <c r="P573">
        <f t="shared" si="14"/>
        <v>0.65733331441879272</v>
      </c>
      <c r="Q573">
        <f t="shared" si="16"/>
        <v>0.65640476062184283</v>
      </c>
      <c r="R573">
        <f t="shared" si="17"/>
        <v>9.285537969498936E-4</v>
      </c>
      <c r="S573">
        <f t="shared" si="18"/>
        <v>9.3945581085827911E-3</v>
      </c>
      <c r="T573">
        <f t="shared" si="19"/>
        <v>1.4091837162874185E-4</v>
      </c>
      <c r="U573">
        <f t="shared" si="20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15"/>
        <v>572</v>
      </c>
      <c r="I574">
        <f>SUM($F$3:F574)/H574</f>
        <v>4141395.3360467656</v>
      </c>
      <c r="N574">
        <f>IF(A574&lt;&gt;$K$31,MAX(N573,VLOOKUP(A574,A:C,3)),)</f>
        <v>0.66399997472763062</v>
      </c>
      <c r="O574">
        <f>IF(A574&lt;&gt;$K$31,MIN(O573,VLOOKUP(A574,A:D,4)),)</f>
        <v>0.65399998426437378</v>
      </c>
      <c r="P574">
        <f t="shared" si="14"/>
        <v>0.66166665156682336</v>
      </c>
      <c r="Q574">
        <f t="shared" si="16"/>
        <v>0.65552380681037914</v>
      </c>
      <c r="R574">
        <f t="shared" si="17"/>
        <v>6.1428447564442212E-3</v>
      </c>
      <c r="S574">
        <f t="shared" si="18"/>
        <v>8.6394548416137539E-3</v>
      </c>
      <c r="T574">
        <f t="shared" si="19"/>
        <v>1.295918226242063E-4</v>
      </c>
      <c r="U574">
        <f t="shared" si="20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15"/>
        <v>573</v>
      </c>
      <c r="I575">
        <f>SUM($F$3:F575)/H575</f>
        <v>4141795.5326679754</v>
      </c>
      <c r="N575">
        <f>IF(A575&lt;&gt;$K$31,MAX(N574,VLOOKUP(A575,A:C,3)),)</f>
        <v>0.68000000715255737</v>
      </c>
      <c r="O575">
        <f>IF(A575&lt;&gt;$K$31,MIN(O574,VLOOKUP(A575,A:D,4)),)</f>
        <v>0.65399998426437378</v>
      </c>
      <c r="P575">
        <f t="shared" si="14"/>
        <v>0.6753333409627279</v>
      </c>
      <c r="Q575">
        <f t="shared" si="16"/>
        <v>0.65576190182140892</v>
      </c>
      <c r="R575">
        <f t="shared" si="17"/>
        <v>1.957143914131898E-2</v>
      </c>
      <c r="S575">
        <f t="shared" si="18"/>
        <v>8.8435362796394235E-3</v>
      </c>
      <c r="T575">
        <f t="shared" si="19"/>
        <v>1.3265304419459134E-4</v>
      </c>
      <c r="U575">
        <f t="shared" si="20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15"/>
        <v>574</v>
      </c>
      <c r="I576">
        <f>SUM($F$3:F576)/H576</f>
        <v>4137128.6624020035</v>
      </c>
      <c r="N576">
        <f>IF(A576&lt;&gt;$K$31,MAX(N575,VLOOKUP(A576,A:C,3)),)</f>
        <v>0.68000000715255737</v>
      </c>
      <c r="O576">
        <f>IF(A576&lt;&gt;$K$31,MIN(O575,VLOOKUP(A576,A:D,4)),)</f>
        <v>0.65399998426437378</v>
      </c>
      <c r="P576">
        <f t="shared" si="14"/>
        <v>0.67700000603993737</v>
      </c>
      <c r="Q576">
        <f t="shared" si="16"/>
        <v>0.65647618827365695</v>
      </c>
      <c r="R576">
        <f t="shared" si="17"/>
        <v>2.0523817766280428E-2</v>
      </c>
      <c r="S576">
        <f t="shared" si="18"/>
        <v>9.4557818101376912E-3</v>
      </c>
      <c r="T576">
        <f t="shared" si="19"/>
        <v>1.4183672715206537E-4</v>
      </c>
      <c r="U576">
        <f t="shared" si="20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15"/>
        <v>575</v>
      </c>
      <c r="I577">
        <f>SUM($F$3:F577)/H577</f>
        <v>4137715.5690760869</v>
      </c>
      <c r="N577">
        <f>IF(A577&lt;&gt;$K$31,MAX(N576,VLOOKUP(A577,A:C,3)),)</f>
        <v>0.68000000715255737</v>
      </c>
      <c r="O577">
        <f>IF(A577&lt;&gt;$K$31,MIN(O576,VLOOKUP(A577,A:D,4)),)</f>
        <v>0.65399998426437378</v>
      </c>
      <c r="P577">
        <f t="shared" ref="P577:P831" si="21">(C577+D577+E577)/3</f>
        <v>0.67700000603993737</v>
      </c>
      <c r="Q577">
        <f t="shared" si="16"/>
        <v>0.65790476117815289</v>
      </c>
      <c r="R577">
        <f t="shared" si="17"/>
        <v>1.9095244861784488E-2</v>
      </c>
      <c r="S577">
        <f t="shared" si="18"/>
        <v>1.0761908122471409E-2</v>
      </c>
      <c r="T577">
        <f t="shared" si="19"/>
        <v>1.6142862183707112E-4</v>
      </c>
      <c r="U577">
        <f t="shared" si="20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15"/>
        <v>576</v>
      </c>
      <c r="I578">
        <f>SUM($F$3:F578)/H578</f>
        <v>4137265.5520290798</v>
      </c>
      <c r="N578">
        <f>IF(A578&lt;&gt;$K$31,MAX(N577,VLOOKUP(A578,A:C,3)),)</f>
        <v>0.68000000715255737</v>
      </c>
      <c r="O578">
        <f>IF(A578&lt;&gt;$K$31,MIN(O577,VLOOKUP(A578,A:D,4)),)</f>
        <v>0.65399998426437378</v>
      </c>
      <c r="P578">
        <f t="shared" si="21"/>
        <v>0.67766666412353516</v>
      </c>
      <c r="Q578">
        <f t="shared" si="16"/>
        <v>0.65990476239295237</v>
      </c>
      <c r="R578">
        <f t="shared" si="17"/>
        <v>1.7761901730582785E-2</v>
      </c>
      <c r="S578">
        <f t="shared" si="18"/>
        <v>1.1299321440612378E-2</v>
      </c>
      <c r="T578">
        <f t="shared" si="19"/>
        <v>1.6948982160918565E-4</v>
      </c>
      <c r="U578">
        <f t="shared" si="20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22">H578+1</f>
        <v>577</v>
      </c>
      <c r="I579">
        <f>SUM($F$3:F579)/H579</f>
        <v>4137386.7555784229</v>
      </c>
      <c r="N579">
        <f>IF(A579&lt;&gt;$K$31,MAX(N578,VLOOKUP(A579,A:C,3)),)</f>
        <v>0.68000000715255737</v>
      </c>
      <c r="O579">
        <f>IF(A579&lt;&gt;$K$31,MIN(O578,VLOOKUP(A579,A:D,4)),)</f>
        <v>0.65399998426437378</v>
      </c>
      <c r="P579">
        <f t="shared" si="21"/>
        <v>0.67333334684371948</v>
      </c>
      <c r="Q579">
        <f t="shared" si="16"/>
        <v>0.66223809548786705</v>
      </c>
      <c r="R579">
        <f t="shared" si="17"/>
        <v>1.1095251355852431E-2</v>
      </c>
      <c r="S579">
        <f t="shared" si="18"/>
        <v>1.0619052818843304E-2</v>
      </c>
      <c r="T579">
        <f t="shared" si="19"/>
        <v>1.5928579228264957E-4</v>
      </c>
      <c r="U579">
        <f t="shared" si="20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22"/>
        <v>578</v>
      </c>
      <c r="I580">
        <f>SUM($F$3:F580)/H580</f>
        <v>4136086.6175929932</v>
      </c>
      <c r="N580">
        <f>IF(A580&lt;&gt;$K$31,MAX(N579,VLOOKUP(A580,A:C,3)),)</f>
        <v>0.68000000715255737</v>
      </c>
      <c r="O580">
        <f>IF(A580&lt;&gt;$K$31,MIN(O579,VLOOKUP(A580,A:D,4)),)</f>
        <v>0.65399998426437378</v>
      </c>
      <c r="P580">
        <f t="shared" si="21"/>
        <v>0.67299999793370568</v>
      </c>
      <c r="Q580">
        <f t="shared" si="16"/>
        <v>0.66449999951180949</v>
      </c>
      <c r="R580">
        <f t="shared" si="17"/>
        <v>8.4999984218961933E-3</v>
      </c>
      <c r="S580">
        <f t="shared" si="18"/>
        <v>9.8333401339394857E-3</v>
      </c>
      <c r="T580">
        <f t="shared" si="19"/>
        <v>1.4750010200909229E-4</v>
      </c>
      <c r="U580">
        <f t="shared" si="20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22"/>
        <v>579</v>
      </c>
      <c r="I581">
        <f>SUM($F$3:F581)/H581</f>
        <v>4136434.6545228842</v>
      </c>
      <c r="N581">
        <f>IF(A581&lt;&gt;$K$31,MAX(N580,VLOOKUP(A581,A:C,3)),)</f>
        <v>0.68000000715255737</v>
      </c>
      <c r="O581">
        <f>IF(A581&lt;&gt;$K$31,MIN(O580,VLOOKUP(A581,A:D,4)),)</f>
        <v>0.65399998426437378</v>
      </c>
      <c r="P581">
        <f t="shared" si="21"/>
        <v>0.67299999793370568</v>
      </c>
      <c r="Q581">
        <f t="shared" si="16"/>
        <v>0.66647619009017944</v>
      </c>
      <c r="R581">
        <f t="shared" si="17"/>
        <v>6.5238078435262414E-3</v>
      </c>
      <c r="S581">
        <f t="shared" si="18"/>
        <v>8.789122104644791E-3</v>
      </c>
      <c r="T581">
        <f t="shared" si="19"/>
        <v>1.3183683156967185E-4</v>
      </c>
      <c r="U581">
        <f t="shared" si="20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22"/>
        <v>580</v>
      </c>
      <c r="I582">
        <f>SUM($F$3:F582)/H582</f>
        <v>4135704.9396012933</v>
      </c>
      <c r="N582">
        <f>IF(A582&lt;&gt;$K$31,MAX(N581,VLOOKUP(A582,A:C,3)),)</f>
        <v>0.6809999942779541</v>
      </c>
      <c r="O582">
        <f>IF(A582&lt;&gt;$K$31,MIN(O581,VLOOKUP(A582,A:D,4)),)</f>
        <v>0.65399998426437378</v>
      </c>
      <c r="P582">
        <f t="shared" si="21"/>
        <v>0.67833332220713294</v>
      </c>
      <c r="Q582">
        <f t="shared" si="16"/>
        <v>0.66914285648436767</v>
      </c>
      <c r="R582">
        <f t="shared" si="17"/>
        <v>9.1904657227652731E-3</v>
      </c>
      <c r="S582">
        <f t="shared" si="18"/>
        <v>7.3605471727799599E-3</v>
      </c>
      <c r="T582">
        <f t="shared" si="19"/>
        <v>1.104082075916994E-4</v>
      </c>
      <c r="U582">
        <f t="shared" si="20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22"/>
        <v>581</v>
      </c>
      <c r="I583">
        <f>SUM($F$3:F583)/H583</f>
        <v>4134510.610961704</v>
      </c>
      <c r="N583">
        <f>IF(A583&lt;&gt;$K$31,MAX(N582,VLOOKUP(A583,A:C,3)),)</f>
        <v>0.6809999942779541</v>
      </c>
      <c r="O583">
        <f>IF(A583&lt;&gt;$K$31,MIN(O582,VLOOKUP(A583,A:D,4)),)</f>
        <v>0.65399998426437378</v>
      </c>
      <c r="P583">
        <f t="shared" si="21"/>
        <v>0.6709999839464823</v>
      </c>
      <c r="Q583">
        <f t="shared" si="16"/>
        <v>0.67030952232224583</v>
      </c>
      <c r="R583">
        <f t="shared" si="17"/>
        <v>6.9046162423647139E-4</v>
      </c>
      <c r="S583">
        <f t="shared" si="18"/>
        <v>6.1258521615243046E-3</v>
      </c>
      <c r="T583">
        <f t="shared" si="19"/>
        <v>9.1887782422864559E-5</v>
      </c>
      <c r="U583">
        <f t="shared" si="20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22"/>
        <v>582</v>
      </c>
      <c r="I584">
        <f>SUM($F$3:F584)/H584</f>
        <v>4133763.6855133162</v>
      </c>
      <c r="N584">
        <f>IF(A584&lt;&gt;$K$31,MAX(N583,VLOOKUP(A584,A:C,3)),)</f>
        <v>0.6809999942779541</v>
      </c>
      <c r="O584">
        <f>IF(A584&lt;&gt;$K$31,MIN(O583,VLOOKUP(A584,A:D,4)),)</f>
        <v>0.65399998426437378</v>
      </c>
      <c r="P584">
        <f t="shared" si="21"/>
        <v>0.66833335161209106</v>
      </c>
      <c r="Q584">
        <f t="shared" si="16"/>
        <v>0.67040476061048959</v>
      </c>
      <c r="R584">
        <f t="shared" si="17"/>
        <v>-2.0714089983985273E-3</v>
      </c>
      <c r="S584">
        <f t="shared" si="18"/>
        <v>6.003402933782479E-3</v>
      </c>
      <c r="T584">
        <f t="shared" si="19"/>
        <v>9.0051044006737188E-5</v>
      </c>
      <c r="U584">
        <f t="shared" si="20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22"/>
        <v>583</v>
      </c>
      <c r="I585">
        <f>SUM($F$3:F585)/H585</f>
        <v>4134174.039397513</v>
      </c>
      <c r="N585">
        <f>IF(A585&lt;&gt;$K$31,MAX(N584,VLOOKUP(A585,A:C,3)),)</f>
        <v>0.6809999942779541</v>
      </c>
      <c r="O585">
        <f>IF(A585&lt;&gt;$K$31,MIN(O584,VLOOKUP(A585,A:D,4)),)</f>
        <v>0.65399998426437378</v>
      </c>
      <c r="P585">
        <f t="shared" si="21"/>
        <v>0.67066667477289832</v>
      </c>
      <c r="Q585">
        <f t="shared" si="16"/>
        <v>0.67097619033995126</v>
      </c>
      <c r="R585">
        <f t="shared" si="17"/>
        <v>-3.0951556705294259E-4</v>
      </c>
      <c r="S585">
        <f t="shared" si="18"/>
        <v>5.2687075673317606E-3</v>
      </c>
      <c r="T585">
        <f t="shared" si="19"/>
        <v>7.9030613509976404E-5</v>
      </c>
      <c r="U585">
        <f t="shared" si="20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22"/>
        <v>584</v>
      </c>
      <c r="I586">
        <f>SUM($F$3:F586)/H586</f>
        <v>4132162.4605629281</v>
      </c>
      <c r="N586">
        <f>IF(A586&lt;&gt;$K$31,MAX(N585,VLOOKUP(A586,A:C,3)),)</f>
        <v>0.6809999942779541</v>
      </c>
      <c r="O586">
        <f>IF(A586&lt;&gt;$K$31,MIN(O585,VLOOKUP(A586,A:D,4)),)</f>
        <v>0.65399998426437378</v>
      </c>
      <c r="P586">
        <f t="shared" si="21"/>
        <v>0.67266666889190674</v>
      </c>
      <c r="Q586">
        <f t="shared" si="16"/>
        <v>0.67188095194952824</v>
      </c>
      <c r="R586">
        <f t="shared" si="17"/>
        <v>7.8571694237850043E-4</v>
      </c>
      <c r="S586">
        <f t="shared" si="18"/>
        <v>4.3435404900791152E-3</v>
      </c>
      <c r="T586">
        <f t="shared" si="19"/>
        <v>6.5153107351186728E-5</v>
      </c>
      <c r="U586">
        <f t="shared" si="20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22"/>
        <v>585</v>
      </c>
      <c r="I587">
        <f>SUM($F$3:F587)/H587</f>
        <v>4132390.9008012819</v>
      </c>
      <c r="N587">
        <f>IF(A587&lt;&gt;$K$31,MAX(N586,VLOOKUP(A587,A:C,3)),)</f>
        <v>0.6809999942779541</v>
      </c>
      <c r="O587">
        <f>IF(A587&lt;&gt;$K$31,MIN(O586,VLOOKUP(A587,A:D,4)),)</f>
        <v>0.65399998426437378</v>
      </c>
      <c r="P587">
        <f t="shared" si="21"/>
        <v>0.6623333295186361</v>
      </c>
      <c r="Q587">
        <f t="shared" si="16"/>
        <v>0.67223809588523142</v>
      </c>
      <c r="R587">
        <f t="shared" si="17"/>
        <v>-9.9047663665953189E-3</v>
      </c>
      <c r="S587">
        <f t="shared" si="18"/>
        <v>3.8843554298893918E-3</v>
      </c>
      <c r="T587">
        <f t="shared" si="19"/>
        <v>5.8265331448340872E-5</v>
      </c>
      <c r="U587">
        <f t="shared" si="20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22"/>
        <v>586</v>
      </c>
      <c r="I588">
        <f>SUM($F$3:F588)/H588</f>
        <v>4130760.8856122014</v>
      </c>
      <c r="N588">
        <f>IF(A588&lt;&gt;$K$31,MAX(N587,VLOOKUP(A588,A:C,3)),)</f>
        <v>0.6809999942779541</v>
      </c>
      <c r="O588">
        <f>IF(A588&lt;&gt;$K$31,MIN(O587,VLOOKUP(A588,A:D,4)),)</f>
        <v>0.65399998426437378</v>
      </c>
      <c r="P588">
        <f t="shared" si="21"/>
        <v>0.66099997361501062</v>
      </c>
      <c r="Q588">
        <f t="shared" si="16"/>
        <v>0.67219047603153059</v>
      </c>
      <c r="R588">
        <f t="shared" si="17"/>
        <v>-1.1190502416519976E-2</v>
      </c>
      <c r="S588">
        <f t="shared" si="18"/>
        <v>3.9455809560762544E-3</v>
      </c>
      <c r="T588">
        <f t="shared" si="19"/>
        <v>5.9183714341143813E-5</v>
      </c>
      <c r="U588">
        <f t="shared" si="20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22"/>
        <v>587</v>
      </c>
      <c r="I589">
        <f>SUM($F$3:F589)/H589</f>
        <v>4131255.671156303</v>
      </c>
      <c r="N589">
        <f>IF(A589&lt;&gt;$K$31,MAX(N588,VLOOKUP(A589,A:C,3)),)</f>
        <v>0.6809999942779541</v>
      </c>
      <c r="O589">
        <f>IF(A589&lt;&gt;$K$31,MIN(O588,VLOOKUP(A589,A:D,4)),)</f>
        <v>0.65399998426437378</v>
      </c>
      <c r="P589">
        <f t="shared" si="21"/>
        <v>0.65899999936421716</v>
      </c>
      <c r="Q589">
        <f t="shared" si="16"/>
        <v>0.67102380877449419</v>
      </c>
      <c r="R589">
        <f t="shared" si="17"/>
        <v>-1.2023809410277031E-2</v>
      </c>
      <c r="S589">
        <f t="shared" si="18"/>
        <v>4.8299342596611772E-3</v>
      </c>
      <c r="T589">
        <f t="shared" si="19"/>
        <v>7.2449013894917657E-5</v>
      </c>
      <c r="U589">
        <f t="shared" si="20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22"/>
        <v>588</v>
      </c>
      <c r="I590">
        <f>SUM($F$3:F590)/H590</f>
        <v>4131953.1955250851</v>
      </c>
      <c r="N590">
        <f>IF(A590&lt;&gt;$K$31,MAX(N589,VLOOKUP(A590,A:C,3)),)</f>
        <v>0.6809999942779541</v>
      </c>
      <c r="O590">
        <f>IF(A590&lt;&gt;$K$31,MIN(O589,VLOOKUP(A590,A:D,4)),)</f>
        <v>0.64999997615814209</v>
      </c>
      <c r="P590">
        <f t="shared" si="21"/>
        <v>0.65333330631256104</v>
      </c>
      <c r="Q590">
        <f t="shared" si="16"/>
        <v>0.66933333022253871</v>
      </c>
      <c r="R590">
        <f t="shared" si="17"/>
        <v>-1.6000023909977679E-2</v>
      </c>
      <c r="S590">
        <f t="shared" si="18"/>
        <v>6.0952415271680604E-3</v>
      </c>
      <c r="T590">
        <f t="shared" si="19"/>
        <v>9.1428622907520899E-5</v>
      </c>
      <c r="U590">
        <f t="shared" si="20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22"/>
        <v>589</v>
      </c>
      <c r="I591">
        <f>SUM($F$3:F591)/H591</f>
        <v>4132461.2648026315</v>
      </c>
      <c r="N591">
        <f>IF(A591&lt;&gt;$K$31,MAX(N590,VLOOKUP(A591,A:C,3)),)</f>
        <v>0.6809999942779541</v>
      </c>
      <c r="O591">
        <f>IF(A591&lt;&gt;$K$31,MIN(O590,VLOOKUP(A591,A:D,4)),)</f>
        <v>0.64999997615814209</v>
      </c>
      <c r="P591">
        <f t="shared" si="21"/>
        <v>0.65733333428700769</v>
      </c>
      <c r="Q591">
        <f t="shared" si="16"/>
        <v>0.66792856795447209</v>
      </c>
      <c r="R591">
        <f t="shared" si="17"/>
        <v>-1.0595233667464399E-2</v>
      </c>
      <c r="S591">
        <f t="shared" si="18"/>
        <v>6.6632709535611734E-3</v>
      </c>
      <c r="T591">
        <f t="shared" si="19"/>
        <v>9.99490643034176E-5</v>
      </c>
      <c r="U591">
        <f t="shared" si="20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22"/>
        <v>590</v>
      </c>
      <c r="I592">
        <f>SUM($F$3:F592)/H592</f>
        <v>4129788.2796080508</v>
      </c>
      <c r="N592">
        <f>IF(A592&lt;&gt;$K$31,MAX(N591,VLOOKUP(A592,A:C,3)),)</f>
        <v>0.6809999942779541</v>
      </c>
      <c r="O592">
        <f>IF(A592&lt;&gt;$K$31,MIN(O591,VLOOKUP(A592,A:D,4)),)</f>
        <v>0.64999997615814209</v>
      </c>
      <c r="P592">
        <f t="shared" si="21"/>
        <v>0.65333334604899085</v>
      </c>
      <c r="Q592">
        <f t="shared" si="16"/>
        <v>0.66619047380629037</v>
      </c>
      <c r="R592">
        <f t="shared" si="17"/>
        <v>-1.2857127757299525E-2</v>
      </c>
      <c r="S592">
        <f t="shared" si="18"/>
        <v>7.2585076701884299E-3</v>
      </c>
      <c r="T592">
        <f t="shared" si="19"/>
        <v>1.0887761505282644E-4</v>
      </c>
      <c r="U592">
        <f t="shared" si="20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22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21"/>
        <v>0.65133333206176758</v>
      </c>
      <c r="Q593">
        <f t="shared" si="16"/>
        <v>0.66461904417900808</v>
      </c>
      <c r="R593">
        <f t="shared" si="17"/>
        <v>-1.32857121172405E-2</v>
      </c>
      <c r="S593">
        <f t="shared" si="18"/>
        <v>7.8095268635522642E-3</v>
      </c>
      <c r="T593">
        <f t="shared" si="19"/>
        <v>1.1714290295328396E-4</v>
      </c>
      <c r="U593">
        <f t="shared" si="20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22"/>
        <v>592</v>
      </c>
      <c r="I594">
        <f>SUM($F$3:F594)/H594</f>
        <v>4129583.420555321</v>
      </c>
      <c r="N594">
        <f>IF(A594&lt;&gt;$K$32,MAX(N593,VLOOKUP(A594,A:C,3)),)</f>
        <v>0.65100002288818359</v>
      </c>
      <c r="O594">
        <f>IF(A594&lt;&gt;$K$32,MIN(O593,VLOOKUP(A594,A:D,4)),)</f>
        <v>0.64200001955032349</v>
      </c>
      <c r="P594">
        <f t="shared" si="21"/>
        <v>0.64733334382375085</v>
      </c>
      <c r="Q594">
        <f t="shared" si="16"/>
        <v>0.66278571174258272</v>
      </c>
      <c r="R594">
        <f t="shared" si="17"/>
        <v>-1.5452367918831866E-2</v>
      </c>
      <c r="S594">
        <f t="shared" si="18"/>
        <v>8.1836755583886145E-3</v>
      </c>
      <c r="T594">
        <f t="shared" si="19"/>
        <v>1.2275513337582921E-4</v>
      </c>
      <c r="U594">
        <f t="shared" si="20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22"/>
        <v>593</v>
      </c>
      <c r="I595">
        <f>SUM($F$3:F595)/H595</f>
        <v>4129932.8582946882</v>
      </c>
      <c r="N595">
        <f>IF(A595&lt;&gt;$K$32,MAX(N594,VLOOKUP(A595,A:C,3)),)</f>
        <v>0.65100002288818359</v>
      </c>
      <c r="O595">
        <f>IF(A595&lt;&gt;$K$32,MIN(O594,VLOOKUP(A595,A:D,4)),)</f>
        <v>0.64200001955032349</v>
      </c>
      <c r="P595">
        <f t="shared" si="21"/>
        <v>0.64466667175292969</v>
      </c>
      <c r="Q595">
        <f t="shared" si="16"/>
        <v>0.66076190272967017</v>
      </c>
      <c r="R595">
        <f t="shared" si="17"/>
        <v>-1.6095230976740482E-2</v>
      </c>
      <c r="S595">
        <f t="shared" si="18"/>
        <v>8.4285693509238025E-3</v>
      </c>
      <c r="T595">
        <f t="shared" si="19"/>
        <v>1.2642854026385702E-4</v>
      </c>
      <c r="U595">
        <f t="shared" si="20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22"/>
        <v>594</v>
      </c>
      <c r="I596">
        <f>SUM($F$3:F596)/H596</f>
        <v>4128124.890519781</v>
      </c>
      <c r="N596">
        <f>IF(A596&lt;&gt;$K$32,MAX(N595,VLOOKUP(A596,A:C,3)),)</f>
        <v>0.65100002288818359</v>
      </c>
      <c r="O596">
        <f>IF(A596&lt;&gt;$K$32,MIN(O595,VLOOKUP(A596,A:D,4)),)</f>
        <v>0.62999999523162842</v>
      </c>
      <c r="P596">
        <f t="shared" si="21"/>
        <v>0.63333332538604736</v>
      </c>
      <c r="Q596">
        <f t="shared" si="16"/>
        <v>0.65754761724244981</v>
      </c>
      <c r="R596">
        <f t="shared" si="17"/>
        <v>-2.4214291856402448E-2</v>
      </c>
      <c r="S596">
        <f t="shared" si="18"/>
        <v>8.880951574870519E-3</v>
      </c>
      <c r="T596">
        <f t="shared" si="19"/>
        <v>1.3321427362305777E-4</v>
      </c>
      <c r="U596">
        <f t="shared" si="20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22"/>
        <v>595</v>
      </c>
      <c r="I597">
        <f>SUM($F$3:F597)/H597</f>
        <v>4129305.8570903363</v>
      </c>
      <c r="N597">
        <f>IF(A597&lt;&gt;$K$32,MAX(N596,VLOOKUP(A597,A:C,3)),)</f>
        <v>0.65100002288818359</v>
      </c>
      <c r="O597">
        <f>IF(A597&lt;&gt;$K$32,MIN(O596,VLOOKUP(A597,A:D,4)),)</f>
        <v>0.62900000810623169</v>
      </c>
      <c r="P597">
        <f t="shared" si="21"/>
        <v>0.63300001621246338</v>
      </c>
      <c r="Q597">
        <f t="shared" si="16"/>
        <v>0.65483333383287701</v>
      </c>
      <c r="R597">
        <f t="shared" si="17"/>
        <v>-2.1833317620413628E-2</v>
      </c>
      <c r="S597">
        <f t="shared" si="18"/>
        <v>9.642856461661211E-3</v>
      </c>
      <c r="T597">
        <f t="shared" si="19"/>
        <v>1.4464284692491816E-4</v>
      </c>
      <c r="U597">
        <f t="shared" si="20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22"/>
        <v>596</v>
      </c>
      <c r="I598">
        <f>SUM($F$3:F598)/H598</f>
        <v>4131409.3791421978</v>
      </c>
      <c r="N598">
        <f>IF(A598&lt;&gt;$K$32,MAX(N597,VLOOKUP(A598,A:C,3)),)</f>
        <v>0.65100002288818359</v>
      </c>
      <c r="O598">
        <f>IF(A598&lt;&gt;$K$32,MIN(O597,VLOOKUP(A598,A:D,4)),)</f>
        <v>0.62800002098083496</v>
      </c>
      <c r="P598">
        <f t="shared" si="21"/>
        <v>0.63133335113525391</v>
      </c>
      <c r="Q598">
        <f t="shared" si="16"/>
        <v>0.65219047665596008</v>
      </c>
      <c r="R598">
        <f t="shared" si="17"/>
        <v>-2.0857125520706177E-2</v>
      </c>
      <c r="S598">
        <f t="shared" si="18"/>
        <v>1.0306117080506827E-2</v>
      </c>
      <c r="T598">
        <f t="shared" si="19"/>
        <v>1.5459175620760241E-4</v>
      </c>
      <c r="U598">
        <f t="shared" si="20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22"/>
        <v>597</v>
      </c>
      <c r="I599">
        <f>SUM($F$3:F599)/H599</f>
        <v>4130809.6984401173</v>
      </c>
      <c r="N599">
        <f>IF(A599&lt;&gt;$K$32,MAX(N598,VLOOKUP(A599,A:C,3)),)</f>
        <v>0.65100002288818359</v>
      </c>
      <c r="O599">
        <f>IF(A599&lt;&gt;$K$32,MIN(O598,VLOOKUP(A599,A:D,4)),)</f>
        <v>0.62800002098083496</v>
      </c>
      <c r="P599">
        <f t="shared" si="21"/>
        <v>0.63433333237965905</v>
      </c>
      <c r="Q599">
        <f t="shared" si="16"/>
        <v>0.64959523791358598</v>
      </c>
      <c r="R599">
        <f t="shared" si="17"/>
        <v>-1.5261905533926923E-2</v>
      </c>
      <c r="S599">
        <f t="shared" si="18"/>
        <v>1.0510198113058684E-2</v>
      </c>
      <c r="T599">
        <f t="shared" si="19"/>
        <v>1.5765297169588027E-4</v>
      </c>
      <c r="U599">
        <f t="shared" si="20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22"/>
        <v>598</v>
      </c>
      <c r="I600">
        <f>SUM($F$3:F600)/H600</f>
        <v>4130016.2039611205</v>
      </c>
      <c r="N600">
        <f>IF(A600&lt;&gt;$K$32,MAX(N599,VLOOKUP(A600,A:C,3)),)</f>
        <v>0.65100002288818359</v>
      </c>
      <c r="O600">
        <f>IF(A600&lt;&gt;$K$32,MIN(O599,VLOOKUP(A600,A:D,4)),)</f>
        <v>0.62800002098083496</v>
      </c>
      <c r="P600">
        <f t="shared" si="21"/>
        <v>0.63899999856948853</v>
      </c>
      <c r="Q600">
        <f t="shared" si="16"/>
        <v>0.64719047574769883</v>
      </c>
      <c r="R600">
        <f t="shared" si="17"/>
        <v>-8.1904771782103092E-3</v>
      </c>
      <c r="S600">
        <f t="shared" si="18"/>
        <v>9.6394512929073063E-3</v>
      </c>
      <c r="T600">
        <f t="shared" si="19"/>
        <v>1.445917693936096E-4</v>
      </c>
      <c r="U600">
        <f t="shared" si="20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22"/>
        <v>599</v>
      </c>
      <c r="I601">
        <f>SUM($F$3:F601)/H601</f>
        <v>4129040.050031302</v>
      </c>
      <c r="N601">
        <f>IF(A601&lt;&gt;$K$32,MAX(N600,VLOOKUP(A601,A:C,3)),)</f>
        <v>0.65100002288818359</v>
      </c>
      <c r="O601">
        <f>IF(A601&lt;&gt;$K$32,MIN(O600,VLOOKUP(A601,A:D,4)),)</f>
        <v>0.62800002098083496</v>
      </c>
      <c r="P601">
        <f t="shared" si="21"/>
        <v>0.64299998680750525</v>
      </c>
      <c r="Q601">
        <f t="shared" si="16"/>
        <v>0.64580952269690362</v>
      </c>
      <c r="R601">
        <f t="shared" si="17"/>
        <v>-2.8095358893983624E-3</v>
      </c>
      <c r="S601">
        <f t="shared" si="18"/>
        <v>8.8571395192827574E-3</v>
      </c>
      <c r="T601">
        <f t="shared" si="19"/>
        <v>1.3285709278924136E-4</v>
      </c>
      <c r="U601">
        <f t="shared" si="20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22"/>
        <v>600</v>
      </c>
      <c r="I602">
        <f>SUM($F$3:F602)/H602</f>
        <v>4130621.6499479166</v>
      </c>
      <c r="N602">
        <f>IF(A602&lt;&gt;$K$32,MAX(N601,VLOOKUP(A602,A:C,3)),)</f>
        <v>0.65100002288818359</v>
      </c>
      <c r="O602">
        <f>IF(A602&lt;&gt;$K$32,MIN(O601,VLOOKUP(A602,A:D,4)),)</f>
        <v>0.62800002098083496</v>
      </c>
      <c r="P602">
        <f t="shared" si="21"/>
        <v>0.63699998458226526</v>
      </c>
      <c r="Q602">
        <f t="shared" si="16"/>
        <v>0.64409523776599342</v>
      </c>
      <c r="R602">
        <f t="shared" si="17"/>
        <v>-7.0952531837281674E-3</v>
      </c>
      <c r="S602">
        <f t="shared" si="18"/>
        <v>8.2380956127530072E-3</v>
      </c>
      <c r="T602">
        <f t="shared" si="19"/>
        <v>1.2357143419129511E-4</v>
      </c>
      <c r="U602">
        <f t="shared" si="20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22"/>
        <v>601</v>
      </c>
      <c r="I603">
        <f>SUM($F$3:F603)/H603</f>
        <v>4129365.0415453413</v>
      </c>
      <c r="N603">
        <f>IF(A603&lt;&gt;$K$32,MAX(N602,VLOOKUP(A603,A:C,3)),)</f>
        <v>0.65100002288818359</v>
      </c>
      <c r="O603">
        <f>IF(A603&lt;&gt;$K$32,MIN(O602,VLOOKUP(A603,A:D,4)),)</f>
        <v>0.62800002098083496</v>
      </c>
      <c r="P603">
        <f t="shared" si="21"/>
        <v>0.63466666142145789</v>
      </c>
      <c r="Q603">
        <f t="shared" si="16"/>
        <v>0.64235714219865347</v>
      </c>
      <c r="R603">
        <f t="shared" si="17"/>
        <v>-7.6904807771955852E-3</v>
      </c>
      <c r="S603">
        <f t="shared" si="18"/>
        <v>7.6904751005626836E-3</v>
      </c>
      <c r="T603">
        <f t="shared" si="19"/>
        <v>1.1535712650844025E-4</v>
      </c>
      <c r="U603">
        <f t="shared" si="20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22"/>
        <v>602</v>
      </c>
      <c r="I604">
        <f>SUM($F$3:F604)/H604</f>
        <v>4130307.4717088873</v>
      </c>
      <c r="N604">
        <f>IF(A604&lt;&gt;$K$32,MAX(N603,VLOOKUP(A604,A:C,3)),)</f>
        <v>0.65100002288818359</v>
      </c>
      <c r="O604">
        <f>IF(A604&lt;&gt;$K$32,MIN(O603,VLOOKUP(A604,A:D,4)),)</f>
        <v>0.62699997425079346</v>
      </c>
      <c r="P604">
        <f t="shared" si="21"/>
        <v>0.63033332427342736</v>
      </c>
      <c r="Q604">
        <f t="shared" si="16"/>
        <v>0.64071428633871541</v>
      </c>
      <c r="R604">
        <f t="shared" si="17"/>
        <v>-1.0380962065288046E-2</v>
      </c>
      <c r="S604">
        <f t="shared" si="18"/>
        <v>7.530613821379999E-3</v>
      </c>
      <c r="T604">
        <f t="shared" si="19"/>
        <v>1.1295920732069998E-4</v>
      </c>
      <c r="U604">
        <f t="shared" si="20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22"/>
        <v>603</v>
      </c>
      <c r="I605">
        <f>SUM($F$3:F605)/H605</f>
        <v>4128777.7744092038</v>
      </c>
      <c r="N605">
        <f>IF(A605&lt;&gt;$K$32,MAX(N604,VLOOKUP(A605,A:C,3)),)</f>
        <v>0.65100002288818359</v>
      </c>
      <c r="O605">
        <f>IF(A605&lt;&gt;$K$32,MIN(O604,VLOOKUP(A605,A:D,4)),)</f>
        <v>0.62000000476837158</v>
      </c>
      <c r="P605">
        <f t="shared" si="21"/>
        <v>0.62233332792917884</v>
      </c>
      <c r="Q605">
        <f t="shared" si="16"/>
        <v>0.63821428588458473</v>
      </c>
      <c r="R605">
        <f t="shared" si="17"/>
        <v>-1.5880957955405894E-2</v>
      </c>
      <c r="S605">
        <f t="shared" si="18"/>
        <v>7.0544233938463685E-3</v>
      </c>
      <c r="T605">
        <f t="shared" si="19"/>
        <v>1.0581635090769552E-4</v>
      </c>
      <c r="U605">
        <f t="shared" si="20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22"/>
        <v>604</v>
      </c>
      <c r="I606">
        <f>SUM($F$3:F606)/H606</f>
        <v>4129719.0363721028</v>
      </c>
      <c r="N606">
        <f>IF(A606&lt;&gt;$K$32,MAX(N605,VLOOKUP(A606,A:C,3)),)</f>
        <v>0.65100002288818359</v>
      </c>
      <c r="O606">
        <f>IF(A606&lt;&gt;$K$32,MIN(O605,VLOOKUP(A606,A:D,4)),)</f>
        <v>0.61799997091293335</v>
      </c>
      <c r="P606">
        <f t="shared" si="21"/>
        <v>0.62099999189376831</v>
      </c>
      <c r="Q606">
        <f t="shared" si="16"/>
        <v>0.63590476058778311</v>
      </c>
      <c r="R606">
        <f t="shared" si="17"/>
        <v>-1.4904768694014803E-2</v>
      </c>
      <c r="S606">
        <f t="shared" si="18"/>
        <v>6.7006791530012334E-3</v>
      </c>
      <c r="T606">
        <f t="shared" si="19"/>
        <v>1.005101872950185E-4</v>
      </c>
      <c r="U606">
        <f t="shared" si="20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22"/>
        <v>605</v>
      </c>
      <c r="I607">
        <f>SUM($F$3:F607)/H607</f>
        <v>4128323.6379648759</v>
      </c>
      <c r="N607">
        <f>IF(A607&lt;&gt;$K$32,MAX(N606,VLOOKUP(A607,A:C,3)),)</f>
        <v>0.65100002288818359</v>
      </c>
      <c r="O607">
        <f>IF(A607&lt;&gt;$K$32,MIN(O606,VLOOKUP(A607,A:D,4)),)</f>
        <v>0.61299997568130493</v>
      </c>
      <c r="P607">
        <f t="shared" si="21"/>
        <v>0.61633332570393884</v>
      </c>
      <c r="Q607">
        <f t="shared" si="16"/>
        <v>0.63340476013365254</v>
      </c>
      <c r="R607">
        <f t="shared" si="17"/>
        <v>-1.7071434429713706E-2</v>
      </c>
      <c r="S607">
        <f t="shared" si="18"/>
        <v>6.5952369144984656E-3</v>
      </c>
      <c r="T607">
        <f t="shared" si="19"/>
        <v>9.8928553717476979E-5</v>
      </c>
      <c r="U607">
        <f t="shared" si="20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22"/>
        <v>606</v>
      </c>
      <c r="I608">
        <f>SUM($F$3:F608)/H608</f>
        <v>4130682.0147999176</v>
      </c>
      <c r="N608">
        <f>IF(A608&lt;&gt;$K$32,MAX(N607,VLOOKUP(A608,A:C,3)),)</f>
        <v>0.65100002288818359</v>
      </c>
      <c r="O608">
        <f>IF(A608&lt;&gt;$K$32,MIN(O607,VLOOKUP(A608,A:D,4)),)</f>
        <v>0.6119999885559082</v>
      </c>
      <c r="P608">
        <f t="shared" si="21"/>
        <v>0.61933332681655884</v>
      </c>
      <c r="Q608">
        <f t="shared" si="16"/>
        <v>0.63140475891885306</v>
      </c>
      <c r="R608">
        <f t="shared" si="17"/>
        <v>-1.2071432102294222E-2</v>
      </c>
      <c r="S608">
        <f t="shared" si="18"/>
        <v>6.8231293944274419E-3</v>
      </c>
      <c r="T608">
        <f t="shared" si="19"/>
        <v>1.0234694091641162E-4</v>
      </c>
      <c r="U608">
        <f t="shared" si="20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22"/>
        <v>607</v>
      </c>
      <c r="I609">
        <f>SUM($F$3:F609)/H609</f>
        <v>4132081.2207063427</v>
      </c>
      <c r="N609">
        <f>IF(A609&lt;&gt;$K$32,MAX(N608,VLOOKUP(A609,A:C,3)),)</f>
        <v>0.65100002288818359</v>
      </c>
      <c r="O609">
        <f>IF(A609&lt;&gt;$K$32,MIN(O608,VLOOKUP(A609,A:D,4)),)</f>
        <v>0.6119999885559082</v>
      </c>
      <c r="P609">
        <f t="shared" si="21"/>
        <v>0.62233330806096399</v>
      </c>
      <c r="Q609">
        <f t="shared" si="16"/>
        <v>0.62980951865514112</v>
      </c>
      <c r="R609">
        <f t="shared" si="17"/>
        <v>-7.4762105941771351E-3</v>
      </c>
      <c r="S609">
        <f t="shared" si="18"/>
        <v>6.8163304101853351E-3</v>
      </c>
      <c r="T609">
        <f t="shared" si="19"/>
        <v>1.0224495615278002E-4</v>
      </c>
      <c r="U609">
        <f t="shared" si="20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22"/>
        <v>608</v>
      </c>
      <c r="I610">
        <f>SUM($F$3:F610)/H610</f>
        <v>4131688.1594880759</v>
      </c>
      <c r="N610">
        <f>IF(A610&lt;&gt;$K$32,MAX(N609,VLOOKUP(A610,A:C,3)),)</f>
        <v>0.65100002288818359</v>
      </c>
      <c r="O610">
        <f>IF(A610&lt;&gt;$K$32,MIN(O609,VLOOKUP(A610,A:D,4)),)</f>
        <v>0.6119999885559082</v>
      </c>
      <c r="P610">
        <f t="shared" si="21"/>
        <v>0.6246666510899862</v>
      </c>
      <c r="Q610">
        <f t="shared" si="16"/>
        <v>0.62919047049113686</v>
      </c>
      <c r="R610">
        <f t="shared" si="17"/>
        <v>-4.5238194011506527E-3</v>
      </c>
      <c r="S610">
        <f t="shared" si="18"/>
        <v>7.0204130646322792E-3</v>
      </c>
      <c r="T610">
        <f t="shared" si="19"/>
        <v>1.0530619596948418E-4</v>
      </c>
      <c r="U610">
        <f t="shared" si="20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22"/>
        <v>609</v>
      </c>
      <c r="I611">
        <f>SUM($F$3:F611)/H611</f>
        <v>4130652.3825431033</v>
      </c>
      <c r="N611">
        <f>IF(A611&lt;&gt;$K$32,MAX(N610,VLOOKUP(A611,A:C,3)),)</f>
        <v>0.65100002288818359</v>
      </c>
      <c r="O611">
        <f>IF(A611&lt;&gt;$K$32,MIN(O610,VLOOKUP(A611,A:D,4)),)</f>
        <v>0.6119999885559082</v>
      </c>
      <c r="P611">
        <f t="shared" si="21"/>
        <v>0.61899999777475989</v>
      </c>
      <c r="Q611">
        <f t="shared" si="16"/>
        <v>0.62819046917415799</v>
      </c>
      <c r="R611">
        <f t="shared" si="17"/>
        <v>-9.1904713993981035E-3</v>
      </c>
      <c r="S611">
        <f t="shared" si="18"/>
        <v>7.4761935642787391E-3</v>
      </c>
      <c r="T611">
        <f t="shared" si="19"/>
        <v>1.1214290346418108E-4</v>
      </c>
      <c r="U611">
        <f t="shared" si="20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22"/>
        <v>610</v>
      </c>
      <c r="I612">
        <f>SUM($F$3:F612)/H612</f>
        <v>4130601.8069159836</v>
      </c>
      <c r="N612">
        <f>IF(A612&lt;&gt;$K$32,MAX(N611,VLOOKUP(A612,A:C,3)),)</f>
        <v>0.65100002288818359</v>
      </c>
      <c r="O612">
        <f>IF(A612&lt;&gt;$K$32,MIN(O611,VLOOKUP(A612,A:D,4)),)</f>
        <v>0.6119999885559082</v>
      </c>
      <c r="P612">
        <f t="shared" si="21"/>
        <v>0.61999998490015662</v>
      </c>
      <c r="Q612">
        <f t="shared" si="16"/>
        <v>0.62738094301450809</v>
      </c>
      <c r="R612">
        <f t="shared" si="17"/>
        <v>-7.3809581143514658E-3</v>
      </c>
      <c r="S612">
        <f t="shared" si="18"/>
        <v>7.7210899923934274E-3</v>
      </c>
      <c r="T612">
        <f t="shared" si="19"/>
        <v>1.1581634988590141E-4</v>
      </c>
      <c r="U612">
        <f t="shared" si="20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22"/>
        <v>611</v>
      </c>
      <c r="I613">
        <f>SUM($F$3:F613)/H613</f>
        <v>4133494.2753171031</v>
      </c>
      <c r="N613">
        <f>IF(A613&lt;&gt;$K$32,MAX(N612,VLOOKUP(A613,A:C,3)),)</f>
        <v>0.65100002288818359</v>
      </c>
      <c r="O613">
        <f>IF(A613&lt;&gt;$K$32,MIN(O612,VLOOKUP(A613,A:D,4)),)</f>
        <v>0.6119999885559082</v>
      </c>
      <c r="P613">
        <f t="shared" si="21"/>
        <v>0.63400000333786011</v>
      </c>
      <c r="Q613">
        <f t="shared" si="16"/>
        <v>0.62735713379723668</v>
      </c>
      <c r="R613">
        <f t="shared" si="17"/>
        <v>6.6428695406234306E-3</v>
      </c>
      <c r="S613">
        <f t="shared" si="18"/>
        <v>7.6938794583690162E-3</v>
      </c>
      <c r="T613">
        <f t="shared" si="19"/>
        <v>1.1540819187553524E-4</v>
      </c>
      <c r="U613">
        <f t="shared" si="20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22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21"/>
        <v>0.64399999380111694</v>
      </c>
      <c r="Q614">
        <f t="shared" si="16"/>
        <v>0.62771427631378174</v>
      </c>
      <c r="R614">
        <f t="shared" si="17"/>
        <v>1.6285717487335205E-2</v>
      </c>
      <c r="S614">
        <f t="shared" si="18"/>
        <v>8.1020423344203406E-3</v>
      </c>
      <c r="T614">
        <f t="shared" si="19"/>
        <v>1.2153063501630511E-4</v>
      </c>
      <c r="U614">
        <f t="shared" si="20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22"/>
        <v>613</v>
      </c>
      <c r="I615">
        <f>SUM($F$3:F615)/H615</f>
        <v>4135628.7344514681</v>
      </c>
      <c r="N615">
        <f>IF(A615&lt;&gt;$K$33,MAX(N614,VLOOKUP(A615,A:C,3)),)</f>
        <v>0.64499998092651367</v>
      </c>
      <c r="O615">
        <f>IF(A615&lt;&gt;$K$33,MIN(O614,VLOOKUP(A615,A:D,4)),)</f>
        <v>0.63400000333786011</v>
      </c>
      <c r="P615">
        <f t="shared" si="21"/>
        <v>0.63799999157587683</v>
      </c>
      <c r="Q615">
        <f t="shared" si="16"/>
        <v>0.6273571337972369</v>
      </c>
      <c r="R615">
        <f t="shared" si="17"/>
        <v>1.0642857778639936E-2</v>
      </c>
      <c r="S615">
        <f t="shared" si="18"/>
        <v>7.6938794583690474E-3</v>
      </c>
      <c r="T615">
        <f t="shared" si="19"/>
        <v>1.154081918755357E-4</v>
      </c>
      <c r="U615">
        <f t="shared" si="20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22"/>
        <v>614</v>
      </c>
      <c r="I616">
        <f>SUM($F$3:F616)/H616</f>
        <v>4137564.1974246744</v>
      </c>
      <c r="N616">
        <f>IF(A616&lt;&gt;$K$33,MAX(N615,VLOOKUP(A616,A:C,3)),)</f>
        <v>0.64499998092651367</v>
      </c>
      <c r="O616">
        <f>IF(A616&lt;&gt;$K$33,MIN(O615,VLOOKUP(A616,A:D,4)),)</f>
        <v>0.625</v>
      </c>
      <c r="P616">
        <f t="shared" si="21"/>
        <v>0.62866667906443274</v>
      </c>
      <c r="Q616">
        <f t="shared" si="16"/>
        <v>0.62676189768882018</v>
      </c>
      <c r="R616">
        <f t="shared" si="17"/>
        <v>1.9047813756125631E-3</v>
      </c>
      <c r="S616">
        <f t="shared" si="18"/>
        <v>7.0136096201786225E-3</v>
      </c>
      <c r="T616">
        <f t="shared" si="19"/>
        <v>1.0520414430267933E-4</v>
      </c>
      <c r="U616">
        <f t="shared" si="20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22"/>
        <v>615</v>
      </c>
      <c r="I617">
        <f>SUM($F$3:F617)/H617</f>
        <v>4138686.5320630083</v>
      </c>
      <c r="N617">
        <f>IF(A617&lt;&gt;$K$33,MAX(N616,VLOOKUP(A617,A:C,3)),)</f>
        <v>0.64499998092651367</v>
      </c>
      <c r="O617">
        <f>IF(A617&lt;&gt;$K$33,MIN(O616,VLOOKUP(A617,A:D,4)),)</f>
        <v>0.61599999666213989</v>
      </c>
      <c r="P617">
        <f t="shared" si="21"/>
        <v>0.62099999189376831</v>
      </c>
      <c r="Q617">
        <f t="shared" si="16"/>
        <v>0.62578570700827107</v>
      </c>
      <c r="R617">
        <f t="shared" si="17"/>
        <v>-4.7857151145027643E-3</v>
      </c>
      <c r="S617">
        <f t="shared" si="18"/>
        <v>6.5816367159084611E-3</v>
      </c>
      <c r="T617">
        <f t="shared" si="19"/>
        <v>9.8724550738626916E-5</v>
      </c>
      <c r="U617">
        <f t="shared" si="20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22"/>
        <v>616</v>
      </c>
      <c r="I618">
        <f>SUM($F$3:F618)/H618</f>
        <v>4140196.7811992695</v>
      </c>
      <c r="N618">
        <f>IF(A618&lt;&gt;$K$33,MAX(N617,VLOOKUP(A618,A:C,3)),)</f>
        <v>0.64499998092651367</v>
      </c>
      <c r="O618">
        <f>IF(A618&lt;&gt;$K$33,MIN(O617,VLOOKUP(A618,A:D,4)),)</f>
        <v>0.6119999885559082</v>
      </c>
      <c r="P618">
        <f t="shared" si="21"/>
        <v>0.61700000365575158</v>
      </c>
      <c r="Q618">
        <f t="shared" si="16"/>
        <v>0.6248333269641515</v>
      </c>
      <c r="R618">
        <f t="shared" si="17"/>
        <v>-7.8333233083999199E-3</v>
      </c>
      <c r="S618">
        <f t="shared" si="18"/>
        <v>6.4761942746688738E-3</v>
      </c>
      <c r="T618">
        <f t="shared" si="19"/>
        <v>9.7142914120033099E-5</v>
      </c>
      <c r="U618">
        <f t="shared" si="20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22"/>
        <v>617</v>
      </c>
      <c r="I619">
        <f>SUM($F$3:F619)/H619</f>
        <v>4138957.7377937599</v>
      </c>
      <c r="N619">
        <f>IF(A619&lt;&gt;$K$33,MAX(N618,VLOOKUP(A619,A:C,3)),)</f>
        <v>0.64499998092651367</v>
      </c>
      <c r="O619">
        <f>IF(A619&lt;&gt;$K$33,MIN(O618,VLOOKUP(A619,A:D,4)),)</f>
        <v>0.60600000619888306</v>
      </c>
      <c r="P619">
        <f t="shared" si="21"/>
        <v>0.60999999443689978</v>
      </c>
      <c r="Q619">
        <f t="shared" si="16"/>
        <v>0.62395237457184571</v>
      </c>
      <c r="R619">
        <f t="shared" si="17"/>
        <v>-1.395238013494593E-2</v>
      </c>
      <c r="S619">
        <f t="shared" si="18"/>
        <v>7.0816351442921088E-3</v>
      </c>
      <c r="T619">
        <f t="shared" si="19"/>
        <v>1.0622452716438162E-4</v>
      </c>
      <c r="U619">
        <f t="shared" si="20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22"/>
        <v>618</v>
      </c>
      <c r="I620">
        <f>SUM($F$3:F620)/H620</f>
        <v>4139649.2317455499</v>
      </c>
      <c r="N620">
        <f>IF(A620&lt;&gt;$K$33,MAX(N619,VLOOKUP(A620,A:C,3)),)</f>
        <v>0.64499998092651367</v>
      </c>
      <c r="O620">
        <f>IF(A620&lt;&gt;$K$33,MIN(O619,VLOOKUP(A620,A:D,4)),)</f>
        <v>0.6029999852180481</v>
      </c>
      <c r="P620">
        <f t="shared" si="21"/>
        <v>0.60733332236607873</v>
      </c>
      <c r="Q620">
        <f t="shared" si="16"/>
        <v>0.6229761838912965</v>
      </c>
      <c r="R620">
        <f t="shared" si="17"/>
        <v>-1.5642861525217766E-2</v>
      </c>
      <c r="S620">
        <f t="shared" si="18"/>
        <v>7.7789142018273028E-3</v>
      </c>
      <c r="T620">
        <f t="shared" si="19"/>
        <v>1.1668371302740954E-4</v>
      </c>
      <c r="U620">
        <f t="shared" si="20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22"/>
        <v>619</v>
      </c>
      <c r="I621">
        <f>SUM($F$3:F621)/H621</f>
        <v>4136011.8339559776</v>
      </c>
      <c r="N621">
        <f>IF(A621&lt;&gt;$K$33,MAX(N620,VLOOKUP(A621,A:C,3)),)</f>
        <v>0.64499998092651367</v>
      </c>
      <c r="O621">
        <f>IF(A621&lt;&gt;$K$33,MIN(O620,VLOOKUP(A621,A:D,4)),)</f>
        <v>0.59899997711181641</v>
      </c>
      <c r="P621">
        <f t="shared" si="21"/>
        <v>0.60333331425984704</v>
      </c>
      <c r="Q621">
        <f t="shared" si="16"/>
        <v>0.62204761164528999</v>
      </c>
      <c r="R621">
        <f t="shared" si="17"/>
        <v>-1.8714297385442946E-2</v>
      </c>
      <c r="S621">
        <f t="shared" si="18"/>
        <v>8.482993865499713E-3</v>
      </c>
      <c r="T621">
        <f t="shared" si="19"/>
        <v>1.2724490798249569E-4</v>
      </c>
      <c r="U621">
        <f t="shared" si="20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22"/>
        <v>620</v>
      </c>
      <c r="I622">
        <f>SUM($F$3:F622)/H622</f>
        <v>4136219.7180947582</v>
      </c>
      <c r="N622">
        <f>IF(A622&lt;&gt;$K$33,MAX(N621,VLOOKUP(A622,A:C,3)),)</f>
        <v>0.64499998092651367</v>
      </c>
      <c r="O622">
        <f>IF(A622&lt;&gt;$K$33,MIN(O621,VLOOKUP(A622,A:D,4)),)</f>
        <v>0.59899997711181641</v>
      </c>
      <c r="P622">
        <f t="shared" si="21"/>
        <v>0.60833334922790527</v>
      </c>
      <c r="Q622">
        <f t="shared" si="16"/>
        <v>0.62126189896038597</v>
      </c>
      <c r="R622">
        <f t="shared" si="17"/>
        <v>-1.2928549732480699E-2</v>
      </c>
      <c r="S622">
        <f t="shared" si="18"/>
        <v>9.1564618811315369E-3</v>
      </c>
      <c r="T622">
        <f t="shared" si="19"/>
        <v>1.3734692821697306E-4</v>
      </c>
      <c r="U622">
        <f t="shared" si="20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22"/>
        <v>621</v>
      </c>
      <c r="I623">
        <f>SUM($F$3:F623)/H623</f>
        <v>4137635.6283715782</v>
      </c>
      <c r="N623">
        <f>IF(A623&lt;&gt;$K$33,MAX(N622,VLOOKUP(A623,A:C,3)),)</f>
        <v>0.64499998092651367</v>
      </c>
      <c r="O623">
        <f>IF(A623&lt;&gt;$K$33,MIN(O622,VLOOKUP(A623,A:D,4)),)</f>
        <v>0.59899997711181641</v>
      </c>
      <c r="P623">
        <f t="shared" si="21"/>
        <v>0.60766667127609253</v>
      </c>
      <c r="Q623">
        <f t="shared" si="16"/>
        <v>0.62021428204718088</v>
      </c>
      <c r="R623">
        <f t="shared" si="17"/>
        <v>-1.2547610771088347E-2</v>
      </c>
      <c r="S623">
        <f t="shared" si="18"/>
        <v>9.8639454971365306E-3</v>
      </c>
      <c r="T623">
        <f t="shared" si="19"/>
        <v>1.4795918245704795E-4</v>
      </c>
      <c r="U623">
        <f t="shared" si="20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22"/>
        <v>622</v>
      </c>
      <c r="I624">
        <f>SUM($F$3:F624)/H624</f>
        <v>4135751.9665896301</v>
      </c>
      <c r="N624">
        <f>IF(A624&lt;&gt;$K$33,MAX(N623,VLOOKUP(A624,A:C,3)),)</f>
        <v>0.64499998092651367</v>
      </c>
      <c r="O624">
        <f>IF(A624&lt;&gt;$K$33,MIN(O623,VLOOKUP(A624,A:D,4)),)</f>
        <v>0.59899997711181641</v>
      </c>
      <c r="P624">
        <f t="shared" si="21"/>
        <v>0.60366666316986084</v>
      </c>
      <c r="Q624">
        <f t="shared" si="16"/>
        <v>0.61871428291002906</v>
      </c>
      <c r="R624">
        <f t="shared" si="17"/>
        <v>-1.5047619740168217E-2</v>
      </c>
      <c r="S624">
        <f t="shared" si="18"/>
        <v>1.0523808853966834E-2</v>
      </c>
      <c r="T624">
        <f t="shared" si="19"/>
        <v>1.5785713280950251E-4</v>
      </c>
      <c r="U624">
        <f t="shared" si="20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22"/>
        <v>623</v>
      </c>
      <c r="I625">
        <f>SUM($F$3:F625)/H625</f>
        <v>4136822.9907203051</v>
      </c>
      <c r="N625">
        <f>IF(A625&lt;&gt;$K$33,MAX(N624,VLOOKUP(A625,A:C,3)),)</f>
        <v>0.64499998092651367</v>
      </c>
      <c r="O625">
        <f>IF(A625&lt;&gt;$K$33,MIN(O624,VLOOKUP(A625,A:D,4)),)</f>
        <v>0.59799998998641968</v>
      </c>
      <c r="P625">
        <f t="shared" si="21"/>
        <v>0.60366666316986084</v>
      </c>
      <c r="Q625">
        <f t="shared" si="16"/>
        <v>0.61761904472396478</v>
      </c>
      <c r="R625">
        <f t="shared" si="17"/>
        <v>-1.3952381554103943E-2</v>
      </c>
      <c r="S625">
        <f t="shared" si="18"/>
        <v>1.1421768032774606E-2</v>
      </c>
      <c r="T625">
        <f t="shared" si="19"/>
        <v>1.7132652049161909E-4</v>
      </c>
      <c r="U625">
        <f t="shared" si="20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22"/>
        <v>624</v>
      </c>
      <c r="I626">
        <f>SUM($F$3:F626)/H626</f>
        <v>4140994.141376202</v>
      </c>
      <c r="N626">
        <f>IF(A626&lt;&gt;$K$33,MAX(N625,VLOOKUP(A626,A:C,3)),)</f>
        <v>0.64499998092651367</v>
      </c>
      <c r="O626">
        <f>IF(A626&lt;&gt;$K$33,MIN(O625,VLOOKUP(A626,A:D,4)),)</f>
        <v>0.59200000762939453</v>
      </c>
      <c r="P626">
        <f t="shared" si="21"/>
        <v>0.59599999586741126</v>
      </c>
      <c r="Q626">
        <f t="shared" si="16"/>
        <v>0.61590475979305448</v>
      </c>
      <c r="R626">
        <f t="shared" si="17"/>
        <v>-1.9904763925643221E-2</v>
      </c>
      <c r="S626">
        <f t="shared" si="18"/>
        <v>1.246258636721137E-2</v>
      </c>
      <c r="T626">
        <f t="shared" si="19"/>
        <v>1.8693879550817056E-4</v>
      </c>
      <c r="U626">
        <f t="shared" si="20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22"/>
        <v>625</v>
      </c>
      <c r="I627">
        <f>SUM($F$3:F627)/H627</f>
        <v>4142436.07075</v>
      </c>
      <c r="N627">
        <f>IF(A627&lt;&gt;$K$33,MAX(N626,VLOOKUP(A627,A:C,3)),)</f>
        <v>0.64499998092651367</v>
      </c>
      <c r="O627">
        <f>IF(A627&lt;&gt;$K$33,MIN(O626,VLOOKUP(A627,A:D,4)),)</f>
        <v>0.58399999141693115</v>
      </c>
      <c r="P627">
        <f t="shared" si="21"/>
        <v>0.59533333778381348</v>
      </c>
      <c r="Q627">
        <f t="shared" si="16"/>
        <v>0.6131428551106225</v>
      </c>
      <c r="R627">
        <f t="shared" si="17"/>
        <v>-1.7809517326809021E-2</v>
      </c>
      <c r="S627">
        <f t="shared" si="18"/>
        <v>1.1850340633976188E-2</v>
      </c>
      <c r="T627">
        <f t="shared" si="19"/>
        <v>1.7775510950964282E-4</v>
      </c>
      <c r="U627">
        <f t="shared" si="20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22"/>
        <v>626</v>
      </c>
      <c r="I628">
        <f>SUM($F$3:F628)/H628</f>
        <v>4145468.9220746807</v>
      </c>
      <c r="N628">
        <f>IF(A628&lt;&gt;$K$33,MAX(N627,VLOOKUP(A628,A:C,3)),)</f>
        <v>0.64499998092651367</v>
      </c>
      <c r="O628">
        <f>IF(A628&lt;&gt;$K$33,MIN(O627,VLOOKUP(A628,A:D,4)),)</f>
        <v>0.58399999141693115</v>
      </c>
      <c r="P628">
        <f t="shared" si="21"/>
        <v>0.60066666205724084</v>
      </c>
      <c r="Q628">
        <f t="shared" si="16"/>
        <v>0.6100476171289172</v>
      </c>
      <c r="R628">
        <f t="shared" si="17"/>
        <v>-9.3809550716763557E-3</v>
      </c>
      <c r="S628">
        <f t="shared" si="18"/>
        <v>9.210885382023002E-3</v>
      </c>
      <c r="T628">
        <f t="shared" si="19"/>
        <v>1.3816328073034502E-4</v>
      </c>
      <c r="U628">
        <f t="shared" si="20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22"/>
        <v>627</v>
      </c>
      <c r="I629">
        <f>SUM($F$3:F629)/H629</f>
        <v>4148789.7068879586</v>
      </c>
      <c r="N629">
        <f>IF(A629&lt;&gt;$K$33,MAX(N628,VLOOKUP(A629,A:C,3)),)</f>
        <v>0.64499998092651367</v>
      </c>
      <c r="O629">
        <f>IF(A629&lt;&gt;$K$33,MIN(O628,VLOOKUP(A629,A:D,4)),)</f>
        <v>0.58099997043609619</v>
      </c>
      <c r="P629">
        <f t="shared" si="21"/>
        <v>0.58833330869674683</v>
      </c>
      <c r="Q629">
        <f t="shared" si="16"/>
        <v>0.60649999692326506</v>
      </c>
      <c r="R629">
        <f t="shared" si="17"/>
        <v>-1.8166688226518235E-2</v>
      </c>
      <c r="S629">
        <f t="shared" si="18"/>
        <v>7.7857190654391306E-3</v>
      </c>
      <c r="T629">
        <f t="shared" si="19"/>
        <v>1.1678578598158696E-4</v>
      </c>
      <c r="U629">
        <f t="shared" si="20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22"/>
        <v>628</v>
      </c>
      <c r="I630">
        <f>SUM($F$3:F630)/H630</f>
        <v>4153325.3920680732</v>
      </c>
      <c r="N630">
        <f>IF(A630&lt;&gt;$K$33,MAX(N629,VLOOKUP(A630,A:C,3)),)</f>
        <v>0.64499998092651367</v>
      </c>
      <c r="O630">
        <f>IF(A630&lt;&gt;$K$33,MIN(O629,VLOOKUP(A630,A:D,4)),)</f>
        <v>0.57999998331069946</v>
      </c>
      <c r="P630">
        <f t="shared" si="21"/>
        <v>0.58766665061314904</v>
      </c>
      <c r="Q630">
        <f t="shared" si="16"/>
        <v>0.60357142346245907</v>
      </c>
      <c r="R630">
        <f t="shared" si="17"/>
        <v>-1.5904772849310023E-2</v>
      </c>
      <c r="S630">
        <f t="shared" si="18"/>
        <v>7.1564673566493764E-3</v>
      </c>
      <c r="T630">
        <f t="shared" si="19"/>
        <v>1.0734701034974064E-4</v>
      </c>
      <c r="U630">
        <f t="shared" si="20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22"/>
        <v>629</v>
      </c>
      <c r="I631">
        <f>SUM($F$3:F631)/H631</f>
        <v>4162812.4757054849</v>
      </c>
      <c r="N631">
        <f>IF(A631&lt;&gt;$K$33,MAX(N630,VLOOKUP(A631,A:C,3)),)</f>
        <v>0.64499998092651367</v>
      </c>
      <c r="O631">
        <f>IF(A631&lt;&gt;$K$33,MIN(O630,VLOOKUP(A631,A:D,4)),)</f>
        <v>0.57700002193450928</v>
      </c>
      <c r="P631">
        <f t="shared" si="21"/>
        <v>0.58900000651677453</v>
      </c>
      <c r="Q631">
        <f t="shared" si="16"/>
        <v>0.60128571022124522</v>
      </c>
      <c r="R631">
        <f t="shared" si="17"/>
        <v>-1.2285703704470685E-2</v>
      </c>
      <c r="S631">
        <f t="shared" si="18"/>
        <v>7.244899970333586E-3</v>
      </c>
      <c r="T631">
        <f t="shared" si="19"/>
        <v>1.0867349955500379E-4</v>
      </c>
      <c r="U631">
        <f t="shared" si="20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22"/>
        <v>630</v>
      </c>
      <c r="I632">
        <f>SUM($F$3:F632)/H632</f>
        <v>4171646.7416170635</v>
      </c>
      <c r="N632">
        <f>IF(A632&lt;&gt;$K$33,MAX(N631,VLOOKUP(A632,A:C,3)),)</f>
        <v>0.64499998092651367</v>
      </c>
      <c r="O632">
        <f>IF(A632&lt;&gt;$K$33,MIN(O631,VLOOKUP(A632,A:D,4)),)</f>
        <v>0.57700002193450928</v>
      </c>
      <c r="P632">
        <f t="shared" si="21"/>
        <v>0.596666673819224</v>
      </c>
      <c r="Q632">
        <f t="shared" si="16"/>
        <v>0.59983332951863599</v>
      </c>
      <c r="R632">
        <f t="shared" si="17"/>
        <v>-3.166655699411991E-3</v>
      </c>
      <c r="S632">
        <f t="shared" si="18"/>
        <v>6.5714291163853399E-3</v>
      </c>
      <c r="T632">
        <f t="shared" si="19"/>
        <v>9.8571436745780101E-5</v>
      </c>
      <c r="U632">
        <f t="shared" si="20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22"/>
        <v>631</v>
      </c>
      <c r="I633">
        <f>SUM($F$3:F633)/H633</f>
        <v>4177463.475782488</v>
      </c>
      <c r="N633">
        <f>IF(A633&lt;&gt;$K$33,MAX(N632,VLOOKUP(A633,A:C,3)),)</f>
        <v>0.64499998092651367</v>
      </c>
      <c r="O633">
        <f>IF(A633&lt;&gt;$K$33,MIN(O632,VLOOKUP(A633,A:D,4)),)</f>
        <v>0.57700002193450928</v>
      </c>
      <c r="P633">
        <f t="shared" si="21"/>
        <v>0.59633334477742517</v>
      </c>
      <c r="Q633">
        <f t="shared" si="16"/>
        <v>0.59885714025724501</v>
      </c>
      <c r="R633">
        <f t="shared" si="17"/>
        <v>-2.5237954798198459E-3</v>
      </c>
      <c r="S633">
        <f t="shared" si="18"/>
        <v>6.0952376751672709E-3</v>
      </c>
      <c r="T633">
        <f t="shared" si="19"/>
        <v>9.1428565127509058E-5</v>
      </c>
      <c r="U633">
        <f t="shared" si="20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22"/>
        <v>632</v>
      </c>
      <c r="I634">
        <f>SUM($F$3:F634)/H634</f>
        <v>4186171.761422073</v>
      </c>
      <c r="N634">
        <f>IF(A634&lt;&gt;$K$33,MAX(N633,VLOOKUP(A634,A:C,3)),)</f>
        <v>0.64499998092651367</v>
      </c>
      <c r="O634">
        <f>IF(A634&lt;&gt;$K$33,MIN(O633,VLOOKUP(A634,A:D,4)),)</f>
        <v>0.57700002193450928</v>
      </c>
      <c r="P634">
        <f t="shared" si="21"/>
        <v>0.58499997854232788</v>
      </c>
      <c r="Q634">
        <f t="shared" si="16"/>
        <v>0.59726190141269142</v>
      </c>
      <c r="R634">
        <f t="shared" si="17"/>
        <v>-1.226192287036354E-2</v>
      </c>
      <c r="S634">
        <f t="shared" si="18"/>
        <v>6.2517020978084302E-3</v>
      </c>
      <c r="T634">
        <f t="shared" si="19"/>
        <v>9.3775531467126455E-5</v>
      </c>
      <c r="U634">
        <f t="shared" si="20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22"/>
        <v>633</v>
      </c>
      <c r="I635">
        <f>SUM($F$3:F635)/H635</f>
        <v>4192713.5161433648</v>
      </c>
      <c r="N635">
        <f>IF(A635&lt;&gt;$K$33,MAX(N634,VLOOKUP(A635,A:C,3)),)</f>
        <v>0.64499998092651367</v>
      </c>
      <c r="O635">
        <f>IF(A635&lt;&gt;$K$33,MIN(O634,VLOOKUP(A635,A:D,4)),)</f>
        <v>0.56599998474121094</v>
      </c>
      <c r="P635">
        <f t="shared" si="21"/>
        <v>0.57066665093104041</v>
      </c>
      <c r="Q635">
        <f t="shared" si="16"/>
        <v>0.59492856831777652</v>
      </c>
      <c r="R635">
        <f t="shared" si="17"/>
        <v>-2.4261917386736109E-2</v>
      </c>
      <c r="S635">
        <f t="shared" si="18"/>
        <v>7.7108923269778185E-3</v>
      </c>
      <c r="T635">
        <f t="shared" si="19"/>
        <v>1.1566338490466727E-4</v>
      </c>
      <c r="U635">
        <f t="shared" si="20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22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21"/>
        <v>0.56266667445500695</v>
      </c>
      <c r="Q636">
        <f t="shared" si="16"/>
        <v>0.59166666297685533</v>
      </c>
      <c r="R636">
        <f t="shared" si="17"/>
        <v>-2.8999988521848374E-2</v>
      </c>
      <c r="S636">
        <f t="shared" si="18"/>
        <v>9.5238154437266177E-3</v>
      </c>
      <c r="T636">
        <f t="shared" si="19"/>
        <v>1.4285723165589925E-4</v>
      </c>
      <c r="U636">
        <f t="shared" si="20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22"/>
        <v>635</v>
      </c>
      <c r="I637">
        <f>SUM($F$3:F637)/H637</f>
        <v>4213546.5538877957</v>
      </c>
      <c r="N637">
        <f>IF(A637&lt;&gt;$K$34,MAX(N636,VLOOKUP(A637,A:C,3)),)</f>
        <v>0.57300001382827759</v>
      </c>
      <c r="O637">
        <f>IF(A637&lt;&gt;$K$34,MIN(O636,VLOOKUP(A637,A:D,4)),)</f>
        <v>0.55800002813339233</v>
      </c>
      <c r="P637">
        <f t="shared" si="21"/>
        <v>0.56566667556762695</v>
      </c>
      <c r="Q637">
        <f t="shared" si="16"/>
        <v>0.58866666328339345</v>
      </c>
      <c r="R637">
        <f t="shared" si="17"/>
        <v>-2.2999987715766501E-2</v>
      </c>
      <c r="S637">
        <f t="shared" si="18"/>
        <v>1.0285720127780427E-2</v>
      </c>
      <c r="T637">
        <f t="shared" si="19"/>
        <v>1.542858019167064E-4</v>
      </c>
      <c r="U637">
        <f t="shared" si="20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22"/>
        <v>636</v>
      </c>
      <c r="I638">
        <f>SUM($F$3:F638)/H638</f>
        <v>4224498.3847779091</v>
      </c>
      <c r="N638">
        <f>IF(A638&lt;&gt;$K$34,MAX(N637,VLOOKUP(A638,A:C,3)),)</f>
        <v>0.57300001382827759</v>
      </c>
      <c r="O638">
        <f>IF(A638&lt;&gt;$K$34,MIN(O637,VLOOKUP(A638,A:D,4)),)</f>
        <v>0.54100000858306885</v>
      </c>
      <c r="P638">
        <f t="shared" si="21"/>
        <v>0.55433332920074463</v>
      </c>
      <c r="Q638">
        <f t="shared" si="16"/>
        <v>0.58514285371417096</v>
      </c>
      <c r="R638">
        <f t="shared" si="17"/>
        <v>-3.0809524513426334E-2</v>
      </c>
      <c r="S638">
        <f t="shared" si="18"/>
        <v>1.2482994267729666E-2</v>
      </c>
      <c r="T638">
        <f t="shared" si="19"/>
        <v>1.8724491401594497E-4</v>
      </c>
      <c r="U638">
        <f t="shared" si="20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22"/>
        <v>637</v>
      </c>
      <c r="I639">
        <f>SUM($F$3:F639)/H639</f>
        <v>4231863.3857437205</v>
      </c>
      <c r="N639">
        <f>IF(A639&lt;&gt;$K$34,MAX(N638,VLOOKUP(A639,A:C,3)),)</f>
        <v>0.57300001382827759</v>
      </c>
      <c r="O639">
        <f>IF(A639&lt;&gt;$K$34,MIN(O638,VLOOKUP(A639,A:D,4)),)</f>
        <v>0.53600001335144043</v>
      </c>
      <c r="P639">
        <f t="shared" si="21"/>
        <v>0.55333332220713294</v>
      </c>
      <c r="Q639">
        <f t="shared" si="16"/>
        <v>0.58154761507397612</v>
      </c>
      <c r="R639">
        <f t="shared" si="17"/>
        <v>-2.8214292866843182E-2</v>
      </c>
      <c r="S639">
        <f t="shared" si="18"/>
        <v>1.4438774715475475E-2</v>
      </c>
      <c r="T639">
        <f t="shared" si="19"/>
        <v>2.1658162073213212E-4</v>
      </c>
      <c r="U639">
        <f t="shared" si="20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22"/>
        <v>638</v>
      </c>
      <c r="I640">
        <f>SUM($F$3:F640)/H640</f>
        <v>4230298.0873334641</v>
      </c>
      <c r="N640">
        <f>IF(A640&lt;&gt;$K$34,MAX(N639,VLOOKUP(A640,A:C,3)),)</f>
        <v>0.58600002527236938</v>
      </c>
      <c r="O640">
        <f>IF(A640&lt;&gt;$K$34,MIN(O639,VLOOKUP(A640,A:D,4)),)</f>
        <v>0.53600001335144043</v>
      </c>
      <c r="P640">
        <f t="shared" si="21"/>
        <v>0.57633334398269653</v>
      </c>
      <c r="Q640">
        <f t="shared" si="16"/>
        <v>0.58014285422506795</v>
      </c>
      <c r="R640">
        <f t="shared" si="17"/>
        <v>-3.8095102423714167E-3</v>
      </c>
      <c r="S640">
        <f t="shared" si="18"/>
        <v>1.3979589858022676E-2</v>
      </c>
      <c r="T640">
        <f t="shared" si="19"/>
        <v>2.0969384787034013E-4</v>
      </c>
      <c r="U640">
        <f t="shared" si="20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22"/>
        <v>639</v>
      </c>
      <c r="I641">
        <f>SUM($F$3:F641)/H641</f>
        <v>4228924.2268681535</v>
      </c>
      <c r="N641">
        <f>IF(A641&lt;&gt;$K$34,MAX(N640,VLOOKUP(A641,A:C,3)),)</f>
        <v>0.59700000286102295</v>
      </c>
      <c r="O641">
        <f>IF(A641&lt;&gt;$K$34,MIN(O640,VLOOKUP(A641,A:D,4)),)</f>
        <v>0.53600001335144043</v>
      </c>
      <c r="P641">
        <f t="shared" si="21"/>
        <v>0.59233333667119348</v>
      </c>
      <c r="Q641">
        <f t="shared" si="16"/>
        <v>0.57992856843130924</v>
      </c>
      <c r="R641">
        <f t="shared" si="17"/>
        <v>1.2404768239884234E-2</v>
      </c>
      <c r="S641">
        <f t="shared" si="18"/>
        <v>1.3795916320515347E-2</v>
      </c>
      <c r="T641">
        <f t="shared" si="19"/>
        <v>2.0693874480773021E-4</v>
      </c>
      <c r="U641">
        <f t="shared" si="20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22"/>
        <v>640</v>
      </c>
      <c r="I642">
        <f>SUM($F$3:F642)/H642</f>
        <v>4227286.6890136721</v>
      </c>
      <c r="N642">
        <f>IF(A642&lt;&gt;$K$34,MAX(N641,VLOOKUP(A642,A:C,3)),)</f>
        <v>0.60900002717971802</v>
      </c>
      <c r="O642">
        <f>IF(A642&lt;&gt;$K$34,MIN(O641,VLOOKUP(A642,A:D,4)),)</f>
        <v>0.53600001335144043</v>
      </c>
      <c r="P642">
        <f t="shared" si="21"/>
        <v>0.60333333412806189</v>
      </c>
      <c r="Q642">
        <f t="shared" si="16"/>
        <v>0.58011904500779654</v>
      </c>
      <c r="R642">
        <f t="shared" si="17"/>
        <v>2.3214289120265352E-2</v>
      </c>
      <c r="S642">
        <f t="shared" si="18"/>
        <v>1.3959181957504381E-2</v>
      </c>
      <c r="T642">
        <f t="shared" si="19"/>
        <v>2.0938772936256571E-4</v>
      </c>
      <c r="U642">
        <f t="shared" si="20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22"/>
        <v>641</v>
      </c>
      <c r="I643">
        <f>SUM($F$3:F643)/H643</f>
        <v>4229824.9313085023</v>
      </c>
      <c r="N643">
        <f>IF(A643&lt;&gt;$K$34,MAX(N642,VLOOKUP(A643,A:C,3)),)</f>
        <v>0.6119999885559082</v>
      </c>
      <c r="O643">
        <f>IF(A643&lt;&gt;$K$34,MIN(O642,VLOOKUP(A643,A:D,4)),)</f>
        <v>0.53600001335144043</v>
      </c>
      <c r="P643">
        <f t="shared" si="21"/>
        <v>0.60733332236607873</v>
      </c>
      <c r="Q643">
        <f t="shared" si="16"/>
        <v>0.58147618884132035</v>
      </c>
      <c r="R643">
        <f t="shared" si="17"/>
        <v>2.585713352475838E-2</v>
      </c>
      <c r="S643">
        <f t="shared" si="18"/>
        <v>1.5122448100524686E-2</v>
      </c>
      <c r="T643">
        <f t="shared" si="19"/>
        <v>2.2683672150787028E-4</v>
      </c>
      <c r="U643">
        <f t="shared" si="20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22"/>
        <v>642</v>
      </c>
      <c r="I644">
        <f>SUM($F$3:F644)/H644</f>
        <v>4239183.4594528815</v>
      </c>
      <c r="N644">
        <f>IF(A644&lt;&gt;$K$34,MAX(N643,VLOOKUP(A644,A:C,3)),)</f>
        <v>0.6119999885559082</v>
      </c>
      <c r="O644">
        <f>IF(A644&lt;&gt;$K$34,MIN(O643,VLOOKUP(A644,A:D,4)),)</f>
        <v>0.53600001335144043</v>
      </c>
      <c r="P644">
        <f t="shared" si="21"/>
        <v>0.606333335240682</v>
      </c>
      <c r="Q644">
        <f t="shared" si="16"/>
        <v>0.58280952345757264</v>
      </c>
      <c r="R644">
        <f t="shared" si="17"/>
        <v>2.3523811783109361E-2</v>
      </c>
      <c r="S644">
        <f t="shared" si="18"/>
        <v>1.6265306343026715E-2</v>
      </c>
      <c r="T644">
        <f t="shared" si="19"/>
        <v>2.4397959514540072E-4</v>
      </c>
      <c r="U644">
        <f t="shared" si="20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22"/>
        <v>643</v>
      </c>
      <c r="I645">
        <f>SUM($F$3:F645)/H645</f>
        <v>4246729.6764677297</v>
      </c>
      <c r="N645">
        <f>IF(A645&lt;&gt;$K$34,MAX(N644,VLOOKUP(A645,A:C,3)),)</f>
        <v>0.62099999189376831</v>
      </c>
      <c r="O645">
        <f>IF(A645&lt;&gt;$K$34,MIN(O644,VLOOKUP(A645,A:D,4)),)</f>
        <v>0.53600001335144043</v>
      </c>
      <c r="P645">
        <f t="shared" si="21"/>
        <v>0.61166665951410926</v>
      </c>
      <c r="Q645">
        <f t="shared" si="16"/>
        <v>0.5844285701002393</v>
      </c>
      <c r="R645">
        <f t="shared" si="17"/>
        <v>2.7238089413869959E-2</v>
      </c>
      <c r="S645">
        <f t="shared" si="18"/>
        <v>1.7653060608169673E-2</v>
      </c>
      <c r="T645">
        <f t="shared" si="19"/>
        <v>2.6479590912254506E-4</v>
      </c>
      <c r="U645">
        <f t="shared" si="20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22"/>
        <v>644</v>
      </c>
      <c r="I646">
        <f>SUM($F$3:F646)/H646</f>
        <v>4256122.3369079968</v>
      </c>
      <c r="N646">
        <f>IF(A646&lt;&gt;$K$34,MAX(N645,VLOOKUP(A646,A:C,3)),)</f>
        <v>0.62099999189376831</v>
      </c>
      <c r="O646">
        <f>IF(A646&lt;&gt;$K$34,MIN(O645,VLOOKUP(A646,A:D,4)),)</f>
        <v>0.53600001335144043</v>
      </c>
      <c r="P646">
        <f t="shared" si="21"/>
        <v>0.61566664775212609</v>
      </c>
      <c r="Q646">
        <f t="shared" si="16"/>
        <v>0.58578571109544664</v>
      </c>
      <c r="R646">
        <f t="shared" si="17"/>
        <v>2.9880936656679458E-2</v>
      </c>
      <c r="S646">
        <f t="shared" si="18"/>
        <v>1.8928571825935738E-2</v>
      </c>
      <c r="T646">
        <f t="shared" si="19"/>
        <v>2.8392857738903607E-4</v>
      </c>
      <c r="U646">
        <f t="shared" si="20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22"/>
        <v>645</v>
      </c>
      <c r="I647">
        <f>SUM($F$3:F647)/H647</f>
        <v>4259751.294525194</v>
      </c>
      <c r="N647">
        <f>IF(A647&lt;&gt;$K$34,MAX(N646,VLOOKUP(A647,A:C,3)),)</f>
        <v>0.62099999189376831</v>
      </c>
      <c r="O647">
        <f>IF(A647&lt;&gt;$K$34,MIN(O646,VLOOKUP(A647,A:D,4)),)</f>
        <v>0.53600001335144043</v>
      </c>
      <c r="P647">
        <f t="shared" si="21"/>
        <v>0.61666665474573767</v>
      </c>
      <c r="Q647">
        <f t="shared" si="16"/>
        <v>0.58723809037889751</v>
      </c>
      <c r="R647">
        <f t="shared" si="17"/>
        <v>2.942856436684016E-2</v>
      </c>
      <c r="S647">
        <f t="shared" si="18"/>
        <v>2.038095110938663E-2</v>
      </c>
      <c r="T647">
        <f t="shared" si="19"/>
        <v>3.0571426664079945E-4</v>
      </c>
      <c r="U647">
        <f t="shared" si="20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22"/>
        <v>646</v>
      </c>
      <c r="I648">
        <f>SUM($F$3:F648)/H648</f>
        <v>4269332.0200754646</v>
      </c>
      <c r="N648">
        <f>IF(A648&lt;&gt;$K$34,MAX(N647,VLOOKUP(A648,A:C,3)),)</f>
        <v>0.62300002574920654</v>
      </c>
      <c r="O648">
        <f>IF(A648&lt;&gt;$K$34,MIN(O647,VLOOKUP(A648,A:D,4)),)</f>
        <v>0.53600001335144043</v>
      </c>
      <c r="P648">
        <f t="shared" si="21"/>
        <v>0.61933332681655884</v>
      </c>
      <c r="Q648">
        <f t="shared" si="16"/>
        <v>0.58969047239848549</v>
      </c>
      <c r="R648">
        <f t="shared" si="17"/>
        <v>2.964285441807335E-2</v>
      </c>
      <c r="S648">
        <f t="shared" si="18"/>
        <v>2.2163262578094898E-2</v>
      </c>
      <c r="T648">
        <f t="shared" si="19"/>
        <v>3.3244893867142347E-4</v>
      </c>
      <c r="U648">
        <f t="shared" si="20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22"/>
        <v>647</v>
      </c>
      <c r="I649">
        <f>SUM($F$3:F649)/H649</f>
        <v>4280043.7186534004</v>
      </c>
      <c r="N649">
        <f>IF(A649&lt;&gt;$K$34,MAX(N648,VLOOKUP(A649,A:C,3)),)</f>
        <v>0.63099998235702515</v>
      </c>
      <c r="O649">
        <f>IF(A649&lt;&gt;$K$34,MIN(O648,VLOOKUP(A649,A:D,4)),)</f>
        <v>0.53600001335144043</v>
      </c>
      <c r="P649">
        <f t="shared" si="21"/>
        <v>0.62599998712539673</v>
      </c>
      <c r="Q649">
        <f t="shared" si="16"/>
        <v>0.59364285355522506</v>
      </c>
      <c r="R649">
        <f t="shared" si="17"/>
        <v>3.235713357017167E-2</v>
      </c>
      <c r="S649">
        <f t="shared" si="18"/>
        <v>2.2455777035278544E-2</v>
      </c>
      <c r="T649">
        <f t="shared" si="19"/>
        <v>3.3683665552917817E-4</v>
      </c>
      <c r="U649">
        <f t="shared" si="20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22"/>
        <v>648</v>
      </c>
      <c r="I650">
        <f>SUM($F$3:F650)/H650</f>
        <v>4291994.4521122687</v>
      </c>
      <c r="N650">
        <f>IF(A650&lt;&gt;$K$34,MAX(N649,VLOOKUP(A650,A:C,3)),)</f>
        <v>0.63999998569488525</v>
      </c>
      <c r="O650">
        <f>IF(A650&lt;&gt;$K$34,MIN(O649,VLOOKUP(A650,A:D,4)),)</f>
        <v>0.53600001335144043</v>
      </c>
      <c r="P650">
        <f t="shared" si="21"/>
        <v>0.62499998013178504</v>
      </c>
      <c r="Q650">
        <f t="shared" si="16"/>
        <v>0.59809523253213792</v>
      </c>
      <c r="R650">
        <f t="shared" si="17"/>
        <v>2.6904747599647116E-2</v>
      </c>
      <c r="S650">
        <f t="shared" si="18"/>
        <v>2.1210879290185003E-2</v>
      </c>
      <c r="T650">
        <f t="shared" si="19"/>
        <v>3.1816318935277505E-4</v>
      </c>
      <c r="U650">
        <f t="shared" si="20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22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21"/>
        <v>0.63266666730244958</v>
      </c>
      <c r="Q651">
        <f t="shared" si="16"/>
        <v>0.60288094622748234</v>
      </c>
      <c r="R651">
        <f t="shared" si="17"/>
        <v>2.9785721074967242E-2</v>
      </c>
      <c r="S651">
        <f t="shared" si="18"/>
        <v>1.9312921835451729E-2</v>
      </c>
      <c r="T651">
        <f t="shared" si="19"/>
        <v>2.896938275317759E-4</v>
      </c>
      <c r="U651">
        <f t="shared" si="20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22"/>
        <v>650</v>
      </c>
      <c r="I652">
        <f>SUM($F$3:F652)/H652</f>
        <v>4310667.8537980765</v>
      </c>
      <c r="N652">
        <f>IF(A652&lt;&gt;$K$35,MAX(N651,VLOOKUP(A652,A:C,3)),)</f>
        <v>0.64899998903274536</v>
      </c>
      <c r="O652">
        <f>IF(A652&lt;&gt;$K$35,MIN(O651,VLOOKUP(A652,A:D,4)),)</f>
        <v>0.6380000114440918</v>
      </c>
      <c r="P652">
        <f t="shared" si="21"/>
        <v>0.64500000079472863</v>
      </c>
      <c r="Q652">
        <f t="shared" si="16"/>
        <v>0.60935713705562411</v>
      </c>
      <c r="R652">
        <f t="shared" si="17"/>
        <v>3.5642863739104524E-2</v>
      </c>
      <c r="S652">
        <f t="shared" si="18"/>
        <v>1.6734689676842718E-2</v>
      </c>
      <c r="T652">
        <f t="shared" si="19"/>
        <v>2.5102034515264075E-4</v>
      </c>
      <c r="U652">
        <f t="shared" si="20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22"/>
        <v>651</v>
      </c>
      <c r="I653">
        <f>SUM($F$3:F653)/H653</f>
        <v>4314549.1627784176</v>
      </c>
      <c r="N653">
        <f>IF(A653&lt;&gt;$K$35,MAX(N652,VLOOKUP(A653,A:C,3)),)</f>
        <v>0.65399998426437378</v>
      </c>
      <c r="O653">
        <f>IF(A653&lt;&gt;$K$35,MIN(O652,VLOOKUP(A653,A:D,4)),)</f>
        <v>0.6380000114440918</v>
      </c>
      <c r="P653">
        <f t="shared" si="21"/>
        <v>0.64933331807454431</v>
      </c>
      <c r="Q653">
        <f t="shared" si="16"/>
        <v>0.61621427961758202</v>
      </c>
      <c r="R653">
        <f t="shared" si="17"/>
        <v>3.3119038456962291E-2</v>
      </c>
      <c r="S653">
        <f t="shared" si="18"/>
        <v>1.4357139666875201E-2</v>
      </c>
      <c r="T653">
        <f t="shared" si="19"/>
        <v>2.1535709500312801E-4</v>
      </c>
      <c r="U653">
        <f t="shared" si="20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22"/>
        <v>652</v>
      </c>
      <c r="I654">
        <f>SUM($F$3:F654)/H654</f>
        <v>4317293.8726514569</v>
      </c>
      <c r="N654">
        <f>IF(A654&lt;&gt;$K$35,MAX(N653,VLOOKUP(A654,A:C,3)),)</f>
        <v>0.65399998426437378</v>
      </c>
      <c r="O654">
        <f>IF(A654&lt;&gt;$K$35,MIN(O653,VLOOKUP(A654,A:D,4)),)</f>
        <v>0.6380000114440918</v>
      </c>
      <c r="P654">
        <f t="shared" si="21"/>
        <v>0.64733332395553589</v>
      </c>
      <c r="Q654">
        <f t="shared" si="16"/>
        <v>0.62128570675849915</v>
      </c>
      <c r="R654">
        <f t="shared" si="17"/>
        <v>2.6047617197036743E-2</v>
      </c>
      <c r="S654">
        <f t="shared" si="18"/>
        <v>1.3945576690492179E-2</v>
      </c>
      <c r="T654">
        <f t="shared" si="19"/>
        <v>2.0918365035738266E-4</v>
      </c>
      <c r="U654">
        <f t="shared" si="20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22"/>
        <v>653</v>
      </c>
      <c r="I655">
        <f>SUM($F$3:F655)/H655</f>
        <v>4324614.7089873664</v>
      </c>
      <c r="N655">
        <f>IF(A655&lt;&gt;$K$35,MAX(N654,VLOOKUP(A655,A:C,3)),)</f>
        <v>0.65399998426437378</v>
      </c>
      <c r="O655">
        <f>IF(A655&lt;&gt;$K$35,MIN(O654,VLOOKUP(A655,A:D,4)),)</f>
        <v>0.6380000114440918</v>
      </c>
      <c r="P655">
        <f t="shared" si="21"/>
        <v>0.64733334382375085</v>
      </c>
      <c r="Q655">
        <f t="shared" si="16"/>
        <v>0.62521427869796753</v>
      </c>
      <c r="R655">
        <f t="shared" si="17"/>
        <v>2.2119065125783322E-2</v>
      </c>
      <c r="S655">
        <f t="shared" si="18"/>
        <v>1.3768709841228679E-2</v>
      </c>
      <c r="T655">
        <f t="shared" si="19"/>
        <v>2.0653064761843017E-4</v>
      </c>
      <c r="U655">
        <f t="shared" si="20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22"/>
        <v>654</v>
      </c>
      <c r="I656">
        <f>SUM($F$3:F656)/H656</f>
        <v>4330516.215548547</v>
      </c>
      <c r="N656">
        <f>IF(A656&lt;&gt;$K$35,MAX(N655,VLOOKUP(A656,A:C,3)),)</f>
        <v>0.65399998426437378</v>
      </c>
      <c r="O656">
        <f>IF(A656&lt;&gt;$K$35,MIN(O655,VLOOKUP(A656,A:D,4)),)</f>
        <v>0.6380000114440918</v>
      </c>
      <c r="P656">
        <f t="shared" si="21"/>
        <v>0.64233334859212243</v>
      </c>
      <c r="Q656">
        <f t="shared" si="16"/>
        <v>0.62799999401682904</v>
      </c>
      <c r="R656">
        <f t="shared" si="17"/>
        <v>1.4333354575293389E-2</v>
      </c>
      <c r="S656">
        <f t="shared" si="18"/>
        <v>1.3714291206022531E-2</v>
      </c>
      <c r="T656">
        <f t="shared" si="19"/>
        <v>2.0571436809033796E-4</v>
      </c>
      <c r="U656">
        <f t="shared" si="20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22"/>
        <v>655</v>
      </c>
      <c r="I657">
        <f>SUM($F$3:F657)/H657</f>
        <v>4336780.0075858776</v>
      </c>
      <c r="N657">
        <f>IF(A657&lt;&gt;$K$35,MAX(N656,VLOOKUP(A657,A:C,3)),)</f>
        <v>0.65399998426437378</v>
      </c>
      <c r="O657">
        <f>IF(A657&lt;&gt;$K$35,MIN(O656,VLOOKUP(A657,A:D,4)),)</f>
        <v>0.63400000333786011</v>
      </c>
      <c r="P657">
        <f t="shared" si="21"/>
        <v>0.64099999268849694</v>
      </c>
      <c r="Q657">
        <f t="shared" si="16"/>
        <v>0.63040475618271596</v>
      </c>
      <c r="R657">
        <f t="shared" si="17"/>
        <v>1.0595236505780981E-2</v>
      </c>
      <c r="S657">
        <f t="shared" si="18"/>
        <v>1.3166671707516644E-2</v>
      </c>
      <c r="T657">
        <f t="shared" si="19"/>
        <v>1.9750007561274965E-4</v>
      </c>
      <c r="U657">
        <f t="shared" si="20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22"/>
        <v>656</v>
      </c>
      <c r="I658">
        <f>SUM($F$3:F658)/H658</f>
        <v>4342923.6356230946</v>
      </c>
      <c r="N658">
        <f>IF(A658&lt;&gt;$K$35,MAX(N657,VLOOKUP(A658,A:C,3)),)</f>
        <v>0.66200000047683716</v>
      </c>
      <c r="O658">
        <f>IF(A658&lt;&gt;$K$35,MIN(O657,VLOOKUP(A658,A:D,4)),)</f>
        <v>0.63400000333786011</v>
      </c>
      <c r="P658">
        <f t="shared" si="21"/>
        <v>0.65666667620340979</v>
      </c>
      <c r="Q658">
        <f t="shared" si="16"/>
        <v>0.6339999948229107</v>
      </c>
      <c r="R658">
        <f t="shared" si="17"/>
        <v>2.2666681380499099E-2</v>
      </c>
      <c r="S658">
        <f t="shared" si="18"/>
        <v>1.3000005767458975E-2</v>
      </c>
      <c r="T658">
        <f t="shared" si="19"/>
        <v>1.9500008651188462E-4</v>
      </c>
      <c r="U658">
        <f t="shared" si="20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22"/>
        <v>657</v>
      </c>
      <c r="I659">
        <f>SUM($F$3:F659)/H659</f>
        <v>4350919.7944729831</v>
      </c>
      <c r="N659">
        <f>IF(A659&lt;&gt;$K$35,MAX(N658,VLOOKUP(A659,A:C,3)),)</f>
        <v>0.66600000858306885</v>
      </c>
      <c r="O659">
        <f>IF(A659&lt;&gt;$K$35,MIN(O658,VLOOKUP(A659,A:D,4)),)</f>
        <v>0.63400000333786011</v>
      </c>
      <c r="P659">
        <f t="shared" si="21"/>
        <v>0.66266665856043494</v>
      </c>
      <c r="Q659">
        <f t="shared" si="16"/>
        <v>0.63764285189764824</v>
      </c>
      <c r="R659">
        <f t="shared" si="17"/>
        <v>2.5023806662786696E-2</v>
      </c>
      <c r="S659">
        <f t="shared" si="18"/>
        <v>1.2931978215976667E-2</v>
      </c>
      <c r="T659">
        <f t="shared" si="19"/>
        <v>1.9397967323965E-4</v>
      </c>
      <c r="U659">
        <f t="shared" si="20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22"/>
        <v>658</v>
      </c>
      <c r="I660">
        <f>SUM($F$3:F660)/H660</f>
        <v>4355832.8342990121</v>
      </c>
      <c r="N660">
        <f>IF(A660&lt;&gt;$K$35,MAX(N659,VLOOKUP(A660,A:C,3)),)</f>
        <v>0.66699999570846558</v>
      </c>
      <c r="O660">
        <f>IF(A660&lt;&gt;$K$35,MIN(O659,VLOOKUP(A660,A:D,4)),)</f>
        <v>0.63400000333786011</v>
      </c>
      <c r="P660">
        <f t="shared" si="21"/>
        <v>0.66333333651224768</v>
      </c>
      <c r="Q660">
        <f t="shared" si="16"/>
        <v>0.64104761538051414</v>
      </c>
      <c r="R660">
        <f t="shared" si="17"/>
        <v>2.2285721131733549E-2</v>
      </c>
      <c r="S660">
        <f t="shared" si="18"/>
        <v>1.2231297638951533E-2</v>
      </c>
      <c r="T660">
        <f t="shared" si="19"/>
        <v>1.8346946458427298E-4</v>
      </c>
      <c r="U660">
        <f t="shared" si="20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22"/>
        <v>659</v>
      </c>
      <c r="I661">
        <f>SUM($F$3:F661)/H661</f>
        <v>4358757.6706657819</v>
      </c>
      <c r="N661">
        <f>IF(A661&lt;&gt;$K$35,MAX(N660,VLOOKUP(A661,A:C,3)),)</f>
        <v>0.6679999828338623</v>
      </c>
      <c r="O661">
        <f>IF(A661&lt;&gt;$K$35,MIN(O660,VLOOKUP(A661,A:D,4)),)</f>
        <v>0.63400000333786011</v>
      </c>
      <c r="P661">
        <f t="shared" si="21"/>
        <v>0.66099999348322547</v>
      </c>
      <c r="Q661">
        <f t="shared" si="16"/>
        <v>0.6442142824331919</v>
      </c>
      <c r="R661">
        <f t="shared" si="17"/>
        <v>1.6785711050033569E-2</v>
      </c>
      <c r="S661">
        <f t="shared" si="18"/>
        <v>1.1278913134620301E-2</v>
      </c>
      <c r="T661">
        <f t="shared" si="19"/>
        <v>1.6918369701930449E-4</v>
      </c>
      <c r="U661">
        <f t="shared" si="20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22"/>
        <v>660</v>
      </c>
      <c r="I662">
        <f>SUM($F$3:F662)/H662</f>
        <v>4365179.5560132572</v>
      </c>
      <c r="N662">
        <f>IF(A662&lt;&gt;$K$35,MAX(N661,VLOOKUP(A662,A:C,3)),)</f>
        <v>0.6679999828338623</v>
      </c>
      <c r="O662">
        <f>IF(A662&lt;&gt;$K$35,MIN(O661,VLOOKUP(A662,A:D,4)),)</f>
        <v>0.63400000333786011</v>
      </c>
      <c r="P662">
        <f t="shared" si="21"/>
        <v>0.65633334716161096</v>
      </c>
      <c r="Q662">
        <f t="shared" si="16"/>
        <v>0.64685714102926717</v>
      </c>
      <c r="R662">
        <f t="shared" si="17"/>
        <v>9.4762061323437896E-3</v>
      </c>
      <c r="S662">
        <f t="shared" si="18"/>
        <v>9.8775527915175854E-3</v>
      </c>
      <c r="T662">
        <f t="shared" si="19"/>
        <v>1.4816329187276376E-4</v>
      </c>
      <c r="U662">
        <f t="shared" si="20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22"/>
        <v>661</v>
      </c>
      <c r="I663">
        <f>SUM($F$3:F663)/H663</f>
        <v>4372964.0060041603</v>
      </c>
      <c r="N663">
        <f>IF(A663&lt;&gt;$K$35,MAX(N662,VLOOKUP(A663,A:C,3)),)</f>
        <v>0.67000001668930054</v>
      </c>
      <c r="O663">
        <f>IF(A663&lt;&gt;$K$35,MIN(O662,VLOOKUP(A663,A:D,4)),)</f>
        <v>0.63400000333786011</v>
      </c>
      <c r="P663">
        <f t="shared" si="21"/>
        <v>0.66766667366027832</v>
      </c>
      <c r="Q663">
        <f t="shared" si="16"/>
        <v>0.64983333292461587</v>
      </c>
      <c r="R663">
        <f t="shared" si="17"/>
        <v>1.7833340735662451E-2</v>
      </c>
      <c r="S663">
        <f t="shared" si="18"/>
        <v>9.8095268619303733E-3</v>
      </c>
      <c r="T663">
        <f t="shared" si="19"/>
        <v>1.471429029289556E-4</v>
      </c>
      <c r="U663">
        <f t="shared" si="20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22"/>
        <v>662</v>
      </c>
      <c r="I664">
        <f>SUM($F$3:F664)/H664</f>
        <v>4373296.6887745466</v>
      </c>
      <c r="N664">
        <f>IF(A664&lt;&gt;$K$35,MAX(N663,VLOOKUP(A664,A:C,3)),)</f>
        <v>0.67000001668930054</v>
      </c>
      <c r="O664">
        <f>IF(A664&lt;&gt;$K$35,MIN(O663,VLOOKUP(A664,A:D,4)),)</f>
        <v>0.63400000333786011</v>
      </c>
      <c r="P664">
        <f t="shared" si="21"/>
        <v>0.66599998871485389</v>
      </c>
      <c r="Q664">
        <f t="shared" si="16"/>
        <v>0.65276190496626352</v>
      </c>
      <c r="R664">
        <f t="shared" si="17"/>
        <v>1.3238083748590368E-2</v>
      </c>
      <c r="S664">
        <f t="shared" si="18"/>
        <v>9.1904770760308872E-3</v>
      </c>
      <c r="T664">
        <f t="shared" si="19"/>
        <v>1.3785715614046329E-4</v>
      </c>
      <c r="U664">
        <f t="shared" si="20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22"/>
        <v>663</v>
      </c>
      <c r="I665">
        <f>SUM($F$3:F665)/H665</f>
        <v>4378741.7918080697</v>
      </c>
      <c r="N665">
        <f>IF(A665&lt;&gt;$K$35,MAX(N664,VLOOKUP(A665,A:C,3)),)</f>
        <v>0.67000001668930054</v>
      </c>
      <c r="O665">
        <f>IF(A665&lt;&gt;$K$35,MIN(O664,VLOOKUP(A665,A:D,4)),)</f>
        <v>0.63400000333786011</v>
      </c>
      <c r="P665">
        <f t="shared" si="21"/>
        <v>0.66333333651224768</v>
      </c>
      <c r="Q665">
        <f t="shared" si="16"/>
        <v>0.65495238133839195</v>
      </c>
      <c r="R665">
        <f t="shared" si="17"/>
        <v>8.3809551738557309E-3</v>
      </c>
      <c r="S665">
        <f t="shared" si="18"/>
        <v>8.1972800144532697E-3</v>
      </c>
      <c r="T665">
        <f t="shared" si="19"/>
        <v>1.2295920021679905E-4</v>
      </c>
      <c r="U665">
        <f t="shared" si="20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22"/>
        <v>664</v>
      </c>
      <c r="I666">
        <f>SUM($F$3:F666)/H666</f>
        <v>4385868.686699925</v>
      </c>
      <c r="N666">
        <f>IF(A666&lt;&gt;$K$35,MAX(N665,VLOOKUP(A666,A:C,3)),)</f>
        <v>0.67000001668930054</v>
      </c>
      <c r="O666">
        <f>IF(A666&lt;&gt;$K$35,MIN(O665,VLOOKUP(A666,A:D,4)),)</f>
        <v>0.63400000333786011</v>
      </c>
      <c r="P666">
        <f t="shared" si="21"/>
        <v>0.66200002034505212</v>
      </c>
      <c r="Q666">
        <f t="shared" si="16"/>
        <v>0.65616666844912952</v>
      </c>
      <c r="R666">
        <f t="shared" si="17"/>
        <v>5.8333518959226005E-3</v>
      </c>
      <c r="S666">
        <f t="shared" si="18"/>
        <v>7.6428593015994539E-3</v>
      </c>
      <c r="T666">
        <f t="shared" si="19"/>
        <v>1.1464288952399181E-4</v>
      </c>
      <c r="U666">
        <f t="shared" si="20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22"/>
        <v>665</v>
      </c>
      <c r="I667">
        <f>SUM($F$3:F667)/H667</f>
        <v>4394226.178900376</v>
      </c>
      <c r="N667">
        <f>IF(A667&lt;&gt;$K$35,MAX(N666,VLOOKUP(A667,A:C,3)),)</f>
        <v>0.67000001668930054</v>
      </c>
      <c r="O667">
        <f>IF(A667&lt;&gt;$K$35,MIN(O666,VLOOKUP(A667,A:D,4)),)</f>
        <v>0.63400000333786011</v>
      </c>
      <c r="P667">
        <f t="shared" si="21"/>
        <v>0.65433331330617273</v>
      </c>
      <c r="Q667">
        <f t="shared" si="16"/>
        <v>0.65652381096567436</v>
      </c>
      <c r="R667">
        <f t="shared" si="17"/>
        <v>-2.1904976595016334E-3</v>
      </c>
      <c r="S667">
        <f t="shared" si="18"/>
        <v>7.2108851809079555E-3</v>
      </c>
      <c r="T667">
        <f t="shared" si="19"/>
        <v>1.0816327771361933E-4</v>
      </c>
      <c r="U667">
        <f t="shared" si="20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22"/>
        <v>666</v>
      </c>
      <c r="I668">
        <f>SUM($F$3:F668)/H668</f>
        <v>4398152.4158689938</v>
      </c>
      <c r="N668">
        <f>IF(A668&lt;&gt;$K$35,MAX(N667,VLOOKUP(A668,A:C,3)),)</f>
        <v>0.67000001668930054</v>
      </c>
      <c r="O668">
        <f>IF(A668&lt;&gt;$K$35,MIN(O667,VLOOKUP(A668,A:D,4)),)</f>
        <v>0.63400000333786011</v>
      </c>
      <c r="P668">
        <f t="shared" si="21"/>
        <v>0.6500000158945719</v>
      </c>
      <c r="Q668">
        <f t="shared" si="16"/>
        <v>0.65671428896131967</v>
      </c>
      <c r="R668">
        <f t="shared" si="17"/>
        <v>-6.7142730667477668E-3</v>
      </c>
      <c r="S668">
        <f t="shared" si="18"/>
        <v>6.9999978655860351E-3</v>
      </c>
      <c r="T668">
        <f t="shared" si="19"/>
        <v>1.0499996798379052E-4</v>
      </c>
      <c r="U668">
        <f t="shared" si="20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22"/>
        <v>667</v>
      </c>
      <c r="I669">
        <f>SUM($F$3:F669)/H669</f>
        <v>4404658.8005528487</v>
      </c>
      <c r="N669">
        <f>IF(A669&lt;&gt;$K$35,MAX(N668,VLOOKUP(A669,A:C,3)),)</f>
        <v>0.67000001668930054</v>
      </c>
      <c r="O669">
        <f>IF(A669&lt;&gt;$K$35,MIN(O668,VLOOKUP(A669,A:D,4)),)</f>
        <v>0.63400000333786011</v>
      </c>
      <c r="P669">
        <f t="shared" si="21"/>
        <v>0.64999999602635705</v>
      </c>
      <c r="Q669">
        <f t="shared" si="16"/>
        <v>0.65690476411864862</v>
      </c>
      <c r="R669">
        <f t="shared" si="17"/>
        <v>-6.9047680922915688E-3</v>
      </c>
      <c r="S669">
        <f t="shared" si="18"/>
        <v>6.8095227082570209E-3</v>
      </c>
      <c r="T669">
        <f t="shared" si="19"/>
        <v>1.0214284062385531E-4</v>
      </c>
      <c r="U669">
        <f t="shared" si="20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22"/>
        <v>668</v>
      </c>
      <c r="I670">
        <f>SUM($F$3:F670)/H670</f>
        <v>4411454.2215101048</v>
      </c>
      <c r="N670">
        <f>IF(A670&lt;&gt;$K$35,MAX(N669,VLOOKUP(A670,A:C,3)),)</f>
        <v>0.67000001668930054</v>
      </c>
      <c r="O670">
        <f>IF(A670&lt;&gt;$K$35,MIN(O669,VLOOKUP(A670,A:D,4)),)</f>
        <v>0.63400000333786011</v>
      </c>
      <c r="P670">
        <f t="shared" si="21"/>
        <v>0.64066668351491296</v>
      </c>
      <c r="Q670">
        <f t="shared" si="16"/>
        <v>0.65678571661313379</v>
      </c>
      <c r="R670">
        <f t="shared" si="17"/>
        <v>-1.6119033098220825E-2</v>
      </c>
      <c r="S670">
        <f t="shared" si="18"/>
        <v>6.928570213771983E-3</v>
      </c>
      <c r="T670">
        <f t="shared" si="19"/>
        <v>1.0392855320657975E-4</v>
      </c>
      <c r="U670">
        <f t="shared" si="20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22"/>
        <v>669</v>
      </c>
      <c r="I671">
        <f>SUM($F$3:F671)/H671</f>
        <v>4417144.8728979817</v>
      </c>
      <c r="N671">
        <f>IF(A671&lt;&gt;$K$35,MAX(N670,VLOOKUP(A671,A:C,3)),)</f>
        <v>0.67000001668930054</v>
      </c>
      <c r="O671">
        <f>IF(A671&lt;&gt;$K$35,MIN(O670,VLOOKUP(A671,A:D,4)),)</f>
        <v>0.63400000333786011</v>
      </c>
      <c r="P671">
        <f t="shared" si="21"/>
        <v>0.64433334271113074</v>
      </c>
      <c r="Q671">
        <f t="shared" si="16"/>
        <v>0.65702381304332191</v>
      </c>
      <c r="R671">
        <f t="shared" si="17"/>
        <v>-1.2690470332191173E-2</v>
      </c>
      <c r="S671">
        <f t="shared" si="18"/>
        <v>6.6904737835838547E-3</v>
      </c>
      <c r="T671">
        <f t="shared" si="19"/>
        <v>1.0035710675375781E-4</v>
      </c>
      <c r="U671">
        <f t="shared" si="20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22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21"/>
        <v>0.64500002066294349</v>
      </c>
      <c r="Q672">
        <f t="shared" si="16"/>
        <v>0.65619048050471707</v>
      </c>
      <c r="R672">
        <f t="shared" si="17"/>
        <v>-1.1190459841773581E-2</v>
      </c>
      <c r="S672">
        <f t="shared" si="18"/>
        <v>7.5442158446020046E-3</v>
      </c>
      <c r="T672">
        <f t="shared" si="19"/>
        <v>1.1316323766903006E-4</v>
      </c>
      <c r="U672">
        <f t="shared" si="20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22"/>
        <v>671</v>
      </c>
      <c r="I673">
        <f>SUM($F$3:F673)/H673</f>
        <v>4430496.4813245153</v>
      </c>
      <c r="N673">
        <f>IF(A673&lt;&gt;$K$36,MAX(N672,VLOOKUP(A673,A:C,3)),)</f>
        <v>0.66399997472763062</v>
      </c>
      <c r="O673">
        <f>IF(A673&lt;&gt;$K$36,MIN(O672,VLOOKUP(A673,A:D,4)),)</f>
        <v>0.63999998569488525</v>
      </c>
      <c r="P673">
        <f t="shared" si="21"/>
        <v>0.6559999783833822</v>
      </c>
      <c r="Q673">
        <f t="shared" si="16"/>
        <v>0.65571428906349905</v>
      </c>
      <c r="R673">
        <f t="shared" si="17"/>
        <v>2.8568931988315338E-4</v>
      </c>
      <c r="S673">
        <f t="shared" si="18"/>
        <v>7.1360517521293831E-3</v>
      </c>
      <c r="T673">
        <f t="shared" si="19"/>
        <v>1.0704077628194074E-4</v>
      </c>
      <c r="U673">
        <f t="shared" si="20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22"/>
        <v>672</v>
      </c>
      <c r="I674">
        <f>SUM($F$3:F674)/H674</f>
        <v>4436907.3496558778</v>
      </c>
      <c r="N674">
        <f>IF(A674&lt;&gt;$K$36,MAX(N673,VLOOKUP(A674,A:C,3)),)</f>
        <v>0.66399997472763062</v>
      </c>
      <c r="O674">
        <f>IF(A674&lt;&gt;$K$36,MIN(O673,VLOOKUP(A674,A:D,4)),)</f>
        <v>0.63999998569488525</v>
      </c>
      <c r="P674">
        <f t="shared" si="21"/>
        <v>0.66000000635782874</v>
      </c>
      <c r="Q674">
        <f t="shared" si="16"/>
        <v>0.65547619405246915</v>
      </c>
      <c r="R674">
        <f t="shared" si="17"/>
        <v>4.5238123053595869E-3</v>
      </c>
      <c r="S674">
        <f t="shared" si="18"/>
        <v>6.9319703141037291E-3</v>
      </c>
      <c r="T674">
        <f t="shared" si="19"/>
        <v>1.0397955471155593E-4</v>
      </c>
      <c r="U674">
        <f t="shared" si="20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22"/>
        <v>673</v>
      </c>
      <c r="I675">
        <f>SUM($F$3:F675)/H675</f>
        <v>4454719.2258079499</v>
      </c>
      <c r="N675">
        <f>IF(A675&lt;&gt;$K$36,MAX(N674,VLOOKUP(A675,A:C,3)),)</f>
        <v>0.66399997472763062</v>
      </c>
      <c r="O675">
        <f>IF(A675&lt;&gt;$K$36,MIN(O674,VLOOKUP(A675,A:D,4)),)</f>
        <v>0.63999998569488525</v>
      </c>
      <c r="P675">
        <f t="shared" si="21"/>
        <v>0.65733333428700769</v>
      </c>
      <c r="Q675">
        <f t="shared" si="16"/>
        <v>0.65521428982416796</v>
      </c>
      <c r="R675">
        <f t="shared" si="17"/>
        <v>2.1190444628397254E-3</v>
      </c>
      <c r="S675">
        <f t="shared" si="18"/>
        <v>6.7074809755597719E-3</v>
      </c>
      <c r="T675">
        <f t="shared" si="19"/>
        <v>1.0061221463339658E-4</v>
      </c>
      <c r="U675">
        <f t="shared" si="20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22"/>
        <v>674</v>
      </c>
      <c r="I676">
        <f>SUM($F$3:F676)/H676</f>
        <v>4472545.6067785611</v>
      </c>
      <c r="N676">
        <f>IF(A676&lt;&gt;$K$36,MAX(N675,VLOOKUP(A676,A:C,3)),)</f>
        <v>0.66399997472763062</v>
      </c>
      <c r="O676">
        <f>IF(A676&lt;&gt;$K$36,MIN(O675,VLOOKUP(A676,A:D,4)),)</f>
        <v>0.63999998569488525</v>
      </c>
      <c r="P676">
        <f t="shared" si="21"/>
        <v>0.6500000158945719</v>
      </c>
      <c r="Q676">
        <f t="shared" si="16"/>
        <v>0.65476190901937936</v>
      </c>
      <c r="R676">
        <f t="shared" si="17"/>
        <v>-4.7618931248074592E-3</v>
      </c>
      <c r="S676">
        <f t="shared" si="18"/>
        <v>6.9999964464278475E-3</v>
      </c>
      <c r="T676">
        <f t="shared" si="19"/>
        <v>1.0499994669641771E-4</v>
      </c>
      <c r="U676">
        <f t="shared" si="20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22"/>
        <v>675</v>
      </c>
      <c r="I677">
        <f>SUM($F$3:F677)/H677</f>
        <v>4466998.2799537033</v>
      </c>
      <c r="N677">
        <f>IF(A677&lt;&gt;$K$36,MAX(N676,VLOOKUP(A677,A:C,3)),)</f>
        <v>0.66399997472763062</v>
      </c>
      <c r="O677">
        <f>IF(A677&lt;&gt;$K$36,MIN(O676,VLOOKUP(A677,A:D,4)),)</f>
        <v>0.63999998569488525</v>
      </c>
      <c r="P677">
        <f t="shared" si="21"/>
        <v>0.64766665299733484</v>
      </c>
      <c r="Q677">
        <f t="shared" si="16"/>
        <v>0.65333333611488342</v>
      </c>
      <c r="R677">
        <f t="shared" si="17"/>
        <v>-5.6666831175485877E-3</v>
      </c>
      <c r="S677">
        <f t="shared" si="18"/>
        <v>6.523803586051583E-3</v>
      </c>
      <c r="T677">
        <f t="shared" si="19"/>
        <v>9.7857053790773737E-5</v>
      </c>
      <c r="U677">
        <f t="shared" si="20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22"/>
        <v>676</v>
      </c>
      <c r="I678">
        <f>SUM($F$3:F678)/H678</f>
        <v>4469440.4600129435</v>
      </c>
      <c r="N678">
        <f>IF(A678&lt;&gt;$K$36,MAX(N677,VLOOKUP(A678,A:C,3)),)</f>
        <v>0.66399997472763062</v>
      </c>
      <c r="O678">
        <f>IF(A678&lt;&gt;$K$36,MIN(O677,VLOOKUP(A678,A:D,4)),)</f>
        <v>0.63700002431869507</v>
      </c>
      <c r="P678">
        <f t="shared" si="21"/>
        <v>0.64166667064030969</v>
      </c>
      <c r="Q678">
        <f t="shared" si="16"/>
        <v>0.65159524196670182</v>
      </c>
      <c r="R678">
        <f t="shared" si="17"/>
        <v>-9.9285713263921327E-3</v>
      </c>
      <c r="S678">
        <f t="shared" si="18"/>
        <v>6.2040767702115874E-3</v>
      </c>
      <c r="T678">
        <f t="shared" si="19"/>
        <v>9.3061151553173815E-5</v>
      </c>
      <c r="U678">
        <f t="shared" si="20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22"/>
        <v>677</v>
      </c>
      <c r="I679">
        <f>SUM($F$3:F679)/H679</f>
        <v>4465699.7798652146</v>
      </c>
      <c r="N679">
        <f>IF(A679&lt;&gt;$K$36,MAX(N678,VLOOKUP(A679,A:C,3)),)</f>
        <v>0.66399997472763062</v>
      </c>
      <c r="O679">
        <f>IF(A679&lt;&gt;$K$36,MIN(O678,VLOOKUP(A679,A:D,4)),)</f>
        <v>0.63700002431869507</v>
      </c>
      <c r="P679">
        <f t="shared" si="21"/>
        <v>0.64033333460489905</v>
      </c>
      <c r="Q679">
        <f t="shared" si="16"/>
        <v>0.6499523846876053</v>
      </c>
      <c r="R679">
        <f t="shared" si="17"/>
        <v>-9.6190500827062486E-3</v>
      </c>
      <c r="S679">
        <f t="shared" si="18"/>
        <v>5.7210861420144976E-3</v>
      </c>
      <c r="T679">
        <f t="shared" si="19"/>
        <v>8.5816292130217457E-5</v>
      </c>
      <c r="U679">
        <f t="shared" si="20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22"/>
        <v>678</v>
      </c>
      <c r="I680">
        <f>SUM($F$3:F680)/H680</f>
        <v>4470801.9925792776</v>
      </c>
      <c r="N680">
        <f>IF(A680&lt;&gt;$K$36,MAX(N679,VLOOKUP(A680,A:C,3)),)</f>
        <v>0.66399997472763062</v>
      </c>
      <c r="O680">
        <f>IF(A680&lt;&gt;$K$36,MIN(O679,VLOOKUP(A680,A:D,4)),)</f>
        <v>0.63400000333786011</v>
      </c>
      <c r="P680">
        <f t="shared" si="21"/>
        <v>0.63633332649866736</v>
      </c>
      <c r="Q680">
        <f t="shared" si="16"/>
        <v>0.64811904941286347</v>
      </c>
      <c r="R680">
        <f t="shared" si="17"/>
        <v>-1.1785722914196106E-2</v>
      </c>
      <c r="S680">
        <f t="shared" si="18"/>
        <v>5.8333306085495773E-3</v>
      </c>
      <c r="T680">
        <f t="shared" si="19"/>
        <v>8.7499959128243662E-5</v>
      </c>
      <c r="U680">
        <f t="shared" si="20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22"/>
        <v>679</v>
      </c>
      <c r="I681">
        <f>SUM($F$3:F681)/H681</f>
        <v>4476514.5080541233</v>
      </c>
      <c r="N681">
        <f>IF(A681&lt;&gt;$K$36,MAX(N680,VLOOKUP(A681,A:C,3)),)</f>
        <v>0.66399997472763062</v>
      </c>
      <c r="O681">
        <f>IF(A681&lt;&gt;$K$36,MIN(O680,VLOOKUP(A681,A:D,4)),)</f>
        <v>0.63400000333786011</v>
      </c>
      <c r="P681">
        <f t="shared" si="21"/>
        <v>0.64333333571751916</v>
      </c>
      <c r="Q681">
        <f t="shared" si="16"/>
        <v>0.64733333672795978</v>
      </c>
      <c r="R681">
        <f t="shared" si="17"/>
        <v>-4.0000010104406236E-3</v>
      </c>
      <c r="S681">
        <f t="shared" si="18"/>
        <v>5.6666632493337045E-3</v>
      </c>
      <c r="T681">
        <f t="shared" si="19"/>
        <v>8.4999948740005561E-5</v>
      </c>
      <c r="U681">
        <f t="shared" si="20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22"/>
        <v>680</v>
      </c>
      <c r="I682">
        <f>SUM($F$3:F682)/H682</f>
        <v>4483298.6073069852</v>
      </c>
      <c r="N682">
        <f>IF(A682&lt;&gt;$K$36,MAX(N681,VLOOKUP(A682,A:C,3)),)</f>
        <v>0.66399997472763062</v>
      </c>
      <c r="O682">
        <f>IF(A682&lt;&gt;$K$36,MIN(O681,VLOOKUP(A682,A:D,4)),)</f>
        <v>0.63400000333786011</v>
      </c>
      <c r="P682">
        <f t="shared" si="21"/>
        <v>0.64066668351491296</v>
      </c>
      <c r="Q682">
        <f t="shared" si="16"/>
        <v>0.64666667012941281</v>
      </c>
      <c r="R682">
        <f t="shared" si="17"/>
        <v>-5.9999866144998526E-3</v>
      </c>
      <c r="S682">
        <f t="shared" si="18"/>
        <v>5.8571375957151882E-3</v>
      </c>
      <c r="T682">
        <f t="shared" si="19"/>
        <v>8.7857063935727815E-5</v>
      </c>
      <c r="U682">
        <f t="shared" si="20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22"/>
        <v>681</v>
      </c>
      <c r="I683">
        <f>SUM($F$3:F683)/H683</f>
        <v>4490107.1277074153</v>
      </c>
      <c r="N683">
        <f>IF(A683&lt;&gt;$K$36,MAX(N682,VLOOKUP(A683,A:C,3)),)</f>
        <v>0.66399997472763062</v>
      </c>
      <c r="O683">
        <f>IF(A683&lt;&gt;$K$36,MIN(O682,VLOOKUP(A683,A:D,4)),)</f>
        <v>0.63400000333786011</v>
      </c>
      <c r="P683">
        <f t="shared" si="21"/>
        <v>0.64566665887832642</v>
      </c>
      <c r="Q683">
        <f t="shared" si="16"/>
        <v>0.64635714604741057</v>
      </c>
      <c r="R683">
        <f t="shared" si="17"/>
        <v>-6.9048716908415297E-4</v>
      </c>
      <c r="S683">
        <f t="shared" si="18"/>
        <v>5.6020368118675579E-3</v>
      </c>
      <c r="T683">
        <f t="shared" si="19"/>
        <v>8.4030552178013363E-5</v>
      </c>
      <c r="U683">
        <f t="shared" si="20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22"/>
        <v>682</v>
      </c>
      <c r="I684">
        <f>SUM($F$3:F684)/H684</f>
        <v>4496325.2990744133</v>
      </c>
      <c r="N684">
        <f>IF(A684&lt;&gt;$K$36,MAX(N683,VLOOKUP(A684,A:C,3)),)</f>
        <v>0.66399997472763062</v>
      </c>
      <c r="O684">
        <f>IF(A684&lt;&gt;$K$36,MIN(O683,VLOOKUP(A684,A:D,4)),)</f>
        <v>0.63400000333786011</v>
      </c>
      <c r="P684">
        <f t="shared" si="21"/>
        <v>0.64999999602635705</v>
      </c>
      <c r="Q684">
        <f t="shared" si="16"/>
        <v>0.64702381122679942</v>
      </c>
      <c r="R684">
        <f t="shared" si="17"/>
        <v>2.9761847995576352E-3</v>
      </c>
      <c r="S684">
        <f t="shared" si="18"/>
        <v>5.5510166550980277E-3</v>
      </c>
      <c r="T684">
        <f t="shared" si="19"/>
        <v>8.3265249826470407E-5</v>
      </c>
      <c r="U684">
        <f t="shared" si="20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22"/>
        <v>683</v>
      </c>
      <c r="I685">
        <f>SUM($F$3:F685)/H685</f>
        <v>4500102.2752104681</v>
      </c>
      <c r="N685">
        <f>IF(A685&lt;&gt;$K$36,MAX(N684,VLOOKUP(A685,A:C,3)),)</f>
        <v>0.66399997472763062</v>
      </c>
      <c r="O685">
        <f>IF(A685&lt;&gt;$K$36,MIN(O684,VLOOKUP(A685,A:D,4)),)</f>
        <v>0.63400000333786011</v>
      </c>
      <c r="P685">
        <f t="shared" si="21"/>
        <v>0.64133332173029578</v>
      </c>
      <c r="Q685">
        <f t="shared" si="16"/>
        <v>0.64680952401388248</v>
      </c>
      <c r="R685">
        <f t="shared" si="17"/>
        <v>-5.4762022835866953E-3</v>
      </c>
      <c r="S685">
        <f t="shared" si="18"/>
        <v>5.7346914090266755E-3</v>
      </c>
      <c r="T685">
        <f t="shared" si="19"/>
        <v>8.6020371135400129E-5</v>
      </c>
      <c r="U685">
        <f t="shared" si="20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22"/>
        <v>684</v>
      </c>
      <c r="I686">
        <f>SUM($F$3:F686)/H686</f>
        <v>4504077.7104806285</v>
      </c>
      <c r="N686">
        <f>IF(A686&lt;&gt;$K$36,MAX(N685,VLOOKUP(A686,A:C,3)),)</f>
        <v>0.66399997472763062</v>
      </c>
      <c r="O686">
        <f>IF(A686&lt;&gt;$K$36,MIN(O685,VLOOKUP(A686,A:D,4)),)</f>
        <v>0.63400000333786011</v>
      </c>
      <c r="P686">
        <f t="shared" si="21"/>
        <v>0.63933334747950232</v>
      </c>
      <c r="Q686">
        <f t="shared" si="16"/>
        <v>0.64640476164363669</v>
      </c>
      <c r="R686">
        <f t="shared" si="17"/>
        <v>-7.0714141641343708E-3</v>
      </c>
      <c r="S686">
        <f t="shared" si="18"/>
        <v>6.0816305835230755E-3</v>
      </c>
      <c r="T686">
        <f t="shared" si="19"/>
        <v>9.1224458752846128E-5</v>
      </c>
      <c r="U686">
        <f t="shared" si="20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22"/>
        <v>685</v>
      </c>
      <c r="I687">
        <f>SUM($F$3:F687)/H687</f>
        <v>4509536.4291514596</v>
      </c>
      <c r="N687">
        <f>IF(A687&lt;&gt;$K$36,MAX(N686,VLOOKUP(A687,A:C,3)),)</f>
        <v>0.66399997472763062</v>
      </c>
      <c r="O687">
        <f>IF(A687&lt;&gt;$K$36,MIN(O686,VLOOKUP(A687,A:D,4)),)</f>
        <v>0.62900000810623169</v>
      </c>
      <c r="P687">
        <f t="shared" si="21"/>
        <v>0.63499999046325684</v>
      </c>
      <c r="Q687">
        <f t="shared" si="16"/>
        <v>0.64490476250648499</v>
      </c>
      <c r="R687">
        <f t="shared" si="17"/>
        <v>-9.9047720432281494E-3</v>
      </c>
      <c r="S687">
        <f t="shared" si="18"/>
        <v>5.8911556289309597E-3</v>
      </c>
      <c r="T687">
        <f t="shared" si="19"/>
        <v>8.8367334433964398E-5</v>
      </c>
      <c r="U687">
        <f t="shared" si="20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22"/>
        <v>686</v>
      </c>
      <c r="I688">
        <f>SUM($F$3:F688)/H688</f>
        <v>4509037.6898232503</v>
      </c>
      <c r="N688">
        <f>IF(A688&lt;&gt;$K$36,MAX(N687,VLOOKUP(A688,A:C,3)),)</f>
        <v>0.66399997472763062</v>
      </c>
      <c r="O688">
        <f>IF(A688&lt;&gt;$K$36,MIN(O687,VLOOKUP(A688,A:D,4)),)</f>
        <v>0.62900000810623169</v>
      </c>
      <c r="P688">
        <f t="shared" si="21"/>
        <v>0.63433333237965905</v>
      </c>
      <c r="Q688">
        <f t="shared" si="16"/>
        <v>0.64307142865090139</v>
      </c>
      <c r="R688">
        <f t="shared" si="17"/>
        <v>-8.7380962712423349E-3</v>
      </c>
      <c r="S688">
        <f t="shared" si="18"/>
        <v>5.0816316993869126E-3</v>
      </c>
      <c r="T688">
        <f t="shared" si="19"/>
        <v>7.622447549080368E-5</v>
      </c>
      <c r="U688">
        <f t="shared" si="20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22"/>
        <v>687</v>
      </c>
      <c r="I689">
        <f>SUM($F$3:F689)/H689</f>
        <v>4504931.6771743083</v>
      </c>
      <c r="N689">
        <f>IF(A689&lt;&gt;$K$36,MAX(N688,VLOOKUP(A689,A:C,3)),)</f>
        <v>0.66399997472763062</v>
      </c>
      <c r="O689">
        <f>IF(A689&lt;&gt;$K$36,MIN(O688,VLOOKUP(A689,A:D,4)),)</f>
        <v>0.62900000810623169</v>
      </c>
      <c r="P689">
        <f t="shared" si="21"/>
        <v>0.63700002431869507</v>
      </c>
      <c r="Q689">
        <f t="shared" si="16"/>
        <v>0.64161904936745062</v>
      </c>
      <c r="R689">
        <f t="shared" si="17"/>
        <v>-4.619025048755554E-3</v>
      </c>
      <c r="S689">
        <f t="shared" si="18"/>
        <v>4.0884334213879903E-3</v>
      </c>
      <c r="T689">
        <f t="shared" si="19"/>
        <v>6.1326501320819847E-5</v>
      </c>
      <c r="U689">
        <f t="shared" si="20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22"/>
        <v>688</v>
      </c>
      <c r="I690">
        <f>SUM($F$3:F690)/H690</f>
        <v>4504085.8462481834</v>
      </c>
      <c r="N690">
        <f>IF(A690&lt;&gt;$K$36,MAX(N689,VLOOKUP(A690,A:C,3)),)</f>
        <v>0.66399997472763062</v>
      </c>
      <c r="O690">
        <f>IF(A690&lt;&gt;$K$36,MIN(O689,VLOOKUP(A690,A:D,4)),)</f>
        <v>0.62900000810623169</v>
      </c>
      <c r="P690">
        <f t="shared" si="21"/>
        <v>0.64833333094914758</v>
      </c>
      <c r="Q690">
        <f t="shared" si="16"/>
        <v>0.64150000044277744</v>
      </c>
      <c r="R690">
        <f t="shared" si="17"/>
        <v>6.8333305063701388E-3</v>
      </c>
      <c r="S690">
        <f t="shared" si="18"/>
        <v>3.9523775074757983E-3</v>
      </c>
      <c r="T690">
        <f t="shared" si="19"/>
        <v>5.9285662612136972E-5</v>
      </c>
      <c r="U690">
        <f t="shared" si="20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22"/>
        <v>689</v>
      </c>
      <c r="I691">
        <f>SUM($F$3:F691)/H691</f>
        <v>4504502.8508254718</v>
      </c>
      <c r="N691">
        <f>IF(A691&lt;&gt;$K$36,MAX(N690,VLOOKUP(A691,A:C,3)),)</f>
        <v>0.67299997806549072</v>
      </c>
      <c r="O691">
        <f>IF(A691&lt;&gt;$K$36,MIN(O690,VLOOKUP(A691,A:D,4)),)</f>
        <v>0.62900000810623169</v>
      </c>
      <c r="P691">
        <f t="shared" si="21"/>
        <v>0.66399999459584558</v>
      </c>
      <c r="Q691">
        <f t="shared" si="16"/>
        <v>0.64266666769981395</v>
      </c>
      <c r="R691">
        <f t="shared" si="17"/>
        <v>2.1333326896031624E-2</v>
      </c>
      <c r="S691">
        <f t="shared" si="18"/>
        <v>5.4285682383038202E-3</v>
      </c>
      <c r="T691">
        <f t="shared" si="19"/>
        <v>8.1428523574557306E-5</v>
      </c>
      <c r="U691">
        <f t="shared" si="20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22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21"/>
        <v>0.66566665967305505</v>
      </c>
      <c r="Q692">
        <f t="shared" si="16"/>
        <v>0.64438095263072426</v>
      </c>
      <c r="R692">
        <f t="shared" si="17"/>
        <v>2.1285707042330793E-2</v>
      </c>
      <c r="S692">
        <f t="shared" si="18"/>
        <v>7.3945538527300791E-3</v>
      </c>
      <c r="T692">
        <f t="shared" si="19"/>
        <v>1.1091830779095118E-4</v>
      </c>
      <c r="U692">
        <f t="shared" si="20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22"/>
        <v>691</v>
      </c>
      <c r="I693">
        <f>SUM($F$3:F693)/H693</f>
        <v>4510844.3780300291</v>
      </c>
      <c r="N693">
        <f>IF(A693&lt;&gt;$K$37,MAX(N692,VLOOKUP(A693,A:C,3)),)</f>
        <v>0.68000000715255737</v>
      </c>
      <c r="O693">
        <f>IF(A693&lt;&gt;$K$37,MIN(O692,VLOOKUP(A693,A:D,4)),)</f>
        <v>0.67000001668930054</v>
      </c>
      <c r="P693">
        <f t="shared" si="21"/>
        <v>0.67666667699813843</v>
      </c>
      <c r="Q693">
        <f t="shared" si="16"/>
        <v>0.64697619137309836</v>
      </c>
      <c r="R693">
        <f t="shared" si="17"/>
        <v>2.9690485625040064E-2</v>
      </c>
      <c r="S693">
        <f t="shared" si="18"/>
        <v>9.9693859110072981E-3</v>
      </c>
      <c r="T693">
        <f t="shared" si="19"/>
        <v>1.4954078866510946E-4</v>
      </c>
      <c r="U693">
        <f t="shared" si="20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22"/>
        <v>692</v>
      </c>
      <c r="I694">
        <f>SUM($F$3:F694)/H694</f>
        <v>4517200.52777276</v>
      </c>
      <c r="N694">
        <f>IF(A694&lt;&gt;$K$37,MAX(N693,VLOOKUP(A694,A:C,3)),)</f>
        <v>0.68300002813339233</v>
      </c>
      <c r="O694">
        <f>IF(A694&lt;&gt;$K$37,MIN(O693,VLOOKUP(A694,A:D,4)),)</f>
        <v>0.67000001668930054</v>
      </c>
      <c r="P694">
        <f t="shared" si="21"/>
        <v>0.67666667699813843</v>
      </c>
      <c r="Q694">
        <f t="shared" si="16"/>
        <v>0.64985714498020342</v>
      </c>
      <c r="R694">
        <f t="shared" si="17"/>
        <v>2.6809532017935012E-2</v>
      </c>
      <c r="S694">
        <f t="shared" si="18"/>
        <v>1.1959182770073786E-2</v>
      </c>
      <c r="T694">
        <f t="shared" si="19"/>
        <v>1.793877415511068E-4</v>
      </c>
      <c r="U694">
        <f t="shared" si="20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22"/>
        <v>693</v>
      </c>
      <c r="I695">
        <f>SUM($F$3:F695)/H695</f>
        <v>4520463.8747745315</v>
      </c>
      <c r="N695">
        <f>IF(A695&lt;&gt;$K$37,MAX(N694,VLOOKUP(A695,A:C,3)),)</f>
        <v>0.68300002813339233</v>
      </c>
      <c r="O695">
        <f>IF(A695&lt;&gt;$K$37,MIN(O694,VLOOKUP(A695,A:D,4)),)</f>
        <v>0.66399997472763062</v>
      </c>
      <c r="P695">
        <f t="shared" si="21"/>
        <v>0.66733332475026452</v>
      </c>
      <c r="Q695">
        <f t="shared" si="16"/>
        <v>0.65157142991111383</v>
      </c>
      <c r="R695">
        <f t="shared" si="17"/>
        <v>1.5761894839150692E-2</v>
      </c>
      <c r="S695">
        <f t="shared" si="18"/>
        <v>1.3210883351410305E-2</v>
      </c>
      <c r="T695">
        <f t="shared" si="19"/>
        <v>1.9816325027115456E-4</v>
      </c>
      <c r="U695">
        <f t="shared" si="20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22"/>
        <v>694</v>
      </c>
      <c r="I696">
        <f>SUM($F$3:F696)/H696</f>
        <v>4528897.0680385446</v>
      </c>
      <c r="N696">
        <f>IF(A696&lt;&gt;$K$37,MAX(N695,VLOOKUP(A696,A:C,3)),)</f>
        <v>0.68300002813339233</v>
      </c>
      <c r="O696">
        <f>IF(A696&lt;&gt;$K$37,MIN(O695,VLOOKUP(A696,A:D,4)),)</f>
        <v>0.66399997472763062</v>
      </c>
      <c r="P696">
        <f t="shared" si="21"/>
        <v>0.67399998505910241</v>
      </c>
      <c r="Q696">
        <f t="shared" si="16"/>
        <v>0.65395238002141309</v>
      </c>
      <c r="R696">
        <f t="shared" si="17"/>
        <v>2.004760503768932E-2</v>
      </c>
      <c r="S696">
        <f t="shared" si="18"/>
        <v>1.4374148278009322E-2</v>
      </c>
      <c r="T696">
        <f t="shared" si="19"/>
        <v>2.1561222417013982E-4</v>
      </c>
      <c r="U696">
        <f t="shared" si="20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22"/>
        <v>695</v>
      </c>
      <c r="I697">
        <f>SUM($F$3:F697)/H697</f>
        <v>4537406.5686600721</v>
      </c>
      <c r="N697">
        <f>IF(A697&lt;&gt;$K$37,MAX(N696,VLOOKUP(A697,A:C,3)),)</f>
        <v>0.68300002813339233</v>
      </c>
      <c r="O697">
        <f>IF(A697&lt;&gt;$K$37,MIN(O696,VLOOKUP(A697,A:D,4)),)</f>
        <v>0.66399997472763062</v>
      </c>
      <c r="P697">
        <f t="shared" si="21"/>
        <v>0.67100000381469727</v>
      </c>
      <c r="Q697">
        <f t="shared" si="16"/>
        <v>0.65576190465972528</v>
      </c>
      <c r="R697">
        <f t="shared" si="17"/>
        <v>1.5238099154971985E-2</v>
      </c>
      <c r="S697">
        <f t="shared" si="18"/>
        <v>1.4999998467309142E-2</v>
      </c>
      <c r="T697">
        <f t="shared" si="19"/>
        <v>2.2499997700963713E-4</v>
      </c>
      <c r="U697">
        <f t="shared" si="20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22"/>
        <v>696</v>
      </c>
      <c r="I698">
        <f>SUM($F$3:F698)/H698</f>
        <v>4544982.8523257906</v>
      </c>
      <c r="N698">
        <f>IF(A698&lt;&gt;$K$37,MAX(N697,VLOOKUP(A698,A:C,3)),)</f>
        <v>0.68300002813339233</v>
      </c>
      <c r="O698">
        <f>IF(A698&lt;&gt;$K$37,MIN(O697,VLOOKUP(A698,A:D,4)),)</f>
        <v>0.66200000047683716</v>
      </c>
      <c r="P698">
        <f t="shared" si="21"/>
        <v>0.66633333762486779</v>
      </c>
      <c r="Q698">
        <f t="shared" si="16"/>
        <v>0.65692857191676179</v>
      </c>
      <c r="R698">
        <f t="shared" si="17"/>
        <v>9.4047657081059999E-3</v>
      </c>
      <c r="S698">
        <f t="shared" si="18"/>
        <v>1.5176869168573517E-2</v>
      </c>
      <c r="T698">
        <f t="shared" si="19"/>
        <v>2.2765303752860275E-4</v>
      </c>
      <c r="U698">
        <f t="shared" si="20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22"/>
        <v>697</v>
      </c>
      <c r="I699">
        <f>SUM($F$3:F699)/H699</f>
        <v>4557109.2757801292</v>
      </c>
      <c r="N699">
        <f>IF(A699&lt;&gt;$K$37,MAX(N698,VLOOKUP(A699,A:C,3)),)</f>
        <v>0.68300002813339233</v>
      </c>
      <c r="O699">
        <f>IF(A699&lt;&gt;$K$37,MIN(O698,VLOOKUP(A699,A:D,4)),)</f>
        <v>0.66200000047683716</v>
      </c>
      <c r="P699">
        <f t="shared" si="21"/>
        <v>0.66666666666666663</v>
      </c>
      <c r="Q699">
        <f t="shared" si="16"/>
        <v>0.65873809655507398</v>
      </c>
      <c r="R699">
        <f t="shared" si="17"/>
        <v>7.9285701115926477E-3</v>
      </c>
      <c r="S699">
        <f t="shared" si="18"/>
        <v>1.4241493883587095E-2</v>
      </c>
      <c r="T699">
        <f t="shared" si="19"/>
        <v>2.1362240825380642E-4</v>
      </c>
      <c r="U699">
        <f t="shared" si="20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22"/>
        <v>698</v>
      </c>
      <c r="I700">
        <f>SUM($F$3:F700)/H700</f>
        <v>4559747.228107092</v>
      </c>
      <c r="N700">
        <f>IF(A700&lt;&gt;$K$37,MAX(N699,VLOOKUP(A700,A:C,3)),)</f>
        <v>0.68300002813339233</v>
      </c>
      <c r="O700">
        <f>IF(A700&lt;&gt;$K$37,MIN(O699,VLOOKUP(A700,A:D,4)),)</f>
        <v>0.66100001335144043</v>
      </c>
      <c r="P700">
        <f t="shared" si="21"/>
        <v>0.66333333651224768</v>
      </c>
      <c r="Q700">
        <f t="shared" si="16"/>
        <v>0.6604523814859844</v>
      </c>
      <c r="R700">
        <f t="shared" si="17"/>
        <v>2.8809550262632877E-3</v>
      </c>
      <c r="S700">
        <f t="shared" si="18"/>
        <v>1.2448978261882777E-2</v>
      </c>
      <c r="T700">
        <f t="shared" si="19"/>
        <v>1.8673467392824164E-4</v>
      </c>
      <c r="U700">
        <f t="shared" si="20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22"/>
        <v>699</v>
      </c>
      <c r="I701">
        <f>SUM($F$3:F701)/H701</f>
        <v>4566965.7442328325</v>
      </c>
      <c r="N701">
        <f>IF(A701&lt;&gt;$K$37,MAX(N700,VLOOKUP(A701,A:C,3)),)</f>
        <v>0.68300002813339233</v>
      </c>
      <c r="O701">
        <f>IF(A701&lt;&gt;$K$37,MIN(O700,VLOOKUP(A701,A:D,4)),)</f>
        <v>0.65799999237060547</v>
      </c>
      <c r="P701">
        <f t="shared" si="21"/>
        <v>0.66366666555404663</v>
      </c>
      <c r="Q701">
        <f t="shared" si="16"/>
        <v>0.66250000113532648</v>
      </c>
      <c r="R701">
        <f t="shared" si="17"/>
        <v>1.1666644187201536E-3</v>
      </c>
      <c r="S701">
        <f t="shared" si="18"/>
        <v>9.6904736797826362E-3</v>
      </c>
      <c r="T701">
        <f t="shared" si="19"/>
        <v>1.4535710519673954E-4</v>
      </c>
      <c r="U701">
        <f t="shared" si="20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22"/>
        <v>700</v>
      </c>
      <c r="I702">
        <f>SUM($F$3:F702)/H702</f>
        <v>4570126.7967410712</v>
      </c>
      <c r="N702">
        <f>IF(A702&lt;&gt;$K$37,MAX(N701,VLOOKUP(A702,A:C,3)),)</f>
        <v>0.68300002813339233</v>
      </c>
      <c r="O702">
        <f>IF(A702&lt;&gt;$K$37,MIN(O701,VLOOKUP(A702,A:D,4)),)</f>
        <v>0.65799999237060547</v>
      </c>
      <c r="P702">
        <f t="shared" si="21"/>
        <v>0.66366666555404663</v>
      </c>
      <c r="Q702">
        <f t="shared" si="16"/>
        <v>0.66459523921921149</v>
      </c>
      <c r="R702">
        <f t="shared" si="17"/>
        <v>-9.2857366516485573E-4</v>
      </c>
      <c r="S702">
        <f t="shared" si="18"/>
        <v>6.7959168330341702E-3</v>
      </c>
      <c r="T702">
        <f t="shared" si="19"/>
        <v>1.0193875249551256E-4</v>
      </c>
      <c r="U702">
        <f t="shared" si="20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22"/>
        <v>701</v>
      </c>
      <c r="I703">
        <f>SUM($F$3:F703)/H703</f>
        <v>4575743.7342635524</v>
      </c>
      <c r="N703">
        <f>IF(A703&lt;&gt;$K$37,MAX(N702,VLOOKUP(A703,A:C,3)),)</f>
        <v>0.68300002813339233</v>
      </c>
      <c r="O703">
        <f>IF(A703&lt;&gt;$K$37,MIN(O702,VLOOKUP(A703,A:D,4)),)</f>
        <v>0.65799999237060547</v>
      </c>
      <c r="P703">
        <f t="shared" si="21"/>
        <v>0.66800000270207727</v>
      </c>
      <c r="Q703">
        <f t="shared" si="16"/>
        <v>0.6668095233894531</v>
      </c>
      <c r="R703">
        <f t="shared" si="17"/>
        <v>1.1904793126241708E-3</v>
      </c>
      <c r="S703">
        <f t="shared" si="18"/>
        <v>4.6870757122429241E-3</v>
      </c>
      <c r="T703">
        <f t="shared" si="19"/>
        <v>7.0306135683643859E-5</v>
      </c>
      <c r="U703">
        <f t="shared" si="20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22"/>
        <v>702</v>
      </c>
      <c r="I704">
        <f>SUM($F$3:F704)/H704</f>
        <v>4578782.2759526353</v>
      </c>
      <c r="N704">
        <f>IF(A704&lt;&gt;$K$37,MAX(N703,VLOOKUP(A704,A:C,3)),)</f>
        <v>0.68300002813339233</v>
      </c>
      <c r="O704">
        <f>IF(A704&lt;&gt;$K$37,MIN(O703,VLOOKUP(A704,A:D,4)),)</f>
        <v>0.65799999237060547</v>
      </c>
      <c r="P704">
        <f t="shared" si="21"/>
        <v>0.66399999459584558</v>
      </c>
      <c r="Q704">
        <f t="shared" si="16"/>
        <v>0.66792857079278867</v>
      </c>
      <c r="R704">
        <f t="shared" si="17"/>
        <v>-3.9285761969430899E-3</v>
      </c>
      <c r="S704">
        <f t="shared" si="18"/>
        <v>3.8129273726015983E-3</v>
      </c>
      <c r="T704">
        <f t="shared" si="19"/>
        <v>5.7193910589023969E-5</v>
      </c>
      <c r="U704">
        <f t="shared" si="20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22"/>
        <v>703</v>
      </c>
      <c r="I705">
        <f>SUM($F$3:F705)/H705</f>
        <v>4584120.4234975111</v>
      </c>
      <c r="N705">
        <f>IF(A705&lt;&gt;$K$37,MAX(N704,VLOOKUP(A705,A:C,3)),)</f>
        <v>0.68300002813339233</v>
      </c>
      <c r="O705">
        <f>IF(A705&lt;&gt;$K$37,MIN(O704,VLOOKUP(A705,A:D,4)),)</f>
        <v>0.65799999237060547</v>
      </c>
      <c r="P705">
        <f t="shared" si="21"/>
        <v>0.66700001557668054</v>
      </c>
      <c r="Q705">
        <f t="shared" si="16"/>
        <v>0.66814285800570539</v>
      </c>
      <c r="R705">
        <f t="shared" si="17"/>
        <v>-1.1428424290248484E-3</v>
      </c>
      <c r="S705">
        <f t="shared" si="18"/>
        <v>3.6802729781793236E-3</v>
      </c>
      <c r="T705">
        <f t="shared" si="19"/>
        <v>5.5204094672689849E-5</v>
      </c>
      <c r="U705">
        <f t="shared" si="20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22"/>
        <v>704</v>
      </c>
      <c r="I706">
        <f>SUM($F$3:F706)/H706</f>
        <v>4583563.2939897021</v>
      </c>
      <c r="N706">
        <f>IF(A706&lt;&gt;$K$37,MAX(N705,VLOOKUP(A706,A:C,3)),)</f>
        <v>0.68300002813339233</v>
      </c>
      <c r="O706">
        <f>IF(A706&lt;&gt;$K$37,MIN(O705,VLOOKUP(A706,A:D,4)),)</f>
        <v>0.65799999237060547</v>
      </c>
      <c r="P706">
        <f t="shared" si="21"/>
        <v>0.66200000047683716</v>
      </c>
      <c r="Q706">
        <f t="shared" si="16"/>
        <v>0.66788095377740408</v>
      </c>
      <c r="R706">
        <f t="shared" si="17"/>
        <v>-5.8809533005669268E-3</v>
      </c>
      <c r="S706">
        <f t="shared" si="18"/>
        <v>3.8469395264476409E-3</v>
      </c>
      <c r="T706">
        <f t="shared" si="19"/>
        <v>5.7704092896714608E-5</v>
      </c>
      <c r="U706">
        <f t="shared" si="20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22"/>
        <v>705</v>
      </c>
      <c r="I707">
        <f>SUM($F$3:F707)/H707</f>
        <v>4585002.921941489</v>
      </c>
      <c r="N707">
        <f>IF(A707&lt;&gt;$K$37,MAX(N706,VLOOKUP(A707,A:C,3)),)</f>
        <v>0.68300002813339233</v>
      </c>
      <c r="O707">
        <f>IF(A707&lt;&gt;$K$37,MIN(O706,VLOOKUP(A707,A:D,4)),)</f>
        <v>0.65100002288818359</v>
      </c>
      <c r="P707">
        <f t="shared" si="21"/>
        <v>0.65500001112620032</v>
      </c>
      <c r="Q707">
        <f t="shared" si="16"/>
        <v>0.66633333478655132</v>
      </c>
      <c r="R707">
        <f t="shared" si="17"/>
        <v>-1.1333323660351002E-2</v>
      </c>
      <c r="S707">
        <f t="shared" si="18"/>
        <v>3.7619049857263004E-3</v>
      </c>
      <c r="T707">
        <f t="shared" si="19"/>
        <v>5.6428574785894501E-5</v>
      </c>
      <c r="U707">
        <f t="shared" si="20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22"/>
        <v>706</v>
      </c>
      <c r="I708">
        <f>SUM($F$3:F708)/H708</f>
        <v>4587430.5381993623</v>
      </c>
      <c r="N708">
        <f>IF(A708&lt;&gt;$K$37,MAX(N707,VLOOKUP(A708,A:C,3)),)</f>
        <v>0.68300002813339233</v>
      </c>
      <c r="O708">
        <f>IF(A708&lt;&gt;$K$37,MIN(O707,VLOOKUP(A708,A:D,4)),)</f>
        <v>0.64899998903274536</v>
      </c>
      <c r="P708">
        <f t="shared" si="21"/>
        <v>0.65366667509078979</v>
      </c>
      <c r="Q708">
        <f t="shared" si="16"/>
        <v>0.66469047750745502</v>
      </c>
      <c r="R708">
        <f t="shared" si="17"/>
        <v>-1.1023802416665229E-2</v>
      </c>
      <c r="S708">
        <f t="shared" si="18"/>
        <v>3.9285705203101883E-3</v>
      </c>
      <c r="T708">
        <f t="shared" si="19"/>
        <v>5.8928557804652825E-5</v>
      </c>
      <c r="U708">
        <f t="shared" si="20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22"/>
        <v>707</v>
      </c>
      <c r="I709">
        <f>SUM($F$3:F709)/H709</f>
        <v>4591700.6548355725</v>
      </c>
      <c r="N709">
        <f>IF(A709&lt;&gt;$K$37,MAX(N708,VLOOKUP(A709,A:C,3)),)</f>
        <v>0.68300002813339233</v>
      </c>
      <c r="O709">
        <f>IF(A709&lt;&gt;$K$37,MIN(O708,VLOOKUP(A709,A:D,4)),)</f>
        <v>0.6470000147819519</v>
      </c>
      <c r="P709">
        <f t="shared" si="21"/>
        <v>0.64966666698455811</v>
      </c>
      <c r="Q709">
        <f t="shared" si="16"/>
        <v>0.6634285733813331</v>
      </c>
      <c r="R709">
        <f t="shared" si="17"/>
        <v>-1.3761906396774992E-2</v>
      </c>
      <c r="S709">
        <f t="shared" si="18"/>
        <v>4.7823109594332348E-3</v>
      </c>
      <c r="T709">
        <f t="shared" si="19"/>
        <v>7.1734664391498524E-5</v>
      </c>
      <c r="U709">
        <f t="shared" si="20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22"/>
        <v>708</v>
      </c>
      <c r="I710">
        <f>SUM($F$3:F710)/H710</f>
        <v>4598129.891198799</v>
      </c>
      <c r="N710">
        <f>IF(A710&lt;&gt;$K$37,MAX(N709,VLOOKUP(A710,A:C,3)),)</f>
        <v>0.68300002813339233</v>
      </c>
      <c r="O710">
        <f>IF(A710&lt;&gt;$K$37,MIN(O709,VLOOKUP(A710,A:D,4)),)</f>
        <v>0.6470000147819519</v>
      </c>
      <c r="P710">
        <f t="shared" si="21"/>
        <v>0.65099998315175378</v>
      </c>
      <c r="Q710">
        <f t="shared" si="16"/>
        <v>0.6617857161022368</v>
      </c>
      <c r="R710">
        <f t="shared" si="17"/>
        <v>-1.0785732950483018E-2</v>
      </c>
      <c r="S710">
        <f t="shared" si="18"/>
        <v>5.4013611508064562E-3</v>
      </c>
      <c r="T710">
        <f t="shared" si="19"/>
        <v>8.1020417262096843E-5</v>
      </c>
      <c r="U710">
        <f t="shared" si="20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22"/>
        <v>709</v>
      </c>
      <c r="I711">
        <f>SUM($F$3:F711)/H711</f>
        <v>4603946.0789404092</v>
      </c>
      <c r="N711">
        <f>IF(A711&lt;&gt;$K$37,MAX(N710,VLOOKUP(A711,A:C,3)),)</f>
        <v>0.68300002813339233</v>
      </c>
      <c r="O711">
        <f>IF(A711&lt;&gt;$K$37,MIN(O710,VLOOKUP(A711,A:D,4)),)</f>
        <v>0.6470000147819519</v>
      </c>
      <c r="P711">
        <f t="shared" si="21"/>
        <v>0.65166666110356652</v>
      </c>
      <c r="Q711">
        <f t="shared" si="16"/>
        <v>0.66040476305144169</v>
      </c>
      <c r="R711">
        <f t="shared" si="17"/>
        <v>-8.7381019478751654E-3</v>
      </c>
      <c r="S711">
        <f t="shared" si="18"/>
        <v>5.8605454000486158E-3</v>
      </c>
      <c r="T711">
        <f t="shared" si="19"/>
        <v>8.7908181000729229E-5</v>
      </c>
      <c r="U711">
        <f t="shared" si="20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22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21"/>
        <v>0.65233331918716431</v>
      </c>
      <c r="Q712">
        <f t="shared" si="16"/>
        <v>0.65940476173446283</v>
      </c>
      <c r="R712">
        <f t="shared" si="17"/>
        <v>-7.0714425472985232E-3</v>
      </c>
      <c r="S712">
        <f t="shared" si="18"/>
        <v>6.1564648232492591E-3</v>
      </c>
      <c r="T712">
        <f t="shared" si="19"/>
        <v>9.2346972348738879E-5</v>
      </c>
      <c r="U712">
        <f t="shared" si="20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22"/>
        <v>711</v>
      </c>
      <c r="I713">
        <f>SUM($F$3:F713)/H713</f>
        <v>4612388.2840629397</v>
      </c>
      <c r="N713">
        <f>IF(A713&lt;&gt;$K$38,MAX(N712,VLOOKUP(A713,A:C,3)),)</f>
        <v>0.65700000524520874</v>
      </c>
      <c r="O713">
        <f>IF(A713&lt;&gt;$K$38,MIN(O712,VLOOKUP(A713,A:D,4)),)</f>
        <v>0.64600002765655518</v>
      </c>
      <c r="P713">
        <f t="shared" si="21"/>
        <v>0.65233333905537927</v>
      </c>
      <c r="Q713">
        <f t="shared" si="16"/>
        <v>0.65838095261937102</v>
      </c>
      <c r="R713">
        <f t="shared" si="17"/>
        <v>-6.0476135639917494E-3</v>
      </c>
      <c r="S713">
        <f t="shared" si="18"/>
        <v>6.142858948026385E-3</v>
      </c>
      <c r="T713">
        <f t="shared" si="19"/>
        <v>9.2142884220395768E-5</v>
      </c>
      <c r="U713">
        <f t="shared" si="20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22"/>
        <v>712</v>
      </c>
      <c r="I714">
        <f>SUM($F$3:F714)/H714</f>
        <v>4620249.6769224014</v>
      </c>
      <c r="N714">
        <f>IF(A714&lt;&gt;$K$38,MAX(N713,VLOOKUP(A714,A:C,3)),)</f>
        <v>0.66299998760223389</v>
      </c>
      <c r="O714">
        <f>IF(A714&lt;&gt;$K$38,MIN(O713,VLOOKUP(A714,A:D,4)),)</f>
        <v>0.64600002765655518</v>
      </c>
      <c r="P714">
        <f t="shared" si="21"/>
        <v>0.65899999936421716</v>
      </c>
      <c r="Q714">
        <f t="shared" si="16"/>
        <v>0.65807142853736877</v>
      </c>
      <c r="R714">
        <f t="shared" si="17"/>
        <v>9.2857082684838499E-4</v>
      </c>
      <c r="S714">
        <f t="shared" si="18"/>
        <v>5.8333348660242045E-3</v>
      </c>
      <c r="T714">
        <f t="shared" si="19"/>
        <v>8.7500022990363071E-5</v>
      </c>
      <c r="U714">
        <f t="shared" si="20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22"/>
        <v>713</v>
      </c>
      <c r="I715">
        <f>SUM($F$3:F715)/H715</f>
        <v>4624558.5967303645</v>
      </c>
      <c r="N715">
        <f>IF(A715&lt;&gt;$K$38,MAX(N714,VLOOKUP(A715,A:C,3)),)</f>
        <v>0.66699999570846558</v>
      </c>
      <c r="O715">
        <f>IF(A715&lt;&gt;$K$38,MIN(O714,VLOOKUP(A715,A:D,4)),)</f>
        <v>0.64600002765655518</v>
      </c>
      <c r="P715">
        <f t="shared" si="21"/>
        <v>0.66166665156682336</v>
      </c>
      <c r="Q715">
        <f t="shared" si="16"/>
        <v>0.65792857039542429</v>
      </c>
      <c r="R715">
        <f t="shared" si="17"/>
        <v>3.7380811713990658E-3</v>
      </c>
      <c r="S715">
        <f t="shared" si="18"/>
        <v>5.690476724079685E-3</v>
      </c>
      <c r="T715">
        <f t="shared" si="19"/>
        <v>8.535715086119527E-5</v>
      </c>
      <c r="U715">
        <f t="shared" si="20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22"/>
        <v>714</v>
      </c>
      <c r="I716">
        <f>SUM($F$3:F716)/H716</f>
        <v>4625925.6014968483</v>
      </c>
      <c r="N716">
        <f>IF(A716&lt;&gt;$K$38,MAX(N715,VLOOKUP(A716,A:C,3)),)</f>
        <v>0.66699999570846558</v>
      </c>
      <c r="O716">
        <f>IF(A716&lt;&gt;$K$38,MIN(O715,VLOOKUP(A716,A:D,4)),)</f>
        <v>0.64600002765655518</v>
      </c>
      <c r="P716">
        <f t="shared" si="21"/>
        <v>0.66066666444142663</v>
      </c>
      <c r="Q716">
        <f t="shared" si="16"/>
        <v>0.65771428460166559</v>
      </c>
      <c r="R716">
        <f t="shared" si="17"/>
        <v>2.9523798397610435E-3</v>
      </c>
      <c r="S716">
        <f t="shared" si="18"/>
        <v>5.4761909303211133E-3</v>
      </c>
      <c r="T716">
        <f t="shared" si="19"/>
        <v>8.2142863954816692E-5</v>
      </c>
      <c r="U716">
        <f t="shared" si="20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22"/>
        <v>715</v>
      </c>
      <c r="I717">
        <f>SUM($F$3:F717)/H717</f>
        <v>4629215.4957604893</v>
      </c>
      <c r="N717">
        <f>IF(A717&lt;&gt;$K$38,MAX(N716,VLOOKUP(A717,A:C,3)),)</f>
        <v>0.66900002956390381</v>
      </c>
      <c r="O717">
        <f>IF(A717&lt;&gt;$K$38,MIN(O716,VLOOKUP(A717,A:D,4)),)</f>
        <v>0.64200001955032349</v>
      </c>
      <c r="P717">
        <f t="shared" si="21"/>
        <v>0.65366667509078979</v>
      </c>
      <c r="Q717">
        <f t="shared" si="16"/>
        <v>0.65669047548657367</v>
      </c>
      <c r="R717">
        <f t="shared" si="17"/>
        <v>-3.0238003957838711E-3</v>
      </c>
      <c r="S717">
        <f t="shared" si="18"/>
        <v>4.8843533003411332E-3</v>
      </c>
      <c r="T717">
        <f t="shared" si="19"/>
        <v>7.3265299505116994E-5</v>
      </c>
      <c r="U717">
        <f t="shared" si="20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22"/>
        <v>716</v>
      </c>
      <c r="I718">
        <f>SUM($F$3:F718)/H718</f>
        <v>4633819.2450680863</v>
      </c>
      <c r="N718">
        <f>IF(A718&lt;&gt;$K$38,MAX(N717,VLOOKUP(A718,A:C,3)),)</f>
        <v>0.66900002956390381</v>
      </c>
      <c r="O718">
        <f>IF(A718&lt;&gt;$K$38,MIN(O717,VLOOKUP(A718,A:D,4)),)</f>
        <v>0.64200001955032349</v>
      </c>
      <c r="P718">
        <f t="shared" si="21"/>
        <v>0.64800000190734863</v>
      </c>
      <c r="Q718">
        <f t="shared" si="16"/>
        <v>0.6555476188659668</v>
      </c>
      <c r="R718">
        <f t="shared" si="17"/>
        <v>-7.5476169586181641E-3</v>
      </c>
      <c r="S718">
        <f t="shared" si="18"/>
        <v>4.6564624423072508E-3</v>
      </c>
      <c r="T718">
        <f t="shared" si="19"/>
        <v>6.9846936634608762E-5</v>
      </c>
      <c r="U718">
        <f t="shared" si="20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22"/>
        <v>717</v>
      </c>
      <c r="I719">
        <f>SUM($F$3:F719)/H719</f>
        <v>4637580.0355212688</v>
      </c>
      <c r="N719">
        <f>IF(A719&lt;&gt;$K$38,MAX(N718,VLOOKUP(A719,A:C,3)),)</f>
        <v>0.66900002956390381</v>
      </c>
      <c r="O719">
        <f>IF(A719&lt;&gt;$K$38,MIN(O718,VLOOKUP(A719,A:D,4)),)</f>
        <v>0.64200001955032349</v>
      </c>
      <c r="P719">
        <f t="shared" si="21"/>
        <v>0.65066665410995483</v>
      </c>
      <c r="Q719">
        <f t="shared" si="16"/>
        <v>0.65438095018977205</v>
      </c>
      <c r="R719">
        <f t="shared" si="17"/>
        <v>-3.7142960798172142E-3</v>
      </c>
      <c r="S719">
        <f t="shared" si="18"/>
        <v>3.7755108609491272E-3</v>
      </c>
      <c r="T719">
        <f t="shared" si="19"/>
        <v>5.6632662914236907E-5</v>
      </c>
      <c r="U719">
        <f t="shared" si="20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22"/>
        <v>718</v>
      </c>
      <c r="I720">
        <f>SUM($F$3:F720)/H720</f>
        <v>4640029.2137447773</v>
      </c>
      <c r="N720">
        <f>IF(A720&lt;&gt;$K$38,MAX(N719,VLOOKUP(A720,A:C,3)),)</f>
        <v>0.66900002956390381</v>
      </c>
      <c r="O720">
        <f>IF(A720&lt;&gt;$K$38,MIN(O719,VLOOKUP(A720,A:D,4)),)</f>
        <v>0.64200001955032349</v>
      </c>
      <c r="P720">
        <f t="shared" si="21"/>
        <v>0.65100000301996863</v>
      </c>
      <c r="Q720">
        <f t="shared" si="16"/>
        <v>0.65359523608571002</v>
      </c>
      <c r="R720">
        <f t="shared" si="17"/>
        <v>-2.5952330657413869E-3</v>
      </c>
      <c r="S720">
        <f t="shared" si="18"/>
        <v>3.1564657379980726E-3</v>
      </c>
      <c r="T720">
        <f t="shared" si="19"/>
        <v>4.7346986069971089E-5</v>
      </c>
      <c r="U720">
        <f t="shared" si="20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22"/>
        <v>719</v>
      </c>
      <c r="I721">
        <f>SUM($F$3:F721)/H721</f>
        <v>4646190.2370914463</v>
      </c>
      <c r="N721">
        <f>IF(A721&lt;&gt;$K$38,MAX(N720,VLOOKUP(A721,A:C,3)),)</f>
        <v>0.66900002956390381</v>
      </c>
      <c r="O721">
        <f>IF(A721&lt;&gt;$K$38,MIN(O720,VLOOKUP(A721,A:D,4)),)</f>
        <v>0.64200001955032349</v>
      </c>
      <c r="P721">
        <f t="shared" si="21"/>
        <v>0.65233333905537927</v>
      </c>
      <c r="Q721">
        <f t="shared" si="16"/>
        <v>0.65340475950922283</v>
      </c>
      <c r="R721">
        <f t="shared" si="17"/>
        <v>-1.0714204538435634E-3</v>
      </c>
      <c r="S721">
        <f t="shared" si="18"/>
        <v>3.0918382868474798E-3</v>
      </c>
      <c r="T721">
        <f t="shared" si="19"/>
        <v>4.6377574302712198E-5</v>
      </c>
      <c r="U721">
        <f t="shared" si="20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22"/>
        <v>720</v>
      </c>
      <c r="I722">
        <f>SUM($F$3:F722)/H722</f>
        <v>4650779.5575954858</v>
      </c>
      <c r="N722">
        <f>IF(A722&lt;&gt;$K$38,MAX(N721,VLOOKUP(A722,A:C,3)),)</f>
        <v>0.66900002956390381</v>
      </c>
      <c r="O722">
        <f>IF(A722&lt;&gt;$K$38,MIN(O721,VLOOKUP(A722,A:D,4)),)</f>
        <v>0.64200001955032349</v>
      </c>
      <c r="P722">
        <f t="shared" si="21"/>
        <v>0.65666667620340979</v>
      </c>
      <c r="Q722">
        <f t="shared" si="16"/>
        <v>0.65361904530298143</v>
      </c>
      <c r="R722">
        <f t="shared" si="17"/>
        <v>3.0476309004283664E-3</v>
      </c>
      <c r="S722">
        <f t="shared" si="18"/>
        <v>3.3673485931085068E-3</v>
      </c>
      <c r="T722">
        <f t="shared" si="19"/>
        <v>5.05102288966276E-5</v>
      </c>
      <c r="U722">
        <f t="shared" si="20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22"/>
        <v>721</v>
      </c>
      <c r="I723">
        <f>SUM($F$3:F723)/H723</f>
        <v>4657484.9951022882</v>
      </c>
      <c r="N723">
        <f>IF(A723&lt;&gt;$K$38,MAX(N722,VLOOKUP(A723,A:C,3)),)</f>
        <v>0.66900002956390381</v>
      </c>
      <c r="O723">
        <f>IF(A723&lt;&gt;$K$38,MIN(O722,VLOOKUP(A723,A:D,4)),)</f>
        <v>0.64200001955032349</v>
      </c>
      <c r="P723">
        <f t="shared" si="21"/>
        <v>0.66099999348322547</v>
      </c>
      <c r="Q723">
        <f t="shared" si="16"/>
        <v>0.65442856862431475</v>
      </c>
      <c r="R723">
        <f t="shared" si="17"/>
        <v>6.5714248589107127E-3</v>
      </c>
      <c r="S723">
        <f t="shared" si="18"/>
        <v>3.8367345625040278E-3</v>
      </c>
      <c r="T723">
        <f t="shared" si="19"/>
        <v>5.7551018437560416E-5</v>
      </c>
      <c r="U723">
        <f t="shared" si="20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22"/>
        <v>722</v>
      </c>
      <c r="I724">
        <f>SUM($F$3:F724)/H724</f>
        <v>4658103.9909539474</v>
      </c>
      <c r="N724">
        <f>IF(A724&lt;&gt;$K$38,MAX(N723,VLOOKUP(A724,A:C,3)),)</f>
        <v>0.66900002956390381</v>
      </c>
      <c r="O724">
        <f>IF(A724&lt;&gt;$K$38,MIN(O723,VLOOKUP(A724,A:D,4)),)</f>
        <v>0.64200001955032349</v>
      </c>
      <c r="P724">
        <f t="shared" si="21"/>
        <v>0.65866667032241821</v>
      </c>
      <c r="Q724">
        <f t="shared" si="16"/>
        <v>0.65497618913650524</v>
      </c>
      <c r="R724">
        <f t="shared" si="17"/>
        <v>3.6904811859129749E-3</v>
      </c>
      <c r="S724">
        <f t="shared" si="18"/>
        <v>3.9727886517842747E-3</v>
      </c>
      <c r="T724">
        <f t="shared" si="19"/>
        <v>5.9591829776764117E-5</v>
      </c>
      <c r="U724">
        <f t="shared" si="20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22"/>
        <v>723</v>
      </c>
      <c r="I725">
        <f>SUM($F$3:F725)/H725</f>
        <v>4661107.5815612031</v>
      </c>
      <c r="N725">
        <f>IF(A725&lt;&gt;$K$38,MAX(N724,VLOOKUP(A725,A:C,3)),)</f>
        <v>0.66900002956390381</v>
      </c>
      <c r="O725">
        <f>IF(A725&lt;&gt;$K$38,MIN(O724,VLOOKUP(A725,A:D,4)),)</f>
        <v>0.64200001955032349</v>
      </c>
      <c r="P725">
        <f t="shared" si="21"/>
        <v>0.64933333794275916</v>
      </c>
      <c r="Q725">
        <f t="shared" si="16"/>
        <v>0.65480952319644747</v>
      </c>
      <c r="R725">
        <f t="shared" si="17"/>
        <v>-5.4761852536883149E-3</v>
      </c>
      <c r="S725">
        <f t="shared" si="18"/>
        <v>4.1156451718336916E-3</v>
      </c>
      <c r="T725">
        <f t="shared" si="19"/>
        <v>6.1734677577505377E-5</v>
      </c>
      <c r="U725">
        <f t="shared" si="20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22"/>
        <v>724</v>
      </c>
      <c r="I726">
        <f>SUM($F$3:F726)/H726</f>
        <v>4666031.6042386051</v>
      </c>
      <c r="N726">
        <f>IF(A726&lt;&gt;$K$38,MAX(N725,VLOOKUP(A726,A:C,3)),)</f>
        <v>0.66900002956390381</v>
      </c>
      <c r="O726">
        <f>IF(A726&lt;&gt;$K$38,MIN(O725,VLOOKUP(A726,A:D,4)),)</f>
        <v>0.64200001955032349</v>
      </c>
      <c r="P726">
        <f t="shared" si="21"/>
        <v>0.64566667874654138</v>
      </c>
      <c r="Q726">
        <f t="shared" si="16"/>
        <v>0.65433333459354592</v>
      </c>
      <c r="R726">
        <f t="shared" si="17"/>
        <v>-8.6666558470045452E-3</v>
      </c>
      <c r="S726">
        <f t="shared" si="18"/>
        <v>4.5238068314636792E-3</v>
      </c>
      <c r="T726">
        <f t="shared" si="19"/>
        <v>6.7857102471955181E-5</v>
      </c>
      <c r="U726">
        <f t="shared" si="20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22"/>
        <v>725</v>
      </c>
      <c r="I727">
        <f>SUM($F$3:F727)/H727</f>
        <v>4672637.4916810347</v>
      </c>
      <c r="N727">
        <f>IF(A727&lt;&gt;$K$38,MAX(N726,VLOOKUP(A727,A:C,3)),)</f>
        <v>0.66900002956390381</v>
      </c>
      <c r="O727">
        <f>IF(A727&lt;&gt;$K$38,MIN(O726,VLOOKUP(A727,A:D,4)),)</f>
        <v>0.63899999856948853</v>
      </c>
      <c r="P727">
        <f t="shared" si="21"/>
        <v>0.64166667064030969</v>
      </c>
      <c r="Q727">
        <f t="shared" si="16"/>
        <v>0.65357142970675519</v>
      </c>
      <c r="R727">
        <f t="shared" si="17"/>
        <v>-1.1904759066445503E-2</v>
      </c>
      <c r="S727">
        <f t="shared" si="18"/>
        <v>5.1904746464320594E-3</v>
      </c>
      <c r="T727">
        <f t="shared" si="19"/>
        <v>7.7857119696480887E-5</v>
      </c>
      <c r="U727">
        <f t="shared" si="20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22"/>
        <v>726</v>
      </c>
      <c r="I728">
        <f>SUM($F$3:F728)/H728</f>
        <v>4676312.6562930439</v>
      </c>
      <c r="N728">
        <f>IF(A728&lt;&gt;$K$38,MAX(N727,VLOOKUP(A728,A:C,3)),)</f>
        <v>0.66900002956390381</v>
      </c>
      <c r="O728">
        <f>IF(A728&lt;&gt;$K$38,MIN(O727,VLOOKUP(A728,A:D,4)),)</f>
        <v>0.63200002908706665</v>
      </c>
      <c r="P728">
        <f t="shared" si="21"/>
        <v>0.63900001843770349</v>
      </c>
      <c r="Q728">
        <f t="shared" si="16"/>
        <v>0.65214285964057572</v>
      </c>
      <c r="R728">
        <f t="shared" si="17"/>
        <v>-1.3142841202872235E-2</v>
      </c>
      <c r="S728">
        <f t="shared" si="18"/>
        <v>5.6666646684919086E-3</v>
      </c>
      <c r="T728">
        <f t="shared" si="19"/>
        <v>8.499997002737863E-5</v>
      </c>
      <c r="U728">
        <f t="shared" si="20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22"/>
        <v>727</v>
      </c>
      <c r="I729">
        <f>SUM($F$3:F729)/H729</f>
        <v>4674491.0432857638</v>
      </c>
      <c r="N729">
        <f>IF(A729&lt;&gt;$K$38,MAX(N728,VLOOKUP(A729,A:C,3)),)</f>
        <v>0.66900002956390381</v>
      </c>
      <c r="O729">
        <f>IF(A729&lt;&gt;$K$38,MIN(O728,VLOOKUP(A729,A:D,4)),)</f>
        <v>0.63200002908706665</v>
      </c>
      <c r="P729">
        <f t="shared" si="21"/>
        <v>0.63933334747950232</v>
      </c>
      <c r="Q729">
        <f t="shared" si="16"/>
        <v>0.65054762363433838</v>
      </c>
      <c r="R729">
        <f t="shared" si="17"/>
        <v>-1.1214276154836056E-2</v>
      </c>
      <c r="S729">
        <f t="shared" si="18"/>
        <v>5.7550980931236574E-3</v>
      </c>
      <c r="T729">
        <f t="shared" si="19"/>
        <v>8.632647139685486E-5</v>
      </c>
      <c r="U729">
        <f t="shared" si="20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22"/>
        <v>728</v>
      </c>
      <c r="I730">
        <f>SUM($F$3:F730)/H730</f>
        <v>4679273.1984460847</v>
      </c>
      <c r="N730">
        <f>IF(A730&lt;&gt;$K$38,MAX(N729,VLOOKUP(A730,A:C,3)),)</f>
        <v>0.66900002956390381</v>
      </c>
      <c r="O730">
        <f>IF(A730&lt;&gt;$K$38,MIN(O729,VLOOKUP(A730,A:D,4)),)</f>
        <v>0.63200002908706665</v>
      </c>
      <c r="P730">
        <f t="shared" si="21"/>
        <v>0.63666665554046631</v>
      </c>
      <c r="Q730">
        <f t="shared" si="16"/>
        <v>0.64883333728426973</v>
      </c>
      <c r="R730">
        <f t="shared" si="17"/>
        <v>-1.216668174380342E-2</v>
      </c>
      <c r="S730">
        <f t="shared" si="18"/>
        <v>6.0952358505352777E-3</v>
      </c>
      <c r="T730">
        <f t="shared" si="19"/>
        <v>9.1428537758029166E-5</v>
      </c>
      <c r="U730">
        <f t="shared" si="20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22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21"/>
        <v>0.63666665554046631</v>
      </c>
      <c r="Q731">
        <f t="shared" si="16"/>
        <v>0.64761905017353238</v>
      </c>
      <c r="R731">
        <f t="shared" si="17"/>
        <v>-1.0952394633066076E-2</v>
      </c>
      <c r="S731">
        <f t="shared" si="18"/>
        <v>6.6734678080292665E-3</v>
      </c>
      <c r="T731">
        <f t="shared" si="19"/>
        <v>1.0010201712043899E-4</v>
      </c>
      <c r="U731">
        <f t="shared" si="20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22"/>
        <v>730</v>
      </c>
      <c r="I732">
        <f>SUM($F$3:F732)/H732</f>
        <v>4686096.2855736306</v>
      </c>
      <c r="N732">
        <f>IF(A732&lt;&gt;$K$39,MAX(N731,VLOOKUP(A732,A:C,3)),)</f>
        <v>0.63499999046325684</v>
      </c>
      <c r="O732">
        <f>IF(A732&lt;&gt;$K$39,MIN(O731,VLOOKUP(A732,A:D,4)),)</f>
        <v>0.62599998712539673</v>
      </c>
      <c r="P732">
        <f t="shared" si="21"/>
        <v>0.63133333126703894</v>
      </c>
      <c r="Q732">
        <f t="shared" si="16"/>
        <v>0.64642857369922446</v>
      </c>
      <c r="R732">
        <f t="shared" si="17"/>
        <v>-1.5095242432185518E-2</v>
      </c>
      <c r="S732">
        <f t="shared" si="18"/>
        <v>7.8095226060776379E-3</v>
      </c>
      <c r="T732">
        <f t="shared" si="19"/>
        <v>1.1714283909116456E-4</v>
      </c>
      <c r="U732">
        <f t="shared" si="20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22"/>
        <v>731</v>
      </c>
      <c r="I733">
        <f>SUM($F$3:F733)/H733</f>
        <v>4699909.4233498629</v>
      </c>
      <c r="N733">
        <f>IF(A733&lt;&gt;$K$39,MAX(N732,VLOOKUP(A733,A:C,3)),)</f>
        <v>0.63499999046325684</v>
      </c>
      <c r="O733">
        <f>IF(A733&lt;&gt;$K$39,MIN(O732,VLOOKUP(A733,A:D,4)),)</f>
        <v>0.62400001287460327</v>
      </c>
      <c r="P733">
        <f t="shared" si="21"/>
        <v>0.62800000111262</v>
      </c>
      <c r="Q733">
        <f t="shared" si="16"/>
        <v>0.6448095270565577</v>
      </c>
      <c r="R733">
        <f t="shared" si="17"/>
        <v>-1.6809525943937698E-2</v>
      </c>
      <c r="S733">
        <f t="shared" si="18"/>
        <v>8.7142870539710614E-3</v>
      </c>
      <c r="T733">
        <f t="shared" si="19"/>
        <v>1.3071430580956591E-4</v>
      </c>
      <c r="U733">
        <f t="shared" si="20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22"/>
        <v>732</v>
      </c>
      <c r="I734">
        <f>SUM($F$3:F734)/H734</f>
        <v>4709941.3776895488</v>
      </c>
      <c r="N734">
        <f>IF(A734&lt;&gt;$K$39,MAX(N733,VLOOKUP(A734,A:C,3)),)</f>
        <v>0.63499999046325684</v>
      </c>
      <c r="O734">
        <f>IF(A734&lt;&gt;$K$39,MIN(O733,VLOOKUP(A734,A:D,4)),)</f>
        <v>0.62199997901916504</v>
      </c>
      <c r="P734">
        <f t="shared" si="21"/>
        <v>0.62533332904179895</v>
      </c>
      <c r="Q734">
        <f t="shared" si="16"/>
        <v>0.64297619320097432</v>
      </c>
      <c r="R734">
        <f t="shared" si="17"/>
        <v>-1.7642864159175375E-2</v>
      </c>
      <c r="S734">
        <f t="shared" si="18"/>
        <v>9.4013623639839939E-3</v>
      </c>
      <c r="T734">
        <f t="shared" si="19"/>
        <v>1.4102043545975991E-4</v>
      </c>
      <c r="U734">
        <f t="shared" si="20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22"/>
        <v>733</v>
      </c>
      <c r="I735">
        <f>SUM($F$3:F735)/H735</f>
        <v>4716298.8928632336</v>
      </c>
      <c r="N735">
        <f>IF(A735&lt;&gt;$K$39,MAX(N734,VLOOKUP(A735,A:C,3)),)</f>
        <v>0.63499999046325684</v>
      </c>
      <c r="O735">
        <f>IF(A735&lt;&gt;$K$39,MIN(O734,VLOOKUP(A735,A:D,4)),)</f>
        <v>0.62199997901916504</v>
      </c>
      <c r="P735">
        <f t="shared" si="21"/>
        <v>0.62533332904179895</v>
      </c>
      <c r="Q735">
        <f t="shared" si="16"/>
        <v>0.64104762105714719</v>
      </c>
      <c r="R735">
        <f t="shared" si="17"/>
        <v>-1.5714292015348241E-2</v>
      </c>
      <c r="S735">
        <f t="shared" si="18"/>
        <v>9.530614427968773E-3</v>
      </c>
      <c r="T735">
        <f t="shared" si="19"/>
        <v>1.4295921641953159E-4</v>
      </c>
      <c r="U735">
        <f t="shared" si="20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22"/>
        <v>734</v>
      </c>
      <c r="I736">
        <f>SUM($F$3:F736)/H736</f>
        <v>4722348.8943715943</v>
      </c>
      <c r="N736">
        <f>IF(A736&lt;&gt;$K$39,MAX(N735,VLOOKUP(A736,A:C,3)),)</f>
        <v>0.63499999046325684</v>
      </c>
      <c r="O736">
        <f>IF(A736&lt;&gt;$K$39,MIN(O735,VLOOKUP(A736,A:D,4)),)</f>
        <v>0.61400002241134644</v>
      </c>
      <c r="P736">
        <f t="shared" si="21"/>
        <v>0.62033335367838538</v>
      </c>
      <c r="Q736">
        <f t="shared" si="16"/>
        <v>0.63845238373393098</v>
      </c>
      <c r="R736">
        <f t="shared" si="17"/>
        <v>-1.8119030055545604E-2</v>
      </c>
      <c r="S736">
        <f t="shared" si="18"/>
        <v>9.3571472735632065E-3</v>
      </c>
      <c r="T736">
        <f t="shared" si="19"/>
        <v>1.403572091034481E-4</v>
      </c>
      <c r="U736">
        <f t="shared" si="20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22"/>
        <v>735</v>
      </c>
      <c r="I737">
        <f>SUM($F$3:F737)/H737</f>
        <v>4728107.8754676869</v>
      </c>
      <c r="N737">
        <f>IF(A737&lt;&gt;$K$39,MAX(N736,VLOOKUP(A737,A:C,3)),)</f>
        <v>0.63499999046325684</v>
      </c>
      <c r="O737">
        <f>IF(A737&lt;&gt;$K$39,MIN(O736,VLOOKUP(A737,A:D,4)),)</f>
        <v>0.61400002241134644</v>
      </c>
      <c r="P737">
        <f t="shared" si="21"/>
        <v>0.61700000365575158</v>
      </c>
      <c r="Q737">
        <f t="shared" si="16"/>
        <v>0.63530952731768298</v>
      </c>
      <c r="R737">
        <f t="shared" si="17"/>
        <v>-1.8309523661931393E-2</v>
      </c>
      <c r="S737">
        <f t="shared" si="18"/>
        <v>9.2176880155290797E-3</v>
      </c>
      <c r="T737">
        <f t="shared" si="19"/>
        <v>1.3826532023293619E-4</v>
      </c>
      <c r="U737">
        <f t="shared" si="20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22"/>
        <v>736</v>
      </c>
      <c r="I738">
        <f>SUM($F$3:F738)/H738</f>
        <v>4732369.6888162363</v>
      </c>
      <c r="N738">
        <f>IF(A738&lt;&gt;$K$39,MAX(N737,VLOOKUP(A738,A:C,3)),)</f>
        <v>0.63499999046325684</v>
      </c>
      <c r="O738">
        <f>IF(A738&lt;&gt;$K$39,MIN(O737,VLOOKUP(A738,A:D,4)),)</f>
        <v>0.61400002241134644</v>
      </c>
      <c r="P738">
        <f t="shared" si="21"/>
        <v>0.62300000588099158</v>
      </c>
      <c r="Q738">
        <f t="shared" si="16"/>
        <v>0.63276190842900959</v>
      </c>
      <c r="R738">
        <f t="shared" si="17"/>
        <v>-9.7619025480180088E-3</v>
      </c>
      <c r="S738">
        <f t="shared" si="18"/>
        <v>8.4285721892402334E-3</v>
      </c>
      <c r="T738">
        <f t="shared" si="19"/>
        <v>1.2642858283860349E-4</v>
      </c>
      <c r="U738">
        <f t="shared" si="20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22"/>
        <v>737</v>
      </c>
      <c r="I739">
        <f>SUM($F$3:F739)/H739</f>
        <v>4735395.2421556991</v>
      </c>
      <c r="N739">
        <f>IF(A739&lt;&gt;$K$39,MAX(N738,VLOOKUP(A739,A:C,3)),)</f>
        <v>0.63499999046325684</v>
      </c>
      <c r="O739">
        <f>IF(A739&lt;&gt;$K$39,MIN(O738,VLOOKUP(A739,A:D,4)),)</f>
        <v>0.61400002241134644</v>
      </c>
      <c r="P739">
        <f t="shared" si="21"/>
        <v>0.62866667906443274</v>
      </c>
      <c r="Q739">
        <f t="shared" si="16"/>
        <v>0.63128571850912896</v>
      </c>
      <c r="R739">
        <f t="shared" si="17"/>
        <v>-2.619039444696214E-3</v>
      </c>
      <c r="S739">
        <f t="shared" si="18"/>
        <v>7.3333325840178043E-3</v>
      </c>
      <c r="T739">
        <f t="shared" si="19"/>
        <v>1.0999998876026706E-4</v>
      </c>
      <c r="U739">
        <f t="shared" si="20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22"/>
        <v>738</v>
      </c>
      <c r="I740">
        <f>SUM($F$3:F740)/H740</f>
        <v>4736227.4992801491</v>
      </c>
      <c r="N740">
        <f>IF(A740&lt;&gt;$K$39,MAX(N739,VLOOKUP(A740,A:C,3)),)</f>
        <v>0.64099997282028198</v>
      </c>
      <c r="O740">
        <f>IF(A740&lt;&gt;$K$39,MIN(O739,VLOOKUP(A740,A:D,4)),)</f>
        <v>0.61400002241134644</v>
      </c>
      <c r="P740">
        <f t="shared" si="21"/>
        <v>0.637666662534078</v>
      </c>
      <c r="Q740">
        <f t="shared" si="16"/>
        <v>0.6307142887796674</v>
      </c>
      <c r="R740">
        <f t="shared" si="17"/>
        <v>6.9523737544106012E-3</v>
      </c>
      <c r="S740">
        <f t="shared" si="18"/>
        <v>6.7619028545561344E-3</v>
      </c>
      <c r="T740">
        <f t="shared" si="19"/>
        <v>1.0142854281834201E-4</v>
      </c>
      <c r="U740">
        <f t="shared" si="20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22"/>
        <v>739</v>
      </c>
      <c r="I741">
        <f>SUM($F$3:F741)/H741</f>
        <v>4736264.1332459403</v>
      </c>
      <c r="N741">
        <f>IF(A741&lt;&gt;$K$39,MAX(N740,VLOOKUP(A741,A:C,3)),)</f>
        <v>0.64099997282028198</v>
      </c>
      <c r="O741">
        <f>IF(A741&lt;&gt;$K$39,MIN(O740,VLOOKUP(A741,A:D,4)),)</f>
        <v>0.61400002241134644</v>
      </c>
      <c r="P741">
        <f t="shared" si="21"/>
        <v>0.63733333349227905</v>
      </c>
      <c r="Q741">
        <f t="shared" si="16"/>
        <v>0.63040476469766527</v>
      </c>
      <c r="R741">
        <f t="shared" si="17"/>
        <v>6.9285687946137875E-3</v>
      </c>
      <c r="S741">
        <f t="shared" si="18"/>
        <v>6.4523787725539461E-3</v>
      </c>
      <c r="T741">
        <f t="shared" si="19"/>
        <v>9.6785681588309192E-5</v>
      </c>
      <c r="U741">
        <f t="shared" si="20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22"/>
        <v>740</v>
      </c>
      <c r="I742">
        <f>SUM($F$3:F742)/H742</f>
        <v>4739218.2357685808</v>
      </c>
      <c r="N742">
        <f>IF(A742&lt;&gt;$K$39,MAX(N741,VLOOKUP(A742,A:C,3)),)</f>
        <v>0.64099997282028198</v>
      </c>
      <c r="O742">
        <f>IF(A742&lt;&gt;$K$39,MIN(O741,VLOOKUP(A742,A:D,4)),)</f>
        <v>0.61400002241134644</v>
      </c>
      <c r="P742">
        <f t="shared" si="21"/>
        <v>0.63466668128967285</v>
      </c>
      <c r="Q742">
        <f t="shared" si="16"/>
        <v>0.63009524061566302</v>
      </c>
      <c r="R742">
        <f t="shared" si="17"/>
        <v>4.5714406740098301E-3</v>
      </c>
      <c r="S742">
        <f t="shared" si="18"/>
        <v>6.1428546905517578E-3</v>
      </c>
      <c r="T742">
        <f t="shared" si="19"/>
        <v>9.2142820358276359E-5</v>
      </c>
      <c r="U742">
        <f t="shared" si="20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22"/>
        <v>741</v>
      </c>
      <c r="I743">
        <f>SUM($F$3:F743)/H743</f>
        <v>4741994.324519231</v>
      </c>
      <c r="N743">
        <f>IF(A743&lt;&gt;$K$39,MAX(N742,VLOOKUP(A743,A:C,3)),)</f>
        <v>0.64300000667572021</v>
      </c>
      <c r="O743">
        <f>IF(A743&lt;&gt;$K$39,MIN(O742,VLOOKUP(A743,A:D,4)),)</f>
        <v>0.61400002241134644</v>
      </c>
      <c r="P743">
        <f t="shared" si="21"/>
        <v>0.64000000556310022</v>
      </c>
      <c r="Q743">
        <f t="shared" si="16"/>
        <v>0.63014285905020595</v>
      </c>
      <c r="R743">
        <f t="shared" si="17"/>
        <v>9.8571465128942659E-3</v>
      </c>
      <c r="S743">
        <f t="shared" si="18"/>
        <v>6.1904731250944645E-3</v>
      </c>
      <c r="T743">
        <f t="shared" si="19"/>
        <v>9.2857096876416959E-5</v>
      </c>
      <c r="U743">
        <f t="shared" si="20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22"/>
        <v>742</v>
      </c>
      <c r="I744">
        <f>SUM($F$3:F744)/H744</f>
        <v>4745912.6610090975</v>
      </c>
      <c r="N744">
        <f>IF(A744&lt;&gt;$K$39,MAX(N743,VLOOKUP(A744,A:C,3)),)</f>
        <v>0.64399999380111694</v>
      </c>
      <c r="O744">
        <f>IF(A744&lt;&gt;$K$39,MIN(O743,VLOOKUP(A744,A:D,4)),)</f>
        <v>0.61400002241134644</v>
      </c>
      <c r="P744">
        <f t="shared" si="21"/>
        <v>0.64133334159851074</v>
      </c>
      <c r="Q744">
        <f t="shared" si="16"/>
        <v>0.63047619376863751</v>
      </c>
      <c r="R744">
        <f t="shared" si="17"/>
        <v>1.0857147829873237E-2</v>
      </c>
      <c r="S744">
        <f t="shared" si="18"/>
        <v>6.5238078435262093E-3</v>
      </c>
      <c r="T744">
        <f t="shared" si="19"/>
        <v>9.7857117652893133E-5</v>
      </c>
      <c r="U744">
        <f t="shared" si="20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22"/>
        <v>743</v>
      </c>
      <c r="I745">
        <f>SUM($F$3:F745)/H745</f>
        <v>4747137.141949865</v>
      </c>
      <c r="N745">
        <f>IF(A745&lt;&gt;$K$39,MAX(N744,VLOOKUP(A745,A:C,3)),)</f>
        <v>0.64600002765655518</v>
      </c>
      <c r="O745">
        <f>IF(A745&lt;&gt;$K$39,MIN(O744,VLOOKUP(A745,A:D,4)),)</f>
        <v>0.61400002241134644</v>
      </c>
      <c r="P745">
        <f t="shared" si="21"/>
        <v>0.64233334859212243</v>
      </c>
      <c r="Q745">
        <f t="shared" si="16"/>
        <v>0.63088095755804152</v>
      </c>
      <c r="R745">
        <f t="shared" si="17"/>
        <v>1.1452391034080911E-2</v>
      </c>
      <c r="S745">
        <f t="shared" si="18"/>
        <v>6.9285716329302183E-3</v>
      </c>
      <c r="T745">
        <f t="shared" si="19"/>
        <v>1.0392857449395328E-4</v>
      </c>
      <c r="U745">
        <f t="shared" si="20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22"/>
        <v>744</v>
      </c>
      <c r="I746">
        <f>SUM($F$3:F746)/H746</f>
        <v>4751076.3393397173</v>
      </c>
      <c r="N746">
        <f>IF(A746&lt;&gt;$K$39,MAX(N745,VLOOKUP(A746,A:C,3)),)</f>
        <v>0.64899998903274536</v>
      </c>
      <c r="O746">
        <f>IF(A746&lt;&gt;$K$39,MIN(O745,VLOOKUP(A746,A:D,4)),)</f>
        <v>0.61400002241134644</v>
      </c>
      <c r="P746">
        <f t="shared" si="21"/>
        <v>0.64666666587193811</v>
      </c>
      <c r="Q746">
        <f t="shared" si="16"/>
        <v>0.6319761957441058</v>
      </c>
      <c r="R746">
        <f t="shared" si="17"/>
        <v>1.4690470127832311E-2</v>
      </c>
      <c r="S746">
        <f t="shared" si="18"/>
        <v>8.023809818994445E-3</v>
      </c>
      <c r="T746">
        <f t="shared" si="19"/>
        <v>1.2035714728491667E-4</v>
      </c>
      <c r="U746">
        <f t="shared" si="20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22"/>
        <v>745</v>
      </c>
      <c r="I747">
        <f>SUM($F$3:F747)/H747</f>
        <v>4749267.1093540266</v>
      </c>
      <c r="N747">
        <f>IF(A747&lt;&gt;$K$39,MAX(N746,VLOOKUP(A747,A:C,3)),)</f>
        <v>0.64899998903274536</v>
      </c>
      <c r="O747">
        <f>IF(A747&lt;&gt;$K$39,MIN(O746,VLOOKUP(A747,A:D,4)),)</f>
        <v>0.61400002241134644</v>
      </c>
      <c r="P747">
        <f t="shared" si="21"/>
        <v>0.64600000778834021</v>
      </c>
      <c r="Q747">
        <f t="shared" si="16"/>
        <v>0.63326191050665703</v>
      </c>
      <c r="R747">
        <f t="shared" si="17"/>
        <v>1.2738097281683181E-2</v>
      </c>
      <c r="S747">
        <f t="shared" si="18"/>
        <v>8.5578232395405983E-3</v>
      </c>
      <c r="T747">
        <f t="shared" si="19"/>
        <v>1.2836734859310897E-4</v>
      </c>
      <c r="U747">
        <f t="shared" si="20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22"/>
        <v>746</v>
      </c>
      <c r="I748">
        <f>SUM($F$3:F748)/H748</f>
        <v>4753903.3518347852</v>
      </c>
      <c r="N748">
        <f>IF(A748&lt;&gt;$K$39,MAX(N747,VLOOKUP(A748,A:C,3)),)</f>
        <v>0.64899998903274536</v>
      </c>
      <c r="O748">
        <f>IF(A748&lt;&gt;$K$39,MIN(O747,VLOOKUP(A748,A:D,4)),)</f>
        <v>0.61400002241134644</v>
      </c>
      <c r="P748">
        <f t="shared" si="21"/>
        <v>0.63433333237965905</v>
      </c>
      <c r="Q748">
        <f t="shared" si="16"/>
        <v>0.63390476788793293</v>
      </c>
      <c r="R748">
        <f t="shared" si="17"/>
        <v>4.2856449172612443E-4</v>
      </c>
      <c r="S748">
        <f t="shared" si="18"/>
        <v>7.8843525883291934E-3</v>
      </c>
      <c r="T748">
        <f t="shared" si="19"/>
        <v>1.1826528882493789E-4</v>
      </c>
      <c r="U748">
        <f t="shared" si="20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22"/>
        <v>747</v>
      </c>
      <c r="I749">
        <f>SUM($F$3:F749)/H749</f>
        <v>4756873.7623410309</v>
      </c>
      <c r="N749">
        <f>IF(A749&lt;&gt;$K$39,MAX(N748,VLOOKUP(A749,A:C,3)),)</f>
        <v>0.64899998903274536</v>
      </c>
      <c r="O749">
        <f>IF(A749&lt;&gt;$K$39,MIN(O748,VLOOKUP(A749,A:D,4)),)</f>
        <v>0.61400002241134644</v>
      </c>
      <c r="P749">
        <f t="shared" si="21"/>
        <v>0.62166666984558105</v>
      </c>
      <c r="Q749">
        <f t="shared" si="16"/>
        <v>0.63364286365963163</v>
      </c>
      <c r="R749">
        <f t="shared" si="17"/>
        <v>-1.1976193814050573E-2</v>
      </c>
      <c r="S749">
        <f t="shared" si="18"/>
        <v>8.2210865961451305E-3</v>
      </c>
      <c r="T749">
        <f t="shared" si="19"/>
        <v>1.2331629894217694E-4</v>
      </c>
      <c r="U749">
        <f t="shared" si="20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22"/>
        <v>748</v>
      </c>
      <c r="I750">
        <f>SUM($F$3:F750)/H750</f>
        <v>4760441.4504929809</v>
      </c>
      <c r="N750">
        <f>IF(A750&lt;&gt;$K$39,MAX(N749,VLOOKUP(A750,A:C,3)),)</f>
        <v>0.64899998903274536</v>
      </c>
      <c r="O750">
        <f>IF(A750&lt;&gt;$K$39,MIN(O749,VLOOKUP(A750,A:D,4)),)</f>
        <v>0.61400002241134644</v>
      </c>
      <c r="P750">
        <f t="shared" si="21"/>
        <v>0.61766668160756433</v>
      </c>
      <c r="Q750">
        <f t="shared" si="16"/>
        <v>0.63345238708314444</v>
      </c>
      <c r="R750">
        <f t="shared" si="17"/>
        <v>-1.5785705475580114E-2</v>
      </c>
      <c r="S750">
        <f t="shared" si="18"/>
        <v>8.4659850516286862E-3</v>
      </c>
      <c r="T750">
        <f t="shared" si="19"/>
        <v>1.2698977577443028E-4</v>
      </c>
      <c r="U750">
        <f t="shared" si="20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22"/>
        <v>749</v>
      </c>
      <c r="I751">
        <f>SUM($F$3:F751)/H751</f>
        <v>4759753.010639186</v>
      </c>
      <c r="N751">
        <f>IF(A751&lt;&gt;$K$39,MAX(N750,VLOOKUP(A751,A:C,3)),)</f>
        <v>0.64899998903274536</v>
      </c>
      <c r="O751">
        <f>IF(A751&lt;&gt;$K$39,MIN(O750,VLOOKUP(A751,A:D,4)),)</f>
        <v>0.61400002241134644</v>
      </c>
      <c r="P751">
        <f t="shared" si="21"/>
        <v>0.62733334302902222</v>
      </c>
      <c r="Q751">
        <f t="shared" si="16"/>
        <v>0.63419048275266376</v>
      </c>
      <c r="R751">
        <f t="shared" si="17"/>
        <v>-6.8571397236415477E-3</v>
      </c>
      <c r="S751">
        <f t="shared" si="18"/>
        <v>7.5170049051038346E-3</v>
      </c>
      <c r="T751">
        <f t="shared" si="19"/>
        <v>1.1275507357655751E-4</v>
      </c>
      <c r="U751">
        <f t="shared" si="20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22"/>
        <v>750</v>
      </c>
      <c r="I752">
        <f>SUM($F$3:F752)/H752</f>
        <v>4759460.1426250003</v>
      </c>
      <c r="N752">
        <f>IF(A752&lt;&gt;$K$39,MAX(N751,VLOOKUP(A752,A:C,3)),)</f>
        <v>0.64899998903274536</v>
      </c>
      <c r="O752">
        <f>IF(A752&lt;&gt;$K$39,MIN(O751,VLOOKUP(A752,A:D,4)),)</f>
        <v>0.61400002241134644</v>
      </c>
      <c r="P752">
        <f t="shared" si="21"/>
        <v>0.62199999888738</v>
      </c>
      <c r="Q752">
        <f t="shared" si="16"/>
        <v>0.63411905368169141</v>
      </c>
      <c r="R752">
        <f t="shared" si="17"/>
        <v>-1.2119054794311412E-2</v>
      </c>
      <c r="S752">
        <f t="shared" si="18"/>
        <v>7.6088422820681911E-3</v>
      </c>
      <c r="T752">
        <f t="shared" si="19"/>
        <v>1.1413263423102287E-4</v>
      </c>
      <c r="U752">
        <f t="shared" si="20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22"/>
        <v>751</v>
      </c>
      <c r="I753">
        <f>SUM($F$3:F753)/H753</f>
        <v>4759038.3581474703</v>
      </c>
      <c r="N753">
        <f>IF(A753&lt;&gt;$K$39,MAX(N752,VLOOKUP(A753,A:C,3)),)</f>
        <v>0.64899998903274536</v>
      </c>
      <c r="O753">
        <f>IF(A753&lt;&gt;$K$39,MIN(O752,VLOOKUP(A753,A:D,4)),)</f>
        <v>0.61299997568130493</v>
      </c>
      <c r="P753">
        <f t="shared" si="21"/>
        <v>0.61533333857854211</v>
      </c>
      <c r="Q753">
        <f t="shared" si="16"/>
        <v>0.63316667221841361</v>
      </c>
      <c r="R753">
        <f t="shared" si="17"/>
        <v>-1.7833333639871496E-2</v>
      </c>
      <c r="S753">
        <f t="shared" si="18"/>
        <v>8.833332734854038E-3</v>
      </c>
      <c r="T753">
        <f t="shared" si="19"/>
        <v>1.3249999102281056E-4</v>
      </c>
      <c r="U753">
        <f t="shared" si="20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22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21"/>
        <v>0.62766667207082116</v>
      </c>
      <c r="Q754">
        <f t="shared" si="16"/>
        <v>0.63245238718532382</v>
      </c>
      <c r="R754">
        <f t="shared" si="17"/>
        <v>-4.7857151145026533E-3</v>
      </c>
      <c r="S754">
        <f t="shared" si="18"/>
        <v>9.0068027275760111E-3</v>
      </c>
      <c r="T754">
        <f t="shared" si="19"/>
        <v>1.3510204091364016E-4</v>
      </c>
      <c r="U754">
        <f t="shared" si="20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22"/>
        <v>753</v>
      </c>
      <c r="I755">
        <f>SUM($F$3:F755)/H755</f>
        <v>4759347.6931855911</v>
      </c>
      <c r="N755">
        <f>IF(A755&lt;&gt;$K$40,MAX(N754,VLOOKUP(A755,A:C,3)),)</f>
        <v>0.63599997758865356</v>
      </c>
      <c r="O755">
        <f>IF(A755&lt;&gt;$K$40,MIN(O754,VLOOKUP(A755,A:D,4)),)</f>
        <v>0.62599998712539673</v>
      </c>
      <c r="P755">
        <f t="shared" si="21"/>
        <v>0.62933331727981567</v>
      </c>
      <c r="Q755">
        <f t="shared" si="16"/>
        <v>0.63188095745586204</v>
      </c>
      <c r="R755">
        <f t="shared" si="17"/>
        <v>-2.5476401760463618E-3</v>
      </c>
      <c r="S755">
        <f t="shared" si="18"/>
        <v>8.8809544131869343E-3</v>
      </c>
      <c r="T755">
        <f t="shared" si="19"/>
        <v>1.3321431619780401E-4</v>
      </c>
      <c r="U755">
        <f t="shared" si="20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22"/>
        <v>754</v>
      </c>
      <c r="I756">
        <f>SUM($F$3:F756)/H756</f>
        <v>4755116.1975712869</v>
      </c>
      <c r="N756">
        <f>IF(A756&lt;&gt;$K$40,MAX(N755,VLOOKUP(A756,A:C,3)),)</f>
        <v>0.63599997758865356</v>
      </c>
      <c r="O756">
        <f>IF(A756&lt;&gt;$K$40,MIN(O755,VLOOKUP(A756,A:D,4)),)</f>
        <v>0.61699998378753662</v>
      </c>
      <c r="P756">
        <f t="shared" si="21"/>
        <v>0.62033331394195557</v>
      </c>
      <c r="Q756">
        <f t="shared" si="16"/>
        <v>0.63085714550245364</v>
      </c>
      <c r="R756">
        <f t="shared" si="17"/>
        <v>-1.0523831560498076E-2</v>
      </c>
      <c r="S756">
        <f t="shared" si="18"/>
        <v>9.3605469684211375E-3</v>
      </c>
      <c r="T756">
        <f t="shared" si="19"/>
        <v>1.4040820452631707E-4</v>
      </c>
      <c r="U756">
        <f t="shared" si="20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22"/>
        <v>755</v>
      </c>
      <c r="I757">
        <f>SUM($F$3:F757)/H757</f>
        <v>4760939.8847268214</v>
      </c>
      <c r="N757">
        <f>IF(A757&lt;&gt;$K$40,MAX(N756,VLOOKUP(A757,A:C,3)),)</f>
        <v>0.63599997758865356</v>
      </c>
      <c r="O757">
        <f>IF(A757&lt;&gt;$K$40,MIN(O756,VLOOKUP(A757,A:D,4)),)</f>
        <v>0.60500001907348633</v>
      </c>
      <c r="P757">
        <f t="shared" si="21"/>
        <v>0.61200000842412317</v>
      </c>
      <c r="Q757">
        <f t="shared" si="16"/>
        <v>0.62885714570681261</v>
      </c>
      <c r="R757">
        <f t="shared" si="17"/>
        <v>-1.6857137282689449E-2</v>
      </c>
      <c r="S757">
        <f t="shared" si="18"/>
        <v>9.5510198956444171E-3</v>
      </c>
      <c r="T757">
        <f t="shared" si="19"/>
        <v>1.4326529843466625E-4</v>
      </c>
      <c r="U757">
        <f t="shared" si="20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22"/>
        <v>756</v>
      </c>
      <c r="I758">
        <f>SUM($F$3:F758)/H758</f>
        <v>4758304.2499586642</v>
      </c>
      <c r="N758">
        <f>IF(A758&lt;&gt;$K$40,MAX(N757,VLOOKUP(A758,A:C,3)),)</f>
        <v>0.63599997758865356</v>
      </c>
      <c r="O758">
        <f>IF(A758&lt;&gt;$K$40,MIN(O757,VLOOKUP(A758,A:D,4)),)</f>
        <v>0.6029999852180481</v>
      </c>
      <c r="P758">
        <f t="shared" si="21"/>
        <v>0.60833332935969031</v>
      </c>
      <c r="Q758">
        <f t="shared" si="16"/>
        <v>0.62650000197546807</v>
      </c>
      <c r="R758">
        <f t="shared" si="17"/>
        <v>-1.8166672615777757E-2</v>
      </c>
      <c r="S758">
        <f t="shared" si="18"/>
        <v>9.7380961690630239E-3</v>
      </c>
      <c r="T758">
        <f t="shared" si="19"/>
        <v>1.4607144253594537E-4</v>
      </c>
      <c r="U758">
        <f t="shared" si="20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22"/>
        <v>757</v>
      </c>
      <c r="I759">
        <f>SUM($F$3:F759)/H759</f>
        <v>4759600.809734148</v>
      </c>
      <c r="N759">
        <f>IF(A759&lt;&gt;$K$40,MAX(N758,VLOOKUP(A759,A:C,3)),)</f>
        <v>0.63599997758865356</v>
      </c>
      <c r="O759">
        <f>IF(A759&lt;&gt;$K$40,MIN(O758,VLOOKUP(A759,A:D,4)),)</f>
        <v>0.6029999852180481</v>
      </c>
      <c r="P759">
        <f t="shared" si="21"/>
        <v>0.6066666841506958</v>
      </c>
      <c r="Q759">
        <f t="shared" si="16"/>
        <v>0.6239523830867949</v>
      </c>
      <c r="R759">
        <f t="shared" si="17"/>
        <v>-1.7285698936099103E-2</v>
      </c>
      <c r="S759">
        <f t="shared" si="18"/>
        <v>9.6598628426895639E-3</v>
      </c>
      <c r="T759">
        <f t="shared" si="19"/>
        <v>1.4489794264034345E-4</v>
      </c>
      <c r="U759">
        <f t="shared" si="20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22"/>
        <v>758</v>
      </c>
      <c r="I760">
        <f>SUM($F$3:F760)/H760</f>
        <v>4762151.732148747</v>
      </c>
      <c r="N760">
        <f>IF(A760&lt;&gt;$K$40,MAX(N759,VLOOKUP(A760,A:C,3)),)</f>
        <v>0.63599997758865356</v>
      </c>
      <c r="O760">
        <f>IF(A760&lt;&gt;$K$40,MIN(O759,VLOOKUP(A760,A:D,4)),)</f>
        <v>0.59899997711181641</v>
      </c>
      <c r="P760">
        <f t="shared" si="21"/>
        <v>0.60366664330164588</v>
      </c>
      <c r="Q760">
        <f t="shared" si="16"/>
        <v>0.62088095290320244</v>
      </c>
      <c r="R760">
        <f t="shared" si="17"/>
        <v>-1.7214309601556566E-2</v>
      </c>
      <c r="S760">
        <f t="shared" si="18"/>
        <v>8.8809529940287301E-3</v>
      </c>
      <c r="T760">
        <f t="shared" si="19"/>
        <v>1.3321429491043094E-4</v>
      </c>
      <c r="U760">
        <f t="shared" si="20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22"/>
        <v>759</v>
      </c>
      <c r="I761">
        <f>SUM($F$3:F761)/H761</f>
        <v>4760748.8971920293</v>
      </c>
      <c r="N761">
        <f>IF(A761&lt;&gt;$K$40,MAX(N760,VLOOKUP(A761,A:C,3)),)</f>
        <v>0.63599997758865356</v>
      </c>
      <c r="O761">
        <f>IF(A761&lt;&gt;$K$40,MIN(O760,VLOOKUP(A761,A:D,4)),)</f>
        <v>0.59899997711181641</v>
      </c>
      <c r="P761">
        <f t="shared" si="21"/>
        <v>0.60533332824707031</v>
      </c>
      <c r="Q761">
        <f t="shared" si="16"/>
        <v>0.6179761900788262</v>
      </c>
      <c r="R761">
        <f t="shared" si="17"/>
        <v>-1.2642861831755892E-2</v>
      </c>
      <c r="S761">
        <f t="shared" si="18"/>
        <v>8.1190452689216298E-3</v>
      </c>
      <c r="T761">
        <f t="shared" si="19"/>
        <v>1.2178567903382445E-4</v>
      </c>
      <c r="U761">
        <f t="shared" si="20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22"/>
        <v>760</v>
      </c>
      <c r="I762">
        <f>SUM($F$3:F762)/H762</f>
        <v>4760210.8091694079</v>
      </c>
      <c r="N762">
        <f>IF(A762&lt;&gt;$K$40,MAX(N761,VLOOKUP(A762,A:C,3)),)</f>
        <v>0.63599997758865356</v>
      </c>
      <c r="O762">
        <f>IF(A762&lt;&gt;$K$40,MIN(O761,VLOOKUP(A762,A:D,4)),)</f>
        <v>0.59899997711181641</v>
      </c>
      <c r="P762">
        <f t="shared" si="21"/>
        <v>0.60166666905085242</v>
      </c>
      <c r="Q762">
        <f t="shared" si="16"/>
        <v>0.61564285698391141</v>
      </c>
      <c r="R762">
        <f t="shared" si="17"/>
        <v>-1.3976187933058992E-2</v>
      </c>
      <c r="S762">
        <f t="shared" si="18"/>
        <v>8.071428253537143E-3</v>
      </c>
      <c r="T762">
        <f t="shared" si="19"/>
        <v>1.2107142380305714E-4</v>
      </c>
      <c r="U762">
        <f t="shared" si="20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22"/>
        <v>761</v>
      </c>
      <c r="I763">
        <f>SUM($F$3:F763)/H763</f>
        <v>4759312.1090259524</v>
      </c>
      <c r="N763">
        <f>IF(A763&lt;&gt;$K$40,MAX(N762,VLOOKUP(A763,A:C,3)),)</f>
        <v>0.63599997758865356</v>
      </c>
      <c r="O763">
        <f>IF(A763&lt;&gt;$K$40,MIN(O762,VLOOKUP(A763,A:D,4)),)</f>
        <v>0.59799998998641968</v>
      </c>
      <c r="P763">
        <f t="shared" si="21"/>
        <v>0.60133332014083862</v>
      </c>
      <c r="Q763">
        <f t="shared" si="16"/>
        <v>0.61419047486214418</v>
      </c>
      <c r="R763">
        <f t="shared" si="17"/>
        <v>-1.2857154721305553E-2</v>
      </c>
      <c r="S763">
        <f t="shared" si="18"/>
        <v>8.6190487657274682E-3</v>
      </c>
      <c r="T763">
        <f t="shared" si="19"/>
        <v>1.2928573148591202E-4</v>
      </c>
      <c r="U763">
        <f t="shared" si="20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22"/>
        <v>762</v>
      </c>
      <c r="I764">
        <f>SUM($F$3:F764)/H764</f>
        <v>4754779.9409038713</v>
      </c>
      <c r="N764">
        <f>IF(A764&lt;&gt;$K$40,MAX(N763,VLOOKUP(A764,A:C,3)),)</f>
        <v>0.63599997758865356</v>
      </c>
      <c r="O764">
        <f>IF(A764&lt;&gt;$K$40,MIN(O763,VLOOKUP(A764,A:D,4)),)</f>
        <v>0.59700000286102295</v>
      </c>
      <c r="P764">
        <f t="shared" si="21"/>
        <v>0.59899999698003137</v>
      </c>
      <c r="Q764">
        <f t="shared" si="16"/>
        <v>0.61285714024589188</v>
      </c>
      <c r="R764">
        <f t="shared" si="17"/>
        <v>-1.3857143265860516E-2</v>
      </c>
      <c r="S764">
        <f t="shared" si="18"/>
        <v>9.2653060445980449E-3</v>
      </c>
      <c r="T764">
        <f t="shared" si="19"/>
        <v>1.3897959066897067E-4</v>
      </c>
      <c r="U764">
        <f t="shared" si="20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22"/>
        <v>763</v>
      </c>
      <c r="I765">
        <f>SUM($F$3:F765)/H765</f>
        <v>4754051.2686353214</v>
      </c>
      <c r="N765">
        <f>IF(A765&lt;&gt;$K$40,MAX(N764,VLOOKUP(A765,A:C,3)),)</f>
        <v>0.63599997758865356</v>
      </c>
      <c r="O765">
        <f>IF(A765&lt;&gt;$K$40,MIN(O764,VLOOKUP(A765,A:D,4)),)</f>
        <v>0.59600001573562622</v>
      </c>
      <c r="P765">
        <f t="shared" si="21"/>
        <v>0.5993333260218302</v>
      </c>
      <c r="Q765">
        <f t="shared" si="16"/>
        <v>0.6108571390310924</v>
      </c>
      <c r="R765">
        <f t="shared" si="17"/>
        <v>-1.1523813009262196E-2</v>
      </c>
      <c r="S765">
        <f t="shared" si="18"/>
        <v>8.7891164280119692E-3</v>
      </c>
      <c r="T765">
        <f t="shared" si="19"/>
        <v>1.3183674642017955E-4</v>
      </c>
      <c r="U765">
        <f t="shared" si="20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22"/>
        <v>764</v>
      </c>
      <c r="I766">
        <f>SUM($F$3:F766)/H766</f>
        <v>4753975.2892261129</v>
      </c>
      <c r="N766">
        <f>IF(A766&lt;&gt;$K$40,MAX(N765,VLOOKUP(A766,A:C,3)),)</f>
        <v>0.63599997758865356</v>
      </c>
      <c r="O766">
        <f>IF(A766&lt;&gt;$K$40,MIN(O765,VLOOKUP(A766,A:D,4)),)</f>
        <v>0.59600001573562622</v>
      </c>
      <c r="P766">
        <f t="shared" si="21"/>
        <v>0.60199999809265137</v>
      </c>
      <c r="Q766">
        <f t="shared" si="16"/>
        <v>0.60942856754575458</v>
      </c>
      <c r="R766">
        <f t="shared" si="17"/>
        <v>-7.4285694531032176E-3</v>
      </c>
      <c r="S766">
        <f t="shared" si="18"/>
        <v>8.2176875094978376E-3</v>
      </c>
      <c r="T766">
        <f t="shared" si="19"/>
        <v>1.2326531264246756E-4</v>
      </c>
      <c r="U766">
        <f t="shared" si="20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22"/>
        <v>765</v>
      </c>
      <c r="I767">
        <f>SUM($F$3:F767)/H767</f>
        <v>4750183.1659722226</v>
      </c>
      <c r="N767">
        <f>IF(A767&lt;&gt;$K$40,MAX(N766,VLOOKUP(A767,A:C,3)),)</f>
        <v>0.63599997758865356</v>
      </c>
      <c r="O767">
        <f>IF(A767&lt;&gt;$K$40,MIN(O766,VLOOKUP(A767,A:D,4)),)</f>
        <v>0.59600001573562622</v>
      </c>
      <c r="P767">
        <f t="shared" si="21"/>
        <v>0.60333333412806189</v>
      </c>
      <c r="Q767">
        <f t="shared" si="16"/>
        <v>0.60857142437072032</v>
      </c>
      <c r="R767">
        <f t="shared" si="17"/>
        <v>-5.2380902426584219E-3</v>
      </c>
      <c r="S767">
        <f t="shared" si="18"/>
        <v>7.8639448905478051E-3</v>
      </c>
      <c r="T767">
        <f t="shared" si="19"/>
        <v>1.1795917335821708E-4</v>
      </c>
      <c r="U767">
        <f t="shared" si="20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22"/>
        <v>766</v>
      </c>
      <c r="I768">
        <f>SUM($F$3:F768)/H768</f>
        <v>4753731.8824657314</v>
      </c>
      <c r="N768">
        <f>IF(A768&lt;&gt;$K$40,MAX(N767,VLOOKUP(A768,A:C,3)),)</f>
        <v>0.63599997758865356</v>
      </c>
      <c r="O768">
        <f>IF(A768&lt;&gt;$K$40,MIN(O767,VLOOKUP(A768,A:D,4)),)</f>
        <v>0.59500002861022949</v>
      </c>
      <c r="P768">
        <f t="shared" si="21"/>
        <v>0.59933334589004517</v>
      </c>
      <c r="Q768">
        <f t="shared" si="16"/>
        <v>0.60654761535780766</v>
      </c>
      <c r="R768">
        <f t="shared" si="17"/>
        <v>-7.2142694677624908E-3</v>
      </c>
      <c r="S768">
        <f t="shared" si="18"/>
        <v>6.2755109096059936E-3</v>
      </c>
      <c r="T768">
        <f t="shared" si="19"/>
        <v>9.4132663644089904E-5</v>
      </c>
      <c r="U768">
        <f t="shared" si="20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22"/>
        <v>767</v>
      </c>
      <c r="I769">
        <f>SUM($F$3:F769)/H769</f>
        <v>4751185.4328145375</v>
      </c>
      <c r="N769">
        <f>IF(A769&lt;&gt;$K$40,MAX(N768,VLOOKUP(A769,A:C,3)),)</f>
        <v>0.63599997758865356</v>
      </c>
      <c r="O769">
        <f>IF(A769&lt;&gt;$K$40,MIN(O768,VLOOKUP(A769,A:D,4)),)</f>
        <v>0.59399998188018799</v>
      </c>
      <c r="P769">
        <f t="shared" si="21"/>
        <v>0.59700000286102295</v>
      </c>
      <c r="Q769">
        <f t="shared" si="16"/>
        <v>0.60423809289932251</v>
      </c>
      <c r="R769">
        <f t="shared" si="17"/>
        <v>-7.2380900382995605E-3</v>
      </c>
      <c r="S769">
        <f t="shared" si="18"/>
        <v>4.4965999467032379E-3</v>
      </c>
      <c r="T769">
        <f t="shared" si="19"/>
        <v>6.7448999200548564E-5</v>
      </c>
      <c r="U769">
        <f t="shared" si="20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22"/>
        <v>768</v>
      </c>
      <c r="I770">
        <f>SUM($F$3:F770)/H770</f>
        <v>4754278.6809488935</v>
      </c>
      <c r="N770">
        <f>IF(A770&lt;&gt;$K$40,MAX(N769,VLOOKUP(A770,A:C,3)),)</f>
        <v>0.63599997758865356</v>
      </c>
      <c r="O770">
        <f>IF(A770&lt;&gt;$K$40,MIN(O769,VLOOKUP(A770,A:D,4)),)</f>
        <v>0.59399998188018799</v>
      </c>
      <c r="P770">
        <f t="shared" si="21"/>
        <v>0.59599999586741126</v>
      </c>
      <c r="Q770">
        <f t="shared" si="16"/>
        <v>0.60249999875114069</v>
      </c>
      <c r="R770">
        <f t="shared" si="17"/>
        <v>-6.5000028837294277E-3</v>
      </c>
      <c r="S770">
        <f t="shared" si="18"/>
        <v>3.4761907292060984E-3</v>
      </c>
      <c r="T770">
        <f t="shared" si="19"/>
        <v>5.2142860938091472E-5</v>
      </c>
      <c r="U770">
        <f t="shared" si="20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22"/>
        <v>769</v>
      </c>
      <c r="I771">
        <f>SUM($F$3:F771)/H771</f>
        <v>4755440.4772025356</v>
      </c>
      <c r="N771">
        <f>IF(A771&lt;&gt;$K$40,MAX(N770,VLOOKUP(A771,A:C,3)),)</f>
        <v>0.63599997758865356</v>
      </c>
      <c r="O771">
        <f>IF(A771&lt;&gt;$K$40,MIN(O770,VLOOKUP(A771,A:D,4)),)</f>
        <v>0.59200000762939453</v>
      </c>
      <c r="P771">
        <f t="shared" si="21"/>
        <v>0.59500000874201453</v>
      </c>
      <c r="Q771">
        <f t="shared" si="16"/>
        <v>0.60128571305956158</v>
      </c>
      <c r="R771">
        <f t="shared" si="17"/>
        <v>-6.2857043175470473E-3</v>
      </c>
      <c r="S771">
        <f t="shared" si="18"/>
        <v>3.1496574278591411E-3</v>
      </c>
      <c r="T771">
        <f t="shared" si="19"/>
        <v>4.7244861417887112E-5</v>
      </c>
      <c r="U771">
        <f t="shared" si="20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22"/>
        <v>770</v>
      </c>
      <c r="I772">
        <f>SUM($F$3:F772)/H772</f>
        <v>4761810.1648944803</v>
      </c>
      <c r="N772">
        <f>IF(A772&lt;&gt;$K$40,MAX(N771,VLOOKUP(A772,A:C,3)),)</f>
        <v>0.63599997758865356</v>
      </c>
      <c r="O772">
        <f>IF(A772&lt;&gt;$K$40,MIN(O771,VLOOKUP(A772,A:D,4)),)</f>
        <v>0.59200000762939453</v>
      </c>
      <c r="P772">
        <f t="shared" si="21"/>
        <v>0.59766668081283569</v>
      </c>
      <c r="Q772">
        <f t="shared" si="16"/>
        <v>0.60052380959192919</v>
      </c>
      <c r="R772">
        <f t="shared" si="17"/>
        <v>-2.8571287790934985E-3</v>
      </c>
      <c r="S772">
        <f t="shared" si="18"/>
        <v>2.9047585669017945E-3</v>
      </c>
      <c r="T772">
        <f t="shared" si="19"/>
        <v>4.3571378503526915E-5</v>
      </c>
      <c r="U772">
        <f t="shared" si="20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22"/>
        <v>771</v>
      </c>
      <c r="I773">
        <f>SUM($F$3:F773)/H773</f>
        <v>4765290.3073524646</v>
      </c>
      <c r="N773">
        <f>IF(A773&lt;&gt;$K$40,MAX(N772,VLOOKUP(A773,A:C,3)),)</f>
        <v>0.63599997758865356</v>
      </c>
      <c r="O773">
        <f>IF(A773&lt;&gt;$K$40,MIN(O772,VLOOKUP(A773,A:D,4)),)</f>
        <v>0.5910000205039978</v>
      </c>
      <c r="P773">
        <f t="shared" si="21"/>
        <v>0.59300001462300622</v>
      </c>
      <c r="Q773">
        <f t="shared" si="16"/>
        <v>0.59954761891137998</v>
      </c>
      <c r="R773">
        <f t="shared" si="17"/>
        <v>-6.547604288373754E-3</v>
      </c>
      <c r="S773">
        <f t="shared" si="18"/>
        <v>2.8639399275487898E-3</v>
      </c>
      <c r="T773">
        <f t="shared" si="19"/>
        <v>4.2959098913231846E-5</v>
      </c>
      <c r="U773">
        <f t="shared" si="20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22"/>
        <v>772</v>
      </c>
      <c r="I774">
        <f>SUM($F$3:F774)/H774</f>
        <v>4767016.4857108165</v>
      </c>
      <c r="N774">
        <f>IF(A774&lt;&gt;$K$40,MAX(N773,VLOOKUP(A774,A:C,3)),)</f>
        <v>0.63599997758865356</v>
      </c>
      <c r="O774">
        <f>IF(A774&lt;&gt;$K$40,MIN(O773,VLOOKUP(A774,A:D,4)),)</f>
        <v>0.58799999952316284</v>
      </c>
      <c r="P774">
        <f t="shared" si="21"/>
        <v>0.59066667159398401</v>
      </c>
      <c r="Q774">
        <f t="shared" si="16"/>
        <v>0.59861904950368972</v>
      </c>
      <c r="R774">
        <f t="shared" si="17"/>
        <v>-7.9523779097057101E-3</v>
      </c>
      <c r="S774">
        <f t="shared" si="18"/>
        <v>3.197274645980519E-3</v>
      </c>
      <c r="T774">
        <f t="shared" si="19"/>
        <v>4.7959119689707783E-5</v>
      </c>
      <c r="U774">
        <f t="shared" si="20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22"/>
        <v>773</v>
      </c>
      <c r="I775">
        <f>SUM($F$3:F775)/H775</f>
        <v>4769661.4837888097</v>
      </c>
      <c r="N775">
        <f>IF(A775&lt;&gt;$K$40,MAX(N774,VLOOKUP(A775,A:C,3)),)</f>
        <v>0.63599997758865356</v>
      </c>
      <c r="O775">
        <f>IF(A775&lt;&gt;$K$40,MIN(O774,VLOOKUP(A775,A:D,4)),)</f>
        <v>0.58399999141693115</v>
      </c>
      <c r="P775">
        <f t="shared" si="21"/>
        <v>0.59133332967758179</v>
      </c>
      <c r="Q775">
        <f t="shared" si="16"/>
        <v>0.59761904960586898</v>
      </c>
      <c r="R775">
        <f t="shared" si="17"/>
        <v>-6.2857199282871923E-3</v>
      </c>
      <c r="S775">
        <f t="shared" si="18"/>
        <v>3.2448963243134304E-3</v>
      </c>
      <c r="T775">
        <f t="shared" si="19"/>
        <v>4.8673444864701452E-5</v>
      </c>
      <c r="U775">
        <f t="shared" si="20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22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21"/>
        <v>0.60733334223429358</v>
      </c>
      <c r="Q776">
        <f t="shared" si="16"/>
        <v>0.59802381197611487</v>
      </c>
      <c r="R776">
        <f t="shared" si="17"/>
        <v>9.3095302581787109E-3</v>
      </c>
      <c r="S776">
        <f t="shared" si="18"/>
        <v>3.6428542364211258E-3</v>
      </c>
      <c r="T776">
        <f t="shared" si="19"/>
        <v>5.4642813546316885E-5</v>
      </c>
      <c r="U776">
        <f t="shared" si="20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22"/>
        <v>775</v>
      </c>
      <c r="I777">
        <f>SUM($F$3:F777)/H777</f>
        <v>4778449.1960887099</v>
      </c>
      <c r="N777">
        <f>IF(A777&lt;&gt;$K$41,MAX(N776,VLOOKUP(A777,A:C,3)),)</f>
        <v>0.61000001430511475</v>
      </c>
      <c r="O777">
        <f>IF(A777&lt;&gt;$K$41,MIN(O776,VLOOKUP(A777,A:D,4)),)</f>
        <v>0.59600001573562622</v>
      </c>
      <c r="P777">
        <f t="shared" si="21"/>
        <v>0.60066668192545569</v>
      </c>
      <c r="Q777">
        <f t="shared" si="16"/>
        <v>0.5979761949607304</v>
      </c>
      <c r="R777">
        <f t="shared" si="17"/>
        <v>2.6904869647252916E-3</v>
      </c>
      <c r="S777">
        <f t="shared" si="18"/>
        <v>3.5952372210366307E-3</v>
      </c>
      <c r="T777">
        <f t="shared" si="19"/>
        <v>5.3928558315549455E-5</v>
      </c>
      <c r="U777">
        <f t="shared" si="20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22"/>
        <v>776</v>
      </c>
      <c r="I778">
        <f>SUM($F$3:F778)/H778</f>
        <v>4784009.4419700382</v>
      </c>
      <c r="N778">
        <f>IF(A778&lt;&gt;$K$41,MAX(N777,VLOOKUP(A778,A:C,3)),)</f>
        <v>0.61000001430511475</v>
      </c>
      <c r="O778">
        <f>IF(A778&lt;&gt;$K$41,MIN(O777,VLOOKUP(A778,A:D,4)),)</f>
        <v>0.59600001573562622</v>
      </c>
      <c r="P778">
        <f t="shared" si="21"/>
        <v>0.60233334700266516</v>
      </c>
      <c r="Q778">
        <f t="shared" si="16"/>
        <v>0.59821429139091842</v>
      </c>
      <c r="R778">
        <f t="shared" si="17"/>
        <v>4.1190556117467469E-3</v>
      </c>
      <c r="S778">
        <f t="shared" si="18"/>
        <v>3.833333651224759E-3</v>
      </c>
      <c r="T778">
        <f t="shared" si="19"/>
        <v>5.7500004768371382E-5</v>
      </c>
      <c r="U778">
        <f t="shared" si="20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22"/>
        <v>777</v>
      </c>
      <c r="I779">
        <f>SUM($F$3:F779)/H779</f>
        <v>4782343.4066521879</v>
      </c>
      <c r="N779">
        <f>IF(A779&lt;&gt;$K$41,MAX(N778,VLOOKUP(A779,A:C,3)),)</f>
        <v>0.61100000143051147</v>
      </c>
      <c r="O779">
        <f>IF(A779&lt;&gt;$K$41,MIN(O778,VLOOKUP(A779,A:D,4)),)</f>
        <v>0.59600001573562622</v>
      </c>
      <c r="P779">
        <f t="shared" si="21"/>
        <v>0.60499999920527137</v>
      </c>
      <c r="Q779">
        <f t="shared" si="16"/>
        <v>0.59861905376116442</v>
      </c>
      <c r="R779">
        <f t="shared" si="17"/>
        <v>6.3809454441069446E-3</v>
      </c>
      <c r="S779">
        <f t="shared" si="18"/>
        <v>4.2380960214705565E-3</v>
      </c>
      <c r="T779">
        <f t="shared" si="19"/>
        <v>6.3571440322058347E-5</v>
      </c>
      <c r="U779">
        <f t="shared" si="20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22"/>
        <v>778</v>
      </c>
      <c r="I780">
        <f>SUM($F$3:F780)/H780</f>
        <v>4781487.1811937662</v>
      </c>
      <c r="N780">
        <f>IF(A780&lt;&gt;$K$41,MAX(N779,VLOOKUP(A780,A:C,3)),)</f>
        <v>0.61100000143051147</v>
      </c>
      <c r="O780">
        <f>IF(A780&lt;&gt;$K$41,MIN(O779,VLOOKUP(A780,A:D,4)),)</f>
        <v>0.59600001573562622</v>
      </c>
      <c r="P780">
        <f t="shared" si="21"/>
        <v>0.60666666428248084</v>
      </c>
      <c r="Q780">
        <f t="shared" si="16"/>
        <v>0.59895238706043785</v>
      </c>
      <c r="R780">
        <f t="shared" si="17"/>
        <v>7.7142772220429867E-3</v>
      </c>
      <c r="S780">
        <f t="shared" si="18"/>
        <v>4.5714293207440903E-3</v>
      </c>
      <c r="T780">
        <f t="shared" si="19"/>
        <v>6.8571439811161345E-5</v>
      </c>
      <c r="U780">
        <f t="shared" si="20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22"/>
        <v>779</v>
      </c>
      <c r="I781">
        <f>SUM($F$3:F781)/H781</f>
        <v>4782825.4518212453</v>
      </c>
      <c r="N781">
        <f>IF(A781&lt;&gt;$K$41,MAX(N780,VLOOKUP(A781,A:C,3)),)</f>
        <v>0.61100000143051147</v>
      </c>
      <c r="O781">
        <f>IF(A781&lt;&gt;$K$41,MIN(O780,VLOOKUP(A781,A:D,4)),)</f>
        <v>0.59600001573562622</v>
      </c>
      <c r="P781">
        <f t="shared" si="21"/>
        <v>0.60099999109903968</v>
      </c>
      <c r="Q781">
        <f t="shared" si="16"/>
        <v>0.59878571970122219</v>
      </c>
      <c r="R781">
        <f t="shared" si="17"/>
        <v>2.214271397817491E-3</v>
      </c>
      <c r="S781">
        <f t="shared" si="18"/>
        <v>4.4047619615282174E-3</v>
      </c>
      <c r="T781">
        <f t="shared" si="19"/>
        <v>6.6071429422923257E-5</v>
      </c>
      <c r="U781">
        <f t="shared" si="20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22"/>
        <v>780</v>
      </c>
      <c r="I782">
        <f>SUM($F$3:F782)/H782</f>
        <v>4783387.0884214742</v>
      </c>
      <c r="N782">
        <f>IF(A782&lt;&gt;$K$41,MAX(N781,VLOOKUP(A782,A:C,3)),)</f>
        <v>0.61100000143051147</v>
      </c>
      <c r="O782">
        <f>IF(A782&lt;&gt;$K$41,MIN(O781,VLOOKUP(A782,A:D,4)),)</f>
        <v>0.58899998664855957</v>
      </c>
      <c r="P782">
        <f t="shared" si="21"/>
        <v>0.59333332379659021</v>
      </c>
      <c r="Q782">
        <f t="shared" ref="Q782:Q1036" si="23">SUM(P769:P782)/14</f>
        <v>0.59835714669454687</v>
      </c>
      <c r="R782">
        <f t="shared" ref="R782:R1036" si="24">P782-Q782</f>
        <v>-5.0238228979566646E-3</v>
      </c>
      <c r="S782">
        <f t="shared" ref="S782:S1036" si="25">AVEDEV(P769:P782)</f>
        <v>4.6938779402752439E-3</v>
      </c>
      <c r="T782">
        <f t="shared" ref="T782:T1036" si="26">0.015*S782</f>
        <v>7.0408169104128657E-5</v>
      </c>
      <c r="U782">
        <f t="shared" ref="U782:U1036" si="27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22"/>
        <v>781</v>
      </c>
      <c r="I783">
        <f>SUM($F$3:F783)/H783</f>
        <v>4789216.5569382198</v>
      </c>
      <c r="N783">
        <f>IF(A783&lt;&gt;$K$41,MAX(N782,VLOOKUP(A783,A:C,3)),)</f>
        <v>0.61100000143051147</v>
      </c>
      <c r="O783">
        <f>IF(A783&lt;&gt;$K$41,MIN(O782,VLOOKUP(A783,A:D,4)),)</f>
        <v>0.58899998664855957</v>
      </c>
      <c r="P783">
        <f t="shared" si="21"/>
        <v>0.59400000174840295</v>
      </c>
      <c r="Q783">
        <f t="shared" si="23"/>
        <v>0.59814286090078816</v>
      </c>
      <c r="R783">
        <f t="shared" si="24"/>
        <v>-4.1428591523852143E-3</v>
      </c>
      <c r="S783">
        <f t="shared" si="25"/>
        <v>4.8775514777825713E-3</v>
      </c>
      <c r="T783">
        <f t="shared" si="26"/>
        <v>7.3163272166738573E-5</v>
      </c>
      <c r="U783">
        <f t="shared" si="27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22"/>
        <v>782</v>
      </c>
      <c r="I784">
        <f>SUM($F$3:F784)/H784</f>
        <v>4790874.464154412</v>
      </c>
      <c r="N784">
        <f>IF(A784&lt;&gt;$K$41,MAX(N783,VLOOKUP(A784,A:C,3)),)</f>
        <v>0.61100000143051147</v>
      </c>
      <c r="O784">
        <f>IF(A784&lt;&gt;$K$41,MIN(O783,VLOOKUP(A784,A:D,4)),)</f>
        <v>0.58899998664855957</v>
      </c>
      <c r="P784">
        <f t="shared" si="21"/>
        <v>0.5999999841054281</v>
      </c>
      <c r="Q784">
        <f t="shared" si="23"/>
        <v>0.59842857434636076</v>
      </c>
      <c r="R784">
        <f t="shared" si="24"/>
        <v>1.5714097590673326E-3</v>
      </c>
      <c r="S784">
        <f t="shared" si="25"/>
        <v>4.8571413471585013E-3</v>
      </c>
      <c r="T784">
        <f t="shared" si="26"/>
        <v>7.2857120207377524E-5</v>
      </c>
      <c r="U784">
        <f t="shared" si="27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22"/>
        <v>783</v>
      </c>
      <c r="I785">
        <f>SUM($F$3:F785)/H785</f>
        <v>4791485.8633061945</v>
      </c>
      <c r="N785">
        <f>IF(A785&lt;&gt;$K$41,MAX(N784,VLOOKUP(A785,A:C,3)),)</f>
        <v>0.61100000143051147</v>
      </c>
      <c r="O785">
        <f>IF(A785&lt;&gt;$K$41,MIN(O784,VLOOKUP(A785,A:D,4)),)</f>
        <v>0.58899998664855957</v>
      </c>
      <c r="P785">
        <f t="shared" si="21"/>
        <v>0.60166664918263757</v>
      </c>
      <c r="Q785">
        <f t="shared" si="23"/>
        <v>0.59890476294926231</v>
      </c>
      <c r="R785">
        <f t="shared" si="24"/>
        <v>2.7618862333752547E-3</v>
      </c>
      <c r="S785">
        <f t="shared" si="25"/>
        <v>4.7755079204533212E-3</v>
      </c>
      <c r="T785">
        <f t="shared" si="26"/>
        <v>7.1632618806799809E-5</v>
      </c>
      <c r="U785">
        <f t="shared" si="27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22"/>
        <v>784</v>
      </c>
      <c r="I786">
        <f>SUM($F$3:F786)/H786</f>
        <v>4788896.7231744258</v>
      </c>
      <c r="N786">
        <f>IF(A786&lt;&gt;$K$41,MAX(N785,VLOOKUP(A786,A:C,3)),)</f>
        <v>0.61699998378753662</v>
      </c>
      <c r="O786">
        <f>IF(A786&lt;&gt;$K$41,MIN(O785,VLOOKUP(A786,A:D,4)),)</f>
        <v>0.58899998664855957</v>
      </c>
      <c r="P786">
        <f t="shared" si="21"/>
        <v>0.60166664918263757</v>
      </c>
      <c r="Q786">
        <f t="shared" si="23"/>
        <v>0.59919047497567668</v>
      </c>
      <c r="R786">
        <f t="shared" si="24"/>
        <v>2.4761742069608905E-3</v>
      </c>
      <c r="S786">
        <f t="shared" si="25"/>
        <v>4.8027190626884052E-3</v>
      </c>
      <c r="T786">
        <f t="shared" si="26"/>
        <v>7.204078594032608E-5</v>
      </c>
      <c r="U786">
        <f t="shared" si="27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22"/>
        <v>785</v>
      </c>
      <c r="I787">
        <f>SUM($F$3:F787)/H787</f>
        <v>4785707.173208599</v>
      </c>
      <c r="N787">
        <f>IF(A787&lt;&gt;$K$41,MAX(N786,VLOOKUP(A787,A:C,3)),)</f>
        <v>0.61699998378753662</v>
      </c>
      <c r="O787">
        <f>IF(A787&lt;&gt;$K$41,MIN(O786,VLOOKUP(A787,A:D,4)),)</f>
        <v>0.58899998664855957</v>
      </c>
      <c r="P787">
        <f t="shared" si="21"/>
        <v>0.59633334477742517</v>
      </c>
      <c r="Q787">
        <f t="shared" si="23"/>
        <v>0.59942856998670657</v>
      </c>
      <c r="R787">
        <f t="shared" si="24"/>
        <v>-3.0952252092814048E-3</v>
      </c>
      <c r="S787">
        <f t="shared" si="25"/>
        <v>4.4965969056499399E-3</v>
      </c>
      <c r="T787">
        <f t="shared" si="26"/>
        <v>6.7448953584749096E-5</v>
      </c>
      <c r="U787">
        <f t="shared" si="27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22"/>
        <v>786</v>
      </c>
      <c r="I788">
        <f>SUM($F$3:F788)/H788</f>
        <v>4788820.4032681296</v>
      </c>
      <c r="N788">
        <f>IF(A788&lt;&gt;$K$41,MAX(N787,VLOOKUP(A788,A:C,3)),)</f>
        <v>0.61699998378753662</v>
      </c>
      <c r="O788">
        <f>IF(A788&lt;&gt;$K$41,MIN(O787,VLOOKUP(A788,A:D,4)),)</f>
        <v>0.58899998664855957</v>
      </c>
      <c r="P788">
        <f t="shared" si="21"/>
        <v>0.60000000397364295</v>
      </c>
      <c r="Q788">
        <f t="shared" si="23"/>
        <v>0.60009523658525354</v>
      </c>
      <c r="R788">
        <f t="shared" si="24"/>
        <v>-9.5232611610596152E-5</v>
      </c>
      <c r="S788">
        <f t="shared" si="25"/>
        <v>3.6530616332073724E-3</v>
      </c>
      <c r="T788">
        <f t="shared" si="26"/>
        <v>5.4795924498110587E-5</v>
      </c>
      <c r="U788">
        <f t="shared" si="27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22"/>
        <v>787</v>
      </c>
      <c r="I789">
        <f>SUM($F$3:F789)/H789</f>
        <v>4794397.1270250957</v>
      </c>
      <c r="N789">
        <f>IF(A789&lt;&gt;$K$41,MAX(N788,VLOOKUP(A789,A:C,3)),)</f>
        <v>0.61699998378753662</v>
      </c>
      <c r="O789">
        <f>IF(A789&lt;&gt;$K$41,MIN(O788,VLOOKUP(A789,A:D,4)),)</f>
        <v>0.58899998664855957</v>
      </c>
      <c r="P789">
        <f t="shared" si="21"/>
        <v>0.59899999698003137</v>
      </c>
      <c r="Q789">
        <f t="shared" si="23"/>
        <v>0.60064285567828579</v>
      </c>
      <c r="R789">
        <f t="shared" si="24"/>
        <v>-1.6428586982544235E-3</v>
      </c>
      <c r="S789">
        <f t="shared" si="25"/>
        <v>3.0272112411706526E-3</v>
      </c>
      <c r="T789">
        <f t="shared" si="26"/>
        <v>4.5408168617559785E-5</v>
      </c>
      <c r="U789">
        <f t="shared" si="27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22"/>
        <v>788</v>
      </c>
      <c r="I790">
        <f>SUM($F$3:F790)/H790</f>
        <v>4795743.4504679572</v>
      </c>
      <c r="N790">
        <f>IF(A790&lt;&gt;$K$41,MAX(N789,VLOOKUP(A790,A:C,3)),)</f>
        <v>0.61699998378753662</v>
      </c>
      <c r="O790">
        <f>IF(A790&lt;&gt;$K$41,MIN(O789,VLOOKUP(A790,A:D,4)),)</f>
        <v>0.58899998664855957</v>
      </c>
      <c r="P790">
        <f t="shared" si="21"/>
        <v>0.60233332713445031</v>
      </c>
      <c r="Q790">
        <f t="shared" si="23"/>
        <v>0.60028571174258272</v>
      </c>
      <c r="R790">
        <f t="shared" si="24"/>
        <v>2.0476153918675966E-3</v>
      </c>
      <c r="S790">
        <f t="shared" si="25"/>
        <v>2.7210878677108585E-3</v>
      </c>
      <c r="T790">
        <f t="shared" si="26"/>
        <v>4.0816318015662879E-5</v>
      </c>
      <c r="U790">
        <f t="shared" si="27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22"/>
        <v>789</v>
      </c>
      <c r="I791">
        <f>SUM($F$3:F791)/H791</f>
        <v>4803511.963205006</v>
      </c>
      <c r="N791">
        <f>IF(A791&lt;&gt;$K$41,MAX(N790,VLOOKUP(A791,A:C,3)),)</f>
        <v>0.62699997425079346</v>
      </c>
      <c r="O791">
        <f>IF(A791&lt;&gt;$K$41,MIN(O790,VLOOKUP(A791,A:D,4)),)</f>
        <v>0.58899998664855957</v>
      </c>
      <c r="P791">
        <f t="shared" si="21"/>
        <v>0.61666665474573767</v>
      </c>
      <c r="Q791">
        <f t="shared" si="23"/>
        <v>0.60142856694403146</v>
      </c>
      <c r="R791">
        <f t="shared" si="24"/>
        <v>1.5238087801706213E-2</v>
      </c>
      <c r="S791">
        <f t="shared" si="25"/>
        <v>3.7619031610942916E-3</v>
      </c>
      <c r="T791">
        <f t="shared" si="26"/>
        <v>5.6428547416414372E-5</v>
      </c>
      <c r="U791">
        <f t="shared" si="27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22"/>
        <v>790</v>
      </c>
      <c r="I792">
        <f>SUM($F$3:F792)/H792</f>
        <v>4808521.0657832278</v>
      </c>
      <c r="N792">
        <f>IF(A792&lt;&gt;$K$41,MAX(N791,VLOOKUP(A792,A:C,3)),)</f>
        <v>0.64499998092651367</v>
      </c>
      <c r="O792">
        <f>IF(A792&lt;&gt;$K$41,MIN(O791,VLOOKUP(A792,A:D,4)),)</f>
        <v>0.58899998664855957</v>
      </c>
      <c r="P792">
        <f t="shared" si="21"/>
        <v>0.63433333237965905</v>
      </c>
      <c r="Q792">
        <f t="shared" si="23"/>
        <v>0.60371428018524542</v>
      </c>
      <c r="R792">
        <f t="shared" si="24"/>
        <v>3.0619052194413632E-2</v>
      </c>
      <c r="S792">
        <f t="shared" si="25"/>
        <v>6.8299328388811142E-3</v>
      </c>
      <c r="T792">
        <f t="shared" si="26"/>
        <v>1.0244899258321672E-4</v>
      </c>
      <c r="U792">
        <f t="shared" si="27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22"/>
        <v>791</v>
      </c>
      <c r="I793">
        <f>SUM($F$3:F793)/H793</f>
        <v>4814306.2540692165</v>
      </c>
      <c r="N793">
        <f>IF(A793&lt;&gt;$K$41,MAX(N792,VLOOKUP(A793,A:C,3)),)</f>
        <v>0.65499997138977051</v>
      </c>
      <c r="O793">
        <f>IF(A793&lt;&gt;$K$41,MIN(O792,VLOOKUP(A793,A:D,4)),)</f>
        <v>0.58899998664855957</v>
      </c>
      <c r="P793">
        <f t="shared" si="21"/>
        <v>0.64533332983652747</v>
      </c>
      <c r="Q793">
        <f t="shared" si="23"/>
        <v>0.60659523237319213</v>
      </c>
      <c r="R793">
        <f t="shared" si="24"/>
        <v>3.8738097463335341E-2</v>
      </c>
      <c r="S793">
        <f t="shared" si="25"/>
        <v>1.0945578821662281E-2</v>
      </c>
      <c r="T793">
        <f t="shared" si="26"/>
        <v>1.6418368232493419E-4</v>
      </c>
      <c r="U793">
        <f t="shared" si="27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22"/>
        <v>792</v>
      </c>
      <c r="I794">
        <f>SUM($F$3:F794)/H794</f>
        <v>4815473.2916272096</v>
      </c>
      <c r="N794">
        <f>IF(A794&lt;&gt;$K$41,MAX(N793,VLOOKUP(A794,A:C,3)),)</f>
        <v>0.70099997520446777</v>
      </c>
      <c r="O794">
        <f>IF(A794&lt;&gt;$K$41,MIN(O793,VLOOKUP(A794,A:D,4)),)</f>
        <v>0.58899998664855957</v>
      </c>
      <c r="P794">
        <f t="shared" si="21"/>
        <v>0.68500000238418579</v>
      </c>
      <c r="Q794">
        <f t="shared" si="23"/>
        <v>0.61219047080902833</v>
      </c>
      <c r="R794">
        <f t="shared" si="24"/>
        <v>7.280953157515746E-2</v>
      </c>
      <c r="S794">
        <f t="shared" si="25"/>
        <v>1.8938776587142436E-2</v>
      </c>
      <c r="T794">
        <f t="shared" si="26"/>
        <v>2.8408164880713654E-4</v>
      </c>
      <c r="U794">
        <f t="shared" si="27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22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21"/>
        <v>0.74966667095820105</v>
      </c>
      <c r="Q795">
        <f t="shared" si="23"/>
        <v>0.62280951937039686</v>
      </c>
      <c r="R795">
        <f t="shared" si="24"/>
        <v>0.1268571515878042</v>
      </c>
      <c r="S795">
        <f t="shared" si="25"/>
        <v>3.1870751153855049E-2</v>
      </c>
      <c r="T795">
        <f t="shared" si="26"/>
        <v>4.7806126730782572E-4</v>
      </c>
      <c r="U795">
        <f t="shared" si="27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22"/>
        <v>794</v>
      </c>
      <c r="I796">
        <f>SUM($F$3:F796)/H796</f>
        <v>4824032.838751574</v>
      </c>
      <c r="N796">
        <f>IF(A796&lt;&gt;$K$42,MAX(N795,VLOOKUP(A796,A:C,3)),)</f>
        <v>0.84399998188018799</v>
      </c>
      <c r="O796">
        <f>IF(A796&lt;&gt;$K$42,MIN(O795,VLOOKUP(A796,A:D,4)),)</f>
        <v>0.80099999904632568</v>
      </c>
      <c r="P796">
        <f t="shared" si="21"/>
        <v>0.82966665426890052</v>
      </c>
      <c r="Q796">
        <f t="shared" si="23"/>
        <v>0.63969047154699055</v>
      </c>
      <c r="R796">
        <f t="shared" si="24"/>
        <v>0.18997618272190997</v>
      </c>
      <c r="S796">
        <f t="shared" si="25"/>
        <v>5.0129253037121811E-2</v>
      </c>
      <c r="T796">
        <f t="shared" si="26"/>
        <v>7.5193879555682719E-4</v>
      </c>
      <c r="U796">
        <f t="shared" si="27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22"/>
        <v>795</v>
      </c>
      <c r="I797">
        <f>SUM($F$3:F797)/H797</f>
        <v>4824478.0917845909</v>
      </c>
      <c r="N797">
        <f>IF(A797&lt;&gt;$K$42,MAX(N796,VLOOKUP(A797,A:C,3)),)</f>
        <v>0.87400001287460327</v>
      </c>
      <c r="O797">
        <f>IF(A797&lt;&gt;$K$42,MIN(O796,VLOOKUP(A797,A:D,4)),)</f>
        <v>0.78100001811981201</v>
      </c>
      <c r="P797">
        <f t="shared" si="21"/>
        <v>0.81433333953221643</v>
      </c>
      <c r="Q797">
        <f t="shared" si="23"/>
        <v>0.65542856710297737</v>
      </c>
      <c r="R797">
        <f t="shared" si="24"/>
        <v>0.15890477242923906</v>
      </c>
      <c r="S797">
        <f t="shared" si="25"/>
        <v>6.5278914104513627E-2</v>
      </c>
      <c r="T797">
        <f t="shared" si="26"/>
        <v>9.7918371156770429E-4</v>
      </c>
      <c r="U797">
        <f t="shared" si="27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22"/>
        <v>796</v>
      </c>
      <c r="I798">
        <f>SUM($F$3:F798)/H798</f>
        <v>4823130.0166064696</v>
      </c>
      <c r="N798">
        <f>IF(A798&lt;&gt;$K$42,MAX(N797,VLOOKUP(A798,A:C,3)),)</f>
        <v>0.87400001287460327</v>
      </c>
      <c r="O798">
        <f>IF(A798&lt;&gt;$K$42,MIN(O797,VLOOKUP(A798,A:D,4)),)</f>
        <v>0.77399998903274536</v>
      </c>
      <c r="P798">
        <f t="shared" si="21"/>
        <v>0.78966667254765832</v>
      </c>
      <c r="Q798">
        <f t="shared" si="23"/>
        <v>0.66897618770599376</v>
      </c>
      <c r="R798">
        <f t="shared" si="24"/>
        <v>0.12069048484166456</v>
      </c>
      <c r="S798">
        <f t="shared" si="25"/>
        <v>7.4778914451599149E-2</v>
      </c>
      <c r="T798">
        <f t="shared" si="26"/>
        <v>1.1216837167739872E-3</v>
      </c>
      <c r="U798">
        <f t="shared" si="27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22"/>
        <v>797</v>
      </c>
      <c r="I799">
        <f>SUM($F$3:F799)/H799</f>
        <v>4820335.1257449808</v>
      </c>
      <c r="N799">
        <f>IF(A799&lt;&gt;$K$42,MAX(N798,VLOOKUP(A799,A:C,3)),)</f>
        <v>0.87400001287460327</v>
      </c>
      <c r="O799">
        <f>IF(A799&lt;&gt;$K$42,MIN(O798,VLOOKUP(A799,A:D,4)),)</f>
        <v>0.73799997568130493</v>
      </c>
      <c r="P799">
        <f t="shared" si="21"/>
        <v>0.75733333826065063</v>
      </c>
      <c r="Q799">
        <f t="shared" si="23"/>
        <v>0.68009523692585183</v>
      </c>
      <c r="R799">
        <f t="shared" si="24"/>
        <v>7.7238101334798803E-2</v>
      </c>
      <c r="S799">
        <f t="shared" si="25"/>
        <v>7.7870750913814638E-2</v>
      </c>
      <c r="T799">
        <f t="shared" si="26"/>
        <v>1.1680612637072194E-3</v>
      </c>
      <c r="U799">
        <f t="shared" si="27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22"/>
        <v>798</v>
      </c>
      <c r="I800">
        <f>SUM($F$3:F800)/H800</f>
        <v>4815604.7559132203</v>
      </c>
      <c r="N800">
        <f>IF(A800&lt;&gt;$K$42,MAX(N799,VLOOKUP(A800,A:C,3)),)</f>
        <v>0.87400001287460327</v>
      </c>
      <c r="O800">
        <f>IF(A800&lt;&gt;$K$42,MIN(O799,VLOOKUP(A800,A:D,4)),)</f>
        <v>0.73799997568130493</v>
      </c>
      <c r="P800">
        <f t="shared" si="21"/>
        <v>0.75999999046325684</v>
      </c>
      <c r="Q800">
        <f t="shared" si="23"/>
        <v>0.69140476130303885</v>
      </c>
      <c r="R800">
        <f t="shared" si="24"/>
        <v>6.8595229160217985E-2</v>
      </c>
      <c r="S800">
        <f t="shared" si="25"/>
        <v>7.889115688752156E-2</v>
      </c>
      <c r="T800">
        <f t="shared" si="26"/>
        <v>1.1833673533128233E-3</v>
      </c>
      <c r="U800">
        <f t="shared" si="27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22"/>
        <v>799</v>
      </c>
      <c r="I801">
        <f>SUM($F$3:F801)/H801</f>
        <v>4810903.8763688989</v>
      </c>
      <c r="N801">
        <f>IF(A801&lt;&gt;$K$42,MAX(N800,VLOOKUP(A801,A:C,3)),)</f>
        <v>0.87400001287460327</v>
      </c>
      <c r="O801">
        <f>IF(A801&lt;&gt;$K$42,MIN(O800,VLOOKUP(A801,A:D,4)),)</f>
        <v>0.73799997568130493</v>
      </c>
      <c r="P801">
        <f t="shared" si="21"/>
        <v>0.76066666841506958</v>
      </c>
      <c r="Q801">
        <f t="shared" si="23"/>
        <v>0.70314285584858482</v>
      </c>
      <c r="R801">
        <f t="shared" si="24"/>
        <v>5.7523812566484755E-2</v>
      </c>
      <c r="S801">
        <f t="shared" si="25"/>
        <v>7.704762050083705E-2</v>
      </c>
      <c r="T801">
        <f t="shared" si="26"/>
        <v>1.1557143075125557E-3</v>
      </c>
      <c r="U801">
        <f t="shared" si="27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22"/>
        <v>800</v>
      </c>
      <c r="I802">
        <f>SUM($F$3:F802)/H802</f>
        <v>4806227.6215234371</v>
      </c>
      <c r="N802">
        <f>IF(A802&lt;&gt;$K$42,MAX(N801,VLOOKUP(A802,A:C,3)),)</f>
        <v>0.87400001287460327</v>
      </c>
      <c r="O802">
        <f>IF(A802&lt;&gt;$K$42,MIN(O801,VLOOKUP(A802,A:D,4)),)</f>
        <v>0.72699999809265137</v>
      </c>
      <c r="P802">
        <f t="shared" si="21"/>
        <v>0.73700000842412317</v>
      </c>
      <c r="Q802">
        <f t="shared" si="23"/>
        <v>0.71292857045219049</v>
      </c>
      <c r="R802">
        <f t="shared" si="24"/>
        <v>2.4071437971932674E-2</v>
      </c>
      <c r="S802">
        <f t="shared" si="25"/>
        <v>7.0700682750364563E-2</v>
      </c>
      <c r="T802">
        <f t="shared" si="26"/>
        <v>1.0605102412554685E-3</v>
      </c>
      <c r="U802">
        <f t="shared" si="27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22"/>
        <v>801</v>
      </c>
      <c r="I803">
        <f>SUM($F$3:F803)/H803</f>
        <v>4801569.5371020595</v>
      </c>
      <c r="N803">
        <f>IF(A803&lt;&gt;$K$42,MAX(N802,VLOOKUP(A803,A:C,3)),)</f>
        <v>0.87400001287460327</v>
      </c>
      <c r="O803">
        <f>IF(A803&lt;&gt;$K$42,MIN(O802,VLOOKUP(A803,A:D,4)),)</f>
        <v>0.72699999809265137</v>
      </c>
      <c r="P803">
        <f t="shared" si="21"/>
        <v>0.7369999885559082</v>
      </c>
      <c r="Q803">
        <f t="shared" si="23"/>
        <v>0.72278571270761038</v>
      </c>
      <c r="R803">
        <f t="shared" si="24"/>
        <v>1.4214275848297819E-2</v>
      </c>
      <c r="S803">
        <f t="shared" si="25"/>
        <v>6.1465988151070204E-2</v>
      </c>
      <c r="T803">
        <f t="shared" si="26"/>
        <v>9.21989822266053E-4</v>
      </c>
      <c r="U803">
        <f t="shared" si="27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22"/>
        <v>802</v>
      </c>
      <c r="I804">
        <f>SUM($F$3:F804)/H804</f>
        <v>4802053.8768313592</v>
      </c>
      <c r="N804">
        <f>IF(A804&lt;&gt;$K$42,MAX(N803,VLOOKUP(A804,A:C,3)),)</f>
        <v>0.87400001287460327</v>
      </c>
      <c r="O804">
        <f>IF(A804&lt;&gt;$K$42,MIN(O803,VLOOKUP(A804,A:D,4)),)</f>
        <v>0.72699999809265137</v>
      </c>
      <c r="P804">
        <f t="shared" si="21"/>
        <v>0.768666664759318</v>
      </c>
      <c r="Q804">
        <f t="shared" si="23"/>
        <v>0.73466666539510084</v>
      </c>
      <c r="R804">
        <f t="shared" si="24"/>
        <v>3.3999999364217159E-2</v>
      </c>
      <c r="S804">
        <f t="shared" si="25"/>
        <v>5.104762031918484E-2</v>
      </c>
      <c r="T804">
        <f t="shared" si="26"/>
        <v>7.6571430478777262E-4</v>
      </c>
      <c r="U804">
        <f t="shared" si="27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22"/>
        <v>803</v>
      </c>
      <c r="I805">
        <f>SUM($F$3:F805)/H805</f>
        <v>4798148.2093321914</v>
      </c>
      <c r="N805">
        <f>IF(A805&lt;&gt;$K$42,MAX(N804,VLOOKUP(A805,A:C,3)),)</f>
        <v>0.87400001287460327</v>
      </c>
      <c r="O805">
        <f>IF(A805&lt;&gt;$K$42,MIN(O804,VLOOKUP(A805,A:D,4)),)</f>
        <v>0.72699999809265137</v>
      </c>
      <c r="P805">
        <f t="shared" si="21"/>
        <v>0.79266667366027832</v>
      </c>
      <c r="Q805">
        <f t="shared" si="23"/>
        <v>0.74723809531756802</v>
      </c>
      <c r="R805">
        <f t="shared" si="24"/>
        <v>4.5428578342710302E-2</v>
      </c>
      <c r="S805">
        <f t="shared" si="25"/>
        <v>4.2503402143919566E-2</v>
      </c>
      <c r="T805">
        <f t="shared" si="26"/>
        <v>6.3755103215879351E-4</v>
      </c>
      <c r="U805">
        <f t="shared" si="27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22"/>
        <v>804</v>
      </c>
      <c r="I806">
        <f>SUM($F$3:F806)/H806</f>
        <v>4794578.7499611322</v>
      </c>
      <c r="N806">
        <f>IF(A806&lt;&gt;$K$42,MAX(N805,VLOOKUP(A806,A:C,3)),)</f>
        <v>0.87400001287460327</v>
      </c>
      <c r="O806">
        <f>IF(A806&lt;&gt;$K$42,MIN(O805,VLOOKUP(A806,A:D,4)),)</f>
        <v>0.72699999809265137</v>
      </c>
      <c r="P806">
        <f t="shared" si="21"/>
        <v>0.78400001923243201</v>
      </c>
      <c r="Q806">
        <f t="shared" si="23"/>
        <v>0.7579285729499089</v>
      </c>
      <c r="R806">
        <f t="shared" si="24"/>
        <v>2.6071446282523114E-2</v>
      </c>
      <c r="S806">
        <f t="shared" si="25"/>
        <v>3.3748299897122566E-2</v>
      </c>
      <c r="T806">
        <f t="shared" si="26"/>
        <v>5.0622449845683852E-4</v>
      </c>
      <c r="U806">
        <f t="shared" si="27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22"/>
        <v>805</v>
      </c>
      <c r="I807">
        <f>SUM($F$3:F807)/H807</f>
        <v>4791043.2496506209</v>
      </c>
      <c r="N807">
        <f>IF(A807&lt;&gt;$K$42,MAX(N806,VLOOKUP(A807,A:C,3)),)</f>
        <v>0.87400001287460327</v>
      </c>
      <c r="O807">
        <f>IF(A807&lt;&gt;$K$42,MIN(O806,VLOOKUP(A807,A:D,4)),)</f>
        <v>0.72699999809265137</v>
      </c>
      <c r="P807">
        <f t="shared" si="21"/>
        <v>0.78666667143503821</v>
      </c>
      <c r="Q807">
        <f t="shared" si="23"/>
        <v>0.76802381163551681</v>
      </c>
      <c r="R807">
        <f t="shared" si="24"/>
        <v>1.8642859799521405E-2</v>
      </c>
      <c r="S807">
        <f t="shared" si="25"/>
        <v>2.7071430569603323E-2</v>
      </c>
      <c r="T807">
        <f t="shared" si="26"/>
        <v>4.0607145854404983E-4</v>
      </c>
      <c r="U807">
        <f t="shared" si="27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22"/>
        <v>806</v>
      </c>
      <c r="I808">
        <f>SUM($F$3:F808)/H808</f>
        <v>4788949.1513259923</v>
      </c>
      <c r="N808">
        <f>IF(A808&lt;&gt;$K$42,MAX(N807,VLOOKUP(A808,A:C,3)),)</f>
        <v>0.87400001287460327</v>
      </c>
      <c r="O808">
        <f>IF(A808&lt;&gt;$K$42,MIN(O807,VLOOKUP(A808,A:D,4)),)</f>
        <v>0.72699999809265137</v>
      </c>
      <c r="P808">
        <f t="shared" si="21"/>
        <v>0.77966668208440149</v>
      </c>
      <c r="Q808">
        <f t="shared" si="23"/>
        <v>0.77478571732838941</v>
      </c>
      <c r="R808">
        <f t="shared" si="24"/>
        <v>4.8809647560120739E-3</v>
      </c>
      <c r="S808">
        <f t="shared" si="25"/>
        <v>2.1880955923171273E-2</v>
      </c>
      <c r="T808">
        <f t="shared" si="26"/>
        <v>3.282143388475691E-4</v>
      </c>
      <c r="U808">
        <f t="shared" si="27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22"/>
        <v>807</v>
      </c>
      <c r="I809">
        <f>SUM($F$3:F809)/H809</f>
        <v>4787445.0027493807</v>
      </c>
      <c r="N809">
        <f>IF(A809&lt;&gt;$K$42,MAX(N808,VLOOKUP(A809,A:C,3)),)</f>
        <v>0.87400001287460327</v>
      </c>
      <c r="O809">
        <f>IF(A809&lt;&gt;$K$42,MIN(O808,VLOOKUP(A809,A:D,4)),)</f>
        <v>0.72699999809265137</v>
      </c>
      <c r="P809">
        <f t="shared" si="21"/>
        <v>0.79300002257029212</v>
      </c>
      <c r="Q809">
        <f t="shared" si="23"/>
        <v>0.77788095672925306</v>
      </c>
      <c r="R809">
        <f t="shared" si="24"/>
        <v>1.5119065841039059E-2</v>
      </c>
      <c r="S809">
        <f t="shared" si="25"/>
        <v>2.094558307102749E-2</v>
      </c>
      <c r="T809">
        <f t="shared" si="26"/>
        <v>3.1418374606541235E-4</v>
      </c>
      <c r="U809">
        <f t="shared" si="27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22"/>
        <v>808</v>
      </c>
      <c r="I810">
        <f>SUM($F$3:F810)/H810</f>
        <v>4785359.5510133049</v>
      </c>
      <c r="N810">
        <f>IF(A810&lt;&gt;$K$42,MAX(N809,VLOOKUP(A810,A:C,3)),)</f>
        <v>0.87400001287460327</v>
      </c>
      <c r="O810">
        <f>IF(A810&lt;&gt;$K$42,MIN(O809,VLOOKUP(A810,A:D,4)),)</f>
        <v>0.72699999809265137</v>
      </c>
      <c r="P810">
        <f t="shared" si="21"/>
        <v>0.79000002145767212</v>
      </c>
      <c r="Q810">
        <f t="shared" si="23"/>
        <v>0.77504762581416542</v>
      </c>
      <c r="R810">
        <f t="shared" si="24"/>
        <v>1.49523956435067E-2</v>
      </c>
      <c r="S810">
        <f t="shared" si="25"/>
        <v>1.8517013715237982E-2</v>
      </c>
      <c r="T810">
        <f t="shared" si="26"/>
        <v>2.7775520572856973E-4</v>
      </c>
      <c r="U810">
        <f t="shared" si="27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22"/>
        <v>809</v>
      </c>
      <c r="I811">
        <f>SUM($F$3:F811)/H811</f>
        <v>4782368.6294422122</v>
      </c>
      <c r="N811">
        <f>IF(A811&lt;&gt;$K$42,MAX(N810,VLOOKUP(A811,A:C,3)),)</f>
        <v>0.87400001287460327</v>
      </c>
      <c r="O811">
        <f>IF(A811&lt;&gt;$K$42,MIN(O810,VLOOKUP(A811,A:D,4)),)</f>
        <v>0.72699999809265137</v>
      </c>
      <c r="P811">
        <f t="shared" si="21"/>
        <v>0.78766665856043494</v>
      </c>
      <c r="Q811">
        <f t="shared" si="23"/>
        <v>0.77314286288760958</v>
      </c>
      <c r="R811">
        <f t="shared" si="24"/>
        <v>1.4523795672825357E-2</v>
      </c>
      <c r="S811">
        <f t="shared" si="25"/>
        <v>1.6884359778190139E-2</v>
      </c>
      <c r="T811">
        <f t="shared" si="26"/>
        <v>2.5326539667285209E-4</v>
      </c>
      <c r="U811">
        <f t="shared" si="27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22"/>
        <v>810</v>
      </c>
      <c r="I812">
        <f>SUM($F$3:F812)/H812</f>
        <v>4782790.7669367287</v>
      </c>
      <c r="N812">
        <f>IF(A812&lt;&gt;$K$42,MAX(N811,VLOOKUP(A812,A:C,3)),)</f>
        <v>0.87400001287460327</v>
      </c>
      <c r="O812">
        <f>IF(A812&lt;&gt;$K$42,MIN(O811,VLOOKUP(A812,A:D,4)),)</f>
        <v>0.72699999809265137</v>
      </c>
      <c r="P812">
        <f t="shared" si="21"/>
        <v>0.77933333317438758</v>
      </c>
      <c r="Q812">
        <f t="shared" si="23"/>
        <v>0.77240476721809015</v>
      </c>
      <c r="R812">
        <f t="shared" si="24"/>
        <v>6.9285659562974278E-3</v>
      </c>
      <c r="S812">
        <f t="shared" si="25"/>
        <v>1.6251706347173576E-2</v>
      </c>
      <c r="T812">
        <f t="shared" si="26"/>
        <v>2.4377559520760364E-4</v>
      </c>
      <c r="U812">
        <f t="shared" si="27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22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21"/>
        <v>0.77733333905537927</v>
      </c>
      <c r="Q813">
        <f t="shared" si="23"/>
        <v>0.77383333870342796</v>
      </c>
      <c r="R813">
        <f t="shared" si="24"/>
        <v>3.5000003519513045E-3</v>
      </c>
      <c r="S813">
        <f t="shared" si="25"/>
        <v>1.511905327135203E-2</v>
      </c>
      <c r="T813">
        <f t="shared" si="26"/>
        <v>2.2678579907028045E-4</v>
      </c>
      <c r="U813">
        <f t="shared" si="27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22"/>
        <v>812</v>
      </c>
      <c r="I814">
        <f>SUM($F$3:F814)/H814</f>
        <v>4779101.6357373772</v>
      </c>
      <c r="N814">
        <f>IF(A814&lt;&gt;$K$43,MAX(N813,VLOOKUP(A814,A:C,3)),)</f>
        <v>0.77799999713897705</v>
      </c>
      <c r="O814">
        <f>IF(A814&lt;&gt;$K$43,MIN(O813,VLOOKUP(A814,A:D,4)),)</f>
        <v>0.76499998569488525</v>
      </c>
      <c r="P814">
        <f t="shared" si="21"/>
        <v>0.76933332284291589</v>
      </c>
      <c r="Q814">
        <f t="shared" si="23"/>
        <v>0.77450000530197516</v>
      </c>
      <c r="R814">
        <f t="shared" si="24"/>
        <v>-5.1666824590592686E-3</v>
      </c>
      <c r="S814">
        <f t="shared" si="25"/>
        <v>1.426191050179147E-2</v>
      </c>
      <c r="T814">
        <f t="shared" si="26"/>
        <v>2.1392865752687204E-4</v>
      </c>
      <c r="U814">
        <f t="shared" si="27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22"/>
        <v>813</v>
      </c>
      <c r="I815">
        <f>SUM($F$3:F815)/H815</f>
        <v>4776609.6288053505</v>
      </c>
      <c r="N815">
        <f>IF(A815&lt;&gt;$K$43,MAX(N814,VLOOKUP(A815,A:C,3)),)</f>
        <v>0.78200000524520874</v>
      </c>
      <c r="O815">
        <f>IF(A815&lt;&gt;$K$43,MIN(O814,VLOOKUP(A815,A:D,4)),)</f>
        <v>0.76200002431869507</v>
      </c>
      <c r="P815">
        <f t="shared" si="21"/>
        <v>0.77533334493637085</v>
      </c>
      <c r="Q815">
        <f t="shared" si="23"/>
        <v>0.77554762505349661</v>
      </c>
      <c r="R815">
        <f t="shared" si="24"/>
        <v>-2.1428011712576467E-4</v>
      </c>
      <c r="S815">
        <f t="shared" si="25"/>
        <v>1.291497082126382E-2</v>
      </c>
      <c r="T815">
        <f t="shared" si="26"/>
        <v>1.9372456231895731E-4</v>
      </c>
      <c r="U815">
        <f t="shared" si="27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22"/>
        <v>814</v>
      </c>
      <c r="I816">
        <f>SUM($F$3:F816)/H816</f>
        <v>4775891.6894579241</v>
      </c>
      <c r="N816">
        <f>IF(A816&lt;&gt;$K$43,MAX(N815,VLOOKUP(A816,A:C,3)),)</f>
        <v>0.80800002813339233</v>
      </c>
      <c r="O816">
        <f>IF(A816&lt;&gt;$K$43,MIN(O815,VLOOKUP(A816,A:D,4)),)</f>
        <v>0.76200002431869507</v>
      </c>
      <c r="P816">
        <f t="shared" si="21"/>
        <v>0.79833332697550452</v>
      </c>
      <c r="Q816">
        <f t="shared" si="23"/>
        <v>0.77992857637859536</v>
      </c>
      <c r="R816">
        <f t="shared" si="24"/>
        <v>1.8404750596909158E-2</v>
      </c>
      <c r="S816">
        <f t="shared" si="25"/>
        <v>1.0404765605926498E-2</v>
      </c>
      <c r="T816">
        <f t="shared" si="26"/>
        <v>1.5607148408889747E-4</v>
      </c>
      <c r="U816">
        <f t="shared" si="27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22"/>
        <v>815</v>
      </c>
      <c r="I817">
        <f>SUM($F$3:F817)/H817</f>
        <v>4775533.3278757669</v>
      </c>
      <c r="N817">
        <f>IF(A817&lt;&gt;$K$43,MAX(N816,VLOOKUP(A817,A:C,3)),)</f>
        <v>0.82400000095367432</v>
      </c>
      <c r="O817">
        <f>IF(A817&lt;&gt;$K$43,MIN(O816,VLOOKUP(A817,A:D,4)),)</f>
        <v>0.76200002431869507</v>
      </c>
      <c r="P817">
        <f t="shared" si="21"/>
        <v>0.80666667222976685</v>
      </c>
      <c r="Q817">
        <f t="shared" si="23"/>
        <v>0.78490476806958509</v>
      </c>
      <c r="R817">
        <f t="shared" si="24"/>
        <v>2.1761904160181755E-2</v>
      </c>
      <c r="S817">
        <f t="shared" si="25"/>
        <v>8.6666672002701419E-3</v>
      </c>
      <c r="T817">
        <f t="shared" si="26"/>
        <v>1.3000000800405214E-4</v>
      </c>
      <c r="U817">
        <f t="shared" si="27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22"/>
        <v>816</v>
      </c>
      <c r="I818">
        <f>SUM($F$3:F818)/H818</f>
        <v>4772108.7772288602</v>
      </c>
      <c r="N818">
        <f>IF(A818&lt;&gt;$K$43,MAX(N817,VLOOKUP(A818,A:C,3)),)</f>
        <v>0.82400000095367432</v>
      </c>
      <c r="O818">
        <f>IF(A818&lt;&gt;$K$43,MIN(O817,VLOOKUP(A818,A:D,4)),)</f>
        <v>0.76200002431869507</v>
      </c>
      <c r="P818">
        <f t="shared" si="21"/>
        <v>0.80566668510437012</v>
      </c>
      <c r="Q818">
        <f t="shared" si="23"/>
        <v>0.78754762666566014</v>
      </c>
      <c r="R818">
        <f t="shared" si="24"/>
        <v>1.8119058438709978E-2</v>
      </c>
      <c r="S818">
        <f t="shared" si="25"/>
        <v>8.738096271242406E-3</v>
      </c>
      <c r="T818">
        <f t="shared" si="26"/>
        <v>1.3107144406863608E-4</v>
      </c>
      <c r="U818">
        <f t="shared" si="27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22"/>
        <v>817</v>
      </c>
      <c r="I819">
        <f>SUM($F$3:F819)/H819</f>
        <v>4771452.3405370256</v>
      </c>
      <c r="N819">
        <f>IF(A819&lt;&gt;$K$43,MAX(N818,VLOOKUP(A819,A:C,3)),)</f>
        <v>0.82899999618530273</v>
      </c>
      <c r="O819">
        <f>IF(A819&lt;&gt;$K$43,MIN(O818,VLOOKUP(A819,A:D,4)),)</f>
        <v>0.76200002431869507</v>
      </c>
      <c r="P819">
        <f t="shared" si="21"/>
        <v>0.81799999872843421</v>
      </c>
      <c r="Q819">
        <f t="shared" si="23"/>
        <v>0.78935714988481431</v>
      </c>
      <c r="R819">
        <f t="shared" si="24"/>
        <v>2.8642848843619895E-2</v>
      </c>
      <c r="S819">
        <f t="shared" si="25"/>
        <v>1.0789118251022023E-2</v>
      </c>
      <c r="T819">
        <f t="shared" si="26"/>
        <v>1.6183677376533035E-4</v>
      </c>
      <c r="U819">
        <f t="shared" si="27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22"/>
        <v>818</v>
      </c>
      <c r="I820">
        <f>SUM($F$3:F820)/H820</f>
        <v>4773646.5430547064</v>
      </c>
      <c r="N820">
        <f>IF(A820&lt;&gt;$K$43,MAX(N819,VLOOKUP(A820,A:C,3)),)</f>
        <v>0.84200000762939453</v>
      </c>
      <c r="O820">
        <f>IF(A820&lt;&gt;$K$43,MIN(O819,VLOOKUP(A820,A:D,4)),)</f>
        <v>0.76200002431869507</v>
      </c>
      <c r="P820">
        <f t="shared" si="21"/>
        <v>0.83033335208892822</v>
      </c>
      <c r="Q820">
        <f t="shared" si="23"/>
        <v>0.79266667366027821</v>
      </c>
      <c r="R820">
        <f t="shared" si="24"/>
        <v>3.7666678428650013E-2</v>
      </c>
      <c r="S820">
        <f t="shared" si="25"/>
        <v>1.3714287962232294E-2</v>
      </c>
      <c r="T820">
        <f t="shared" si="26"/>
        <v>2.057143194334844E-4</v>
      </c>
      <c r="U820">
        <f t="shared" si="27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22"/>
        <v>819</v>
      </c>
      <c r="I821">
        <f>SUM($F$3:F821)/H821</f>
        <v>4774067.6119887056</v>
      </c>
      <c r="N821">
        <f>IF(A821&lt;&gt;$K$43,MAX(N820,VLOOKUP(A821,A:C,3)),)</f>
        <v>0.85500001907348633</v>
      </c>
      <c r="O821">
        <f>IF(A821&lt;&gt;$K$43,MIN(O820,VLOOKUP(A821,A:D,4)),)</f>
        <v>0.76200002431869507</v>
      </c>
      <c r="P821">
        <f t="shared" si="21"/>
        <v>0.84033334255218506</v>
      </c>
      <c r="Q821">
        <f t="shared" si="23"/>
        <v>0.79650000731150306</v>
      </c>
      <c r="R821">
        <f t="shared" si="24"/>
        <v>4.3833335240682003E-2</v>
      </c>
      <c r="S821">
        <f t="shared" si="25"/>
        <v>1.7190476258595773E-2</v>
      </c>
      <c r="T821">
        <f t="shared" si="26"/>
        <v>2.578571438789366E-4</v>
      </c>
      <c r="U821">
        <f t="shared" si="27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22"/>
        <v>820</v>
      </c>
      <c r="I822">
        <f>SUM($F$3:F822)/H822</f>
        <v>4773063.1408155486</v>
      </c>
      <c r="N822">
        <f>IF(A822&lt;&gt;$K$43,MAX(N821,VLOOKUP(A822,A:C,3)),)</f>
        <v>0.85500001907348633</v>
      </c>
      <c r="O822">
        <f>IF(A822&lt;&gt;$K$43,MIN(O821,VLOOKUP(A822,A:D,4)),)</f>
        <v>0.76200002431869507</v>
      </c>
      <c r="P822">
        <f t="shared" si="21"/>
        <v>0.84066667159398401</v>
      </c>
      <c r="Q822">
        <f t="shared" si="23"/>
        <v>0.80085714941933051</v>
      </c>
      <c r="R822">
        <f t="shared" si="24"/>
        <v>3.98095221746535E-2</v>
      </c>
      <c r="S822">
        <f t="shared" si="25"/>
        <v>1.9503403683098015E-2</v>
      </c>
      <c r="T822">
        <f t="shared" si="26"/>
        <v>2.9255105524647021E-4</v>
      </c>
      <c r="U822">
        <f t="shared" si="27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22"/>
        <v>821</v>
      </c>
      <c r="I823">
        <f>SUM($F$3:F823)/H823</f>
        <v>4770340.5304126069</v>
      </c>
      <c r="N823">
        <f>IF(A823&lt;&gt;$K$43,MAX(N822,VLOOKUP(A823,A:C,3)),)</f>
        <v>0.85500001907348633</v>
      </c>
      <c r="O823">
        <f>IF(A823&lt;&gt;$K$43,MIN(O822,VLOOKUP(A823,A:D,4)),)</f>
        <v>0.76200002431869507</v>
      </c>
      <c r="P823">
        <f t="shared" si="21"/>
        <v>0.8290000160535177</v>
      </c>
      <c r="Q823">
        <f t="shared" si="23"/>
        <v>0.80342857752527519</v>
      </c>
      <c r="R823">
        <f t="shared" si="24"/>
        <v>2.5571438528242507E-2</v>
      </c>
      <c r="S823">
        <f t="shared" si="25"/>
        <v>2.0952385096322929E-2</v>
      </c>
      <c r="T823">
        <f t="shared" si="26"/>
        <v>3.1428577644484394E-4</v>
      </c>
      <c r="U823">
        <f t="shared" si="27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22"/>
        <v>822</v>
      </c>
      <c r="I824">
        <f>SUM($F$3:F824)/H824</f>
        <v>4767749.6051931269</v>
      </c>
      <c r="N824">
        <f>IF(A824&lt;&gt;$K$43,MAX(N823,VLOOKUP(A824,A:C,3)),)</f>
        <v>0.85500001907348633</v>
      </c>
      <c r="O824">
        <f>IF(A824&lt;&gt;$K$43,MIN(O823,VLOOKUP(A824,A:D,4)),)</f>
        <v>0.76200002431869507</v>
      </c>
      <c r="P824">
        <f t="shared" si="21"/>
        <v>0.80833333730697632</v>
      </c>
      <c r="Q824">
        <f t="shared" si="23"/>
        <v>0.80473810008593982</v>
      </c>
      <c r="R824">
        <f t="shared" si="24"/>
        <v>3.5952372210364958E-3</v>
      </c>
      <c r="S824">
        <f t="shared" si="25"/>
        <v>2.0156467852949271E-2</v>
      </c>
      <c r="T824">
        <f t="shared" si="26"/>
        <v>3.0234701779423907E-4</v>
      </c>
      <c r="U824">
        <f t="shared" si="27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22"/>
        <v>823</v>
      </c>
      <c r="I825">
        <f>SUM($F$3:F825)/H825</f>
        <v>4767889.2776047997</v>
      </c>
      <c r="N825">
        <f>IF(A825&lt;&gt;$K$43,MAX(N824,VLOOKUP(A825,A:C,3)),)</f>
        <v>0.85500001907348633</v>
      </c>
      <c r="O825">
        <f>IF(A825&lt;&gt;$K$43,MIN(O824,VLOOKUP(A825,A:D,4)),)</f>
        <v>0.76200002431869507</v>
      </c>
      <c r="P825">
        <f t="shared" si="21"/>
        <v>0.79400000969568885</v>
      </c>
      <c r="Q825">
        <f t="shared" si="23"/>
        <v>0.80519048230988655</v>
      </c>
      <c r="R825">
        <f t="shared" si="24"/>
        <v>-1.11904726141977E-2</v>
      </c>
      <c r="S825">
        <f t="shared" si="25"/>
        <v>1.9639459597010172E-2</v>
      </c>
      <c r="T825">
        <f t="shared" si="26"/>
        <v>2.9459189395515255E-4</v>
      </c>
      <c r="U825">
        <f t="shared" si="27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22"/>
        <v>824</v>
      </c>
      <c r="I826">
        <f>SUM($F$3:F826)/H826</f>
        <v>4765786.2566368328</v>
      </c>
      <c r="N826">
        <f>IF(A826&lt;&gt;$K$43,MAX(N825,VLOOKUP(A826,A:C,3)),)</f>
        <v>0.85500001907348633</v>
      </c>
      <c r="O826">
        <f>IF(A826&lt;&gt;$K$43,MIN(O825,VLOOKUP(A826,A:D,4)),)</f>
        <v>0.76200002431869507</v>
      </c>
      <c r="P826">
        <f t="shared" si="21"/>
        <v>0.78966665267944336</v>
      </c>
      <c r="Q826">
        <f t="shared" si="23"/>
        <v>0.80592857656024752</v>
      </c>
      <c r="R826">
        <f t="shared" si="24"/>
        <v>-1.6261923880804163E-2</v>
      </c>
      <c r="S826">
        <f t="shared" si="25"/>
        <v>1.8833336376008536E-2</v>
      </c>
      <c r="T826">
        <f t="shared" si="26"/>
        <v>2.8250004564012805E-4</v>
      </c>
      <c r="U826">
        <f t="shared" si="27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22"/>
        <v>825</v>
      </c>
      <c r="I827">
        <f>SUM($F$3:F827)/H827</f>
        <v>4761483.6417803029</v>
      </c>
      <c r="N827">
        <f>IF(A827&lt;&gt;$K$43,MAX(N826,VLOOKUP(A827,A:C,3)),)</f>
        <v>0.85500001907348633</v>
      </c>
      <c r="O827">
        <f>IF(A827&lt;&gt;$K$43,MIN(O826,VLOOKUP(A827,A:D,4)),)</f>
        <v>0.76200002431869507</v>
      </c>
      <c r="P827">
        <f t="shared" si="21"/>
        <v>0.80099999904632568</v>
      </c>
      <c r="Q827">
        <f t="shared" si="23"/>
        <v>0.80761905227388653</v>
      </c>
      <c r="R827">
        <f t="shared" si="24"/>
        <v>-6.6190532275608449E-3</v>
      </c>
      <c r="S827">
        <f t="shared" si="25"/>
        <v>1.7278914954386604E-2</v>
      </c>
      <c r="T827">
        <f t="shared" si="26"/>
        <v>2.5918372431579903E-4</v>
      </c>
      <c r="U827">
        <f t="shared" si="27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22"/>
        <v>826</v>
      </c>
      <c r="I828">
        <f>SUM($F$3:F828)/H828</f>
        <v>4759410.2959670098</v>
      </c>
      <c r="N828">
        <f>IF(A828&lt;&gt;$K$43,MAX(N827,VLOOKUP(A828,A:C,3)),)</f>
        <v>0.85500001907348633</v>
      </c>
      <c r="O828">
        <f>IF(A828&lt;&gt;$K$43,MIN(O827,VLOOKUP(A828,A:D,4)),)</f>
        <v>0.76200002431869507</v>
      </c>
      <c r="P828">
        <f t="shared" si="21"/>
        <v>0.80133332808812463</v>
      </c>
      <c r="Q828">
        <f t="shared" si="23"/>
        <v>0.80990476693425861</v>
      </c>
      <c r="R828">
        <f t="shared" si="24"/>
        <v>-8.571438846133983E-3</v>
      </c>
      <c r="S828">
        <f t="shared" si="25"/>
        <v>1.5544220906536605E-2</v>
      </c>
      <c r="T828">
        <f t="shared" si="26"/>
        <v>2.3316331359804908E-4</v>
      </c>
      <c r="U828">
        <f t="shared" si="27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22"/>
        <v>827</v>
      </c>
      <c r="I829">
        <f>SUM($F$3:F829)/H829</f>
        <v>4759045.7200347641</v>
      </c>
      <c r="N829">
        <f>IF(A829&lt;&gt;$K$43,MAX(N828,VLOOKUP(A829,A:C,3)),)</f>
        <v>0.85500001907348633</v>
      </c>
      <c r="O829">
        <f>IF(A829&lt;&gt;$K$43,MIN(O828,VLOOKUP(A829,A:D,4)),)</f>
        <v>0.76200002431869507</v>
      </c>
      <c r="P829">
        <f t="shared" si="21"/>
        <v>0.78299999237060547</v>
      </c>
      <c r="Q829">
        <f t="shared" si="23"/>
        <v>0.81045238460813251</v>
      </c>
      <c r="R829">
        <f t="shared" si="24"/>
        <v>-2.7452392237527046E-2</v>
      </c>
      <c r="S829">
        <f t="shared" si="25"/>
        <v>1.5153065425198104E-2</v>
      </c>
      <c r="T829">
        <f t="shared" si="26"/>
        <v>2.2729598137797156E-4</v>
      </c>
      <c r="U829">
        <f t="shared" si="27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22"/>
        <v>828</v>
      </c>
      <c r="I830">
        <f>SUM($F$3:F830)/H830</f>
        <v>4754762.4764115335</v>
      </c>
      <c r="N830">
        <f>IF(A830&lt;&gt;$K$43,MAX(N829,VLOOKUP(A830,A:C,3)),)</f>
        <v>0.85500001907348633</v>
      </c>
      <c r="O830">
        <f>IF(A830&lt;&gt;$K$43,MIN(O829,VLOOKUP(A830,A:D,4)),)</f>
        <v>0.76200002431869507</v>
      </c>
      <c r="P830">
        <f t="shared" si="21"/>
        <v>0.77366665999094641</v>
      </c>
      <c r="Q830">
        <f t="shared" si="23"/>
        <v>0.80869047982352116</v>
      </c>
      <c r="R830">
        <f t="shared" si="24"/>
        <v>-3.5023819832574743E-2</v>
      </c>
      <c r="S830">
        <f t="shared" si="25"/>
        <v>1.6411568842777582E-2</v>
      </c>
      <c r="T830">
        <f t="shared" si="26"/>
        <v>2.4617353264166372E-4</v>
      </c>
      <c r="U830">
        <f t="shared" si="27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22"/>
        <v>829</v>
      </c>
      <c r="I831">
        <f>SUM($F$3:F831)/H831</f>
        <v>4751448.7701673703</v>
      </c>
      <c r="N831">
        <f>IF(A831&lt;&gt;$K$43,MAX(N830,VLOOKUP(A831,A:C,3)),)</f>
        <v>0.85500001907348633</v>
      </c>
      <c r="O831">
        <f>IF(A831&lt;&gt;$K$43,MIN(O830,VLOOKUP(A831,A:D,4)),)</f>
        <v>0.76200002431869507</v>
      </c>
      <c r="P831">
        <f t="shared" si="21"/>
        <v>0.76766665776570642</v>
      </c>
      <c r="Q831">
        <f t="shared" si="23"/>
        <v>0.80590476450465975</v>
      </c>
      <c r="R831">
        <f t="shared" si="24"/>
        <v>-3.8238106738953337E-2</v>
      </c>
      <c r="S831">
        <f t="shared" si="25"/>
        <v>1.8748304470866721E-2</v>
      </c>
      <c r="T831">
        <f t="shared" si="26"/>
        <v>2.8122456706300078E-4</v>
      </c>
      <c r="U831">
        <f t="shared" si="27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22"/>
        <v>830</v>
      </c>
      <c r="I832">
        <f>SUM($F$3:F832)/H832</f>
        <v>4749689.5547816269</v>
      </c>
      <c r="N832">
        <f>IF(A832&lt;&gt;$K$43,MAX(N831,VLOOKUP(A832,A:C,3)),)</f>
        <v>0.85500001907348633</v>
      </c>
      <c r="O832">
        <f>IF(A832&lt;&gt;$K$43,MIN(O831,VLOOKUP(A832,A:D,4)),)</f>
        <v>0.75300002098083496</v>
      </c>
      <c r="P832">
        <f t="shared" ref="P832:P1086" si="28">(C832+D832+E832)/3</f>
        <v>0.76966667175292969</v>
      </c>
      <c r="Q832">
        <f t="shared" si="23"/>
        <v>0.80333333497955695</v>
      </c>
      <c r="R832">
        <f t="shared" si="24"/>
        <v>-3.3666663226627258E-2</v>
      </c>
      <c r="S832">
        <f t="shared" si="25"/>
        <v>2.095238692095492E-2</v>
      </c>
      <c r="T832">
        <f t="shared" si="26"/>
        <v>3.1428580381432378E-4</v>
      </c>
      <c r="U832">
        <f t="shared" si="27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22"/>
        <v>831</v>
      </c>
      <c r="I833">
        <f>SUM($F$3:F833)/H833</f>
        <v>4746812.3146435022</v>
      </c>
      <c r="N833">
        <f>IF(A833&lt;&gt;$K$43,MAX(N832,VLOOKUP(A833,A:C,3)),)</f>
        <v>0.85500001907348633</v>
      </c>
      <c r="O833">
        <f>IF(A833&lt;&gt;$K$43,MIN(O832,VLOOKUP(A833,A:D,4)),)</f>
        <v>0.75300002098083496</v>
      </c>
      <c r="P833">
        <f t="shared" si="28"/>
        <v>0.76999998092651367</v>
      </c>
      <c r="Q833">
        <f t="shared" si="23"/>
        <v>0.79990476227941976</v>
      </c>
      <c r="R833">
        <f t="shared" si="24"/>
        <v>-2.9904781352906085E-2</v>
      </c>
      <c r="S833">
        <f t="shared" si="25"/>
        <v>2.1666672967729124E-2</v>
      </c>
      <c r="T833">
        <f t="shared" si="26"/>
        <v>3.2500009451593684E-4</v>
      </c>
      <c r="U833">
        <f t="shared" si="27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29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28"/>
        <v>0.77799999713897705</v>
      </c>
      <c r="Q834">
        <f t="shared" si="23"/>
        <v>0.79616666549728043</v>
      </c>
      <c r="R834">
        <f t="shared" si="24"/>
        <v>-1.8166668358303384E-2</v>
      </c>
      <c r="S834">
        <f t="shared" si="25"/>
        <v>2.052381452249024E-2</v>
      </c>
      <c r="T834">
        <f t="shared" si="26"/>
        <v>3.078572178373536E-4</v>
      </c>
      <c r="U834">
        <f t="shared" si="27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29"/>
        <v>833</v>
      </c>
      <c r="I835">
        <f>SUM($F$3:F835)/H835</f>
        <v>4739929.214248199</v>
      </c>
      <c r="N835">
        <f>IF(A835&lt;&gt;$K$44,MAX(N834,VLOOKUP(A835,A:C,3)),)</f>
        <v>0.7929999828338623</v>
      </c>
      <c r="O835">
        <f>IF(A835&lt;&gt;$K$44,MIN(O834,VLOOKUP(A835,A:D,4)),)</f>
        <v>0.77600002288818359</v>
      </c>
      <c r="P835">
        <f t="shared" si="28"/>
        <v>0.78566666444142663</v>
      </c>
      <c r="Q835">
        <f t="shared" si="23"/>
        <v>0.79226190277508335</v>
      </c>
      <c r="R835">
        <f t="shared" si="24"/>
        <v>-6.5952383336567166E-3</v>
      </c>
      <c r="S835">
        <f t="shared" si="25"/>
        <v>1.7251706447731083E-2</v>
      </c>
      <c r="T835">
        <f t="shared" si="26"/>
        <v>2.5877559671596623E-4</v>
      </c>
      <c r="U835">
        <f t="shared" si="27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29"/>
        <v>834</v>
      </c>
      <c r="I836">
        <f>SUM($F$3:F836)/H836</f>
        <v>4738905.085394185</v>
      </c>
      <c r="N836">
        <f>IF(A836&lt;&gt;$K$44,MAX(N835,VLOOKUP(A836,A:C,3)),)</f>
        <v>0.7929999828338623</v>
      </c>
      <c r="O836">
        <f>IF(A836&lt;&gt;$K$44,MIN(O835,VLOOKUP(A836,A:D,4)),)</f>
        <v>0.77600002288818359</v>
      </c>
      <c r="P836">
        <f t="shared" si="28"/>
        <v>0.78399999936421716</v>
      </c>
      <c r="Q836">
        <f t="shared" si="23"/>
        <v>0.78821428333009991</v>
      </c>
      <c r="R836">
        <f t="shared" si="24"/>
        <v>-4.214283965882748E-3</v>
      </c>
      <c r="S836">
        <f t="shared" si="25"/>
        <v>1.343537755563956E-2</v>
      </c>
      <c r="T836">
        <f t="shared" si="26"/>
        <v>2.0153066333459339E-4</v>
      </c>
      <c r="U836">
        <f t="shared" si="27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29"/>
        <v>835</v>
      </c>
      <c r="I837">
        <f>SUM($F$3:F837)/H837</f>
        <v>4734081.8457709579</v>
      </c>
      <c r="N837">
        <f>IF(A837&lt;&gt;$K$44,MAX(N836,VLOOKUP(A837,A:C,3)),)</f>
        <v>0.7929999828338623</v>
      </c>
      <c r="O837">
        <f>IF(A837&lt;&gt;$K$44,MIN(O836,VLOOKUP(A837,A:D,4)),)</f>
        <v>0.77600002288818359</v>
      </c>
      <c r="P837">
        <f t="shared" si="28"/>
        <v>0.78033334016799927</v>
      </c>
      <c r="Q837">
        <f t="shared" si="23"/>
        <v>0.78473809219542012</v>
      </c>
      <c r="R837">
        <f t="shared" si="24"/>
        <v>-4.4047520274208551E-3</v>
      </c>
      <c r="S837">
        <f t="shared" si="25"/>
        <v>1.0224491155066471E-2</v>
      </c>
      <c r="T837">
        <f t="shared" si="26"/>
        <v>1.5336736732599705E-4</v>
      </c>
      <c r="U837">
        <f t="shared" si="27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29"/>
        <v>836</v>
      </c>
      <c r="I838">
        <f>SUM($F$3:F838)/H838</f>
        <v>4731901.9631803231</v>
      </c>
      <c r="N838">
        <f>IF(A838&lt;&gt;$K$44,MAX(N837,VLOOKUP(A838,A:C,3)),)</f>
        <v>0.7929999828338623</v>
      </c>
      <c r="O838">
        <f>IF(A838&lt;&gt;$K$44,MIN(O837,VLOOKUP(A838,A:D,4)),)</f>
        <v>0.77600002288818359</v>
      </c>
      <c r="P838">
        <f t="shared" si="28"/>
        <v>0.78133334716161096</v>
      </c>
      <c r="Q838">
        <f t="shared" si="23"/>
        <v>0.78280952147075122</v>
      </c>
      <c r="R838">
        <f t="shared" si="24"/>
        <v>-1.4761743091402657E-3</v>
      </c>
      <c r="S838">
        <f t="shared" si="25"/>
        <v>8.4285707700820223E-3</v>
      </c>
      <c r="T838">
        <f t="shared" si="26"/>
        <v>1.2642856155123034E-4</v>
      </c>
      <c r="U838">
        <f t="shared" si="27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29"/>
        <v>837</v>
      </c>
      <c r="I839">
        <f>SUM($F$3:F839)/H839</f>
        <v>4731391.4470952805</v>
      </c>
      <c r="N839">
        <f>IF(A839&lt;&gt;$K$44,MAX(N838,VLOOKUP(A839,A:C,3)),)</f>
        <v>0.80099999904632568</v>
      </c>
      <c r="O839">
        <f>IF(A839&lt;&gt;$K$44,MIN(O838,VLOOKUP(A839,A:D,4)),)</f>
        <v>0.77600002288818359</v>
      </c>
      <c r="P839">
        <f t="shared" si="28"/>
        <v>0.79366666078567505</v>
      </c>
      <c r="Q839">
        <f t="shared" si="23"/>
        <v>0.78278571083432158</v>
      </c>
      <c r="R839">
        <f t="shared" si="24"/>
        <v>1.0880949951353469E-2</v>
      </c>
      <c r="S839">
        <f t="shared" si="25"/>
        <v>8.4047601336524648E-3</v>
      </c>
      <c r="T839">
        <f t="shared" si="26"/>
        <v>1.2607140200478697E-4</v>
      </c>
      <c r="U839">
        <f t="shared" si="27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29"/>
        <v>838</v>
      </c>
      <c r="I840">
        <f>SUM($F$3:F840)/H840</f>
        <v>4726615.9346285798</v>
      </c>
      <c r="N840">
        <f>IF(A840&lt;&gt;$K$44,MAX(N839,VLOOKUP(A840,A:C,3)),)</f>
        <v>0.80099999904632568</v>
      </c>
      <c r="O840">
        <f>IF(A840&lt;&gt;$K$44,MIN(O839,VLOOKUP(A840,A:D,4)),)</f>
        <v>0.77600002288818359</v>
      </c>
      <c r="P840">
        <f t="shared" si="28"/>
        <v>0.79533332586288452</v>
      </c>
      <c r="Q840">
        <f t="shared" si="23"/>
        <v>0.78319047320456736</v>
      </c>
      <c r="R840">
        <f t="shared" si="24"/>
        <v>1.214285265831716E-2</v>
      </c>
      <c r="S840">
        <f t="shared" si="25"/>
        <v>8.8367340516071046E-3</v>
      </c>
      <c r="T840">
        <f t="shared" si="26"/>
        <v>1.3255101077410655E-4</v>
      </c>
      <c r="U840">
        <f t="shared" si="27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29"/>
        <v>839</v>
      </c>
      <c r="I841">
        <f>SUM($F$3:F841)/H841</f>
        <v>4725383.5190330753</v>
      </c>
      <c r="N841">
        <f>IF(A841&lt;&gt;$K$44,MAX(N840,VLOOKUP(A841,A:C,3)),)</f>
        <v>0.84799998998641968</v>
      </c>
      <c r="O841">
        <f>IF(A841&lt;&gt;$K$44,MIN(O840,VLOOKUP(A841,A:D,4)),)</f>
        <v>0.77600002288818359</v>
      </c>
      <c r="P841">
        <f t="shared" si="28"/>
        <v>0.81466666857401526</v>
      </c>
      <c r="Q841">
        <f t="shared" si="23"/>
        <v>0.78416666388511658</v>
      </c>
      <c r="R841">
        <f t="shared" si="24"/>
        <v>3.0500004688898685E-2</v>
      </c>
      <c r="S841">
        <f t="shared" si="25"/>
        <v>9.976189760934737E-3</v>
      </c>
      <c r="T841">
        <f t="shared" si="26"/>
        <v>1.4964284641402105E-4</v>
      </c>
      <c r="U841">
        <f t="shared" si="27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29"/>
        <v>840</v>
      </c>
      <c r="I842">
        <f>SUM($F$3:F842)/H842</f>
        <v>4722202.5908854166</v>
      </c>
      <c r="N842">
        <f>IF(A842&lt;&gt;$K$44,MAX(N841,VLOOKUP(A842,A:C,3)),)</f>
        <v>0.84799998998641968</v>
      </c>
      <c r="O842">
        <f>IF(A842&lt;&gt;$K$44,MIN(O841,VLOOKUP(A842,A:D,4)),)</f>
        <v>0.77600002288818359</v>
      </c>
      <c r="P842">
        <f t="shared" si="28"/>
        <v>0.79799999793370568</v>
      </c>
      <c r="Q842">
        <f t="shared" si="23"/>
        <v>0.78392856887408668</v>
      </c>
      <c r="R842">
        <f t="shared" si="24"/>
        <v>1.4071429059619001E-2</v>
      </c>
      <c r="S842">
        <f t="shared" si="25"/>
        <v>9.6802719596291963E-3</v>
      </c>
      <c r="T842">
        <f t="shared" si="26"/>
        <v>1.4520407939443795E-4</v>
      </c>
      <c r="U842">
        <f t="shared" si="27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29"/>
        <v>841</v>
      </c>
      <c r="I843">
        <f>SUM($F$3:F843)/H843</f>
        <v>4719128.0039759213</v>
      </c>
      <c r="N843">
        <f>IF(A843&lt;&gt;$K$44,MAX(N842,VLOOKUP(A843,A:C,3)),)</f>
        <v>0.84799998998641968</v>
      </c>
      <c r="O843">
        <f>IF(A843&lt;&gt;$K$44,MIN(O842,VLOOKUP(A843,A:D,4)),)</f>
        <v>0.77600002288818359</v>
      </c>
      <c r="P843">
        <f t="shared" si="28"/>
        <v>0.80133334795633948</v>
      </c>
      <c r="Q843">
        <f t="shared" si="23"/>
        <v>0.78523809427306757</v>
      </c>
      <c r="R843">
        <f t="shared" si="24"/>
        <v>1.6095253683271915E-2</v>
      </c>
      <c r="S843">
        <f t="shared" si="25"/>
        <v>1.1034014273662938E-2</v>
      </c>
      <c r="T843">
        <f t="shared" si="26"/>
        <v>1.6551021410494407E-4</v>
      </c>
      <c r="U843">
        <f t="shared" si="27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29"/>
        <v>842</v>
      </c>
      <c r="I844">
        <f>SUM($F$3:F844)/H844</f>
        <v>4715967.7569403211</v>
      </c>
      <c r="N844">
        <f>IF(A844&lt;&gt;$K$44,MAX(N843,VLOOKUP(A844,A:C,3)),)</f>
        <v>0.84799998998641968</v>
      </c>
      <c r="O844">
        <f>IF(A844&lt;&gt;$K$44,MIN(O843,VLOOKUP(A844,A:D,4)),)</f>
        <v>0.77600002288818359</v>
      </c>
      <c r="P844">
        <f t="shared" si="28"/>
        <v>0.79500001668930054</v>
      </c>
      <c r="Q844">
        <f t="shared" si="23"/>
        <v>0.78676190546580727</v>
      </c>
      <c r="R844">
        <f t="shared" si="24"/>
        <v>8.2381112234932719E-3</v>
      </c>
      <c r="S844">
        <f t="shared" si="25"/>
        <v>1.1061226429582445E-2</v>
      </c>
      <c r="T844">
        <f t="shared" si="26"/>
        <v>1.6591839644373665E-4</v>
      </c>
      <c r="U844">
        <f t="shared" si="27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29"/>
        <v>843</v>
      </c>
      <c r="I845">
        <f>SUM($F$3:F845)/H845</f>
        <v>4711711.5674303081</v>
      </c>
      <c r="N845">
        <f>IF(A845&lt;&gt;$K$44,MAX(N844,VLOOKUP(A845,A:C,3)),)</f>
        <v>0.84799998998641968</v>
      </c>
      <c r="O845">
        <f>IF(A845&lt;&gt;$K$44,MIN(O844,VLOOKUP(A845,A:D,4)),)</f>
        <v>0.77600002288818359</v>
      </c>
      <c r="P845">
        <f t="shared" si="28"/>
        <v>0.781333327293396</v>
      </c>
      <c r="Q845">
        <f t="shared" si="23"/>
        <v>0.78773809614635648</v>
      </c>
      <c r="R845">
        <f t="shared" si="24"/>
        <v>-6.4047688529604851E-3</v>
      </c>
      <c r="S845">
        <f t="shared" si="25"/>
        <v>1.0224491560540219E-2</v>
      </c>
      <c r="T845">
        <f t="shared" si="26"/>
        <v>1.5336737340810328E-4</v>
      </c>
      <c r="U845">
        <f t="shared" si="27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29"/>
        <v>844</v>
      </c>
      <c r="I846">
        <f>SUM($F$3:F846)/H846</f>
        <v>4709616.0584641583</v>
      </c>
      <c r="N846">
        <f>IF(A846&lt;&gt;$K$44,MAX(N845,VLOOKUP(A846,A:C,3)),)</f>
        <v>0.84799998998641968</v>
      </c>
      <c r="O846">
        <f>IF(A846&lt;&gt;$K$44,MIN(O845,VLOOKUP(A846,A:D,4)),)</f>
        <v>0.77600002288818359</v>
      </c>
      <c r="P846">
        <f t="shared" si="28"/>
        <v>0.80000001192092896</v>
      </c>
      <c r="Q846">
        <f t="shared" si="23"/>
        <v>0.78990476330121351</v>
      </c>
      <c r="R846">
        <f t="shared" si="24"/>
        <v>1.0095248619715447E-2</v>
      </c>
      <c r="S846">
        <f t="shared" si="25"/>
        <v>9.8095266591934818E-3</v>
      </c>
      <c r="T846">
        <f t="shared" si="26"/>
        <v>1.4714289988790221E-4</v>
      </c>
      <c r="U846">
        <f t="shared" si="27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29"/>
        <v>845</v>
      </c>
      <c r="I847">
        <f>SUM($F$3:F847)/H847</f>
        <v>4707260.188572485</v>
      </c>
      <c r="N847">
        <f>IF(A847&lt;&gt;$K$44,MAX(N846,VLOOKUP(A847,A:C,3)),)</f>
        <v>0.84799998998641968</v>
      </c>
      <c r="O847">
        <f>IF(A847&lt;&gt;$K$44,MIN(O846,VLOOKUP(A847,A:D,4)),)</f>
        <v>0.77600002288818359</v>
      </c>
      <c r="P847">
        <f t="shared" si="28"/>
        <v>0.7876666784286499</v>
      </c>
      <c r="Q847">
        <f t="shared" si="23"/>
        <v>0.79116667026565202</v>
      </c>
      <c r="R847">
        <f t="shared" si="24"/>
        <v>-3.4999918370021144E-3</v>
      </c>
      <c r="S847">
        <f t="shared" si="25"/>
        <v>8.5476196947551798E-3</v>
      </c>
      <c r="T847">
        <f t="shared" si="26"/>
        <v>1.282142954213277E-4</v>
      </c>
      <c r="U847">
        <f t="shared" si="27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29"/>
        <v>846</v>
      </c>
      <c r="I848">
        <f>SUM($F$3:F848)/H848</f>
        <v>4708372.5287751183</v>
      </c>
      <c r="N848">
        <f>IF(A848&lt;&gt;$K$44,MAX(N847,VLOOKUP(A848,A:C,3)),)</f>
        <v>0.84799998998641968</v>
      </c>
      <c r="O848">
        <f>IF(A848&lt;&gt;$K$44,MIN(O847,VLOOKUP(A848,A:D,4)),)</f>
        <v>0.77600002288818359</v>
      </c>
      <c r="P848">
        <f t="shared" si="28"/>
        <v>0.79300000270207727</v>
      </c>
      <c r="Q848">
        <f t="shared" si="23"/>
        <v>0.79223809923444488</v>
      </c>
      <c r="R848">
        <f t="shared" si="24"/>
        <v>7.6190346763238548E-4</v>
      </c>
      <c r="S848">
        <f t="shared" si="25"/>
        <v>7.5850340784812198E-3</v>
      </c>
      <c r="T848">
        <f t="shared" si="26"/>
        <v>1.137755111772183E-4</v>
      </c>
      <c r="U848">
        <f t="shared" si="27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29"/>
        <v>847</v>
      </c>
      <c r="I849">
        <f>SUM($F$3:F849)/H849</f>
        <v>4707819.904774203</v>
      </c>
      <c r="N849">
        <f>IF(A849&lt;&gt;$K$44,MAX(N848,VLOOKUP(A849,A:C,3)),)</f>
        <v>0.84799998998641968</v>
      </c>
      <c r="O849">
        <f>IF(A849&lt;&gt;$K$44,MIN(O848,VLOOKUP(A849,A:D,4)),)</f>
        <v>0.77600002288818359</v>
      </c>
      <c r="P849">
        <f t="shared" si="28"/>
        <v>0.79666666189829505</v>
      </c>
      <c r="Q849">
        <f t="shared" si="23"/>
        <v>0.7930238133385068</v>
      </c>
      <c r="R849">
        <f t="shared" si="24"/>
        <v>3.6428485597882476E-3</v>
      </c>
      <c r="S849">
        <f t="shared" si="25"/>
        <v>7.210883559012885E-3</v>
      </c>
      <c r="T849">
        <f t="shared" si="26"/>
        <v>1.0816325338519327E-4</v>
      </c>
      <c r="U849">
        <f t="shared" si="27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29"/>
        <v>848</v>
      </c>
      <c r="I850">
        <f>SUM($F$3:F850)/H850</f>
        <v>4703291.5794147998</v>
      </c>
      <c r="N850">
        <f>IF(A850&lt;&gt;$K$44,MAX(N849,VLOOKUP(A850,A:C,3)),)</f>
        <v>0.84799998998641968</v>
      </c>
      <c r="O850">
        <f>IF(A850&lt;&gt;$K$44,MIN(O849,VLOOKUP(A850,A:D,4)),)</f>
        <v>0.77600002288818359</v>
      </c>
      <c r="P850">
        <f t="shared" si="28"/>
        <v>0.79333331187566125</v>
      </c>
      <c r="Q850">
        <f t="shared" si="23"/>
        <v>0.79369047851789565</v>
      </c>
      <c r="R850">
        <f t="shared" si="24"/>
        <v>-3.5716664223439665E-4</v>
      </c>
      <c r="S850">
        <f t="shared" si="25"/>
        <v>6.4523830300285568E-3</v>
      </c>
      <c r="T850">
        <f t="shared" si="26"/>
        <v>9.6785745450428344E-5</v>
      </c>
      <c r="U850">
        <f t="shared" si="27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29"/>
        <v>849</v>
      </c>
      <c r="I851">
        <f>SUM($F$3:F851)/H851</f>
        <v>4699544.9474013541</v>
      </c>
      <c r="N851">
        <f>IF(A851&lt;&gt;$K$44,MAX(N850,VLOOKUP(A851,A:C,3)),)</f>
        <v>0.84799998998641968</v>
      </c>
      <c r="O851">
        <f>IF(A851&lt;&gt;$K$44,MIN(O850,VLOOKUP(A851,A:D,4)),)</f>
        <v>0.77600002288818359</v>
      </c>
      <c r="P851">
        <f t="shared" si="28"/>
        <v>0.79733331998189294</v>
      </c>
      <c r="Q851">
        <f t="shared" si="23"/>
        <v>0.79490476279031674</v>
      </c>
      <c r="R851">
        <f t="shared" si="24"/>
        <v>2.4285571915761972E-3</v>
      </c>
      <c r="S851">
        <f t="shared" si="25"/>
        <v>5.5850354992613227E-3</v>
      </c>
      <c r="T851">
        <f t="shared" si="26"/>
        <v>8.3775532488919837E-5</v>
      </c>
      <c r="U851">
        <f t="shared" si="27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29"/>
        <v>850</v>
      </c>
      <c r="I852">
        <f>SUM($F$3:F852)/H852</f>
        <v>4695427.4827573532</v>
      </c>
      <c r="N852">
        <f>IF(A852&lt;&gt;$K$44,MAX(N851,VLOOKUP(A852,A:C,3)),)</f>
        <v>0.84799998998641968</v>
      </c>
      <c r="O852">
        <f>IF(A852&lt;&gt;$K$44,MIN(O851,VLOOKUP(A852,A:D,4)),)</f>
        <v>0.77600002288818359</v>
      </c>
      <c r="P852">
        <f t="shared" si="28"/>
        <v>0.79733333985010779</v>
      </c>
      <c r="Q852">
        <f t="shared" si="23"/>
        <v>0.7960476194109235</v>
      </c>
      <c r="R852">
        <f t="shared" si="24"/>
        <v>1.2857204391842902E-3</v>
      </c>
      <c r="S852">
        <f t="shared" si="25"/>
        <v>4.7142874626886168E-3</v>
      </c>
      <c r="T852">
        <f t="shared" si="26"/>
        <v>7.0714311940329254E-5</v>
      </c>
      <c r="U852">
        <f t="shared" si="27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29"/>
        <v>851</v>
      </c>
      <c r="I853">
        <f>SUM($F$3:F853)/H853</f>
        <v>4690491.2694991184</v>
      </c>
      <c r="N853">
        <f>IF(A853&lt;&gt;$K$44,MAX(N852,VLOOKUP(A853,A:C,3)),)</f>
        <v>0.84799998998641968</v>
      </c>
      <c r="O853">
        <f>IF(A853&lt;&gt;$K$44,MIN(O852,VLOOKUP(A853,A:D,4)),)</f>
        <v>0.77600002288818359</v>
      </c>
      <c r="P853">
        <f t="shared" si="28"/>
        <v>0.80366665124893188</v>
      </c>
      <c r="Q853">
        <f t="shared" si="23"/>
        <v>0.79676190444401329</v>
      </c>
      <c r="R853">
        <f t="shared" si="24"/>
        <v>6.9047468049185934E-3</v>
      </c>
      <c r="S853">
        <f t="shared" si="25"/>
        <v>5.0000009082612484E-3</v>
      </c>
      <c r="T853">
        <f t="shared" si="26"/>
        <v>7.5000013623918718E-5</v>
      </c>
      <c r="U853">
        <f t="shared" si="27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29"/>
        <v>852</v>
      </c>
      <c r="I854">
        <f>SUM($F$3:F854)/H854</f>
        <v>4687132.2421875</v>
      </c>
      <c r="N854">
        <f>IF(A854&lt;&gt;$K$44,MAX(N853,VLOOKUP(A854,A:C,3)),)</f>
        <v>0.84799998998641968</v>
      </c>
      <c r="O854">
        <f>IF(A854&lt;&gt;$K$44,MIN(O853,VLOOKUP(A854,A:D,4)),)</f>
        <v>0.77600002288818359</v>
      </c>
      <c r="P854">
        <f t="shared" si="28"/>
        <v>0.80633332331975305</v>
      </c>
      <c r="Q854">
        <f t="shared" si="23"/>
        <v>0.79754761854807532</v>
      </c>
      <c r="R854">
        <f t="shared" si="24"/>
        <v>8.785704771677727E-3</v>
      </c>
      <c r="S854">
        <f t="shared" si="25"/>
        <v>5.5306128093174445E-3</v>
      </c>
      <c r="T854">
        <f t="shared" si="26"/>
        <v>8.2959192139761664E-5</v>
      </c>
      <c r="U854">
        <f t="shared" si="27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29"/>
        <v>853</v>
      </c>
      <c r="I855">
        <f>SUM($F$3:F855)/H855</f>
        <v>4683464.3263115473</v>
      </c>
      <c r="N855">
        <f>IF(A855&lt;&gt;$K$44,MAX(N854,VLOOKUP(A855,A:C,3)),)</f>
        <v>0.84799998998641968</v>
      </c>
      <c r="O855">
        <f>IF(A855&lt;&gt;$K$44,MIN(O854,VLOOKUP(A855,A:D,4)),)</f>
        <v>0.77600002288818359</v>
      </c>
      <c r="P855">
        <f t="shared" si="28"/>
        <v>0.8063333431879679</v>
      </c>
      <c r="Q855">
        <f t="shared" si="23"/>
        <v>0.79695238102050048</v>
      </c>
      <c r="R855">
        <f t="shared" si="24"/>
        <v>9.3809621674674215E-3</v>
      </c>
      <c r="S855">
        <f t="shared" si="25"/>
        <v>4.959183890803338E-3</v>
      </c>
      <c r="T855">
        <f t="shared" si="26"/>
        <v>7.4387758362050069E-5</v>
      </c>
      <c r="U855">
        <f t="shared" si="27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29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28"/>
        <v>0.79433331886927283</v>
      </c>
      <c r="Q856">
        <f t="shared" si="23"/>
        <v>0.79669047537304105</v>
      </c>
      <c r="R856">
        <f t="shared" si="24"/>
        <v>-2.3571565037682207E-3</v>
      </c>
      <c r="S856">
        <f t="shared" si="25"/>
        <v>5.0714299792335117E-3</v>
      </c>
      <c r="T856">
        <f t="shared" si="26"/>
        <v>7.6071449688502673E-5</v>
      </c>
      <c r="U856">
        <f t="shared" si="27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29"/>
        <v>855</v>
      </c>
      <c r="I857">
        <f>SUM($F$3:F857)/H857</f>
        <v>4681470.9594663745</v>
      </c>
      <c r="N857">
        <f>IF(A857&lt;&gt;$K$45,MAX(N856,VLOOKUP(A857,A:C,3)),)</f>
        <v>0.78899997472763062</v>
      </c>
      <c r="O857">
        <f>IF(A857&lt;&gt;$K$45,MIN(O856,VLOOKUP(A857,A:D,4)),)</f>
        <v>0.75700002908706665</v>
      </c>
      <c r="P857">
        <f t="shared" si="28"/>
        <v>0.76966667175292969</v>
      </c>
      <c r="Q857">
        <f t="shared" si="23"/>
        <v>0.79442856992994026</v>
      </c>
      <c r="R857">
        <f t="shared" si="24"/>
        <v>-2.4761898177010577E-2</v>
      </c>
      <c r="S857">
        <f t="shared" si="25"/>
        <v>6.7483012368079031E-3</v>
      </c>
      <c r="T857">
        <f t="shared" si="26"/>
        <v>1.0122451855211854E-4</v>
      </c>
      <c r="U857">
        <f t="shared" si="27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29"/>
        <v>856</v>
      </c>
      <c r="I858">
        <f>SUM($F$3:F858)/H858</f>
        <v>4678831.1569436332</v>
      </c>
      <c r="N858">
        <f>IF(A858&lt;&gt;$K$45,MAX(N857,VLOOKUP(A858,A:C,3)),)</f>
        <v>0.78899997472763062</v>
      </c>
      <c r="O858">
        <f>IF(A858&lt;&gt;$K$45,MIN(O857,VLOOKUP(A858,A:D,4)),)</f>
        <v>0.74800002574920654</v>
      </c>
      <c r="P858">
        <f t="shared" si="28"/>
        <v>0.75400000810623169</v>
      </c>
      <c r="Q858">
        <f t="shared" si="23"/>
        <v>0.79149999788829251</v>
      </c>
      <c r="R858">
        <f t="shared" si="24"/>
        <v>-3.7499989782060816E-2</v>
      </c>
      <c r="S858">
        <f t="shared" si="25"/>
        <v>1.0476186567423329E-2</v>
      </c>
      <c r="T858">
        <f t="shared" si="26"/>
        <v>1.5714279851134993E-4</v>
      </c>
      <c r="U858">
        <f t="shared" si="27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29"/>
        <v>857</v>
      </c>
      <c r="I859">
        <f>SUM($F$3:F859)/H859</f>
        <v>4674206.1497593345</v>
      </c>
      <c r="N859">
        <f>IF(A859&lt;&gt;$K$45,MAX(N858,VLOOKUP(A859,A:C,3)),)</f>
        <v>0.78899997472763062</v>
      </c>
      <c r="O859">
        <f>IF(A859&lt;&gt;$K$45,MIN(O858,VLOOKUP(A859,A:D,4)),)</f>
        <v>0.74400001764297485</v>
      </c>
      <c r="P859">
        <f t="shared" si="28"/>
        <v>0.74900001287460327</v>
      </c>
      <c r="Q859">
        <f t="shared" si="23"/>
        <v>0.78919047542980736</v>
      </c>
      <c r="R859">
        <f t="shared" si="24"/>
        <v>-4.0190462555204087E-2</v>
      </c>
      <c r="S859">
        <f t="shared" si="25"/>
        <v>1.3775504365259301E-2</v>
      </c>
      <c r="T859">
        <f t="shared" si="26"/>
        <v>2.0663256547888951E-4</v>
      </c>
      <c r="U859">
        <f t="shared" si="27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29"/>
        <v>858</v>
      </c>
      <c r="I860">
        <f>SUM($F$3:F860)/H860</f>
        <v>4674999.615785256</v>
      </c>
      <c r="N860">
        <f>IF(A860&lt;&gt;$K$45,MAX(N859,VLOOKUP(A860,A:C,3)),)</f>
        <v>0.78899997472763062</v>
      </c>
      <c r="O860">
        <f>IF(A860&lt;&gt;$K$45,MIN(O859,VLOOKUP(A860,A:D,4)),)</f>
        <v>0.74299997091293335</v>
      </c>
      <c r="P860">
        <f t="shared" si="28"/>
        <v>0.75099998712539673</v>
      </c>
      <c r="Q860">
        <f t="shared" si="23"/>
        <v>0.78569047365869793</v>
      </c>
      <c r="R860">
        <f t="shared" si="24"/>
        <v>-3.4690486533301201E-2</v>
      </c>
      <c r="S860">
        <f t="shared" si="25"/>
        <v>1.7013602110804351E-2</v>
      </c>
      <c r="T860">
        <f t="shared" si="26"/>
        <v>2.5520403166206525E-4</v>
      </c>
      <c r="U860">
        <f t="shared" si="27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29"/>
        <v>859</v>
      </c>
      <c r="I861">
        <f>SUM($F$3:F861)/H861</f>
        <v>4671073.8886423167</v>
      </c>
      <c r="N861">
        <f>IF(A861&lt;&gt;$K$45,MAX(N860,VLOOKUP(A861,A:C,3)),)</f>
        <v>0.78899997472763062</v>
      </c>
      <c r="O861">
        <f>IF(A861&lt;&gt;$K$45,MIN(O860,VLOOKUP(A861,A:D,4)),)</f>
        <v>0.7369999885559082</v>
      </c>
      <c r="P861">
        <f t="shared" si="28"/>
        <v>0.74933334191640222</v>
      </c>
      <c r="Q861">
        <f t="shared" si="23"/>
        <v>0.78295237819353747</v>
      </c>
      <c r="R861">
        <f t="shared" si="24"/>
        <v>-3.361903627713525E-2</v>
      </c>
      <c r="S861">
        <f t="shared" si="25"/>
        <v>2.0251695598874749E-2</v>
      </c>
      <c r="T861">
        <f t="shared" si="26"/>
        <v>3.0377543398312119E-4</v>
      </c>
      <c r="U861">
        <f t="shared" si="27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29"/>
        <v>860</v>
      </c>
      <c r="I862">
        <f>SUM($F$3:F862)/H862</f>
        <v>4667481.96900436</v>
      </c>
      <c r="N862">
        <f>IF(A862&lt;&gt;$K$45,MAX(N861,VLOOKUP(A862,A:C,3)),)</f>
        <v>0.78899997472763062</v>
      </c>
      <c r="O862">
        <f>IF(A862&lt;&gt;$K$45,MIN(O861,VLOOKUP(A862,A:D,4)),)</f>
        <v>0.7369999885559082</v>
      </c>
      <c r="P862">
        <f t="shared" si="28"/>
        <v>0.75800001621246338</v>
      </c>
      <c r="Q862">
        <f t="shared" si="23"/>
        <v>0.78045237915856513</v>
      </c>
      <c r="R862">
        <f t="shared" si="24"/>
        <v>-2.2452362946101756E-2</v>
      </c>
      <c r="S862">
        <f t="shared" si="25"/>
        <v>2.1673462423337533E-2</v>
      </c>
      <c r="T862">
        <f t="shared" si="26"/>
        <v>3.2510193635006297E-4</v>
      </c>
      <c r="U862">
        <f t="shared" si="27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29"/>
        <v>861</v>
      </c>
      <c r="I863">
        <f>SUM($F$3:F863)/H863</f>
        <v>4662713.6972633563</v>
      </c>
      <c r="N863">
        <f>IF(A863&lt;&gt;$K$45,MAX(N862,VLOOKUP(A863,A:C,3)),)</f>
        <v>0.78899997472763062</v>
      </c>
      <c r="O863">
        <f>IF(A863&lt;&gt;$K$45,MIN(O862,VLOOKUP(A863,A:D,4)),)</f>
        <v>0.7369999885559082</v>
      </c>
      <c r="P863">
        <f t="shared" si="28"/>
        <v>0.75400000810623169</v>
      </c>
      <c r="Q863">
        <f t="shared" si="23"/>
        <v>0.77740476103056044</v>
      </c>
      <c r="R863">
        <f t="shared" si="24"/>
        <v>-2.3404752924328753E-2</v>
      </c>
      <c r="S863">
        <f t="shared" si="25"/>
        <v>2.2404754445666357E-2</v>
      </c>
      <c r="T863">
        <f t="shared" si="26"/>
        <v>3.3607131668499535E-4</v>
      </c>
      <c r="U863">
        <f t="shared" si="27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29"/>
        <v>862</v>
      </c>
      <c r="I864">
        <f>SUM($F$3:F864)/H864</f>
        <v>4658009.2730205916</v>
      </c>
      <c r="N864">
        <f>IF(A864&lt;&gt;$K$45,MAX(N863,VLOOKUP(A864,A:C,3)),)</f>
        <v>0.78899997472763062</v>
      </c>
      <c r="O864">
        <f>IF(A864&lt;&gt;$K$45,MIN(O863,VLOOKUP(A864,A:D,4)),)</f>
        <v>0.7369999885559082</v>
      </c>
      <c r="P864">
        <f t="shared" si="28"/>
        <v>0.74666666984558105</v>
      </c>
      <c r="Q864">
        <f t="shared" si="23"/>
        <v>0.77407142945698326</v>
      </c>
      <c r="R864">
        <f t="shared" si="24"/>
        <v>-2.7404759611402207E-2</v>
      </c>
      <c r="S864">
        <f t="shared" si="25"/>
        <v>2.2986388530860942E-2</v>
      </c>
      <c r="T864">
        <f t="shared" si="26"/>
        <v>3.4479582796291411E-4</v>
      </c>
      <c r="U864">
        <f t="shared" si="27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29"/>
        <v>863</v>
      </c>
      <c r="I865">
        <f>SUM($F$3:F865)/H865</f>
        <v>4655855.9633183666</v>
      </c>
      <c r="N865">
        <f>IF(A865&lt;&gt;$K$45,MAX(N864,VLOOKUP(A865,A:C,3)),)</f>
        <v>0.78899997472763062</v>
      </c>
      <c r="O865">
        <f>IF(A865&lt;&gt;$K$45,MIN(O864,VLOOKUP(A865,A:D,4)),)</f>
        <v>0.7369999885559082</v>
      </c>
      <c r="P865">
        <f t="shared" si="28"/>
        <v>0.76533333460489905</v>
      </c>
      <c r="Q865">
        <f t="shared" si="23"/>
        <v>0.77178571621576941</v>
      </c>
      <c r="R865">
        <f t="shared" si="24"/>
        <v>-6.4523816108703613E-3</v>
      </c>
      <c r="S865">
        <f t="shared" si="25"/>
        <v>2.1295913628169454E-2</v>
      </c>
      <c r="T865">
        <f t="shared" si="26"/>
        <v>3.194387044225418E-4</v>
      </c>
      <c r="U865">
        <f t="shared" si="27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29"/>
        <v>864</v>
      </c>
      <c r="I866">
        <f>SUM($F$3:F866)/H866</f>
        <v>4652106.8244719328</v>
      </c>
      <c r="N866">
        <f>IF(A866&lt;&gt;$K$45,MAX(N865,VLOOKUP(A866,A:C,3)),)</f>
        <v>0.78899997472763062</v>
      </c>
      <c r="O866">
        <f>IF(A866&lt;&gt;$K$45,MIN(O865,VLOOKUP(A866,A:D,4)),)</f>
        <v>0.7369999885559082</v>
      </c>
      <c r="P866">
        <f t="shared" si="28"/>
        <v>0.76633334159851074</v>
      </c>
      <c r="Q866">
        <f t="shared" si="23"/>
        <v>0.76957143062636957</v>
      </c>
      <c r="R866">
        <f t="shared" si="24"/>
        <v>-3.2380890278588259E-3</v>
      </c>
      <c r="S866">
        <f t="shared" si="25"/>
        <v>1.8925165035286701E-2</v>
      </c>
      <c r="T866">
        <f t="shared" si="26"/>
        <v>2.8387747552930049E-4</v>
      </c>
      <c r="U866">
        <f t="shared" si="27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29"/>
        <v>865</v>
      </c>
      <c r="I867">
        <f>SUM($F$3:F867)/H867</f>
        <v>4647710.7540823696</v>
      </c>
      <c r="N867">
        <f>IF(A867&lt;&gt;$K$45,MAX(N866,VLOOKUP(A867,A:C,3)),)</f>
        <v>0.78899997472763062</v>
      </c>
      <c r="O867">
        <f>IF(A867&lt;&gt;$K$45,MIN(O866,VLOOKUP(A867,A:D,4)),)</f>
        <v>0.7369999885559082</v>
      </c>
      <c r="P867">
        <f t="shared" si="28"/>
        <v>0.76966667175292969</v>
      </c>
      <c r="Q867">
        <f t="shared" si="23"/>
        <v>0.76714286066236947</v>
      </c>
      <c r="R867">
        <f t="shared" si="24"/>
        <v>2.5238110905602129E-3</v>
      </c>
      <c r="S867">
        <f t="shared" si="25"/>
        <v>1.5802717938715089E-2</v>
      </c>
      <c r="T867">
        <f t="shared" si="26"/>
        <v>2.3704076908072632E-4</v>
      </c>
      <c r="U867">
        <f t="shared" si="27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29"/>
        <v>866</v>
      </c>
      <c r="I868">
        <f>SUM($F$3:F868)/H868</f>
        <v>4643597.0003247689</v>
      </c>
      <c r="N868">
        <f>IF(A868&lt;&gt;$K$45,MAX(N867,VLOOKUP(A868,A:C,3)),)</f>
        <v>0.78899997472763062</v>
      </c>
      <c r="O868">
        <f>IF(A868&lt;&gt;$K$45,MIN(O867,VLOOKUP(A868,A:D,4)),)</f>
        <v>0.7369999885559082</v>
      </c>
      <c r="P868">
        <f t="shared" si="28"/>
        <v>0.77099998792012536</v>
      </c>
      <c r="Q868">
        <f t="shared" si="23"/>
        <v>0.7646190509909675</v>
      </c>
      <c r="R868">
        <f t="shared" si="24"/>
        <v>6.3809369291578655E-3</v>
      </c>
      <c r="S868">
        <f t="shared" si="25"/>
        <v>1.2904758964266088E-2</v>
      </c>
      <c r="T868">
        <f t="shared" si="26"/>
        <v>1.9357138446399132E-4</v>
      </c>
      <c r="U868">
        <f t="shared" si="27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29"/>
        <v>867</v>
      </c>
      <c r="I869">
        <f>SUM($F$3:F869)/H869</f>
        <v>4640500.6946727224</v>
      </c>
      <c r="N869">
        <f>IF(A869&lt;&gt;$K$45,MAX(N868,VLOOKUP(A869,A:C,3)),)</f>
        <v>0.79100000858306885</v>
      </c>
      <c r="O869">
        <f>IF(A869&lt;&gt;$K$45,MIN(O868,VLOOKUP(A869,A:D,4)),)</f>
        <v>0.7369999885559082</v>
      </c>
      <c r="P869">
        <f t="shared" si="28"/>
        <v>0.78500000635782874</v>
      </c>
      <c r="Q869">
        <f t="shared" si="23"/>
        <v>0.76309524121738626</v>
      </c>
      <c r="R869">
        <f t="shared" si="24"/>
        <v>2.1904765140442484E-2</v>
      </c>
      <c r="S869">
        <f t="shared" si="25"/>
        <v>1.1380949190684719E-2</v>
      </c>
      <c r="T869">
        <f t="shared" si="26"/>
        <v>1.7071423786027079E-4</v>
      </c>
      <c r="U869">
        <f t="shared" si="27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29"/>
        <v>868</v>
      </c>
      <c r="I870">
        <f>SUM($F$3:F870)/H870</f>
        <v>4636722.5832733298</v>
      </c>
      <c r="N870">
        <f>IF(A870&lt;&gt;$K$45,MAX(N869,VLOOKUP(A870,A:C,3)),)</f>
        <v>0.79400002956390381</v>
      </c>
      <c r="O870">
        <f>IF(A870&lt;&gt;$K$45,MIN(O869,VLOOKUP(A870,A:D,4)),)</f>
        <v>0.7369999885559082</v>
      </c>
      <c r="P870">
        <f t="shared" si="28"/>
        <v>0.79000000158945716</v>
      </c>
      <c r="Q870">
        <f t="shared" si="23"/>
        <v>0.76278571855454214</v>
      </c>
      <c r="R870">
        <f t="shared" si="24"/>
        <v>2.7214283034915021E-2</v>
      </c>
      <c r="S870">
        <f t="shared" si="25"/>
        <v>1.1071426527840742E-2</v>
      </c>
      <c r="T870">
        <f t="shared" si="26"/>
        <v>1.6607139791761114E-4</v>
      </c>
      <c r="U870">
        <f t="shared" si="27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29"/>
        <v>869</v>
      </c>
      <c r="I871">
        <f>SUM($F$3:F871)/H871</f>
        <v>4633406.561888665</v>
      </c>
      <c r="N871">
        <f>IF(A871&lt;&gt;$K$45,MAX(N870,VLOOKUP(A871,A:C,3)),)</f>
        <v>0.79400002956390381</v>
      </c>
      <c r="O871">
        <f>IF(A871&lt;&gt;$K$45,MIN(O870,VLOOKUP(A871,A:D,4)),)</f>
        <v>0.7369999885559082</v>
      </c>
      <c r="P871">
        <f t="shared" si="28"/>
        <v>0.78533333539962769</v>
      </c>
      <c r="Q871">
        <f t="shared" si="23"/>
        <v>0.76390476595787771</v>
      </c>
      <c r="R871">
        <f t="shared" si="24"/>
        <v>2.1428569441749978E-2</v>
      </c>
      <c r="S871">
        <f t="shared" si="25"/>
        <v>1.2190473931176313E-2</v>
      </c>
      <c r="T871">
        <f t="shared" si="26"/>
        <v>1.828571089676447E-4</v>
      </c>
      <c r="U871">
        <f t="shared" si="27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29"/>
        <v>870</v>
      </c>
      <c r="I872">
        <f>SUM($F$3:F872)/H872</f>
        <v>4629115.4049209766</v>
      </c>
      <c r="N872">
        <f>IF(A872&lt;&gt;$K$45,MAX(N871,VLOOKUP(A872,A:C,3)),)</f>
        <v>0.79900002479553223</v>
      </c>
      <c r="O872">
        <f>IF(A872&lt;&gt;$K$45,MIN(O871,VLOOKUP(A872,A:D,4)),)</f>
        <v>0.7369999885559082</v>
      </c>
      <c r="P872">
        <f t="shared" si="28"/>
        <v>0.78666667143503821</v>
      </c>
      <c r="Q872">
        <f t="shared" si="23"/>
        <v>0.76623809905279239</v>
      </c>
      <c r="R872">
        <f t="shared" si="24"/>
        <v>2.0428572382245824E-2</v>
      </c>
      <c r="S872">
        <f t="shared" si="25"/>
        <v>1.2904760383424299E-2</v>
      </c>
      <c r="T872">
        <f t="shared" si="26"/>
        <v>1.9357140575136447E-4</v>
      </c>
      <c r="U872">
        <f t="shared" si="27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29"/>
        <v>871</v>
      </c>
      <c r="I873">
        <f>SUM($F$3:F873)/H873</f>
        <v>4627956.1538820323</v>
      </c>
      <c r="N873">
        <f>IF(A873&lt;&gt;$K$45,MAX(N872,VLOOKUP(A873,A:C,3)),)</f>
        <v>0.79900002479553223</v>
      </c>
      <c r="O873">
        <f>IF(A873&lt;&gt;$K$45,MIN(O872,VLOOKUP(A873,A:D,4)),)</f>
        <v>0.7369999885559082</v>
      </c>
      <c r="P873">
        <f t="shared" si="28"/>
        <v>0.79200001557668054</v>
      </c>
      <c r="Q873">
        <f t="shared" si="23"/>
        <v>0.7693095278172265</v>
      </c>
      <c r="R873">
        <f t="shared" si="24"/>
        <v>2.2690487759454037E-2</v>
      </c>
      <c r="S873">
        <f t="shared" si="25"/>
        <v>1.3499999330157322E-2</v>
      </c>
      <c r="T873">
        <f t="shared" si="26"/>
        <v>2.0249998995235983E-4</v>
      </c>
      <c r="U873">
        <f t="shared" si="27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29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28"/>
        <v>0.78433334827423096</v>
      </c>
      <c r="Q874">
        <f t="shared" si="23"/>
        <v>0.77169048218500058</v>
      </c>
      <c r="R874">
        <f t="shared" si="24"/>
        <v>1.2642866089230376E-2</v>
      </c>
      <c r="S874">
        <f t="shared" si="25"/>
        <v>1.3312926503265805E-2</v>
      </c>
      <c r="T874">
        <f t="shared" si="26"/>
        <v>1.9969389754898707E-4</v>
      </c>
      <c r="U874">
        <f t="shared" si="27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29"/>
        <v>873</v>
      </c>
      <c r="I875">
        <f>SUM($F$3:F875)/H875</f>
        <v>4620902.1878937576</v>
      </c>
      <c r="N875">
        <f>IF(A875&lt;&gt;$K$46,MAX(N874,VLOOKUP(A875,A:C,3)),)</f>
        <v>0.78799998760223389</v>
      </c>
      <c r="O875">
        <f>IF(A875&lt;&gt;$K$46,MIN(O874,VLOOKUP(A875,A:D,4)),)</f>
        <v>0.77999997138977051</v>
      </c>
      <c r="P875">
        <f t="shared" si="28"/>
        <v>0.78366665045420325</v>
      </c>
      <c r="Q875">
        <f t="shared" si="23"/>
        <v>0.77414286136627197</v>
      </c>
      <c r="R875">
        <f t="shared" si="24"/>
        <v>9.5237890879312781E-3</v>
      </c>
      <c r="S875">
        <f t="shared" si="25"/>
        <v>1.257142850330897E-2</v>
      </c>
      <c r="T875">
        <f t="shared" si="26"/>
        <v>1.8857142754963454E-4</v>
      </c>
      <c r="U875">
        <f t="shared" si="27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29"/>
        <v>874</v>
      </c>
      <c r="I876">
        <f>SUM($F$3:F876)/H876</f>
        <v>4621216.6041547479</v>
      </c>
      <c r="N876">
        <f>IF(A876&lt;&gt;$K$46,MAX(N875,VLOOKUP(A876,A:C,3)),)</f>
        <v>0.80800002813339233</v>
      </c>
      <c r="O876">
        <f>IF(A876&lt;&gt;$K$46,MIN(O875,VLOOKUP(A876,A:D,4)),)</f>
        <v>0.77999997138977051</v>
      </c>
      <c r="P876">
        <f t="shared" si="28"/>
        <v>0.79966668287913001</v>
      </c>
      <c r="Q876">
        <f t="shared" si="23"/>
        <v>0.77711905184246244</v>
      </c>
      <c r="R876">
        <f t="shared" si="24"/>
        <v>2.254763103666757E-2</v>
      </c>
      <c r="S876">
        <f t="shared" si="25"/>
        <v>1.2816328175213863E-2</v>
      </c>
      <c r="T876">
        <f t="shared" si="26"/>
        <v>1.9224492262820793E-4</v>
      </c>
      <c r="U876">
        <f t="shared" si="27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29"/>
        <v>875</v>
      </c>
      <c r="I877">
        <f>SUM($F$3:F877)/H877</f>
        <v>4619352.2526071426</v>
      </c>
      <c r="N877">
        <f>IF(A877&lt;&gt;$K$46,MAX(N876,VLOOKUP(A877,A:C,3)),)</f>
        <v>0.82999998331069946</v>
      </c>
      <c r="O877">
        <f>IF(A877&lt;&gt;$K$46,MIN(O876,VLOOKUP(A877,A:D,4)),)</f>
        <v>0.77999997138977051</v>
      </c>
      <c r="P877">
        <f t="shared" si="28"/>
        <v>0.81933333476384484</v>
      </c>
      <c r="Q877">
        <f t="shared" si="23"/>
        <v>0.78178571803229191</v>
      </c>
      <c r="R877">
        <f t="shared" si="24"/>
        <v>3.7547616731552935E-2</v>
      </c>
      <c r="S877">
        <f t="shared" si="25"/>
        <v>1.2846940634201989E-2</v>
      </c>
      <c r="T877">
        <f t="shared" si="26"/>
        <v>1.9270410951302983E-4</v>
      </c>
      <c r="U877">
        <f t="shared" si="27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29"/>
        <v>876</v>
      </c>
      <c r="I878">
        <f>SUM($F$3:F878)/H878</f>
        <v>4615923.7728667241</v>
      </c>
      <c r="N878">
        <f>IF(A878&lt;&gt;$K$46,MAX(N877,VLOOKUP(A878,A:C,3)),)</f>
        <v>0.82999998331069946</v>
      </c>
      <c r="O878">
        <f>IF(A878&lt;&gt;$K$46,MIN(O877,VLOOKUP(A878,A:D,4)),)</f>
        <v>0.77999997138977051</v>
      </c>
      <c r="P878">
        <f t="shared" si="28"/>
        <v>0.8216666579246521</v>
      </c>
      <c r="Q878">
        <f t="shared" si="23"/>
        <v>0.78714286003793987</v>
      </c>
      <c r="R878">
        <f t="shared" si="24"/>
        <v>3.4523797886712226E-2</v>
      </c>
      <c r="S878">
        <f t="shared" si="25"/>
        <v>1.242177036343789E-2</v>
      </c>
      <c r="T878">
        <f t="shared" si="26"/>
        <v>1.8632655545156834E-4</v>
      </c>
      <c r="U878">
        <f t="shared" si="27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29"/>
        <v>877</v>
      </c>
      <c r="I879">
        <f>SUM($F$3:F879)/H879</f>
        <v>4613078.9453035919</v>
      </c>
      <c r="N879">
        <f>IF(A879&lt;&gt;$K$46,MAX(N878,VLOOKUP(A879,A:C,3)),)</f>
        <v>0.82999998331069946</v>
      </c>
      <c r="O879">
        <f>IF(A879&lt;&gt;$K$46,MIN(O878,VLOOKUP(A879,A:D,4)),)</f>
        <v>0.77999997138977051</v>
      </c>
      <c r="P879">
        <f t="shared" si="28"/>
        <v>0.82033332188924157</v>
      </c>
      <c r="Q879">
        <f t="shared" si="23"/>
        <v>0.79107143055825013</v>
      </c>
      <c r="R879">
        <f t="shared" si="24"/>
        <v>2.9261891330991441E-2</v>
      </c>
      <c r="S879">
        <f t="shared" si="25"/>
        <v>1.3948980034614129E-2</v>
      </c>
      <c r="T879">
        <f t="shared" si="26"/>
        <v>2.0923470051921193E-4</v>
      </c>
      <c r="U879">
        <f t="shared" si="27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29"/>
        <v>878</v>
      </c>
      <c r="I880">
        <f>SUM($F$3:F880)/H880</f>
        <v>4613066.8143863892</v>
      </c>
      <c r="N880">
        <f>IF(A880&lt;&gt;$K$46,MAX(N879,VLOOKUP(A880,A:C,3)),)</f>
        <v>0.83300000429153442</v>
      </c>
      <c r="O880">
        <f>IF(A880&lt;&gt;$K$46,MIN(O879,VLOOKUP(A880,A:D,4)),)</f>
        <v>0.77999997138977051</v>
      </c>
      <c r="P880">
        <f t="shared" si="28"/>
        <v>0.82566666603088379</v>
      </c>
      <c r="Q880">
        <f t="shared" si="23"/>
        <v>0.79530952516056252</v>
      </c>
      <c r="R880">
        <f t="shared" si="24"/>
        <v>3.0357140870321264E-2</v>
      </c>
      <c r="S880">
        <f t="shared" si="25"/>
        <v>1.573129109784863E-2</v>
      </c>
      <c r="T880">
        <f t="shared" si="26"/>
        <v>2.3596936646772944E-4</v>
      </c>
      <c r="U880">
        <f t="shared" si="27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29"/>
        <v>879</v>
      </c>
      <c r="I881">
        <f>SUM($F$3:F881)/H881</f>
        <v>4609229.8874075655</v>
      </c>
      <c r="N881">
        <f>IF(A881&lt;&gt;$K$46,MAX(N880,VLOOKUP(A881,A:C,3)),)</f>
        <v>0.83799999952316284</v>
      </c>
      <c r="O881">
        <f>IF(A881&lt;&gt;$K$46,MIN(O880,VLOOKUP(A881,A:D,4)),)</f>
        <v>0.77999997138977051</v>
      </c>
      <c r="P881">
        <f t="shared" si="28"/>
        <v>0.82533333698908484</v>
      </c>
      <c r="Q881">
        <f t="shared" si="23"/>
        <v>0.79928571553457339</v>
      </c>
      <c r="R881">
        <f t="shared" si="24"/>
        <v>2.6047621454511449E-2</v>
      </c>
      <c r="S881">
        <f t="shared" si="25"/>
        <v>1.6612243895628005E-2</v>
      </c>
      <c r="T881">
        <f t="shared" si="26"/>
        <v>2.4918365843442004E-4</v>
      </c>
      <c r="U881">
        <f t="shared" si="27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29"/>
        <v>880</v>
      </c>
      <c r="I882">
        <f>SUM($F$3:F882)/H882</f>
        <v>4606749.864808239</v>
      </c>
      <c r="N882">
        <f>IF(A882&lt;&gt;$K$46,MAX(N881,VLOOKUP(A882,A:C,3)),)</f>
        <v>0.83799999952316284</v>
      </c>
      <c r="O882">
        <f>IF(A882&lt;&gt;$K$46,MIN(O881,VLOOKUP(A882,A:D,4)),)</f>
        <v>0.77999997138977051</v>
      </c>
      <c r="P882">
        <f t="shared" si="28"/>
        <v>0.82766666014989221</v>
      </c>
      <c r="Q882">
        <f t="shared" si="23"/>
        <v>0.80333333497955695</v>
      </c>
      <c r="R882">
        <f t="shared" si="24"/>
        <v>2.4333325170335263E-2</v>
      </c>
      <c r="S882">
        <f t="shared" si="25"/>
        <v>1.714285255289405E-2</v>
      </c>
      <c r="T882">
        <f t="shared" si="26"/>
        <v>2.5714278829341072E-4</v>
      </c>
      <c r="U882">
        <f t="shared" si="27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29"/>
        <v>881</v>
      </c>
      <c r="I883">
        <f>SUM($F$3:F883)/H883</f>
        <v>4607233.7049162881</v>
      </c>
      <c r="N883">
        <f>IF(A883&lt;&gt;$K$46,MAX(N882,VLOOKUP(A883,A:C,3)),)</f>
        <v>0.8399999737739563</v>
      </c>
      <c r="O883">
        <f>IF(A883&lt;&gt;$K$46,MIN(O882,VLOOKUP(A883,A:D,4)),)</f>
        <v>0.77999997138977051</v>
      </c>
      <c r="P883">
        <f t="shared" si="28"/>
        <v>0.83633333444595337</v>
      </c>
      <c r="Q883">
        <f t="shared" si="23"/>
        <v>0.80700000127156568</v>
      </c>
      <c r="R883">
        <f t="shared" si="24"/>
        <v>2.9333333174387688E-2</v>
      </c>
      <c r="S883">
        <f t="shared" si="25"/>
        <v>1.8190471898941778E-2</v>
      </c>
      <c r="T883">
        <f t="shared" si="26"/>
        <v>2.7285707848412669E-4</v>
      </c>
      <c r="U883">
        <f t="shared" si="27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29"/>
        <v>882</v>
      </c>
      <c r="I884">
        <f>SUM($F$3:F884)/H884</f>
        <v>4604019.7345875846</v>
      </c>
      <c r="N884">
        <f>IF(A884&lt;&gt;$K$46,MAX(N883,VLOOKUP(A884,A:C,3)),)</f>
        <v>0.84399998188018799</v>
      </c>
      <c r="O884">
        <f>IF(A884&lt;&gt;$K$46,MIN(O883,VLOOKUP(A884,A:D,4)),)</f>
        <v>0.77999997138977051</v>
      </c>
      <c r="P884">
        <f t="shared" si="28"/>
        <v>0.83233332633972168</v>
      </c>
      <c r="Q884">
        <f t="shared" si="23"/>
        <v>0.81002381018229896</v>
      </c>
      <c r="R884">
        <f t="shared" si="24"/>
        <v>2.2309516157422715E-2</v>
      </c>
      <c r="S884">
        <f t="shared" si="25"/>
        <v>1.8353736724983274E-2</v>
      </c>
      <c r="T884">
        <f t="shared" si="26"/>
        <v>2.7530605087474908E-4</v>
      </c>
      <c r="U884">
        <f t="shared" si="27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29"/>
        <v>883</v>
      </c>
      <c r="I885">
        <f>SUM($F$3:F885)/H885</f>
        <v>4603512.1403241791</v>
      </c>
      <c r="N885">
        <f>IF(A885&lt;&gt;$K$46,MAX(N884,VLOOKUP(A885,A:C,3)),)</f>
        <v>0.84399998188018799</v>
      </c>
      <c r="O885">
        <f>IF(A885&lt;&gt;$K$46,MIN(O884,VLOOKUP(A885,A:D,4)),)</f>
        <v>0.77999997138977051</v>
      </c>
      <c r="P885">
        <f t="shared" si="28"/>
        <v>0.83799999952316284</v>
      </c>
      <c r="Q885">
        <f t="shared" si="23"/>
        <v>0.81378571476255146</v>
      </c>
      <c r="R885">
        <f t="shared" si="24"/>
        <v>2.4214284760611382E-2</v>
      </c>
      <c r="S885">
        <f t="shared" si="25"/>
        <v>1.751360074192489E-2</v>
      </c>
      <c r="T885">
        <f t="shared" si="26"/>
        <v>2.6270401112887332E-4</v>
      </c>
      <c r="U885">
        <f t="shared" si="27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29"/>
        <v>884</v>
      </c>
      <c r="I886">
        <f>SUM($F$3:F886)/H886</f>
        <v>4599380.9093962107</v>
      </c>
      <c r="N886">
        <f>IF(A886&lt;&gt;$K$46,MAX(N885,VLOOKUP(A886,A:C,3)),)</f>
        <v>0.84700000286102295</v>
      </c>
      <c r="O886">
        <f>IF(A886&lt;&gt;$K$46,MIN(O885,VLOOKUP(A886,A:D,4)),)</f>
        <v>0.77999997138977051</v>
      </c>
      <c r="P886">
        <f t="shared" si="28"/>
        <v>0.843666672706604</v>
      </c>
      <c r="Q886">
        <f t="shared" si="23"/>
        <v>0.8178571434248062</v>
      </c>
      <c r="R886">
        <f t="shared" si="24"/>
        <v>2.5809529281797805E-2</v>
      </c>
      <c r="S886">
        <f t="shared" si="25"/>
        <v>1.5965982359282808E-2</v>
      </c>
      <c r="T886">
        <f t="shared" si="26"/>
        <v>2.3948973538924211E-4</v>
      </c>
      <c r="U886">
        <f t="shared" si="27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29"/>
        <v>885</v>
      </c>
      <c r="I887">
        <f>SUM($F$3:F887)/H887</f>
        <v>4597556.1852048021</v>
      </c>
      <c r="N887">
        <f>IF(A887&lt;&gt;$K$46,MAX(N886,VLOOKUP(A887,A:C,3)),)</f>
        <v>0.86699998378753662</v>
      </c>
      <c r="O887">
        <f>IF(A887&lt;&gt;$K$46,MIN(O886,VLOOKUP(A887,A:D,4)),)</f>
        <v>0.77999997138977051</v>
      </c>
      <c r="P887">
        <f t="shared" si="28"/>
        <v>0.85999999443689978</v>
      </c>
      <c r="Q887">
        <f t="shared" si="23"/>
        <v>0.82271428477196462</v>
      </c>
      <c r="R887">
        <f t="shared" si="24"/>
        <v>3.7285709664935163E-2</v>
      </c>
      <c r="S887">
        <f t="shared" si="25"/>
        <v>1.5326530349497896E-2</v>
      </c>
      <c r="T887">
        <f t="shared" si="26"/>
        <v>2.2989795524246842E-4</v>
      </c>
      <c r="U887">
        <f t="shared" si="27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29"/>
        <v>886</v>
      </c>
      <c r="I888">
        <f>SUM($F$3:F888)/H888</f>
        <v>4598325.4389461065</v>
      </c>
      <c r="N888">
        <f>IF(A888&lt;&gt;$K$46,MAX(N887,VLOOKUP(A888,A:C,3)),)</f>
        <v>0.86900001764297485</v>
      </c>
      <c r="O888">
        <f>IF(A888&lt;&gt;$K$46,MIN(O887,VLOOKUP(A888,A:D,4)),)</f>
        <v>0.77999997138977051</v>
      </c>
      <c r="P888">
        <f t="shared" si="28"/>
        <v>0.86200000842412317</v>
      </c>
      <c r="Q888">
        <f t="shared" si="23"/>
        <v>0.82826190335409977</v>
      </c>
      <c r="R888">
        <f t="shared" si="24"/>
        <v>3.3738105070023394E-2</v>
      </c>
      <c r="S888">
        <f t="shared" si="25"/>
        <v>1.4680273678837983E-2</v>
      </c>
      <c r="T888">
        <f t="shared" si="26"/>
        <v>2.2020410518256973E-4</v>
      </c>
      <c r="U888">
        <f t="shared" si="27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29"/>
        <v>887</v>
      </c>
      <c r="I889">
        <f>SUM($F$3:F889)/H889</f>
        <v>4595396.2107173055</v>
      </c>
      <c r="N889">
        <f>IF(A889&lt;&gt;$K$46,MAX(N888,VLOOKUP(A889,A:C,3)),)</f>
        <v>0.86900001764297485</v>
      </c>
      <c r="O889">
        <f>IF(A889&lt;&gt;$K$46,MIN(O888,VLOOKUP(A889,A:D,4)),)</f>
        <v>0.77999997138977051</v>
      </c>
      <c r="P889">
        <f t="shared" si="28"/>
        <v>0.85366666316986084</v>
      </c>
      <c r="Q889">
        <f t="shared" si="23"/>
        <v>0.83326190426236113</v>
      </c>
      <c r="R889">
        <f t="shared" si="24"/>
        <v>2.0404758907499709E-2</v>
      </c>
      <c r="S889">
        <f t="shared" si="25"/>
        <v>1.3442178161776801E-2</v>
      </c>
      <c r="T889">
        <f t="shared" si="26"/>
        <v>2.0163267242665202E-4</v>
      </c>
      <c r="U889">
        <f t="shared" si="27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29"/>
        <v>888</v>
      </c>
      <c r="I890">
        <f>SUM($F$3:F890)/H890</f>
        <v>4591457.9266962279</v>
      </c>
      <c r="N890">
        <f>IF(A890&lt;&gt;$K$46,MAX(N889,VLOOKUP(A890,A:C,3)),)</f>
        <v>0.86900001764297485</v>
      </c>
      <c r="O890">
        <f>IF(A890&lt;&gt;$K$46,MIN(O889,VLOOKUP(A890,A:D,4)),)</f>
        <v>0.77999997138977051</v>
      </c>
      <c r="P890">
        <f t="shared" si="28"/>
        <v>0.856333335240682</v>
      </c>
      <c r="Q890">
        <f t="shared" si="23"/>
        <v>0.83730952228818634</v>
      </c>
      <c r="R890">
        <f t="shared" si="24"/>
        <v>1.9023812952495667E-2</v>
      </c>
      <c r="S890">
        <f t="shared" si="25"/>
        <v>1.2829934253173636E-2</v>
      </c>
      <c r="T890">
        <f t="shared" si="26"/>
        <v>1.9244901379760452E-4</v>
      </c>
      <c r="U890">
        <f t="shared" si="27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29"/>
        <v>889</v>
      </c>
      <c r="I891">
        <f>SUM($F$3:F891)/H891</f>
        <v>4587267.3114805957</v>
      </c>
      <c r="N891">
        <f>IF(A891&lt;&gt;$K$46,MAX(N890,VLOOKUP(A891,A:C,3)),)</f>
        <v>0.86900001764297485</v>
      </c>
      <c r="O891">
        <f>IF(A891&lt;&gt;$K$46,MIN(O890,VLOOKUP(A891,A:D,4)),)</f>
        <v>0.77999997138977051</v>
      </c>
      <c r="P891">
        <f t="shared" si="28"/>
        <v>0.85600000619888306</v>
      </c>
      <c r="Q891">
        <f t="shared" si="23"/>
        <v>0.83992857024783185</v>
      </c>
      <c r="R891">
        <f t="shared" si="24"/>
        <v>1.6071435951051205E-2</v>
      </c>
      <c r="S891">
        <f t="shared" si="25"/>
        <v>1.3156465527151726E-2</v>
      </c>
      <c r="T891">
        <f t="shared" si="26"/>
        <v>1.9734698290727588E-4</v>
      </c>
      <c r="U891">
        <f t="shared" si="27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29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28"/>
        <v>0.83333333333333337</v>
      </c>
      <c r="Q892">
        <f t="shared" si="23"/>
        <v>0.84076190420559482</v>
      </c>
      <c r="R892">
        <f t="shared" si="24"/>
        <v>-7.428570872261453E-3</v>
      </c>
      <c r="S892">
        <f t="shared" si="25"/>
        <v>1.244217927764063E-2</v>
      </c>
      <c r="T892">
        <f t="shared" si="26"/>
        <v>1.8663268916460944E-4</v>
      </c>
      <c r="U892">
        <f t="shared" si="27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29"/>
        <v>891</v>
      </c>
      <c r="I893">
        <f>SUM($F$3:F893)/H893</f>
        <v>4580327.5508207073</v>
      </c>
      <c r="N893">
        <f>IF(A893&lt;&gt;$K$47,MAX(N892,VLOOKUP(A893,A:C,3)),)</f>
        <v>0.8410000205039978</v>
      </c>
      <c r="O893">
        <f>IF(A893&lt;&gt;$K$47,MIN(O892,VLOOKUP(A893,A:D,4)),)</f>
        <v>0.82300001382827759</v>
      </c>
      <c r="P893">
        <f t="shared" si="28"/>
        <v>0.83066668113072717</v>
      </c>
      <c r="Q893">
        <f t="shared" si="23"/>
        <v>0.84150000129427238</v>
      </c>
      <c r="R893">
        <f t="shared" si="24"/>
        <v>-1.0833320163545213E-2</v>
      </c>
      <c r="S893">
        <f t="shared" si="25"/>
        <v>1.1809524630202739E-2</v>
      </c>
      <c r="T893">
        <f t="shared" si="26"/>
        <v>1.7714286945304109E-4</v>
      </c>
      <c r="U893">
        <f t="shared" si="27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29"/>
        <v>892</v>
      </c>
      <c r="I894">
        <f>SUM($F$3:F894)/H894</f>
        <v>4576180.7710552132</v>
      </c>
      <c r="N894">
        <f>IF(A894&lt;&gt;$K$47,MAX(N893,VLOOKUP(A894,A:C,3)),)</f>
        <v>0.8410000205039978</v>
      </c>
      <c r="O894">
        <f>IF(A894&lt;&gt;$K$47,MIN(O893,VLOOKUP(A894,A:D,4)),)</f>
        <v>0.81800001859664917</v>
      </c>
      <c r="P894">
        <f t="shared" si="28"/>
        <v>0.82500000794728601</v>
      </c>
      <c r="Q894">
        <f t="shared" si="23"/>
        <v>0.84145238285972979</v>
      </c>
      <c r="R894">
        <f t="shared" si="24"/>
        <v>-1.6452374912443779E-2</v>
      </c>
      <c r="S894">
        <f t="shared" si="25"/>
        <v>1.1850340431239352E-2</v>
      </c>
      <c r="T894">
        <f t="shared" si="26"/>
        <v>1.7775510646859027E-4</v>
      </c>
      <c r="U894">
        <f t="shared" si="27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29"/>
        <v>893</v>
      </c>
      <c r="I895">
        <f>SUM($F$3:F895)/H895</f>
        <v>4572592.5507068867</v>
      </c>
      <c r="N895">
        <f>IF(A895&lt;&gt;$K$47,MAX(N894,VLOOKUP(A895,A:C,3)),)</f>
        <v>0.8410000205039978</v>
      </c>
      <c r="O895">
        <f>IF(A895&lt;&gt;$K$47,MIN(O894,VLOOKUP(A895,A:D,4)),)</f>
        <v>0.81800001859664917</v>
      </c>
      <c r="P895">
        <f t="shared" si="28"/>
        <v>0.82899999618530273</v>
      </c>
      <c r="Q895">
        <f t="shared" si="23"/>
        <v>0.84171428708803109</v>
      </c>
      <c r="R895">
        <f t="shared" si="24"/>
        <v>-1.2714290902728353E-2</v>
      </c>
      <c r="S895">
        <f t="shared" si="25"/>
        <v>1.1625851092695403E-2</v>
      </c>
      <c r="T895">
        <f t="shared" si="26"/>
        <v>1.7438776639043104E-4</v>
      </c>
      <c r="U895">
        <f t="shared" si="27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29"/>
        <v>894</v>
      </c>
      <c r="I896">
        <f>SUM($F$3:F896)/H896</f>
        <v>4568957.3386814874</v>
      </c>
      <c r="N896">
        <f>IF(A896&lt;&gt;$K$47,MAX(N895,VLOOKUP(A896,A:C,3)),)</f>
        <v>0.84700000286102295</v>
      </c>
      <c r="O896">
        <f>IF(A896&lt;&gt;$K$47,MIN(O895,VLOOKUP(A896,A:D,4)),)</f>
        <v>0.81800001859664917</v>
      </c>
      <c r="P896">
        <f t="shared" si="28"/>
        <v>0.84266666571299231</v>
      </c>
      <c r="Q896">
        <f t="shared" si="23"/>
        <v>0.84278571605682373</v>
      </c>
      <c r="R896">
        <f t="shared" si="24"/>
        <v>-1.1905034383141722E-4</v>
      </c>
      <c r="S896">
        <f t="shared" si="25"/>
        <v>1.0707483405158631E-2</v>
      </c>
      <c r="T896">
        <f t="shared" si="26"/>
        <v>1.6061225107737945E-4</v>
      </c>
      <c r="U896">
        <f t="shared" si="27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29"/>
        <v>895</v>
      </c>
      <c r="I897">
        <f>SUM($F$3:F897)/H897</f>
        <v>4564742.5282472065</v>
      </c>
      <c r="N897">
        <f>IF(A897&lt;&gt;$K$47,MAX(N896,VLOOKUP(A897,A:C,3)),)</f>
        <v>0.84799998998641968</v>
      </c>
      <c r="O897">
        <f>IF(A897&lt;&gt;$K$47,MIN(O896,VLOOKUP(A897,A:D,4)),)</f>
        <v>0.81800001859664917</v>
      </c>
      <c r="P897">
        <f t="shared" si="28"/>
        <v>0.84233331680297852</v>
      </c>
      <c r="Q897">
        <f t="shared" si="23"/>
        <v>0.84321428622518269</v>
      </c>
      <c r="R897">
        <f t="shared" si="24"/>
        <v>-8.8096942220416974E-4</v>
      </c>
      <c r="S897">
        <f t="shared" si="25"/>
        <v>1.0340137546565256E-2</v>
      </c>
      <c r="T897">
        <f t="shared" si="26"/>
        <v>1.5510206319847882E-4</v>
      </c>
      <c r="U897">
        <f t="shared" si="27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29"/>
        <v>896</v>
      </c>
      <c r="I898">
        <f>SUM($F$3:F898)/H898</f>
        <v>4562298.9551130021</v>
      </c>
      <c r="N898">
        <f>IF(A898&lt;&gt;$K$47,MAX(N897,VLOOKUP(A898,A:C,3)),)</f>
        <v>0.84799998998641968</v>
      </c>
      <c r="O898">
        <f>IF(A898&lt;&gt;$K$47,MIN(O897,VLOOKUP(A898,A:D,4)),)</f>
        <v>0.81800001859664917</v>
      </c>
      <c r="P898">
        <f t="shared" si="28"/>
        <v>0.83799999952316284</v>
      </c>
      <c r="Q898">
        <f t="shared" si="23"/>
        <v>0.84361904859542836</v>
      </c>
      <c r="R898">
        <f t="shared" si="24"/>
        <v>-5.619049072265514E-3</v>
      </c>
      <c r="S898">
        <f t="shared" si="25"/>
        <v>9.993198372068841E-3</v>
      </c>
      <c r="T898">
        <f t="shared" si="26"/>
        <v>1.4989797558103262E-4</v>
      </c>
      <c r="U898">
        <f t="shared" si="27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29"/>
        <v>897</v>
      </c>
      <c r="I899">
        <f>SUM($F$3:F899)/H899</f>
        <v>4558944.1067795428</v>
      </c>
      <c r="N899">
        <f>IF(A899&lt;&gt;$K$47,MAX(N898,VLOOKUP(A899,A:C,3)),)</f>
        <v>0.84799998998641968</v>
      </c>
      <c r="O899">
        <f>IF(A899&lt;&gt;$K$47,MIN(O898,VLOOKUP(A899,A:D,4)),)</f>
        <v>0.81800001859664917</v>
      </c>
      <c r="P899">
        <f t="shared" si="28"/>
        <v>0.83233332633972168</v>
      </c>
      <c r="Q899">
        <f t="shared" si="23"/>
        <v>0.84321428622518257</v>
      </c>
      <c r="R899">
        <f t="shared" si="24"/>
        <v>-1.0880959885460895E-2</v>
      </c>
      <c r="S899">
        <f t="shared" si="25"/>
        <v>1.034013754656524E-2</v>
      </c>
      <c r="T899">
        <f t="shared" si="26"/>
        <v>1.551020631984786E-4</v>
      </c>
      <c r="U899">
        <f t="shared" si="27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29"/>
        <v>898</v>
      </c>
      <c r="I900">
        <f>SUM($F$3:F900)/H900</f>
        <v>4555765.1055470491</v>
      </c>
      <c r="N900">
        <f>IF(A900&lt;&gt;$K$47,MAX(N899,VLOOKUP(A900,A:C,3)),)</f>
        <v>0.84799998998641968</v>
      </c>
      <c r="O900">
        <f>IF(A900&lt;&gt;$K$47,MIN(O899,VLOOKUP(A900,A:D,4)),)</f>
        <v>0.81800001859664917</v>
      </c>
      <c r="P900">
        <f t="shared" si="28"/>
        <v>0.83600000540415442</v>
      </c>
      <c r="Q900">
        <f t="shared" si="23"/>
        <v>0.84266666713215055</v>
      </c>
      <c r="R900">
        <f t="shared" si="24"/>
        <v>-6.666661727996126E-3</v>
      </c>
      <c r="S900">
        <f t="shared" si="25"/>
        <v>1.0666667401385142E-2</v>
      </c>
      <c r="T900">
        <f t="shared" si="26"/>
        <v>1.6000001102077713E-4</v>
      </c>
      <c r="U900">
        <f t="shared" si="27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29"/>
        <v>899</v>
      </c>
      <c r="I901">
        <f>SUM($F$3:F901)/H901</f>
        <v>4552226.2122149607</v>
      </c>
      <c r="N901">
        <f>IF(A901&lt;&gt;$K$47,MAX(N900,VLOOKUP(A901,A:C,3)),)</f>
        <v>0.84799998998641968</v>
      </c>
      <c r="O901">
        <f>IF(A901&lt;&gt;$K$47,MIN(O900,VLOOKUP(A901,A:D,4)),)</f>
        <v>0.81800001859664917</v>
      </c>
      <c r="P901">
        <f t="shared" si="28"/>
        <v>0.82866666714350379</v>
      </c>
      <c r="Q901">
        <f t="shared" si="23"/>
        <v>0.8404285723254793</v>
      </c>
      <c r="R901">
        <f t="shared" si="24"/>
        <v>-1.1761905181975507E-2</v>
      </c>
      <c r="S901">
        <f t="shared" si="25"/>
        <v>1.0061223085234747E-2</v>
      </c>
      <c r="T901">
        <f t="shared" si="26"/>
        <v>1.509183462785212E-4</v>
      </c>
      <c r="U901">
        <f t="shared" si="27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29"/>
        <v>900</v>
      </c>
      <c r="I902">
        <f>SUM($F$3:F902)/H902</f>
        <v>4548877.6286458336</v>
      </c>
      <c r="N902">
        <f>IF(A902&lt;&gt;$K$47,MAX(N901,VLOOKUP(A902,A:C,3)),)</f>
        <v>0.84799998998641968</v>
      </c>
      <c r="O902">
        <f>IF(A902&lt;&gt;$K$47,MIN(O901,VLOOKUP(A902,A:D,4)),)</f>
        <v>0.81800001859664917</v>
      </c>
      <c r="P902">
        <f t="shared" si="28"/>
        <v>0.83799999952316284</v>
      </c>
      <c r="Q902">
        <f t="shared" si="23"/>
        <v>0.83871428597541076</v>
      </c>
      <c r="R902">
        <f t="shared" si="24"/>
        <v>-7.1428645224791421E-4</v>
      </c>
      <c r="S902">
        <f t="shared" si="25"/>
        <v>8.2040796069060649E-3</v>
      </c>
      <c r="T902">
        <f t="shared" si="26"/>
        <v>1.2306119410359097E-4</v>
      </c>
      <c r="U902">
        <f t="shared" si="27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29"/>
        <v>901</v>
      </c>
      <c r="I903">
        <f>SUM($F$3:F903)/H903</f>
        <v>4544648.5768937292</v>
      </c>
      <c r="N903">
        <f>IF(A903&lt;&gt;$K$47,MAX(N902,VLOOKUP(A903,A:C,3)),)</f>
        <v>0.84799998998641968</v>
      </c>
      <c r="O903">
        <f>IF(A903&lt;&gt;$K$47,MIN(O902,VLOOKUP(A903,A:D,4)),)</f>
        <v>0.81800001859664917</v>
      </c>
      <c r="P903">
        <f t="shared" si="28"/>
        <v>0.84133332967758179</v>
      </c>
      <c r="Q903">
        <f t="shared" si="23"/>
        <v>0.83783333358310508</v>
      </c>
      <c r="R903">
        <f t="shared" si="24"/>
        <v>3.4999960944767095E-3</v>
      </c>
      <c r="S903">
        <f t="shared" si="25"/>
        <v>7.1190453711010137E-3</v>
      </c>
      <c r="T903">
        <f t="shared" si="26"/>
        <v>1.067856805665152E-4</v>
      </c>
      <c r="U903">
        <f t="shared" si="27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29"/>
        <v>902</v>
      </c>
      <c r="I904">
        <f>SUM($F$3:F904)/H904</f>
        <v>4543174.916608925</v>
      </c>
      <c r="N904">
        <f>IF(A904&lt;&gt;$K$47,MAX(N903,VLOOKUP(A904,A:C,3)),)</f>
        <v>0.85100001096725464</v>
      </c>
      <c r="O904">
        <f>IF(A904&lt;&gt;$K$47,MIN(O903,VLOOKUP(A904,A:D,4)),)</f>
        <v>0.81800001859664917</v>
      </c>
      <c r="P904">
        <f t="shared" si="28"/>
        <v>0.84700000286102295</v>
      </c>
      <c r="Q904">
        <f t="shared" si="23"/>
        <v>0.83716666698455811</v>
      </c>
      <c r="R904">
        <f t="shared" si="24"/>
        <v>9.8333358764648438E-3</v>
      </c>
      <c r="S904">
        <f t="shared" si="25"/>
        <v>6.4523787725539383E-3</v>
      </c>
      <c r="T904">
        <f t="shared" si="26"/>
        <v>9.678568158830907E-5</v>
      </c>
      <c r="U904">
        <f t="shared" si="27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29"/>
        <v>903</v>
      </c>
      <c r="I905">
        <f>SUM($F$3:F905)/H905</f>
        <v>4539766.8768341634</v>
      </c>
      <c r="N905">
        <f>IF(A905&lt;&gt;$K$47,MAX(N904,VLOOKUP(A905,A:C,3)),)</f>
        <v>0.85399997234344482</v>
      </c>
      <c r="O905">
        <f>IF(A905&lt;&gt;$K$47,MIN(O904,VLOOKUP(A905,A:D,4)),)</f>
        <v>0.81800001859664917</v>
      </c>
      <c r="P905">
        <f t="shared" si="28"/>
        <v>0.85033333301544189</v>
      </c>
      <c r="Q905">
        <f t="shared" si="23"/>
        <v>0.83676190461431232</v>
      </c>
      <c r="R905">
        <f t="shared" si="24"/>
        <v>1.357142840112957E-2</v>
      </c>
      <c r="S905">
        <f t="shared" si="25"/>
        <v>6.0476164023081412E-3</v>
      </c>
      <c r="T905">
        <f t="shared" si="26"/>
        <v>9.0714246034622118E-5</v>
      </c>
      <c r="U905">
        <f t="shared" si="27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29"/>
        <v>904</v>
      </c>
      <c r="I906">
        <f>SUM($F$3:F906)/H906</f>
        <v>4536300.1855987282</v>
      </c>
      <c r="N906">
        <f>IF(A906&lt;&gt;$K$47,MAX(N905,VLOOKUP(A906,A:C,3)),)</f>
        <v>0.85399997234344482</v>
      </c>
      <c r="O906">
        <f>IF(A906&lt;&gt;$K$47,MIN(O905,VLOOKUP(A906,A:D,4)),)</f>
        <v>0.81800001859664917</v>
      </c>
      <c r="P906">
        <f t="shared" si="28"/>
        <v>0.84599999586741126</v>
      </c>
      <c r="Q906">
        <f t="shared" si="23"/>
        <v>0.8376666662238893</v>
      </c>
      <c r="R906">
        <f t="shared" si="24"/>
        <v>8.3333296435219584E-3</v>
      </c>
      <c r="S906">
        <f t="shared" si="25"/>
        <v>6.3333304560914284E-3</v>
      </c>
      <c r="T906">
        <f t="shared" si="26"/>
        <v>9.4999956841371425E-5</v>
      </c>
      <c r="U906">
        <f t="shared" si="27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29"/>
        <v>905</v>
      </c>
      <c r="I907">
        <f>SUM($F$3:F907)/H907</f>
        <v>4533247.3677140884</v>
      </c>
      <c r="N907">
        <f>IF(A907&lt;&gt;$K$47,MAX(N906,VLOOKUP(A907,A:C,3)),)</f>
        <v>0.85399997234344482</v>
      </c>
      <c r="O907">
        <f>IF(A907&lt;&gt;$K$47,MIN(O906,VLOOKUP(A907,A:D,4)),)</f>
        <v>0.81800001859664917</v>
      </c>
      <c r="P907">
        <f t="shared" si="28"/>
        <v>0.82933334509531653</v>
      </c>
      <c r="Q907">
        <f t="shared" si="23"/>
        <v>0.83757142793564565</v>
      </c>
      <c r="R907">
        <f t="shared" si="24"/>
        <v>-8.2380828403291195E-3</v>
      </c>
      <c r="S907">
        <f t="shared" si="25"/>
        <v>6.4421742140841386E-3</v>
      </c>
      <c r="T907">
        <f t="shared" si="26"/>
        <v>9.6632613211262075E-5</v>
      </c>
      <c r="U907">
        <f t="shared" si="27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29"/>
        <v>906</v>
      </c>
      <c r="I908">
        <f>SUM($F$3:F908)/H908</f>
        <v>4529720.7160940953</v>
      </c>
      <c r="N908">
        <f>IF(A908&lt;&gt;$K$47,MAX(N907,VLOOKUP(A908,A:C,3)),)</f>
        <v>0.85399997234344482</v>
      </c>
      <c r="O908">
        <f>IF(A908&lt;&gt;$K$47,MIN(O907,VLOOKUP(A908,A:D,4)),)</f>
        <v>0.81499999761581421</v>
      </c>
      <c r="P908">
        <f t="shared" si="28"/>
        <v>0.82166667779286706</v>
      </c>
      <c r="Q908">
        <f t="shared" si="23"/>
        <v>0.83733333292461576</v>
      </c>
      <c r="R908">
        <f t="shared" si="24"/>
        <v>-1.5666655131748697E-2</v>
      </c>
      <c r="S908">
        <f t="shared" si="25"/>
        <v>6.7142827981183329E-3</v>
      </c>
      <c r="T908">
        <f t="shared" si="26"/>
        <v>1.0071424197177499E-4</v>
      </c>
      <c r="U908">
        <f t="shared" si="27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29"/>
        <v>907</v>
      </c>
      <c r="I909">
        <f>SUM($F$3:F909)/H909</f>
        <v>4526296.5477191294</v>
      </c>
      <c r="N909">
        <f>IF(A909&lt;&gt;$K$47,MAX(N908,VLOOKUP(A909,A:C,3)),)</f>
        <v>0.85399997234344482</v>
      </c>
      <c r="O909">
        <f>IF(A909&lt;&gt;$K$47,MIN(O908,VLOOKUP(A909,A:D,4)),)</f>
        <v>0.81499999761581421</v>
      </c>
      <c r="P909">
        <f t="shared" si="28"/>
        <v>0.82433332999547326</v>
      </c>
      <c r="Q909">
        <f t="shared" si="23"/>
        <v>0.83699999962534222</v>
      </c>
      <c r="R909">
        <f t="shared" si="24"/>
        <v>-1.2666669629868954E-2</v>
      </c>
      <c r="S909">
        <f t="shared" si="25"/>
        <v>7.0952351401452297E-3</v>
      </c>
      <c r="T909">
        <f t="shared" si="26"/>
        <v>1.0642852710217844E-4</v>
      </c>
      <c r="U909">
        <f t="shared" si="27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29"/>
        <v>908</v>
      </c>
      <c r="I910">
        <f>SUM($F$3:F910)/H910</f>
        <v>4525278.7101115091</v>
      </c>
      <c r="N910">
        <f>IF(A910&lt;&gt;$K$47,MAX(N909,VLOOKUP(A910,A:C,3)),)</f>
        <v>0.85399997234344482</v>
      </c>
      <c r="O910">
        <f>IF(A910&lt;&gt;$K$47,MIN(O909,VLOOKUP(A910,A:D,4)),)</f>
        <v>0.81499999761581421</v>
      </c>
      <c r="P910">
        <f t="shared" si="28"/>
        <v>0.8220000068346659</v>
      </c>
      <c r="Q910">
        <f t="shared" si="23"/>
        <v>0.83552380970546181</v>
      </c>
      <c r="R910">
        <f t="shared" si="24"/>
        <v>-1.3523802870795909E-2</v>
      </c>
      <c r="S910">
        <f t="shared" si="25"/>
        <v>7.8299292901746198E-3</v>
      </c>
      <c r="T910">
        <f t="shared" si="26"/>
        <v>1.1744893935261929E-4</v>
      </c>
      <c r="U910">
        <f t="shared" si="27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29"/>
        <v>909</v>
      </c>
      <c r="I911">
        <f>SUM($F$3:F911)/H911</f>
        <v>4535155.7412334988</v>
      </c>
      <c r="N911">
        <f>IF(A911&lt;&gt;$K$47,MAX(N910,VLOOKUP(A911,A:C,3)),)</f>
        <v>0.85399997234344482</v>
      </c>
      <c r="O911">
        <f>IF(A911&lt;&gt;$K$47,MIN(O910,VLOOKUP(A911,A:D,4)),)</f>
        <v>0.81499999761581421</v>
      </c>
      <c r="P911">
        <f t="shared" si="28"/>
        <v>0.82499998807907104</v>
      </c>
      <c r="Q911">
        <f t="shared" si="23"/>
        <v>0.83428571479661129</v>
      </c>
      <c r="R911">
        <f t="shared" si="24"/>
        <v>-9.2857267175402436E-3</v>
      </c>
      <c r="S911">
        <f t="shared" si="25"/>
        <v>8.0952374708084807E-3</v>
      </c>
      <c r="T911">
        <f t="shared" si="26"/>
        <v>1.214285620621272E-4</v>
      </c>
      <c r="U911">
        <f t="shared" si="27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29"/>
        <v>910</v>
      </c>
      <c r="I912">
        <f>SUM($F$3:F912)/H912</f>
        <v>4551578.1041552201</v>
      </c>
      <c r="N912">
        <f>IF(A912&lt;&gt;$K$47,MAX(N911,VLOOKUP(A912,A:C,3)),)</f>
        <v>0.85399997234344482</v>
      </c>
      <c r="O912">
        <f>IF(A912&lt;&gt;$K$47,MIN(O911,VLOOKUP(A912,A:D,4)),)</f>
        <v>0.81499999761581421</v>
      </c>
      <c r="P912">
        <f t="shared" si="28"/>
        <v>0.82233333587646484</v>
      </c>
      <c r="Q912">
        <f t="shared" si="23"/>
        <v>0.83316666739327572</v>
      </c>
      <c r="R912">
        <f t="shared" si="24"/>
        <v>-1.0833331516810873E-2</v>
      </c>
      <c r="S912">
        <f t="shared" si="25"/>
        <v>8.5238088555887482E-3</v>
      </c>
      <c r="T912">
        <f t="shared" si="26"/>
        <v>1.2785713283383122E-4</v>
      </c>
      <c r="U912">
        <f t="shared" si="27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29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28"/>
        <v>0.81466668844223022</v>
      </c>
      <c r="Q913">
        <f t="shared" si="23"/>
        <v>0.83190476468631203</v>
      </c>
      <c r="R913">
        <f t="shared" si="24"/>
        <v>-1.7238076244081801E-2</v>
      </c>
      <c r="S913">
        <f t="shared" si="25"/>
        <v>9.6054397472718957E-3</v>
      </c>
      <c r="T913">
        <f t="shared" si="26"/>
        <v>1.4408159620907842E-4</v>
      </c>
      <c r="U913">
        <f t="shared" si="27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29"/>
        <v>912</v>
      </c>
      <c r="I914">
        <f>SUM($F$3:F914)/H914</f>
        <v>4547956.8802425982</v>
      </c>
      <c r="N914">
        <f>IF(A914&lt;&gt;$K$48,MAX(N913,VLOOKUP(A914,A:C,3)),)</f>
        <v>0.82200002670288086</v>
      </c>
      <c r="O914">
        <f>IF(A914&lt;&gt;$K$48,MIN(O913,VLOOKUP(A914,A:D,4)),)</f>
        <v>0.80800002813339233</v>
      </c>
      <c r="P914">
        <f t="shared" si="28"/>
        <v>0.81466668844223022</v>
      </c>
      <c r="Q914">
        <f t="shared" si="23"/>
        <v>0.8303809563318888</v>
      </c>
      <c r="R914">
        <f t="shared" si="24"/>
        <v>-1.5714267889658573E-2</v>
      </c>
      <c r="S914">
        <f t="shared" si="25"/>
        <v>1.010883989788236E-2</v>
      </c>
      <c r="T914">
        <f t="shared" si="26"/>
        <v>1.5163259846823541E-4</v>
      </c>
      <c r="U914">
        <f t="shared" si="27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29"/>
        <v>913</v>
      </c>
      <c r="I915">
        <f>SUM($F$3:F915)/H915</f>
        <v>4550724.6164088175</v>
      </c>
      <c r="N915">
        <f>IF(A915&lt;&gt;$K$48,MAX(N914,VLOOKUP(A915,A:C,3)),)</f>
        <v>0.82200002670288086</v>
      </c>
      <c r="O915">
        <f>IF(A915&lt;&gt;$K$48,MIN(O914,VLOOKUP(A915,A:D,4)),)</f>
        <v>0.80699998140335083</v>
      </c>
      <c r="P915">
        <f t="shared" si="28"/>
        <v>0.81000000238418579</v>
      </c>
      <c r="Q915">
        <f t="shared" si="23"/>
        <v>0.82904762313479474</v>
      </c>
      <c r="R915">
        <f t="shared" si="24"/>
        <v>-1.9047620750608951E-2</v>
      </c>
      <c r="S915">
        <f t="shared" si="25"/>
        <v>1.1102038175881315E-2</v>
      </c>
      <c r="T915">
        <f t="shared" si="26"/>
        <v>1.6653057263821971E-4</v>
      </c>
      <c r="U915">
        <f t="shared" si="27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29"/>
        <v>914</v>
      </c>
      <c r="I916">
        <f>SUM($F$3:F916)/H916</f>
        <v>4548315.5085134022</v>
      </c>
      <c r="N916">
        <f>IF(A916&lt;&gt;$K$48,MAX(N915,VLOOKUP(A916,A:C,3)),)</f>
        <v>0.82200002670288086</v>
      </c>
      <c r="O916">
        <f>IF(A916&lt;&gt;$K$48,MIN(O915,VLOOKUP(A916,A:D,4)),)</f>
        <v>0.80699998140335083</v>
      </c>
      <c r="P916">
        <f t="shared" si="28"/>
        <v>0.81033335129419959</v>
      </c>
      <c r="Q916">
        <f t="shared" si="23"/>
        <v>0.82707143397558291</v>
      </c>
      <c r="R916">
        <f t="shared" si="24"/>
        <v>-1.6738082681383326E-2</v>
      </c>
      <c r="S916">
        <f t="shared" si="25"/>
        <v>1.1234690948408439E-2</v>
      </c>
      <c r="T916">
        <f t="shared" si="26"/>
        <v>1.6852036422612657E-4</v>
      </c>
      <c r="U916">
        <f t="shared" si="27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29"/>
        <v>915</v>
      </c>
      <c r="I917">
        <f>SUM($F$3:F917)/H917</f>
        <v>4547988.8248975407</v>
      </c>
      <c r="N917">
        <f>IF(A917&lt;&gt;$K$48,MAX(N916,VLOOKUP(A917,A:C,3)),)</f>
        <v>0.82200002670288086</v>
      </c>
      <c r="O917">
        <f>IF(A917&lt;&gt;$K$48,MIN(O916,VLOOKUP(A917,A:D,4)),)</f>
        <v>0.79199999570846558</v>
      </c>
      <c r="P917">
        <f t="shared" si="28"/>
        <v>0.79666668176651001</v>
      </c>
      <c r="Q917">
        <f t="shared" si="23"/>
        <v>0.82388095912479209</v>
      </c>
      <c r="R917">
        <f t="shared" si="24"/>
        <v>-2.721427735828208E-2</v>
      </c>
      <c r="S917">
        <f t="shared" si="25"/>
        <v>1.1244891452140535E-2</v>
      </c>
      <c r="T917">
        <f t="shared" si="26"/>
        <v>1.6867337178210802E-4</v>
      </c>
      <c r="U917">
        <f t="shared" si="27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29"/>
        <v>916</v>
      </c>
      <c r="I918">
        <f>SUM($F$3:F918)/H918</f>
        <v>4548904.8949576961</v>
      </c>
      <c r="N918">
        <f>IF(A918&lt;&gt;$K$48,MAX(N917,VLOOKUP(A918,A:C,3)),)</f>
        <v>0.82200002670288086</v>
      </c>
      <c r="O918">
        <f>IF(A918&lt;&gt;$K$48,MIN(O917,VLOOKUP(A918,A:D,4)),)</f>
        <v>0.7149999737739563</v>
      </c>
      <c r="P918">
        <f t="shared" si="28"/>
        <v>0.74066666762034095</v>
      </c>
      <c r="Q918">
        <f t="shared" si="23"/>
        <v>0.81628572089331486</v>
      </c>
      <c r="R918">
        <f t="shared" si="24"/>
        <v>-7.5619053272973913E-2</v>
      </c>
      <c r="S918">
        <f t="shared" si="25"/>
        <v>1.5816320772884664E-2</v>
      </c>
      <c r="T918">
        <f t="shared" si="26"/>
        <v>2.3724481159326995E-4</v>
      </c>
      <c r="U918">
        <f t="shared" si="27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29"/>
        <v>917</v>
      </c>
      <c r="I919">
        <f>SUM($F$3:F919)/H919</f>
        <v>4548555.4959446564</v>
      </c>
      <c r="N919">
        <f>IF(A919&lt;&gt;$K$48,MAX(N918,VLOOKUP(A919,A:C,3)),)</f>
        <v>0.82200002670288086</v>
      </c>
      <c r="O919">
        <f>IF(A919&lt;&gt;$K$48,MIN(O918,VLOOKUP(A919,A:D,4)),)</f>
        <v>0.70599997043609619</v>
      </c>
      <c r="P919">
        <f t="shared" si="28"/>
        <v>0.71833332379659021</v>
      </c>
      <c r="Q919">
        <f t="shared" si="23"/>
        <v>0.80685714880625414</v>
      </c>
      <c r="R919">
        <f t="shared" si="24"/>
        <v>-8.8523825009663937E-2</v>
      </c>
      <c r="S919">
        <f t="shared" si="25"/>
        <v>2.355782474790296E-2</v>
      </c>
      <c r="T919">
        <f t="shared" si="26"/>
        <v>3.533673712185444E-4</v>
      </c>
      <c r="U919">
        <f t="shared" si="27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29"/>
        <v>918</v>
      </c>
      <c r="I920">
        <f>SUM($F$3:F920)/H920</f>
        <v>4548941.4986723857</v>
      </c>
      <c r="N920">
        <f>IF(A920&lt;&gt;$K$48,MAX(N919,VLOOKUP(A920,A:C,3)),)</f>
        <v>0.82200002670288086</v>
      </c>
      <c r="O920">
        <f>IF(A920&lt;&gt;$K$48,MIN(O919,VLOOKUP(A920,A:D,4)),)</f>
        <v>0.6589999794960022</v>
      </c>
      <c r="P920">
        <f t="shared" si="28"/>
        <v>0.70299998919169104</v>
      </c>
      <c r="Q920">
        <f t="shared" si="23"/>
        <v>0.79664286261513106</v>
      </c>
      <c r="R920">
        <f t="shared" si="24"/>
        <v>-9.3642873423440021E-2</v>
      </c>
      <c r="S920">
        <f t="shared" si="25"/>
        <v>3.2561229605253129E-2</v>
      </c>
      <c r="T920">
        <f t="shared" si="26"/>
        <v>4.8841844407879697E-4</v>
      </c>
      <c r="U920">
        <f t="shared" si="27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29"/>
        <v>919</v>
      </c>
      <c r="I921">
        <f>SUM($F$3:F921)/H921</f>
        <v>4547161.1531896079</v>
      </c>
      <c r="N921">
        <f>IF(A921&lt;&gt;$K$48,MAX(N920,VLOOKUP(A921,A:C,3)),)</f>
        <v>0.82200002670288086</v>
      </c>
      <c r="O921">
        <f>IF(A921&lt;&gt;$K$48,MIN(O920,VLOOKUP(A921,A:D,4)),)</f>
        <v>0.6589999794960022</v>
      </c>
      <c r="P921">
        <f t="shared" si="28"/>
        <v>0.74099999666213989</v>
      </c>
      <c r="Q921">
        <f t="shared" si="23"/>
        <v>0.79033333772704706</v>
      </c>
      <c r="R921">
        <f t="shared" si="24"/>
        <v>-4.9333341064907166E-2</v>
      </c>
      <c r="S921">
        <f t="shared" si="25"/>
        <v>3.6904767662489533E-2</v>
      </c>
      <c r="T921">
        <f t="shared" si="26"/>
        <v>5.5357151493734297E-4</v>
      </c>
      <c r="U921">
        <f t="shared" si="27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29"/>
        <v>920</v>
      </c>
      <c r="I922">
        <f>SUM($F$3:F922)/H922</f>
        <v>4546529.6736752717</v>
      </c>
      <c r="N922">
        <f>IF(A922&lt;&gt;$K$48,MAX(N921,VLOOKUP(A922,A:C,3)),)</f>
        <v>0.82200002670288086</v>
      </c>
      <c r="O922">
        <f>IF(A922&lt;&gt;$K$48,MIN(O921,VLOOKUP(A922,A:D,4)),)</f>
        <v>0.6589999794960022</v>
      </c>
      <c r="P922">
        <f t="shared" si="28"/>
        <v>0.75099998712539673</v>
      </c>
      <c r="Q922">
        <f t="shared" si="23"/>
        <v>0.78528571696508498</v>
      </c>
      <c r="R922">
        <f t="shared" si="24"/>
        <v>-3.428572983968825E-2</v>
      </c>
      <c r="S922">
        <f t="shared" si="25"/>
        <v>3.8918374347038008E-2</v>
      </c>
      <c r="T922">
        <f t="shared" si="26"/>
        <v>5.8377561520557011E-4</v>
      </c>
      <c r="U922">
        <f t="shared" si="27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29"/>
        <v>921</v>
      </c>
      <c r="I923">
        <f>SUM($F$3:F923)/H923</f>
        <v>4545480.1509568403</v>
      </c>
      <c r="N923">
        <f>IF(A923&lt;&gt;$K$48,MAX(N922,VLOOKUP(A923,A:C,3)),)</f>
        <v>0.82200002670288086</v>
      </c>
      <c r="O923">
        <f>IF(A923&lt;&gt;$K$48,MIN(O922,VLOOKUP(A923,A:D,4)),)</f>
        <v>0.6589999794960022</v>
      </c>
      <c r="P923">
        <f t="shared" si="28"/>
        <v>0.76166667540868127</v>
      </c>
      <c r="Q923">
        <f t="shared" si="23"/>
        <v>0.78080952735174269</v>
      </c>
      <c r="R923">
        <f t="shared" si="24"/>
        <v>-1.9142851943061423E-2</v>
      </c>
      <c r="S923">
        <f t="shared" si="25"/>
        <v>3.8455789186516584E-2</v>
      </c>
      <c r="T923">
        <f t="shared" si="26"/>
        <v>5.7683683779774877E-4</v>
      </c>
      <c r="U923">
        <f t="shared" si="27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29"/>
        <v>922</v>
      </c>
      <c r="I924">
        <f>SUM($F$3:F924)/H924</f>
        <v>4544457.070532809</v>
      </c>
      <c r="N924">
        <f>IF(A924&lt;&gt;$K$48,MAX(N923,VLOOKUP(A924,A:C,3)),)</f>
        <v>0.82200002670288086</v>
      </c>
      <c r="O924">
        <f>IF(A924&lt;&gt;$K$48,MIN(O923,VLOOKUP(A924,A:D,4)),)</f>
        <v>0.6589999794960022</v>
      </c>
      <c r="P924">
        <f t="shared" si="28"/>
        <v>0.75700000921885169</v>
      </c>
      <c r="Q924">
        <f t="shared" si="23"/>
        <v>0.77616667037918463</v>
      </c>
      <c r="R924">
        <f t="shared" si="24"/>
        <v>-1.9166661160332943E-2</v>
      </c>
      <c r="S924">
        <f t="shared" si="25"/>
        <v>3.721429194722857E-2</v>
      </c>
      <c r="T924">
        <f t="shared" si="26"/>
        <v>5.5821437920842857E-4</v>
      </c>
      <c r="U924">
        <f t="shared" si="27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29"/>
        <v>923</v>
      </c>
      <c r="I925">
        <f>SUM($F$3:F925)/H925</f>
        <v>4543720.1722982125</v>
      </c>
      <c r="N925">
        <f>IF(A925&lt;&gt;$K$48,MAX(N924,VLOOKUP(A925,A:C,3)),)</f>
        <v>0.82200002670288086</v>
      </c>
      <c r="O925">
        <f>IF(A925&lt;&gt;$K$48,MIN(O924,VLOOKUP(A925,A:D,4)),)</f>
        <v>0.6589999794960022</v>
      </c>
      <c r="P925">
        <f t="shared" si="28"/>
        <v>0.74666666984558105</v>
      </c>
      <c r="Q925">
        <f t="shared" si="23"/>
        <v>0.77057143336250677</v>
      </c>
      <c r="R925">
        <f t="shared" si="24"/>
        <v>-2.390476351692572E-2</v>
      </c>
      <c r="S925">
        <f t="shared" si="25"/>
        <v>3.5034021147254388E-2</v>
      </c>
      <c r="T925">
        <f t="shared" si="26"/>
        <v>5.2551031720881583E-4</v>
      </c>
      <c r="U925">
        <f t="shared" si="27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29"/>
        <v>924</v>
      </c>
      <c r="I926">
        <f>SUM($F$3:F926)/H926</f>
        <v>4540372.2089082794</v>
      </c>
      <c r="N926">
        <f>IF(A926&lt;&gt;$K$48,MAX(N925,VLOOKUP(A926,A:C,3)),)</f>
        <v>0.82200002670288086</v>
      </c>
      <c r="O926">
        <f>IF(A926&lt;&gt;$K$48,MIN(O925,VLOOKUP(A926,A:D,4)),)</f>
        <v>0.6589999794960022</v>
      </c>
      <c r="P926">
        <f t="shared" si="28"/>
        <v>0.74933334191640222</v>
      </c>
      <c r="Q926">
        <f t="shared" si="23"/>
        <v>0.76535714807964506</v>
      </c>
      <c r="R926">
        <f t="shared" si="24"/>
        <v>-1.6023806163242837E-2</v>
      </c>
      <c r="S926">
        <f t="shared" si="25"/>
        <v>3.1363953133018645E-2</v>
      </c>
      <c r="T926">
        <f t="shared" si="26"/>
        <v>4.7045929699527966E-4</v>
      </c>
      <c r="U926">
        <f t="shared" si="27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29"/>
        <v>925</v>
      </c>
      <c r="I927">
        <f>SUM($F$3:F927)/H927</f>
        <v>4536528.8896959461</v>
      </c>
      <c r="N927">
        <f>IF(A927&lt;&gt;$K$48,MAX(N926,VLOOKUP(A927,A:C,3)),)</f>
        <v>0.82200002670288086</v>
      </c>
      <c r="O927">
        <f>IF(A927&lt;&gt;$K$48,MIN(O926,VLOOKUP(A927,A:D,4)),)</f>
        <v>0.6589999794960022</v>
      </c>
      <c r="P927">
        <f t="shared" si="28"/>
        <v>0.74766667683919275</v>
      </c>
      <c r="Q927">
        <f t="shared" si="23"/>
        <v>0.7605714329651424</v>
      </c>
      <c r="R927">
        <f t="shared" si="24"/>
        <v>-1.2904756125949657E-2</v>
      </c>
      <c r="S927">
        <f t="shared" si="25"/>
        <v>2.7210890638584999E-2</v>
      </c>
      <c r="T927">
        <f t="shared" si="26"/>
        <v>4.0816335957877497E-4</v>
      </c>
      <c r="U927">
        <f t="shared" si="27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29"/>
        <v>926</v>
      </c>
      <c r="I928">
        <f>SUM($F$3:F928)/H928</f>
        <v>4533544.9837675486</v>
      </c>
      <c r="N928">
        <f>IF(A928&lt;&gt;$K$48,MAX(N927,VLOOKUP(A928,A:C,3)),)</f>
        <v>0.82200002670288086</v>
      </c>
      <c r="O928">
        <f>IF(A928&lt;&gt;$K$48,MIN(O927,VLOOKUP(A928,A:D,4)),)</f>
        <v>0.6589999794960022</v>
      </c>
      <c r="P928">
        <f t="shared" si="28"/>
        <v>0.75666668017705285</v>
      </c>
      <c r="Q928">
        <f t="shared" si="23"/>
        <v>0.75642857523191542</v>
      </c>
      <c r="R928">
        <f t="shared" si="24"/>
        <v>2.3810494513742952E-4</v>
      </c>
      <c r="S928">
        <f t="shared" si="25"/>
        <v>2.1965992693998373E-2</v>
      </c>
      <c r="T928">
        <f t="shared" si="26"/>
        <v>3.294898904099756E-4</v>
      </c>
      <c r="U928">
        <f t="shared" si="27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29"/>
        <v>927</v>
      </c>
      <c r="I929">
        <f>SUM($F$3:F929)/H929</f>
        <v>4530293.5921992986</v>
      </c>
      <c r="N929">
        <f>IF(A929&lt;&gt;$K$48,MAX(N928,VLOOKUP(A929,A:C,3)),)</f>
        <v>0.82200002670288086</v>
      </c>
      <c r="O929">
        <f>IF(A929&lt;&gt;$K$48,MIN(O928,VLOOKUP(A929,A:D,4)),)</f>
        <v>0.6589999794960022</v>
      </c>
      <c r="P929">
        <f t="shared" si="28"/>
        <v>0.768666664759318</v>
      </c>
      <c r="Q929">
        <f t="shared" si="23"/>
        <v>0.75347619397299626</v>
      </c>
      <c r="R929">
        <f t="shared" si="24"/>
        <v>1.5190470786321741E-2</v>
      </c>
      <c r="S929">
        <f t="shared" si="25"/>
        <v>1.8591842683805076E-2</v>
      </c>
      <c r="T929">
        <f t="shared" si="26"/>
        <v>2.7887764025707611E-4</v>
      </c>
      <c r="U929">
        <f t="shared" si="27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29"/>
        <v>928</v>
      </c>
      <c r="I930">
        <f>SUM($F$3:F930)/H930</f>
        <v>4526229.1626818422</v>
      </c>
      <c r="N930">
        <f>IF(A930&lt;&gt;$K$48,MAX(N929,VLOOKUP(A930,A:C,3)),)</f>
        <v>0.82200002670288086</v>
      </c>
      <c r="O930">
        <f>IF(A930&lt;&gt;$K$48,MIN(O929,VLOOKUP(A930,A:D,4)),)</f>
        <v>0.6589999794960022</v>
      </c>
      <c r="P930">
        <f t="shared" si="28"/>
        <v>0.76533335447311401</v>
      </c>
      <c r="Q930">
        <f t="shared" si="23"/>
        <v>0.75026190848577579</v>
      </c>
      <c r="R930">
        <f t="shared" si="24"/>
        <v>1.5071445987338228E-2</v>
      </c>
      <c r="S930">
        <f t="shared" si="25"/>
        <v>1.5023813361213318E-2</v>
      </c>
      <c r="T930">
        <f t="shared" si="26"/>
        <v>2.2535720041819975E-4</v>
      </c>
      <c r="U930">
        <f t="shared" si="27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29"/>
        <v>929</v>
      </c>
      <c r="I931">
        <f>SUM($F$3:F931)/H931</f>
        <v>4524043.5640137242</v>
      </c>
      <c r="N931">
        <f>IF(A931&lt;&gt;$K$48,MAX(N930,VLOOKUP(A931,A:C,3)),)</f>
        <v>0.82200002670288086</v>
      </c>
      <c r="O931">
        <f>IF(A931&lt;&gt;$K$48,MIN(O930,VLOOKUP(A931,A:D,4)),)</f>
        <v>0.6589999794960022</v>
      </c>
      <c r="P931">
        <f t="shared" si="28"/>
        <v>0.76700001955032349</v>
      </c>
      <c r="Q931">
        <f t="shared" si="23"/>
        <v>0.74814286118461959</v>
      </c>
      <c r="R931">
        <f t="shared" si="24"/>
        <v>1.8857158365703897E-2</v>
      </c>
      <c r="S931">
        <f t="shared" si="25"/>
        <v>1.3074834736026084E-2</v>
      </c>
      <c r="T931">
        <f t="shared" si="26"/>
        <v>1.9612252104039127E-4</v>
      </c>
      <c r="U931">
        <f t="shared" si="27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29"/>
        <v>930</v>
      </c>
      <c r="I932">
        <f>SUM($F$3:F932)/H932</f>
        <v>4520435.8827620968</v>
      </c>
      <c r="N932">
        <f>IF(A932&lt;&gt;$K$48,MAX(N931,VLOOKUP(A932,A:C,3)),)</f>
        <v>0.82200002670288086</v>
      </c>
      <c r="O932">
        <f>IF(A932&lt;&gt;$K$48,MIN(O931,VLOOKUP(A932,A:D,4)),)</f>
        <v>0.6589999794960022</v>
      </c>
      <c r="P932">
        <f t="shared" si="28"/>
        <v>0.76633334159851074</v>
      </c>
      <c r="Q932">
        <f t="shared" si="23"/>
        <v>0.74997619504020319</v>
      </c>
      <c r="R932">
        <f t="shared" si="24"/>
        <v>1.6357146558307556E-2</v>
      </c>
      <c r="S932">
        <f t="shared" si="25"/>
        <v>1.3408167427088946E-2</v>
      </c>
      <c r="T932">
        <f t="shared" si="26"/>
        <v>2.0112251140633419E-4</v>
      </c>
      <c r="U932">
        <f t="shared" si="27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29"/>
        <v>931</v>
      </c>
      <c r="I933">
        <f>SUM($F$3:F933)/H933</f>
        <v>4518080.4199449513</v>
      </c>
      <c r="N933">
        <f>IF(A933&lt;&gt;$K$48,MAX(N932,VLOOKUP(A933,A:C,3)),)</f>
        <v>0.82200002670288086</v>
      </c>
      <c r="O933">
        <f>IF(A933&lt;&gt;$K$48,MIN(O932,VLOOKUP(A933,A:D,4)),)</f>
        <v>0.6589999794960022</v>
      </c>
      <c r="P933">
        <f t="shared" si="28"/>
        <v>0.76200000445048011</v>
      </c>
      <c r="Q933">
        <f t="shared" si="23"/>
        <v>0.75309524365833813</v>
      </c>
      <c r="R933">
        <f t="shared" si="24"/>
        <v>8.9047607921419747E-3</v>
      </c>
      <c r="S933">
        <f t="shared" si="25"/>
        <v>1.1414971481375158E-2</v>
      </c>
      <c r="T933">
        <f t="shared" si="26"/>
        <v>1.7122457222062737E-4</v>
      </c>
      <c r="U933">
        <f t="shared" si="27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29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28"/>
        <v>0.76699999968210852</v>
      </c>
      <c r="Q934">
        <f t="shared" si="23"/>
        <v>0.7576666729790823</v>
      </c>
      <c r="R934">
        <f t="shared" si="24"/>
        <v>9.3333267030262235E-3</v>
      </c>
      <c r="S934">
        <f t="shared" si="25"/>
        <v>7.7619070098513543E-3</v>
      </c>
      <c r="T934">
        <f t="shared" si="26"/>
        <v>1.164286051477703E-4</v>
      </c>
      <c r="U934">
        <f t="shared" si="27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29"/>
        <v>933</v>
      </c>
      <c r="I935">
        <f>SUM($F$3:F935)/H935</f>
        <v>4513003.303289121</v>
      </c>
      <c r="N935">
        <f>IF(A935&lt;&gt;$K$49,MAX(N934,VLOOKUP(A935,A:C,3)),)</f>
        <v>0.78200000524520874</v>
      </c>
      <c r="O935">
        <f>IF(A935&lt;&gt;$K$49,MIN(O934,VLOOKUP(A935,A:D,4)),)</f>
        <v>0.77300000190734863</v>
      </c>
      <c r="P935">
        <f t="shared" si="28"/>
        <v>0.77799999713897705</v>
      </c>
      <c r="Q935">
        <f t="shared" si="23"/>
        <v>0.76030953015599934</v>
      </c>
      <c r="R935">
        <f t="shared" si="24"/>
        <v>1.7690466982977715E-2</v>
      </c>
      <c r="S935">
        <f t="shared" si="25"/>
        <v>7.6462594019312312E-3</v>
      </c>
      <c r="T935">
        <f t="shared" si="26"/>
        <v>1.1469389102896846E-4</v>
      </c>
      <c r="U935">
        <f t="shared" si="27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29"/>
        <v>934</v>
      </c>
      <c r="I936">
        <f>SUM($F$3:F936)/H936</f>
        <v>4510867.9678466273</v>
      </c>
      <c r="N936">
        <f>IF(A936&lt;&gt;$K$49,MAX(N935,VLOOKUP(A936,A:C,3)),)</f>
        <v>0.79400002956390381</v>
      </c>
      <c r="O936">
        <f>IF(A936&lt;&gt;$K$49,MIN(O935,VLOOKUP(A936,A:D,4)),)</f>
        <v>0.77300000190734863</v>
      </c>
      <c r="P936">
        <f t="shared" si="28"/>
        <v>0.78533333539962769</v>
      </c>
      <c r="Q936">
        <f t="shared" si="23"/>
        <v>0.7627619121755872</v>
      </c>
      <c r="R936">
        <f t="shared" si="24"/>
        <v>2.2571423224040488E-2</v>
      </c>
      <c r="S936">
        <f t="shared" si="25"/>
        <v>8.3333324818383979E-3</v>
      </c>
      <c r="T936">
        <f t="shared" si="26"/>
        <v>1.2499998722757596E-4</v>
      </c>
      <c r="U936">
        <f t="shared" si="27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29"/>
        <v>935</v>
      </c>
      <c r="I937">
        <f>SUM($F$3:F937)/H937</f>
        <v>4507524.6865975931</v>
      </c>
      <c r="N937">
        <f>IF(A937&lt;&gt;$K$49,MAX(N936,VLOOKUP(A937,A:C,3)),)</f>
        <v>0.79500001668930054</v>
      </c>
      <c r="O937">
        <f>IF(A937&lt;&gt;$K$49,MIN(O936,VLOOKUP(A937,A:D,4)),)</f>
        <v>0.77300000190734863</v>
      </c>
      <c r="P937">
        <f t="shared" si="28"/>
        <v>0.79000002145767212</v>
      </c>
      <c r="Q937">
        <f t="shared" si="23"/>
        <v>0.76478572260765809</v>
      </c>
      <c r="R937">
        <f t="shared" si="24"/>
        <v>2.5214298850014027E-2</v>
      </c>
      <c r="S937">
        <f t="shared" si="25"/>
        <v>9.9115647426267686E-3</v>
      </c>
      <c r="T937">
        <f t="shared" si="26"/>
        <v>1.4867347113940152E-4</v>
      </c>
      <c r="U937">
        <f t="shared" si="27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29"/>
        <v>936</v>
      </c>
      <c r="I938">
        <f>SUM($F$3:F938)/H938</f>
        <v>4504621.349325588</v>
      </c>
      <c r="N938">
        <f>IF(A938&lt;&gt;$K$49,MAX(N937,VLOOKUP(A938,A:C,3)),)</f>
        <v>0.79500001668930054</v>
      </c>
      <c r="O938">
        <f>IF(A938&lt;&gt;$K$49,MIN(O937,VLOOKUP(A938,A:D,4)),)</f>
        <v>0.77300000190734863</v>
      </c>
      <c r="P938">
        <f t="shared" si="28"/>
        <v>0.78833333651224768</v>
      </c>
      <c r="Q938">
        <f t="shared" si="23"/>
        <v>0.76702381741432912</v>
      </c>
      <c r="R938">
        <f t="shared" si="24"/>
        <v>2.1309519097918561E-2</v>
      </c>
      <c r="S938">
        <f t="shared" si="25"/>
        <v>1.0744895456599521E-2</v>
      </c>
      <c r="T938">
        <f t="shared" si="26"/>
        <v>1.6117343184899281E-4</v>
      </c>
      <c r="U938">
        <f t="shared" si="27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29"/>
        <v>937</v>
      </c>
      <c r="I939">
        <f>SUM($F$3:F939)/H939</f>
        <v>4503065.5101053892</v>
      </c>
      <c r="N939">
        <f>IF(A939&lt;&gt;$K$49,MAX(N938,VLOOKUP(A939,A:C,3)),)</f>
        <v>0.80500000715255737</v>
      </c>
      <c r="O939">
        <f>IF(A939&lt;&gt;$K$49,MIN(O938,VLOOKUP(A939,A:D,4)),)</f>
        <v>0.77300000190734863</v>
      </c>
      <c r="P939">
        <f t="shared" si="28"/>
        <v>0.80233333508173621</v>
      </c>
      <c r="Q939">
        <f t="shared" si="23"/>
        <v>0.77100000778834021</v>
      </c>
      <c r="R939">
        <f t="shared" si="24"/>
        <v>3.1333327293395996E-2</v>
      </c>
      <c r="S939">
        <f t="shared" si="25"/>
        <v>1.2714283806937066E-2</v>
      </c>
      <c r="T939">
        <f t="shared" si="26"/>
        <v>1.9071425710405599E-4</v>
      </c>
      <c r="U939">
        <f t="shared" si="27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29"/>
        <v>938</v>
      </c>
      <c r="I940">
        <f>SUM($F$3:F940)/H940</f>
        <v>4502056.4871735079</v>
      </c>
      <c r="N940">
        <f>IF(A940&lt;&gt;$K$49,MAX(N939,VLOOKUP(A940,A:C,3)),)</f>
        <v>0.81300002336502075</v>
      </c>
      <c r="O940">
        <f>IF(A940&lt;&gt;$K$49,MIN(O939,VLOOKUP(A940,A:D,4)),)</f>
        <v>0.77300000190734863</v>
      </c>
      <c r="P940">
        <f t="shared" si="28"/>
        <v>0.8059999942779541</v>
      </c>
      <c r="Q940">
        <f t="shared" si="23"/>
        <v>0.77504762581416542</v>
      </c>
      <c r="R940">
        <f t="shared" si="24"/>
        <v>3.0952368463788682E-2</v>
      </c>
      <c r="S940">
        <f t="shared" si="25"/>
        <v>1.424489499760323E-2</v>
      </c>
      <c r="T940">
        <f t="shared" si="26"/>
        <v>2.1367342496404843E-4</v>
      </c>
      <c r="U940">
        <f t="shared" si="27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29"/>
        <v>939</v>
      </c>
      <c r="I941">
        <f>SUM($F$3:F941)/H941</f>
        <v>4502120.8572617145</v>
      </c>
      <c r="N941">
        <f>IF(A941&lt;&gt;$K$49,MAX(N940,VLOOKUP(A941,A:C,3)),)</f>
        <v>0.81300002336502075</v>
      </c>
      <c r="O941">
        <f>IF(A941&lt;&gt;$K$49,MIN(O940,VLOOKUP(A941,A:D,4)),)</f>
        <v>0.77300000190734863</v>
      </c>
      <c r="P941">
        <f t="shared" si="28"/>
        <v>0.80633332331975305</v>
      </c>
      <c r="Q941">
        <f t="shared" si="23"/>
        <v>0.77923810056277687</v>
      </c>
      <c r="R941">
        <f t="shared" si="24"/>
        <v>2.7095222756976178E-2</v>
      </c>
      <c r="S941">
        <f t="shared" si="25"/>
        <v>1.4700677524618557E-2</v>
      </c>
      <c r="T941">
        <f t="shared" si="26"/>
        <v>2.2051016286927835E-4</v>
      </c>
      <c r="U941">
        <f t="shared" si="27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29"/>
        <v>940</v>
      </c>
      <c r="I942">
        <f>SUM($F$3:F942)/H942</f>
        <v>4497745.6223071804</v>
      </c>
      <c r="N942">
        <f>IF(A942&lt;&gt;$K$49,MAX(N941,VLOOKUP(A942,A:C,3)),)</f>
        <v>0.81300002336502075</v>
      </c>
      <c r="O942">
        <f>IF(A942&lt;&gt;$K$49,MIN(O941,VLOOKUP(A942,A:D,4)),)</f>
        <v>0.77300000190734863</v>
      </c>
      <c r="P942">
        <f t="shared" si="28"/>
        <v>0.79799999793370568</v>
      </c>
      <c r="Q942">
        <f t="shared" si="23"/>
        <v>0.78219048040253791</v>
      </c>
      <c r="R942">
        <f t="shared" si="24"/>
        <v>1.5809517531167772E-2</v>
      </c>
      <c r="S942">
        <f t="shared" si="25"/>
        <v>1.4428568737847472E-2</v>
      </c>
      <c r="T942">
        <f t="shared" si="26"/>
        <v>2.1642853106771206E-4</v>
      </c>
      <c r="U942">
        <f t="shared" si="27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29"/>
        <v>941</v>
      </c>
      <c r="I943">
        <f>SUM($F$3:F943)/H943</f>
        <v>4493590.5260029221</v>
      </c>
      <c r="N943">
        <f>IF(A943&lt;&gt;$K$49,MAX(N942,VLOOKUP(A943,A:C,3)),)</f>
        <v>0.81300002336502075</v>
      </c>
      <c r="O943">
        <f>IF(A943&lt;&gt;$K$49,MIN(O942,VLOOKUP(A943,A:D,4)),)</f>
        <v>0.77300000190734863</v>
      </c>
      <c r="P943">
        <f t="shared" si="28"/>
        <v>0.79900000492731726</v>
      </c>
      <c r="Q943">
        <f t="shared" si="23"/>
        <v>0.78435714755739494</v>
      </c>
      <c r="R943">
        <f t="shared" si="24"/>
        <v>1.4642857369922324E-2</v>
      </c>
      <c r="S943">
        <f t="shared" si="25"/>
        <v>1.4353738350122143E-2</v>
      </c>
      <c r="T943">
        <f t="shared" si="26"/>
        <v>2.1530607525183212E-4</v>
      </c>
      <c r="U943">
        <f t="shared" si="27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29"/>
        <v>942</v>
      </c>
      <c r="I944">
        <f>SUM($F$3:F944)/H944</f>
        <v>4488957.7335124733</v>
      </c>
      <c r="N944">
        <f>IF(A944&lt;&gt;$K$49,MAX(N943,VLOOKUP(A944,A:C,3)),)</f>
        <v>0.81300002336502075</v>
      </c>
      <c r="O944">
        <f>IF(A944&lt;&gt;$K$49,MIN(O943,VLOOKUP(A944,A:D,4)),)</f>
        <v>0.77300000190734863</v>
      </c>
      <c r="P944">
        <f t="shared" si="28"/>
        <v>0.79766664902369178</v>
      </c>
      <c r="Q944">
        <f t="shared" si="23"/>
        <v>0.78666666859672174</v>
      </c>
      <c r="R944">
        <f t="shared" si="24"/>
        <v>1.0999980426970035E-2</v>
      </c>
      <c r="S944">
        <f t="shared" si="25"/>
        <v>1.3476187680043343E-2</v>
      </c>
      <c r="T944">
        <f t="shared" si="26"/>
        <v>2.0214281520065014E-4</v>
      </c>
      <c r="U944">
        <f t="shared" si="27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29"/>
        <v>943</v>
      </c>
      <c r="I945">
        <f>SUM($F$3:F945)/H945</f>
        <v>4484763.8228724813</v>
      </c>
      <c r="N945">
        <f>IF(A945&lt;&gt;$K$49,MAX(N944,VLOOKUP(A945,A:C,3)),)</f>
        <v>0.81300002336502075</v>
      </c>
      <c r="O945">
        <f>IF(A945&lt;&gt;$K$49,MIN(O944,VLOOKUP(A945,A:D,4)),)</f>
        <v>0.77300000190734863</v>
      </c>
      <c r="P945">
        <f t="shared" si="28"/>
        <v>0.80233333508173621</v>
      </c>
      <c r="Q945">
        <f t="shared" si="23"/>
        <v>0.78919047684896548</v>
      </c>
      <c r="R945">
        <f t="shared" si="24"/>
        <v>1.3142858232770727E-2</v>
      </c>
      <c r="S945">
        <f t="shared" si="25"/>
        <v>1.2591835187405975E-2</v>
      </c>
      <c r="T945">
        <f t="shared" si="26"/>
        <v>1.8887752781108962E-4</v>
      </c>
      <c r="U945">
        <f t="shared" si="27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29"/>
        <v>944</v>
      </c>
      <c r="I946">
        <f>SUM($F$3:F946)/H946</f>
        <v>4480496.9120431673</v>
      </c>
      <c r="N946">
        <f>IF(A946&lt;&gt;$K$49,MAX(N945,VLOOKUP(A946,A:C,3)),)</f>
        <v>0.81499999761581421</v>
      </c>
      <c r="O946">
        <f>IF(A946&lt;&gt;$K$49,MIN(O945,VLOOKUP(A946,A:D,4)),)</f>
        <v>0.77300000190734863</v>
      </c>
      <c r="P946">
        <f t="shared" si="28"/>
        <v>0.80999998251597083</v>
      </c>
      <c r="Q946">
        <f t="shared" si="23"/>
        <v>0.79230952262878407</v>
      </c>
      <c r="R946">
        <f t="shared" si="24"/>
        <v>1.769045988718676E-2</v>
      </c>
      <c r="S946">
        <f t="shared" si="25"/>
        <v>1.1884348733084558E-2</v>
      </c>
      <c r="T946">
        <f t="shared" si="26"/>
        <v>1.7826523099626835E-4</v>
      </c>
      <c r="U946">
        <f t="shared" si="27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29"/>
        <v>945</v>
      </c>
      <c r="I947">
        <f>SUM($F$3:F947)/H947</f>
        <v>4475894.2708664024</v>
      </c>
      <c r="N947">
        <f>IF(A947&lt;&gt;$K$49,MAX(N946,VLOOKUP(A947,A:C,3)),)</f>
        <v>0.81499999761581421</v>
      </c>
      <c r="O947">
        <f>IF(A947&lt;&gt;$K$49,MIN(O946,VLOOKUP(A947,A:D,4)),)</f>
        <v>0.77300000190734863</v>
      </c>
      <c r="P947">
        <f t="shared" si="28"/>
        <v>0.80700000127156579</v>
      </c>
      <c r="Q947">
        <f t="shared" si="23"/>
        <v>0.79552380811600454</v>
      </c>
      <c r="R947">
        <f t="shared" si="24"/>
        <v>1.1476193155561254E-2</v>
      </c>
      <c r="S947">
        <f t="shared" si="25"/>
        <v>9.8503357699128349E-3</v>
      </c>
      <c r="T947">
        <f t="shared" si="26"/>
        <v>1.4775503654869252E-4</v>
      </c>
      <c r="U947">
        <f t="shared" si="27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29"/>
        <v>946</v>
      </c>
      <c r="I948">
        <f>SUM($F$3:F948)/H948</f>
        <v>4471479.5834764801</v>
      </c>
      <c r="N948">
        <f>IF(A948&lt;&gt;$K$49,MAX(N947,VLOOKUP(A948,A:C,3)),)</f>
        <v>0.81499999761581421</v>
      </c>
      <c r="O948">
        <f>IF(A948&lt;&gt;$K$49,MIN(O947,VLOOKUP(A948,A:D,4)),)</f>
        <v>0.77300000190734863</v>
      </c>
      <c r="P948">
        <f t="shared" si="28"/>
        <v>0.80533333619435632</v>
      </c>
      <c r="Q948">
        <f t="shared" si="23"/>
        <v>0.79826190358116522</v>
      </c>
      <c r="R948">
        <f t="shared" si="24"/>
        <v>7.0714326131910976E-3</v>
      </c>
      <c r="S948">
        <f t="shared" si="25"/>
        <v>7.4625834315812378E-3</v>
      </c>
      <c r="T948">
        <f t="shared" si="26"/>
        <v>1.1193875147371856E-4</v>
      </c>
      <c r="U948">
        <f t="shared" si="27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29"/>
        <v>947</v>
      </c>
      <c r="I949">
        <f>SUM($F$3:F949)/H949</f>
        <v>4466901.5691327881</v>
      </c>
      <c r="N949">
        <f>IF(A949&lt;&gt;$K$49,MAX(N948,VLOOKUP(A949,A:C,3)),)</f>
        <v>0.81499999761581421</v>
      </c>
      <c r="O949">
        <f>IF(A949&lt;&gt;$K$49,MIN(O948,VLOOKUP(A949,A:D,4)),)</f>
        <v>0.77300000190734863</v>
      </c>
      <c r="P949">
        <f t="shared" si="28"/>
        <v>0.79366666078567505</v>
      </c>
      <c r="Q949">
        <f t="shared" si="23"/>
        <v>0.79938095098450079</v>
      </c>
      <c r="R949">
        <f t="shared" si="24"/>
        <v>-5.7142901988257444E-3</v>
      </c>
      <c r="S949">
        <f t="shared" si="25"/>
        <v>6.2380929787953744E-3</v>
      </c>
      <c r="T949">
        <f t="shared" si="26"/>
        <v>9.3571394681930614E-5</v>
      </c>
      <c r="U949">
        <f t="shared" si="27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29"/>
        <v>948</v>
      </c>
      <c r="I950">
        <f>SUM($F$3:F950)/H950</f>
        <v>4463896.8269712552</v>
      </c>
      <c r="N950">
        <f>IF(A950&lt;&gt;$K$49,MAX(N949,VLOOKUP(A950,A:C,3)),)</f>
        <v>0.81499999761581421</v>
      </c>
      <c r="O950">
        <f>IF(A950&lt;&gt;$K$49,MIN(O949,VLOOKUP(A950,A:D,4)),)</f>
        <v>0.77300000190734863</v>
      </c>
      <c r="P950">
        <f t="shared" si="28"/>
        <v>0.78500000635782874</v>
      </c>
      <c r="Q950">
        <f t="shared" si="23"/>
        <v>0.7993571417672295</v>
      </c>
      <c r="R950">
        <f t="shared" si="24"/>
        <v>-1.4357135409400756E-2</v>
      </c>
      <c r="S950">
        <f t="shared" si="25"/>
        <v>6.2619021960667277E-3</v>
      </c>
      <c r="T950">
        <f t="shared" si="26"/>
        <v>9.3928532941000913E-5</v>
      </c>
      <c r="U950">
        <f t="shared" si="27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29"/>
        <v>949</v>
      </c>
      <c r="I951">
        <f>SUM($F$3:F951)/H951</f>
        <v>4460990.6153516863</v>
      </c>
      <c r="N951">
        <f>IF(A951&lt;&gt;$K$49,MAX(N950,VLOOKUP(A951,A:C,3)),)</f>
        <v>0.81499999761581421</v>
      </c>
      <c r="O951">
        <f>IF(A951&lt;&gt;$K$49,MIN(O950,VLOOKUP(A951,A:D,4)),)</f>
        <v>0.77300000190734863</v>
      </c>
      <c r="P951">
        <f t="shared" si="28"/>
        <v>0.78366667032241821</v>
      </c>
      <c r="Q951">
        <f t="shared" si="23"/>
        <v>0.79890475954328277</v>
      </c>
      <c r="R951">
        <f t="shared" si="24"/>
        <v>-1.5238089220864559E-2</v>
      </c>
      <c r="S951">
        <f t="shared" si="25"/>
        <v>6.7278909034469347E-3</v>
      </c>
      <c r="T951">
        <f t="shared" si="26"/>
        <v>1.0091836355170401E-4</v>
      </c>
      <c r="U951">
        <f t="shared" si="27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29"/>
        <v>950</v>
      </c>
      <c r="I952">
        <f>SUM($F$3:F952)/H952</f>
        <v>4459089.0462828949</v>
      </c>
      <c r="N952">
        <f>IF(A952&lt;&gt;$K$49,MAX(N951,VLOOKUP(A952,A:C,3)),)</f>
        <v>0.81499999761581421</v>
      </c>
      <c r="O952">
        <f>IF(A952&lt;&gt;$K$49,MIN(O951,VLOOKUP(A952,A:D,4)),)</f>
        <v>0.77300000190734863</v>
      </c>
      <c r="P952">
        <f t="shared" si="28"/>
        <v>0.78833333651224768</v>
      </c>
      <c r="Q952">
        <f t="shared" si="23"/>
        <v>0.79890475954328266</v>
      </c>
      <c r="R952">
        <f t="shared" si="24"/>
        <v>-1.0571423031034977E-2</v>
      </c>
      <c r="S952">
        <f t="shared" si="25"/>
        <v>6.7278909034469503E-3</v>
      </c>
      <c r="T952">
        <f t="shared" si="26"/>
        <v>1.0091836355170426E-4</v>
      </c>
      <c r="U952">
        <f t="shared" si="27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29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28"/>
        <v>0.78500000635782874</v>
      </c>
      <c r="Q953">
        <f t="shared" si="23"/>
        <v>0.79766666463443203</v>
      </c>
      <c r="R953">
        <f t="shared" si="24"/>
        <v>-1.2666658276603293E-2</v>
      </c>
      <c r="S953">
        <f t="shared" si="25"/>
        <v>7.5238083495574992E-3</v>
      </c>
      <c r="T953">
        <f t="shared" si="26"/>
        <v>1.1285712524336248E-4</v>
      </c>
      <c r="U953">
        <f t="shared" si="27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29"/>
        <v>952</v>
      </c>
      <c r="I954">
        <f>SUM($F$3:F954)/H954</f>
        <v>4454446.9495470067</v>
      </c>
      <c r="N954">
        <f>IF(A954&lt;&gt;$K$50,MAX(N953,VLOOKUP(A954,A:C,3)),)</f>
        <v>0.78299999237060547</v>
      </c>
      <c r="O954">
        <f>IF(A954&lt;&gt;$K$50,MIN(O953,VLOOKUP(A954,A:D,4)),)</f>
        <v>0.77799999713897705</v>
      </c>
      <c r="P954">
        <f t="shared" si="28"/>
        <v>0.77999999125798547</v>
      </c>
      <c r="Q954">
        <f t="shared" si="23"/>
        <v>0.79580952156157714</v>
      </c>
      <c r="R954">
        <f t="shared" si="24"/>
        <v>-1.5809530303591668E-2</v>
      </c>
      <c r="S954">
        <f t="shared" si="25"/>
        <v>8.4557796822113396E-3</v>
      </c>
      <c r="T954">
        <f t="shared" si="26"/>
        <v>1.268366952331701E-4</v>
      </c>
      <c r="U954">
        <f t="shared" si="27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29"/>
        <v>953</v>
      </c>
      <c r="I955">
        <f>SUM($F$3:F955)/H955</f>
        <v>4451525.1794005772</v>
      </c>
      <c r="N955">
        <f>IF(A955&lt;&gt;$K$50,MAX(N954,VLOOKUP(A955,A:C,3)),)</f>
        <v>0.78700000047683716</v>
      </c>
      <c r="O955">
        <f>IF(A955&lt;&gt;$K$50,MIN(O954,VLOOKUP(A955,A:D,4)),)</f>
        <v>0.77799999713897705</v>
      </c>
      <c r="P955">
        <f t="shared" si="28"/>
        <v>0.78500000635782874</v>
      </c>
      <c r="Q955">
        <f t="shared" si="23"/>
        <v>0.79428571320715402</v>
      </c>
      <c r="R955">
        <f t="shared" si="24"/>
        <v>-9.2857068493252815E-3</v>
      </c>
      <c r="S955">
        <f t="shared" si="25"/>
        <v>8.4761877854665178E-3</v>
      </c>
      <c r="T955">
        <f t="shared" si="26"/>
        <v>1.2714281678199776E-4</v>
      </c>
      <c r="U955">
        <f t="shared" si="27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29"/>
        <v>954</v>
      </c>
      <c r="I956">
        <f>SUM($F$3:F956)/H956</f>
        <v>4449714.8888561325</v>
      </c>
      <c r="N956">
        <f>IF(A956&lt;&gt;$K$50,MAX(N955,VLOOKUP(A956,A:C,3)),)</f>
        <v>0.7929999828338623</v>
      </c>
      <c r="O956">
        <f>IF(A956&lt;&gt;$K$50,MIN(O955,VLOOKUP(A956,A:D,4)),)</f>
        <v>0.77799999713897705</v>
      </c>
      <c r="P956">
        <f t="shared" si="28"/>
        <v>0.78899999459584558</v>
      </c>
      <c r="Q956">
        <f t="shared" si="23"/>
        <v>0.79364285582587846</v>
      </c>
      <c r="R956">
        <f t="shared" si="24"/>
        <v>-4.6428612300328798E-3</v>
      </c>
      <c r="S956">
        <f t="shared" si="25"/>
        <v>8.4999970027378625E-3</v>
      </c>
      <c r="T956">
        <f t="shared" si="26"/>
        <v>1.2749995504106792E-4</v>
      </c>
      <c r="U956">
        <f t="shared" si="27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29"/>
        <v>955</v>
      </c>
      <c r="I957">
        <f>SUM($F$3:F957)/H957</f>
        <v>4448215.7109620422</v>
      </c>
      <c r="N957">
        <f>IF(A957&lt;&gt;$K$50,MAX(N956,VLOOKUP(A957,A:C,3)),)</f>
        <v>0.7929999828338623</v>
      </c>
      <c r="O957">
        <f>IF(A957&lt;&gt;$K$50,MIN(O956,VLOOKUP(A957,A:D,4)),)</f>
        <v>0.77799999713897705</v>
      </c>
      <c r="P957">
        <f t="shared" si="28"/>
        <v>0.79066665967305505</v>
      </c>
      <c r="Q957">
        <f t="shared" si="23"/>
        <v>0.79304761687914549</v>
      </c>
      <c r="R957">
        <f t="shared" si="24"/>
        <v>-2.3809572060904394E-3</v>
      </c>
      <c r="S957">
        <f t="shared" si="25"/>
        <v>8.2448947997320523E-3</v>
      </c>
      <c r="T957">
        <f t="shared" si="26"/>
        <v>1.2367342199598078E-4</v>
      </c>
      <c r="U957">
        <f t="shared" si="27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29"/>
        <v>956</v>
      </c>
      <c r="I958">
        <f>SUM($F$3:F958)/H958</f>
        <v>4445980.861891998</v>
      </c>
      <c r="N958">
        <f>IF(A958&lt;&gt;$K$50,MAX(N957,VLOOKUP(A958,A:C,3)),)</f>
        <v>0.79699999094009399</v>
      </c>
      <c r="O958">
        <f>IF(A958&lt;&gt;$K$50,MIN(O957,VLOOKUP(A958,A:D,4)),)</f>
        <v>0.77799999713897705</v>
      </c>
      <c r="P958">
        <f t="shared" si="28"/>
        <v>0.79233332475026452</v>
      </c>
      <c r="Q958">
        <f t="shared" si="23"/>
        <v>0.79266666514532924</v>
      </c>
      <c r="R958">
        <f t="shared" si="24"/>
        <v>-3.3334039506471846E-4</v>
      </c>
      <c r="S958">
        <f t="shared" si="25"/>
        <v>7.8571414460941735E-3</v>
      </c>
      <c r="T958">
        <f t="shared" si="26"/>
        <v>1.178571216914126E-4</v>
      </c>
      <c r="U958">
        <f t="shared" si="27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29"/>
        <v>957</v>
      </c>
      <c r="I959">
        <f>SUM($F$3:F959)/H959</f>
        <v>4445057.5799046503</v>
      </c>
      <c r="N959">
        <f>IF(A959&lt;&gt;$K$50,MAX(N958,VLOOKUP(A959,A:C,3)),)</f>
        <v>0.79699999094009399</v>
      </c>
      <c r="O959">
        <f>IF(A959&lt;&gt;$K$50,MIN(O958,VLOOKUP(A959,A:D,4)),)</f>
        <v>0.77799999713897705</v>
      </c>
      <c r="P959">
        <f t="shared" si="28"/>
        <v>0.78600001335144043</v>
      </c>
      <c r="Q959">
        <f t="shared" si="23"/>
        <v>0.79149999930745096</v>
      </c>
      <c r="R959">
        <f t="shared" si="24"/>
        <v>-5.4999859560105335E-3</v>
      </c>
      <c r="S959">
        <f t="shared" si="25"/>
        <v>7.2619012829398377E-3</v>
      </c>
      <c r="T959">
        <f t="shared" si="26"/>
        <v>1.0892851924409756E-4</v>
      </c>
      <c r="U959">
        <f t="shared" si="27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29"/>
        <v>958</v>
      </c>
      <c r="I960">
        <f>SUM($F$3:F960)/H960</f>
        <v>4441800.6314913882</v>
      </c>
      <c r="N960">
        <f>IF(A960&lt;&gt;$K$50,MAX(N959,VLOOKUP(A960,A:C,3)),)</f>
        <v>0.79699999094009399</v>
      </c>
      <c r="O960">
        <f>IF(A960&lt;&gt;$K$50,MIN(O959,VLOOKUP(A960,A:D,4)),)</f>
        <v>0.77799999713897705</v>
      </c>
      <c r="P960">
        <f t="shared" si="28"/>
        <v>0.7933333317438761</v>
      </c>
      <c r="Q960">
        <f t="shared" si="23"/>
        <v>0.79030952425230117</v>
      </c>
      <c r="R960">
        <f t="shared" si="24"/>
        <v>3.0238074915749369E-3</v>
      </c>
      <c r="S960">
        <f t="shared" si="25"/>
        <v>5.7823098435693986E-3</v>
      </c>
      <c r="T960">
        <f t="shared" si="26"/>
        <v>8.6734647653540972E-5</v>
      </c>
      <c r="U960">
        <f t="shared" si="27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29"/>
        <v>959</v>
      </c>
      <c r="I961">
        <f>SUM($F$3:F961)/H961</f>
        <v>4439164.3460310223</v>
      </c>
      <c r="N961">
        <f>IF(A961&lt;&gt;$K$50,MAX(N960,VLOOKUP(A961,A:C,3)),)</f>
        <v>0.79699999094009399</v>
      </c>
      <c r="O961">
        <f>IF(A961&lt;&gt;$K$50,MIN(O960,VLOOKUP(A961,A:D,4)),)</f>
        <v>0.77799999713897705</v>
      </c>
      <c r="P961">
        <f t="shared" si="28"/>
        <v>0.78899999459584558</v>
      </c>
      <c r="Q961">
        <f t="shared" si="23"/>
        <v>0.78902380948974959</v>
      </c>
      <c r="R961">
        <f t="shared" si="24"/>
        <v>-2.3814893904017254E-5</v>
      </c>
      <c r="S961">
        <f t="shared" si="25"/>
        <v>4.3163236712111608E-3</v>
      </c>
      <c r="T961">
        <f t="shared" si="26"/>
        <v>6.474485506816741E-5</v>
      </c>
      <c r="U961">
        <f t="shared" si="27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29"/>
        <v>960</v>
      </c>
      <c r="I962">
        <f>SUM($F$3:F962)/H962</f>
        <v>4436864.48733724</v>
      </c>
      <c r="N962">
        <f>IF(A962&lt;&gt;$K$50,MAX(N961,VLOOKUP(A962,A:C,3)),)</f>
        <v>0.79699999094009399</v>
      </c>
      <c r="O962">
        <f>IF(A962&lt;&gt;$K$50,MIN(O961,VLOOKUP(A962,A:D,4)),)</f>
        <v>0.77799999713897705</v>
      </c>
      <c r="P962">
        <f t="shared" si="28"/>
        <v>0.7839999794960022</v>
      </c>
      <c r="Q962">
        <f t="shared" si="23"/>
        <v>0.78749999829701012</v>
      </c>
      <c r="R962">
        <f t="shared" si="24"/>
        <v>-3.5000188010079203E-3</v>
      </c>
      <c r="S962">
        <f t="shared" si="25"/>
        <v>3.4047592253912168E-3</v>
      </c>
      <c r="T962">
        <f t="shared" si="26"/>
        <v>5.107138838086825E-5</v>
      </c>
      <c r="U962">
        <f t="shared" si="27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29"/>
        <v>961</v>
      </c>
      <c r="I963">
        <f>SUM($F$3:F963)/H963</f>
        <v>4433941.5388592612</v>
      </c>
      <c r="N963">
        <f>IF(A963&lt;&gt;$K$50,MAX(N962,VLOOKUP(A963,A:C,3)),)</f>
        <v>0.79699999094009399</v>
      </c>
      <c r="O963">
        <f>IF(A963&lt;&gt;$K$50,MIN(O962,VLOOKUP(A963,A:D,4)),)</f>
        <v>0.77799999713897705</v>
      </c>
      <c r="P963">
        <f t="shared" si="28"/>
        <v>0.78433334827423096</v>
      </c>
      <c r="Q963">
        <f t="shared" si="23"/>
        <v>0.78683333311762127</v>
      </c>
      <c r="R963">
        <f t="shared" si="24"/>
        <v>-2.4999848433903127E-3</v>
      </c>
      <c r="S963">
        <f t="shared" si="25"/>
        <v>3.095234737915255E-3</v>
      </c>
      <c r="T963">
        <f t="shared" si="26"/>
        <v>4.6428521068728824E-5</v>
      </c>
      <c r="U963">
        <f t="shared" si="27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29"/>
        <v>962</v>
      </c>
      <c r="I964">
        <f>SUM($F$3:F964)/H964</f>
        <v>4430327.8792554578</v>
      </c>
      <c r="N964">
        <f>IF(A964&lt;&gt;$K$50,MAX(N963,VLOOKUP(A964,A:C,3)),)</f>
        <v>0.79699999094009399</v>
      </c>
      <c r="O964">
        <f>IF(A964&lt;&gt;$K$50,MIN(O963,VLOOKUP(A964,A:D,4)),)</f>
        <v>0.77799999713897705</v>
      </c>
      <c r="P964">
        <f t="shared" si="28"/>
        <v>0.78300001223882043</v>
      </c>
      <c r="Q964">
        <f t="shared" si="23"/>
        <v>0.78669047639483491</v>
      </c>
      <c r="R964">
        <f t="shared" si="24"/>
        <v>-3.6904641560144835E-3</v>
      </c>
      <c r="S964">
        <f t="shared" si="25"/>
        <v>3.2176833574463692E-3</v>
      </c>
      <c r="T964">
        <f t="shared" si="26"/>
        <v>4.8265250361695533E-5</v>
      </c>
      <c r="U964">
        <f t="shared" si="27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29"/>
        <v>963</v>
      </c>
      <c r="I965">
        <f>SUM($F$3:F965)/H965</f>
        <v>4430653.0870651612</v>
      </c>
      <c r="N965">
        <f>IF(A965&lt;&gt;$K$50,MAX(N964,VLOOKUP(A965,A:C,3)),)</f>
        <v>0.79699999094009399</v>
      </c>
      <c r="O965">
        <f>IF(A965&lt;&gt;$K$50,MIN(O964,VLOOKUP(A965,A:D,4)),)</f>
        <v>0.77799999713897705</v>
      </c>
      <c r="P965">
        <f t="shared" si="28"/>
        <v>0.78433334827423096</v>
      </c>
      <c r="Q965">
        <f t="shared" si="23"/>
        <v>0.78673809624853586</v>
      </c>
      <c r="R965">
        <f t="shared" si="24"/>
        <v>-2.4047479743048994E-3</v>
      </c>
      <c r="S965">
        <f t="shared" si="25"/>
        <v>3.1768663399884506E-3</v>
      </c>
      <c r="T965">
        <f t="shared" si="26"/>
        <v>4.7652995099826755E-5</v>
      </c>
      <c r="U965">
        <f t="shared" si="27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29"/>
        <v>964</v>
      </c>
      <c r="I966">
        <f>SUM($F$3:F966)/H966</f>
        <v>4427262.783032936</v>
      </c>
      <c r="N966">
        <f>IF(A966&lt;&gt;$K$50,MAX(N965,VLOOKUP(A966,A:C,3)),)</f>
        <v>0.79699999094009399</v>
      </c>
      <c r="O966">
        <f>IF(A966&lt;&gt;$K$50,MIN(O965,VLOOKUP(A966,A:D,4)),)</f>
        <v>0.77600002288818359</v>
      </c>
      <c r="P966">
        <f t="shared" si="28"/>
        <v>0.78000001112620032</v>
      </c>
      <c r="Q966">
        <f t="shared" si="23"/>
        <v>0.78614285872096112</v>
      </c>
      <c r="R966">
        <f t="shared" si="24"/>
        <v>-6.142847594760803E-3</v>
      </c>
      <c r="S966">
        <f t="shared" si="25"/>
        <v>3.3741445362973632E-3</v>
      </c>
      <c r="T966">
        <f t="shared" si="26"/>
        <v>5.0612168044460443E-5</v>
      </c>
      <c r="U966">
        <f t="shared" si="27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29"/>
        <v>965</v>
      </c>
      <c r="I967">
        <f>SUM($F$3:F967)/H967</f>
        <v>4427013.7024287563</v>
      </c>
      <c r="N967">
        <f>IF(A967&lt;&gt;$K$50,MAX(N966,VLOOKUP(A967,A:C,3)),)</f>
        <v>0.79699999094009399</v>
      </c>
      <c r="O967">
        <f>IF(A967&lt;&gt;$K$50,MIN(O966,VLOOKUP(A967,A:D,4)),)</f>
        <v>0.77300000190734863</v>
      </c>
      <c r="P967">
        <f t="shared" si="28"/>
        <v>0.77533332506815589</v>
      </c>
      <c r="Q967">
        <f t="shared" si="23"/>
        <v>0.7854523814859844</v>
      </c>
      <c r="R967">
        <f t="shared" si="24"/>
        <v>-1.0119056417828509E-2</v>
      </c>
      <c r="S967">
        <f t="shared" si="25"/>
        <v>3.9455756849172208E-3</v>
      </c>
      <c r="T967">
        <f t="shared" si="26"/>
        <v>5.9183635273758307E-5</v>
      </c>
      <c r="U967">
        <f t="shared" si="27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29"/>
        <v>966</v>
      </c>
      <c r="I968">
        <f>SUM($F$3:F968)/H968</f>
        <v>4425135.4294448756</v>
      </c>
      <c r="N968">
        <f>IF(A968&lt;&gt;$K$50,MAX(N967,VLOOKUP(A968,A:C,3)),)</f>
        <v>0.79699999094009399</v>
      </c>
      <c r="O968">
        <f>IF(A968&lt;&gt;$K$50,MIN(O967,VLOOKUP(A968,A:D,4)),)</f>
        <v>0.7720000147819519</v>
      </c>
      <c r="P968">
        <f t="shared" si="28"/>
        <v>0.77633333206176758</v>
      </c>
      <c r="Q968">
        <f t="shared" si="23"/>
        <v>0.78519047725768309</v>
      </c>
      <c r="R968">
        <f t="shared" si="24"/>
        <v>-8.8571451959155167E-3</v>
      </c>
      <c r="S968">
        <f t="shared" si="25"/>
        <v>4.1700650234611702E-3</v>
      </c>
      <c r="T968">
        <f t="shared" si="26"/>
        <v>6.2550975351917547E-5</v>
      </c>
      <c r="U968">
        <f t="shared" si="27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29"/>
        <v>967</v>
      </c>
      <c r="I969">
        <f>SUM($F$3:F969)/H969</f>
        <v>4422584.832309979</v>
      </c>
      <c r="N969">
        <f>IF(A969&lt;&gt;$K$50,MAX(N968,VLOOKUP(A969,A:C,3)),)</f>
        <v>0.79699999094009399</v>
      </c>
      <c r="O969">
        <f>IF(A969&lt;&gt;$K$50,MIN(O968,VLOOKUP(A969,A:D,4)),)</f>
        <v>0.7720000147819519</v>
      </c>
      <c r="P969">
        <f t="shared" si="28"/>
        <v>0.78666665156682336</v>
      </c>
      <c r="Q969">
        <f t="shared" si="23"/>
        <v>0.78530952334403992</v>
      </c>
      <c r="R969">
        <f t="shared" si="24"/>
        <v>1.3571282227834436E-3</v>
      </c>
      <c r="S969">
        <f t="shared" si="25"/>
        <v>4.2619009812673069E-3</v>
      </c>
      <c r="T969">
        <f t="shared" si="26"/>
        <v>6.3928514719009604E-5</v>
      </c>
      <c r="U969">
        <f t="shared" si="27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29"/>
        <v>968</v>
      </c>
      <c r="I970">
        <f>SUM($F$3:F970)/H970</f>
        <v>4420083.5711195767</v>
      </c>
      <c r="N970">
        <f>IF(A970&lt;&gt;$K$50,MAX(N969,VLOOKUP(A970,A:C,3)),)</f>
        <v>0.81099998950958252</v>
      </c>
      <c r="O970">
        <f>IF(A970&lt;&gt;$K$50,MIN(O969,VLOOKUP(A970,A:D,4)),)</f>
        <v>0.7720000147819519</v>
      </c>
      <c r="P970">
        <f t="shared" si="28"/>
        <v>0.80500000715255737</v>
      </c>
      <c r="Q970">
        <f t="shared" si="23"/>
        <v>0.78645238138380513</v>
      </c>
      <c r="R970">
        <f t="shared" si="24"/>
        <v>1.8547625768752241E-2</v>
      </c>
      <c r="S970">
        <f t="shared" si="25"/>
        <v>5.4693830256559639E-3</v>
      </c>
      <c r="T970">
        <f t="shared" si="26"/>
        <v>8.2040745384839457E-5</v>
      </c>
      <c r="U970">
        <f t="shared" si="27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29"/>
        <v>969</v>
      </c>
      <c r="I971">
        <f>SUM($F$3:F971)/H971</f>
        <v>4417911.9699109904</v>
      </c>
      <c r="N971">
        <f>IF(A971&lt;&gt;$K$50,MAX(N970,VLOOKUP(A971,A:C,3)),)</f>
        <v>0.81499999761581421</v>
      </c>
      <c r="O971">
        <f>IF(A971&lt;&gt;$K$50,MIN(O970,VLOOKUP(A971,A:D,4)),)</f>
        <v>0.7720000147819519</v>
      </c>
      <c r="P971">
        <f t="shared" si="28"/>
        <v>0.80699998140335083</v>
      </c>
      <c r="Q971">
        <f t="shared" si="23"/>
        <v>0.78761904722168341</v>
      </c>
      <c r="R971">
        <f t="shared" si="24"/>
        <v>1.938093418166742E-2</v>
      </c>
      <c r="S971">
        <f t="shared" si="25"/>
        <v>6.9387719339254238E-3</v>
      </c>
      <c r="T971">
        <f t="shared" si="26"/>
        <v>1.0408157900888135E-4</v>
      </c>
      <c r="U971">
        <f t="shared" si="27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29"/>
        <v>970</v>
      </c>
      <c r="I972">
        <f>SUM($F$3:F972)/H972</f>
        <v>4417172.8854059279</v>
      </c>
      <c r="N972">
        <f>IF(A972&lt;&gt;$K$50,MAX(N971,VLOOKUP(A972,A:C,3)),)</f>
        <v>0.81499999761581421</v>
      </c>
      <c r="O972">
        <f>IF(A972&lt;&gt;$K$50,MIN(O971,VLOOKUP(A972,A:D,4)),)</f>
        <v>0.7720000147819519</v>
      </c>
      <c r="P972">
        <f t="shared" si="28"/>
        <v>0.80466665824254358</v>
      </c>
      <c r="Q972">
        <f t="shared" si="23"/>
        <v>0.78849999961398898</v>
      </c>
      <c r="R972">
        <f t="shared" si="24"/>
        <v>1.6166658628554598E-2</v>
      </c>
      <c r="S972">
        <f t="shared" si="25"/>
        <v>8.0714250097469464E-3</v>
      </c>
      <c r="T972">
        <f t="shared" si="26"/>
        <v>1.2107137514620419E-4</v>
      </c>
      <c r="U972">
        <f t="shared" si="27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29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28"/>
        <v>0.80666667222976685</v>
      </c>
      <c r="Q973">
        <f t="shared" si="23"/>
        <v>0.7899761895338695</v>
      </c>
      <c r="R973">
        <f t="shared" si="24"/>
        <v>1.6690482695897346E-2</v>
      </c>
      <c r="S973">
        <f t="shared" si="25"/>
        <v>9.540814728963962E-3</v>
      </c>
      <c r="T973">
        <f t="shared" si="26"/>
        <v>1.4311222093445943E-4</v>
      </c>
      <c r="U973">
        <f t="shared" si="27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29"/>
        <v>972</v>
      </c>
      <c r="I974">
        <f>SUM($F$3:F974)/H974</f>
        <v>4410297.0070408955</v>
      </c>
      <c r="N974">
        <f>IF(A974&lt;&gt;$K$51,MAX(N973,VLOOKUP(A974,A:C,3)),)</f>
        <v>0.81000000238418579</v>
      </c>
      <c r="O974">
        <f>IF(A974&lt;&gt;$K$51,MIN(O973,VLOOKUP(A974,A:D,4)),)</f>
        <v>0.80500000715255737</v>
      </c>
      <c r="P974">
        <f t="shared" si="28"/>
        <v>0.80800000826517737</v>
      </c>
      <c r="Q974">
        <f t="shared" si="23"/>
        <v>0.79102380928539096</v>
      </c>
      <c r="R974">
        <f t="shared" si="24"/>
        <v>1.6976198979786417E-2</v>
      </c>
      <c r="S974">
        <f t="shared" si="25"/>
        <v>1.088775440949161E-2</v>
      </c>
      <c r="T974">
        <f t="shared" si="26"/>
        <v>1.6331631614237415E-4</v>
      </c>
      <c r="U974">
        <f t="shared" si="27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29"/>
        <v>973</v>
      </c>
      <c r="I975">
        <f>SUM($F$3:F975)/H975</f>
        <v>4407390.7418743577</v>
      </c>
      <c r="N975">
        <f>IF(A975&lt;&gt;$K$51,MAX(N974,VLOOKUP(A975,A:C,3)),)</f>
        <v>0.81000000238418579</v>
      </c>
      <c r="O975">
        <f>IF(A975&lt;&gt;$K$51,MIN(O974,VLOOKUP(A975,A:D,4)),)</f>
        <v>0.80000001192092896</v>
      </c>
      <c r="P975">
        <f t="shared" si="28"/>
        <v>0.80266666412353516</v>
      </c>
      <c r="Q975">
        <f t="shared" si="23"/>
        <v>0.79199999996594017</v>
      </c>
      <c r="R975">
        <f t="shared" si="24"/>
        <v>1.0666664157594985E-2</v>
      </c>
      <c r="S975">
        <f t="shared" si="25"/>
        <v>1.1714284517327129E-2</v>
      </c>
      <c r="T975">
        <f t="shared" si="26"/>
        <v>1.7571426775990693E-4</v>
      </c>
      <c r="U975">
        <f t="shared" si="27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29"/>
        <v>974</v>
      </c>
      <c r="I976">
        <f>SUM($F$3:F976)/H976</f>
        <v>4403901.3273549797</v>
      </c>
      <c r="N976">
        <f>IF(A976&lt;&gt;$K$51,MAX(N975,VLOOKUP(A976,A:C,3)),)</f>
        <v>0.81499999761581421</v>
      </c>
      <c r="O976">
        <f>IF(A976&lt;&gt;$K$51,MIN(O975,VLOOKUP(A976,A:D,4)),)</f>
        <v>0.80000001192092896</v>
      </c>
      <c r="P976">
        <f t="shared" si="28"/>
        <v>0.81166666746139526</v>
      </c>
      <c r="Q976">
        <f t="shared" si="23"/>
        <v>0.79397619196346814</v>
      </c>
      <c r="R976">
        <f t="shared" si="24"/>
        <v>1.7690475497927127E-2</v>
      </c>
      <c r="S976">
        <f t="shared" si="25"/>
        <v>1.2547616447721208E-2</v>
      </c>
      <c r="T976">
        <f t="shared" si="26"/>
        <v>1.8821424671581813E-4</v>
      </c>
      <c r="U976">
        <f t="shared" si="27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29"/>
        <v>975</v>
      </c>
      <c r="I977">
        <f>SUM($F$3:F977)/H977</f>
        <v>4400126.9670192311</v>
      </c>
      <c r="N977">
        <f>IF(A977&lt;&gt;$K$51,MAX(N976,VLOOKUP(A977,A:C,3)),)</f>
        <v>0.82200002670288086</v>
      </c>
      <c r="O977">
        <f>IF(A977&lt;&gt;$K$51,MIN(O976,VLOOKUP(A977,A:D,4)),)</f>
        <v>0.80000001192092896</v>
      </c>
      <c r="P977">
        <f t="shared" si="28"/>
        <v>0.81466666857401526</v>
      </c>
      <c r="Q977">
        <f t="shared" si="23"/>
        <v>0.79614285769916715</v>
      </c>
      <c r="R977">
        <f t="shared" si="24"/>
        <v>1.8523810874848112E-2</v>
      </c>
      <c r="S977">
        <f t="shared" si="25"/>
        <v>1.3027209408429203E-2</v>
      </c>
      <c r="T977">
        <f t="shared" si="26"/>
        <v>1.9540814112643803E-4</v>
      </c>
      <c r="U977">
        <f t="shared" si="27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29"/>
        <v>976</v>
      </c>
      <c r="I978">
        <f>SUM($F$3:F978)/H978</f>
        <v>4396254.3984054811</v>
      </c>
      <c r="N978">
        <f>IF(A978&lt;&gt;$K$51,MAX(N977,VLOOKUP(A978,A:C,3)),)</f>
        <v>0.82200002670288086</v>
      </c>
      <c r="O978">
        <f>IF(A978&lt;&gt;$K$51,MIN(O977,VLOOKUP(A978,A:D,4)),)</f>
        <v>0.80000001192092896</v>
      </c>
      <c r="P978">
        <f t="shared" si="28"/>
        <v>0.80499998728434241</v>
      </c>
      <c r="Q978">
        <f t="shared" si="23"/>
        <v>0.79771428448813286</v>
      </c>
      <c r="R978">
        <f t="shared" si="24"/>
        <v>7.2857027962095477E-3</v>
      </c>
      <c r="S978">
        <f t="shared" si="25"/>
        <v>1.2272107763355324E-2</v>
      </c>
      <c r="T978">
        <f t="shared" si="26"/>
        <v>1.8408161645032986E-4</v>
      </c>
      <c r="U978">
        <f t="shared" si="27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29"/>
        <v>977</v>
      </c>
      <c r="I979">
        <f>SUM($F$3:F979)/H979</f>
        <v>4394460.56892912</v>
      </c>
      <c r="N979">
        <f>IF(A979&lt;&gt;$K$51,MAX(N978,VLOOKUP(A979,A:C,3)),)</f>
        <v>0.82200002670288086</v>
      </c>
      <c r="O979">
        <f>IF(A979&lt;&gt;$K$51,MIN(O978,VLOOKUP(A979,A:D,4)),)</f>
        <v>0.80000001192092896</v>
      </c>
      <c r="P979">
        <f t="shared" si="28"/>
        <v>0.81266665458679199</v>
      </c>
      <c r="Q979">
        <f t="shared" si="23"/>
        <v>0.79973809208188729</v>
      </c>
      <c r="R979">
        <f t="shared" si="24"/>
        <v>1.2928562504904706E-2</v>
      </c>
      <c r="S979">
        <f t="shared" si="25"/>
        <v>1.1517006929228944E-2</v>
      </c>
      <c r="T979">
        <f t="shared" si="26"/>
        <v>1.7275510393843414E-4</v>
      </c>
      <c r="U979">
        <f t="shared" si="27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29"/>
        <v>978</v>
      </c>
      <c r="I980">
        <f>SUM($F$3:F980)/H980</f>
        <v>4391998.7493289877</v>
      </c>
      <c r="N980">
        <f>IF(A980&lt;&gt;$K$51,MAX(N979,VLOOKUP(A980,A:C,3)),)</f>
        <v>0.82200002670288086</v>
      </c>
      <c r="O980">
        <f>IF(A980&lt;&gt;$K$51,MIN(O979,VLOOKUP(A980,A:D,4)),)</f>
        <v>0.80000001192092896</v>
      </c>
      <c r="P980">
        <f t="shared" si="28"/>
        <v>0.81566667556762695</v>
      </c>
      <c r="Q980">
        <f t="shared" si="23"/>
        <v>0.80228571097056067</v>
      </c>
      <c r="R980">
        <f t="shared" si="24"/>
        <v>1.338096459706628E-2</v>
      </c>
      <c r="S980">
        <f t="shared" si="25"/>
        <v>9.7891177449907739E-3</v>
      </c>
      <c r="T980">
        <f t="shared" si="26"/>
        <v>1.4683676617486161E-4</v>
      </c>
      <c r="U980">
        <f t="shared" si="27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29"/>
        <v>979</v>
      </c>
      <c r="I981">
        <f>SUM($F$3:F981)/H981</f>
        <v>4389165.9610252809</v>
      </c>
      <c r="N981">
        <f>IF(A981&lt;&gt;$K$51,MAX(N980,VLOOKUP(A981,A:C,3)),)</f>
        <v>0.82200002670288086</v>
      </c>
      <c r="O981">
        <f>IF(A981&lt;&gt;$K$51,MIN(O980,VLOOKUP(A981,A:D,4)),)</f>
        <v>0.80000001192092896</v>
      </c>
      <c r="P981">
        <f t="shared" si="28"/>
        <v>0.81533332665761316</v>
      </c>
      <c r="Q981">
        <f t="shared" si="23"/>
        <v>0.80514285394123619</v>
      </c>
      <c r="R981">
        <f t="shared" si="24"/>
        <v>1.0190472716376964E-2</v>
      </c>
      <c r="S981">
        <f t="shared" si="25"/>
        <v>7.2176890308354169E-3</v>
      </c>
      <c r="T981">
        <f t="shared" si="26"/>
        <v>1.0826533546253126E-4</v>
      </c>
      <c r="U981">
        <f t="shared" si="27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29"/>
        <v>980</v>
      </c>
      <c r="I982">
        <f>SUM($F$3:F982)/H982</f>
        <v>4387144.0569834188</v>
      </c>
      <c r="N982">
        <f>IF(A982&lt;&gt;$K$51,MAX(N981,VLOOKUP(A982,A:C,3)),)</f>
        <v>0.82700002193450928</v>
      </c>
      <c r="O982">
        <f>IF(A982&lt;&gt;$K$51,MIN(O981,VLOOKUP(A982,A:D,4)),)</f>
        <v>0.80000001192092896</v>
      </c>
      <c r="P982">
        <f t="shared" si="28"/>
        <v>0.8216666579246521</v>
      </c>
      <c r="Q982">
        <f t="shared" si="23"/>
        <v>0.80838094864572807</v>
      </c>
      <c r="R982">
        <f t="shared" si="24"/>
        <v>1.3285709278924029E-2</v>
      </c>
      <c r="S982">
        <f t="shared" si="25"/>
        <v>5.911565556818139E-3</v>
      </c>
      <c r="T982">
        <f t="shared" si="26"/>
        <v>8.8673483352272076E-5</v>
      </c>
      <c r="U982">
        <f t="shared" si="27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29"/>
        <v>981</v>
      </c>
      <c r="I983">
        <f>SUM($F$3:F983)/H983</f>
        <v>4385632.3912780322</v>
      </c>
      <c r="N983">
        <f>IF(A983&lt;&gt;$K$51,MAX(N982,VLOOKUP(A983,A:C,3)),)</f>
        <v>0.82700002193450928</v>
      </c>
      <c r="O983">
        <f>IF(A983&lt;&gt;$K$51,MIN(O982,VLOOKUP(A983,A:D,4)),)</f>
        <v>0.80000001192092896</v>
      </c>
      <c r="P983">
        <f t="shared" si="28"/>
        <v>0.82133332888285315</v>
      </c>
      <c r="Q983">
        <f t="shared" si="23"/>
        <v>0.81085713988258734</v>
      </c>
      <c r="R983">
        <f t="shared" si="24"/>
        <v>1.0476189000265812E-2</v>
      </c>
      <c r="S983">
        <f t="shared" si="25"/>
        <v>5.2857143538338801E-3</v>
      </c>
      <c r="T983">
        <f t="shared" si="26"/>
        <v>7.9285715307508196E-5</v>
      </c>
      <c r="U983">
        <f t="shared" si="27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29"/>
        <v>982</v>
      </c>
      <c r="I984">
        <f>SUM($F$3:F984)/H984</f>
        <v>4383844.7890465884</v>
      </c>
      <c r="N984">
        <f>IF(A984&lt;&gt;$K$51,MAX(N983,VLOOKUP(A984,A:C,3)),)</f>
        <v>0.83099997043609619</v>
      </c>
      <c r="O984">
        <f>IF(A984&lt;&gt;$K$51,MIN(O983,VLOOKUP(A984,A:D,4)),)</f>
        <v>0.80000001192092896</v>
      </c>
      <c r="P984">
        <f t="shared" si="28"/>
        <v>0.82633332411448157</v>
      </c>
      <c r="Q984">
        <f t="shared" si="23"/>
        <v>0.81238094823701046</v>
      </c>
      <c r="R984">
        <f t="shared" si="24"/>
        <v>1.3952375877471113E-2</v>
      </c>
      <c r="S984">
        <f t="shared" si="25"/>
        <v>5.8571426641373381E-3</v>
      </c>
      <c r="T984">
        <f t="shared" si="26"/>
        <v>8.7857139962060072E-5</v>
      </c>
      <c r="U984">
        <f t="shared" si="27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29"/>
        <v>983</v>
      </c>
      <c r="I985">
        <f>SUM($F$3:F985)/H985</f>
        <v>4380079.1290373858</v>
      </c>
      <c r="N985">
        <f>IF(A985&lt;&gt;$K$51,MAX(N984,VLOOKUP(A985,A:C,3)),)</f>
        <v>0.8320000171661377</v>
      </c>
      <c r="O985">
        <f>IF(A985&lt;&gt;$K$51,MIN(O984,VLOOKUP(A985,A:D,4)),)</f>
        <v>0.80000001192092896</v>
      </c>
      <c r="P985">
        <f t="shared" si="28"/>
        <v>0.82733333110809326</v>
      </c>
      <c r="Q985">
        <f t="shared" si="23"/>
        <v>0.8138333303587777</v>
      </c>
      <c r="R985">
        <f t="shared" si="24"/>
        <v>1.3500000749315566E-2</v>
      </c>
      <c r="S985">
        <f t="shared" si="25"/>
        <v>6.5000000454130602E-3</v>
      </c>
      <c r="T985">
        <f t="shared" si="26"/>
        <v>9.7500000681195902E-5</v>
      </c>
      <c r="U985">
        <f t="shared" si="27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29"/>
        <v>984</v>
      </c>
      <c r="I986">
        <f>SUM($F$3:F986)/H986</f>
        <v>4376868.9896786073</v>
      </c>
      <c r="N986">
        <f>IF(A986&lt;&gt;$K$51,MAX(N985,VLOOKUP(A986,A:C,3)),)</f>
        <v>0.83399999141693115</v>
      </c>
      <c r="O986">
        <f>IF(A986&lt;&gt;$K$51,MIN(O985,VLOOKUP(A986,A:D,4)),)</f>
        <v>0.80000001192092896</v>
      </c>
      <c r="P986">
        <f t="shared" si="28"/>
        <v>0.8316666682561239</v>
      </c>
      <c r="Q986">
        <f t="shared" si="23"/>
        <v>0.81576190250260472</v>
      </c>
      <c r="R986">
        <f t="shared" si="24"/>
        <v>1.5904765753519179E-2</v>
      </c>
      <c r="S986">
        <f t="shared" si="25"/>
        <v>7.0748282533113173E-3</v>
      </c>
      <c r="T986">
        <f t="shared" si="26"/>
        <v>1.0612242379966975E-4</v>
      </c>
      <c r="U986">
        <f t="shared" si="27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29"/>
        <v>985</v>
      </c>
      <c r="I987">
        <f>SUM($F$3:F987)/H987</f>
        <v>4377543.5521256346</v>
      </c>
      <c r="N987">
        <f>IF(A987&lt;&gt;$K$51,MAX(N986,VLOOKUP(A987,A:C,3)),)</f>
        <v>0.84299999475479126</v>
      </c>
      <c r="O987">
        <f>IF(A987&lt;&gt;$K$51,MIN(O986,VLOOKUP(A987,A:D,4)),)</f>
        <v>0.80000001192092896</v>
      </c>
      <c r="P987">
        <f t="shared" si="28"/>
        <v>0.83799997965494788</v>
      </c>
      <c r="Q987">
        <f t="shared" si="23"/>
        <v>0.81799999589011774</v>
      </c>
      <c r="R987">
        <f t="shared" si="24"/>
        <v>1.9999983764830143E-2</v>
      </c>
      <c r="S987">
        <f t="shared" si="25"/>
        <v>8.3333306572064125E-3</v>
      </c>
      <c r="T987">
        <f t="shared" si="26"/>
        <v>1.2499995985809618E-4</v>
      </c>
      <c r="U987">
        <f t="shared" si="27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29"/>
        <v>986</v>
      </c>
      <c r="I988">
        <f>SUM($F$3:F988)/H988</f>
        <v>4376570.7196691176</v>
      </c>
      <c r="N988">
        <f>IF(A988&lt;&gt;$K$51,MAX(N987,VLOOKUP(A988,A:C,3)),)</f>
        <v>0.84700000286102295</v>
      </c>
      <c r="O988">
        <f>IF(A988&lt;&gt;$K$51,MIN(O987,VLOOKUP(A988,A:D,4)),)</f>
        <v>0.80000001192092896</v>
      </c>
      <c r="P988">
        <f t="shared" si="28"/>
        <v>0.84466667970021569</v>
      </c>
      <c r="Q988">
        <f t="shared" si="23"/>
        <v>0.82061904384976347</v>
      </c>
      <c r="R988">
        <f t="shared" si="24"/>
        <v>2.404763585045222E-2</v>
      </c>
      <c r="S988">
        <f t="shared" si="25"/>
        <v>9.5238089561462402E-3</v>
      </c>
      <c r="T988">
        <f t="shared" si="26"/>
        <v>1.428571343421936E-4</v>
      </c>
      <c r="U988">
        <f t="shared" si="27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29"/>
        <v>987</v>
      </c>
      <c r="I989">
        <f>SUM($F$3:F989)/H989</f>
        <v>4378265.8891527355</v>
      </c>
      <c r="N989">
        <f>IF(A989&lt;&gt;$K$51,MAX(N988,VLOOKUP(A989,A:C,3)),)</f>
        <v>0.8529999852180481</v>
      </c>
      <c r="O989">
        <f>IF(A989&lt;&gt;$K$51,MIN(O988,VLOOKUP(A989,A:D,4)),)</f>
        <v>0.80000001192092896</v>
      </c>
      <c r="P989">
        <f t="shared" si="28"/>
        <v>0.84966665506362915</v>
      </c>
      <c r="Q989">
        <f t="shared" si="23"/>
        <v>0.82397618605977019</v>
      </c>
      <c r="R989">
        <f t="shared" si="24"/>
        <v>2.5690469003858962E-2</v>
      </c>
      <c r="S989">
        <f t="shared" si="25"/>
        <v>1.0544217362695825E-2</v>
      </c>
      <c r="T989">
        <f t="shared" si="26"/>
        <v>1.5816326044043737E-4</v>
      </c>
      <c r="U989">
        <f t="shared" si="27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29"/>
        <v>988</v>
      </c>
      <c r="I990">
        <f>SUM($F$3:F990)/H990</f>
        <v>4379736.0552568324</v>
      </c>
      <c r="N990">
        <f>IF(A990&lt;&gt;$K$51,MAX(N989,VLOOKUP(A990,A:C,3)),)</f>
        <v>0.86000001430511475</v>
      </c>
      <c r="O990">
        <f>IF(A990&lt;&gt;$K$51,MIN(O989,VLOOKUP(A990,A:D,4)),)</f>
        <v>0.80000001192092896</v>
      </c>
      <c r="P990">
        <f t="shared" si="28"/>
        <v>0.85433334112167358</v>
      </c>
      <c r="Q990">
        <f t="shared" si="23"/>
        <v>0.82702380560693289</v>
      </c>
      <c r="R990">
        <f t="shared" si="24"/>
        <v>2.730953551474069E-2</v>
      </c>
      <c r="S990">
        <f t="shared" si="25"/>
        <v>1.1931974466155191E-2</v>
      </c>
      <c r="T990">
        <f t="shared" si="26"/>
        <v>1.7897961699232784E-4</v>
      </c>
      <c r="U990">
        <f t="shared" si="27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29"/>
        <v>989</v>
      </c>
      <c r="I991">
        <f>SUM($F$3:F991)/H991</f>
        <v>4382372.2973647621</v>
      </c>
      <c r="N991">
        <f>IF(A991&lt;&gt;$K$51,MAX(N990,VLOOKUP(A991,A:C,3)),)</f>
        <v>0.86299997568130493</v>
      </c>
      <c r="O991">
        <f>IF(A991&lt;&gt;$K$51,MIN(O990,VLOOKUP(A991,A:D,4)),)</f>
        <v>0.80000001192092896</v>
      </c>
      <c r="P991">
        <f t="shared" si="28"/>
        <v>0.86033332347869873</v>
      </c>
      <c r="Q991">
        <f t="shared" si="23"/>
        <v>0.83028570952869607</v>
      </c>
      <c r="R991">
        <f t="shared" si="24"/>
        <v>3.0047613950002661E-2</v>
      </c>
      <c r="S991">
        <f t="shared" si="25"/>
        <v>1.3850341443301892E-2</v>
      </c>
      <c r="T991">
        <f t="shared" si="26"/>
        <v>2.0775512164952837E-4</v>
      </c>
      <c r="U991">
        <f t="shared" si="27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29"/>
        <v>990</v>
      </c>
      <c r="I992">
        <f>SUM($F$3:F992)/H992</f>
        <v>4379517.8859532829</v>
      </c>
      <c r="N992">
        <f>IF(A992&lt;&gt;$K$51,MAX(N991,VLOOKUP(A992,A:C,3)),)</f>
        <v>0.86299997568130493</v>
      </c>
      <c r="O992">
        <f>IF(A992&lt;&gt;$K$51,MIN(O991,VLOOKUP(A992,A:D,4)),)</f>
        <v>0.80000001192092896</v>
      </c>
      <c r="P992">
        <f t="shared" si="28"/>
        <v>0.85833332935969031</v>
      </c>
      <c r="Q992">
        <f t="shared" si="23"/>
        <v>0.8340952339626494</v>
      </c>
      <c r="R992">
        <f t="shared" si="24"/>
        <v>2.4238095397040915E-2</v>
      </c>
      <c r="S992">
        <f t="shared" si="25"/>
        <v>1.4394557800422718E-2</v>
      </c>
      <c r="T992">
        <f t="shared" si="26"/>
        <v>2.1591836700634077E-4</v>
      </c>
      <c r="U992">
        <f t="shared" si="27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29"/>
        <v>991</v>
      </c>
      <c r="I993">
        <f>SUM($F$3:F993)/H993</f>
        <v>4377249.9567040866</v>
      </c>
      <c r="N993">
        <f>IF(A993&lt;&gt;$K$51,MAX(N992,VLOOKUP(A993,A:C,3)),)</f>
        <v>0.86599999666213989</v>
      </c>
      <c r="O993">
        <f>IF(A993&lt;&gt;$K$51,MIN(O992,VLOOKUP(A993,A:D,4)),)</f>
        <v>0.80000001192092896</v>
      </c>
      <c r="P993">
        <f t="shared" si="28"/>
        <v>0.86366667350133264</v>
      </c>
      <c r="Q993">
        <f t="shared" si="23"/>
        <v>0.83773809245654518</v>
      </c>
      <c r="R993">
        <f t="shared" si="24"/>
        <v>2.5928581044787458E-2</v>
      </c>
      <c r="S993">
        <f t="shared" si="25"/>
        <v>1.4976190669195992E-2</v>
      </c>
      <c r="T993">
        <f t="shared" si="26"/>
        <v>2.2464286003793987E-4</v>
      </c>
      <c r="U993">
        <f t="shared" si="27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29"/>
        <v>992</v>
      </c>
      <c r="I994">
        <f>SUM($F$3:F994)/H994</f>
        <v>4375864.4224735387</v>
      </c>
      <c r="N994">
        <f>IF(A994&lt;&gt;$K$51,MAX(N993,VLOOKUP(A994,A:C,3)),)</f>
        <v>0.87300002574920654</v>
      </c>
      <c r="O994">
        <f>IF(A994&lt;&gt;$K$51,MIN(O993,VLOOKUP(A994,A:D,4)),)</f>
        <v>0.80000001192092896</v>
      </c>
      <c r="P994">
        <f t="shared" si="28"/>
        <v>0.86933332681655884</v>
      </c>
      <c r="Q994">
        <f t="shared" si="23"/>
        <v>0.84157142468861168</v>
      </c>
      <c r="R994">
        <f t="shared" si="24"/>
        <v>2.7761902127947158E-2</v>
      </c>
      <c r="S994">
        <f t="shared" si="25"/>
        <v>1.5619050888788137E-2</v>
      </c>
      <c r="T994">
        <f t="shared" si="26"/>
        <v>2.3428576333182205E-4</v>
      </c>
      <c r="U994">
        <f t="shared" si="27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29"/>
        <v>993</v>
      </c>
      <c r="I995">
        <f>SUM($F$3:F995)/H995</f>
        <v>4373567.4794498989</v>
      </c>
      <c r="N995">
        <f>IF(A995&lt;&gt;$K$51,MAX(N994,VLOOKUP(A995,A:C,3)),)</f>
        <v>0.87300002574920654</v>
      </c>
      <c r="O995">
        <f>IF(A995&lt;&gt;$K$51,MIN(O994,VLOOKUP(A995,A:D,4)),)</f>
        <v>0.80000001192092896</v>
      </c>
      <c r="P995">
        <f t="shared" si="28"/>
        <v>0.86333334445953369</v>
      </c>
      <c r="Q995">
        <f t="shared" si="23"/>
        <v>0.84499999738874887</v>
      </c>
      <c r="R995">
        <f t="shared" si="24"/>
        <v>1.8333347070784822E-2</v>
      </c>
      <c r="S995">
        <f t="shared" si="25"/>
        <v>1.4857144582839241E-2</v>
      </c>
      <c r="T995">
        <f t="shared" si="26"/>
        <v>2.2285716874258861E-4</v>
      </c>
      <c r="U995">
        <f t="shared" si="27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29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28"/>
        <v>0.85133334000905359</v>
      </c>
      <c r="Q996">
        <f t="shared" si="23"/>
        <v>0.8471190461090633</v>
      </c>
      <c r="R996">
        <f t="shared" si="24"/>
        <v>4.2142938999902846E-3</v>
      </c>
      <c r="S996">
        <f t="shared" si="25"/>
        <v>1.3340137848237748E-2</v>
      </c>
      <c r="T996">
        <f t="shared" si="26"/>
        <v>2.0010206772356622E-4</v>
      </c>
      <c r="U996">
        <f t="shared" si="27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29"/>
        <v>995</v>
      </c>
      <c r="I997">
        <f>SUM($F$3:F997)/H997</f>
        <v>4369297.6031092964</v>
      </c>
      <c r="N997">
        <f>IF(A997&lt;&gt;$K$52,MAX(N996,VLOOKUP(A997,A:C,3)),)</f>
        <v>0.86599999666213989</v>
      </c>
      <c r="O997">
        <f>IF(A997&lt;&gt;$K$52,MIN(O996,VLOOKUP(A997,A:D,4)),)</f>
        <v>0.84299999475479126</v>
      </c>
      <c r="P997">
        <f t="shared" si="28"/>
        <v>0.85133334000905359</v>
      </c>
      <c r="Q997">
        <f t="shared" si="23"/>
        <v>0.84926190404664914</v>
      </c>
      <c r="R997">
        <f t="shared" si="24"/>
        <v>2.0714359624044443E-3</v>
      </c>
      <c r="S997">
        <f t="shared" si="25"/>
        <v>1.1187076771340374E-2</v>
      </c>
      <c r="T997">
        <f t="shared" si="26"/>
        <v>1.6780615157010561E-4</v>
      </c>
      <c r="U997">
        <f t="shared" si="27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29"/>
        <v>996</v>
      </c>
      <c r="I998">
        <f>SUM($F$3:F998)/H998</f>
        <v>4365724.3133471385</v>
      </c>
      <c r="N998">
        <f>IF(A998&lt;&gt;$K$52,MAX(N997,VLOOKUP(A998,A:C,3)),)</f>
        <v>0.86599999666213989</v>
      </c>
      <c r="O998">
        <f>IF(A998&lt;&gt;$K$52,MIN(O997,VLOOKUP(A998,A:D,4)),)</f>
        <v>0.8399999737739563</v>
      </c>
      <c r="P998">
        <f t="shared" si="28"/>
        <v>0.84466665983200073</v>
      </c>
      <c r="Q998">
        <f t="shared" si="23"/>
        <v>0.8505714280264719</v>
      </c>
      <c r="R998">
        <f t="shared" si="24"/>
        <v>-5.9047681944711661E-3</v>
      </c>
      <c r="S998">
        <f t="shared" si="25"/>
        <v>9.6326563634028962E-3</v>
      </c>
      <c r="T998">
        <f t="shared" si="26"/>
        <v>1.4448984545104344E-4</v>
      </c>
      <c r="U998">
        <f t="shared" si="27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29"/>
        <v>997</v>
      </c>
      <c r="I999">
        <f>SUM($F$3:F999)/H999</f>
        <v>4362357.9920072714</v>
      </c>
      <c r="N999">
        <f>IF(A999&lt;&gt;$K$52,MAX(N998,VLOOKUP(A999,A:C,3)),)</f>
        <v>0.86599999666213989</v>
      </c>
      <c r="O999">
        <f>IF(A999&lt;&gt;$K$52,MIN(O998,VLOOKUP(A999,A:D,4)),)</f>
        <v>0.8399999737739563</v>
      </c>
      <c r="P999">
        <f t="shared" si="28"/>
        <v>0.84633332490921021</v>
      </c>
      <c r="Q999">
        <f t="shared" si="23"/>
        <v>0.85192857044083747</v>
      </c>
      <c r="R999">
        <f t="shared" si="24"/>
        <v>-5.5952455316272687E-3</v>
      </c>
      <c r="S999">
        <f t="shared" si="25"/>
        <v>8.2517022989234291E-3</v>
      </c>
      <c r="T999">
        <f t="shared" si="26"/>
        <v>1.2377553448385142E-4</v>
      </c>
      <c r="U999">
        <f t="shared" si="27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29"/>
        <v>998</v>
      </c>
      <c r="I1000">
        <f>SUM($F$3:F1000)/H1000</f>
        <v>4359209.1363038579</v>
      </c>
      <c r="N1000">
        <f>IF(A1000&lt;&gt;$K$52,MAX(N999,VLOOKUP(A1000,A:C,3)),)</f>
        <v>0.86599999666213989</v>
      </c>
      <c r="O1000">
        <f>IF(A1000&lt;&gt;$K$52,MIN(O999,VLOOKUP(A1000,A:D,4)),)</f>
        <v>0.8399999737739563</v>
      </c>
      <c r="P1000">
        <f t="shared" si="28"/>
        <v>0.85166664918263757</v>
      </c>
      <c r="Q1000">
        <f t="shared" si="23"/>
        <v>0.85335714050701694</v>
      </c>
      <c r="R1000">
        <f t="shared" si="24"/>
        <v>-1.6904913243793729E-3</v>
      </c>
      <c r="S1000">
        <f t="shared" si="25"/>
        <v>7.0272136707695198E-3</v>
      </c>
      <c r="T1000">
        <f t="shared" si="26"/>
        <v>1.054082050615428E-4</v>
      </c>
      <c r="U1000">
        <f t="shared" si="27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29"/>
        <v>999</v>
      </c>
      <c r="I1001">
        <f>SUM($F$3:F1001)/H1001</f>
        <v>4355995.113144394</v>
      </c>
      <c r="N1001">
        <f>IF(A1001&lt;&gt;$K$52,MAX(N1000,VLOOKUP(A1001,A:C,3)),)</f>
        <v>0.86599999666213989</v>
      </c>
      <c r="O1001">
        <f>IF(A1001&lt;&gt;$K$52,MIN(O1000,VLOOKUP(A1001,A:D,4)),)</f>
        <v>0.8399999737739563</v>
      </c>
      <c r="P1001">
        <f t="shared" si="28"/>
        <v>0.85700001319249475</v>
      </c>
      <c r="Q1001">
        <f t="shared" si="23"/>
        <v>0.85471428575969888</v>
      </c>
      <c r="R1001">
        <f t="shared" si="24"/>
        <v>2.2857274327958699E-3</v>
      </c>
      <c r="S1001">
        <f t="shared" si="25"/>
        <v>6.2448994643023292E-3</v>
      </c>
      <c r="T1001">
        <f t="shared" si="26"/>
        <v>9.3673491964534929E-5</v>
      </c>
      <c r="U1001">
        <f t="shared" si="27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29"/>
        <v>1000</v>
      </c>
      <c r="I1002">
        <f>SUM($F$3:F1002)/H1002</f>
        <v>4352659.0180312498</v>
      </c>
      <c r="N1002">
        <f>IF(A1002&lt;&gt;$K$52,MAX(N1001,VLOOKUP(A1002,A:C,3)),)</f>
        <v>0.86599999666213989</v>
      </c>
      <c r="O1002">
        <f>IF(A1002&lt;&gt;$K$52,MIN(O1001,VLOOKUP(A1002,A:D,4)),)</f>
        <v>0.8399999737739563</v>
      </c>
      <c r="P1002">
        <f t="shared" si="28"/>
        <v>0.85666666428248084</v>
      </c>
      <c r="Q1002">
        <f t="shared" si="23"/>
        <v>0.85557142751557491</v>
      </c>
      <c r="R1002">
        <f t="shared" si="24"/>
        <v>1.0952367669059271E-3</v>
      </c>
      <c r="S1002">
        <f t="shared" si="25"/>
        <v>5.6666689259665271E-3</v>
      </c>
      <c r="T1002">
        <f t="shared" si="26"/>
        <v>8.5000033889497904E-5</v>
      </c>
      <c r="U1002">
        <f t="shared" si="27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29"/>
        <v>1001</v>
      </c>
      <c r="I1003">
        <f>SUM($F$3:F1003)/H1003</f>
        <v>4349524.9181131367</v>
      </c>
      <c r="N1003">
        <f>IF(A1003&lt;&gt;$K$52,MAX(N1002,VLOOKUP(A1003,A:C,3)),)</f>
        <v>0.86599999666213989</v>
      </c>
      <c r="O1003">
        <f>IF(A1003&lt;&gt;$K$52,MIN(O1002,VLOOKUP(A1003,A:D,4)),)</f>
        <v>0.8399999737739563</v>
      </c>
      <c r="P1003">
        <f t="shared" si="28"/>
        <v>0.85399999221165979</v>
      </c>
      <c r="Q1003">
        <f t="shared" si="23"/>
        <v>0.85588095159757704</v>
      </c>
      <c r="R1003">
        <f t="shared" si="24"/>
        <v>-1.880959385917258E-3</v>
      </c>
      <c r="S1003">
        <f t="shared" si="25"/>
        <v>5.3571448439643388E-3</v>
      </c>
      <c r="T1003">
        <f t="shared" si="26"/>
        <v>8.0357172659465084E-5</v>
      </c>
      <c r="U1003">
        <f t="shared" si="27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29"/>
        <v>1002</v>
      </c>
      <c r="I1004">
        <f>SUM($F$3:F1004)/H1004</f>
        <v>4346697.5539234029</v>
      </c>
      <c r="N1004">
        <f>IF(A1004&lt;&gt;$K$52,MAX(N1003,VLOOKUP(A1004,A:C,3)),)</f>
        <v>0.86699998378753662</v>
      </c>
      <c r="O1004">
        <f>IF(A1004&lt;&gt;$K$52,MIN(O1003,VLOOKUP(A1004,A:D,4)),)</f>
        <v>0.8399999737739563</v>
      </c>
      <c r="P1004">
        <f t="shared" si="28"/>
        <v>0.86299999554951989</v>
      </c>
      <c r="Q1004">
        <f t="shared" si="23"/>
        <v>0.8564999983424233</v>
      </c>
      <c r="R1004">
        <f t="shared" si="24"/>
        <v>6.4999972070965972E-3</v>
      </c>
      <c r="S1004">
        <f t="shared" si="25"/>
        <v>5.6666691287034021E-3</v>
      </c>
      <c r="T1004">
        <f t="shared" si="26"/>
        <v>8.5000036930551031E-5</v>
      </c>
      <c r="U1004">
        <f t="shared" si="27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29"/>
        <v>1003</v>
      </c>
      <c r="I1005">
        <f>SUM($F$3:F1005)/H1005</f>
        <v>4345859.5772993518</v>
      </c>
      <c r="N1005">
        <f>IF(A1005&lt;&gt;$K$52,MAX(N1004,VLOOKUP(A1005,A:C,3)),)</f>
        <v>0.87300002574920654</v>
      </c>
      <c r="O1005">
        <f>IF(A1005&lt;&gt;$K$52,MIN(O1004,VLOOKUP(A1005,A:D,4)),)</f>
        <v>0.8399999737739563</v>
      </c>
      <c r="P1005">
        <f t="shared" si="28"/>
        <v>0.8693333466847738</v>
      </c>
      <c r="Q1005">
        <f t="shared" si="23"/>
        <v>0.8571428571428571</v>
      </c>
      <c r="R1005">
        <f t="shared" si="24"/>
        <v>1.2190489541916705E-2</v>
      </c>
      <c r="S1005">
        <f t="shared" si="25"/>
        <v>6.3061247877523085E-3</v>
      </c>
      <c r="T1005">
        <f t="shared" si="26"/>
        <v>9.4591871816284627E-5</v>
      </c>
      <c r="U1005">
        <f t="shared" si="27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29"/>
        <v>1004</v>
      </c>
      <c r="I1006">
        <f>SUM($F$3:F1006)/H1006</f>
        <v>4344661.3277203683</v>
      </c>
      <c r="N1006">
        <f>IF(A1006&lt;&gt;$K$52,MAX(N1005,VLOOKUP(A1006,A:C,3)),)</f>
        <v>0.89399999380111694</v>
      </c>
      <c r="O1006">
        <f>IF(A1006&lt;&gt;$K$52,MIN(O1005,VLOOKUP(A1006,A:D,4)),)</f>
        <v>0.8399999737739563</v>
      </c>
      <c r="P1006">
        <f t="shared" si="28"/>
        <v>0.88666667540868127</v>
      </c>
      <c r="Q1006">
        <f t="shared" si="23"/>
        <v>0.85916666757492799</v>
      </c>
      <c r="R1006">
        <f t="shared" si="24"/>
        <v>2.7500007833753282E-2</v>
      </c>
      <c r="S1006">
        <f t="shared" si="25"/>
        <v>8.6190509958332193E-3</v>
      </c>
      <c r="T1006">
        <f t="shared" si="26"/>
        <v>1.2928576493749828E-4</v>
      </c>
      <c r="U1006">
        <f t="shared" si="27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29"/>
        <v>1005</v>
      </c>
      <c r="I1007">
        <f>SUM($F$3:F1007)/H1007</f>
        <v>4343348.8358519897</v>
      </c>
      <c r="N1007">
        <f>IF(A1007&lt;&gt;$K$52,MAX(N1006,VLOOKUP(A1007,A:C,3)),)</f>
        <v>0.90100002288818359</v>
      </c>
      <c r="O1007">
        <f>IF(A1007&lt;&gt;$K$52,MIN(O1006,VLOOKUP(A1007,A:D,4)),)</f>
        <v>0.8399999737739563</v>
      </c>
      <c r="P1007">
        <f t="shared" si="28"/>
        <v>0.89266665776570642</v>
      </c>
      <c r="Q1007">
        <f t="shared" si="23"/>
        <v>0.86123809502238335</v>
      </c>
      <c r="R1007">
        <f t="shared" si="24"/>
        <v>3.1428562743323063E-2</v>
      </c>
      <c r="S1007">
        <f t="shared" si="25"/>
        <v>1.0986396650067827E-2</v>
      </c>
      <c r="T1007">
        <f t="shared" si="26"/>
        <v>1.6479594975101738E-4</v>
      </c>
      <c r="U1007">
        <f t="shared" si="27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29"/>
        <v>1006</v>
      </c>
      <c r="I1008">
        <f>SUM($F$3:F1008)/H1008</f>
        <v>4341586.3718004469</v>
      </c>
      <c r="N1008">
        <f>IF(A1008&lt;&gt;$K$52,MAX(N1007,VLOOKUP(A1008,A:C,3)),)</f>
        <v>0.90799999237060547</v>
      </c>
      <c r="O1008">
        <f>IF(A1008&lt;&gt;$K$52,MIN(O1007,VLOOKUP(A1008,A:D,4)),)</f>
        <v>0.8399999737739563</v>
      </c>
      <c r="P1008">
        <f t="shared" si="28"/>
        <v>0.89999999602635705</v>
      </c>
      <c r="Q1008">
        <f t="shared" si="23"/>
        <v>0.86342857139451179</v>
      </c>
      <c r="R1008">
        <f t="shared" si="24"/>
        <v>3.6571424631845262E-2</v>
      </c>
      <c r="S1008">
        <f t="shared" si="25"/>
        <v>1.3564627186781761E-2</v>
      </c>
      <c r="T1008">
        <f t="shared" si="26"/>
        <v>2.034694078017264E-4</v>
      </c>
      <c r="U1008">
        <f t="shared" si="27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29"/>
        <v>1007</v>
      </c>
      <c r="I1009">
        <f>SUM($F$3:F1009)/H1009</f>
        <v>4340721.491590119</v>
      </c>
      <c r="N1009">
        <f>IF(A1009&lt;&gt;$K$52,MAX(N1008,VLOOKUP(A1009,A:C,3)),)</f>
        <v>0.93599998950958252</v>
      </c>
      <c r="O1009">
        <f>IF(A1009&lt;&gt;$K$52,MIN(O1008,VLOOKUP(A1009,A:D,4)),)</f>
        <v>0.8399999737739563</v>
      </c>
      <c r="P1009">
        <f t="shared" si="28"/>
        <v>0.91866666078567505</v>
      </c>
      <c r="Q1009">
        <f t="shared" si="23"/>
        <v>0.86738095113209324</v>
      </c>
      <c r="R1009">
        <f t="shared" si="24"/>
        <v>5.1285709653581812E-2</v>
      </c>
      <c r="S1009">
        <f t="shared" si="25"/>
        <v>1.8632654430103972E-2</v>
      </c>
      <c r="T1009">
        <f t="shared" si="26"/>
        <v>2.7948981645155958E-4</v>
      </c>
      <c r="U1009">
        <f t="shared" si="27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29"/>
        <v>1008</v>
      </c>
      <c r="I1010">
        <f>SUM($F$3:F1010)/H1010</f>
        <v>4340810.7797929067</v>
      </c>
      <c r="N1010">
        <f>IF(A1010&lt;&gt;$K$52,MAX(N1009,VLOOKUP(A1010,A:C,3)),)</f>
        <v>0.93599998950958252</v>
      </c>
      <c r="O1010">
        <f>IF(A1010&lt;&gt;$K$52,MIN(O1009,VLOOKUP(A1010,A:D,4)),)</f>
        <v>0.8399999737739563</v>
      </c>
      <c r="P1010">
        <f t="shared" si="28"/>
        <v>0.92499999205271399</v>
      </c>
      <c r="Q1010">
        <f t="shared" si="23"/>
        <v>0.87264285484949755</v>
      </c>
      <c r="R1010">
        <f t="shared" si="24"/>
        <v>5.2357137203216442E-2</v>
      </c>
      <c r="S1010">
        <f t="shared" si="25"/>
        <v>2.2826529684520917E-2</v>
      </c>
      <c r="T1010">
        <f t="shared" si="26"/>
        <v>3.4239794526781377E-4</v>
      </c>
      <c r="U1010">
        <f t="shared" si="27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29"/>
        <v>1009</v>
      </c>
      <c r="I1011">
        <f>SUM($F$3:F1011)/H1011</f>
        <v>4337925.1506751738</v>
      </c>
      <c r="N1011">
        <f>IF(A1011&lt;&gt;$K$52,MAX(N1010,VLOOKUP(A1011,A:C,3)),)</f>
        <v>0.93599998950958252</v>
      </c>
      <c r="O1011">
        <f>IF(A1011&lt;&gt;$K$52,MIN(O1010,VLOOKUP(A1011,A:D,4)),)</f>
        <v>0.8399999737739563</v>
      </c>
      <c r="P1011">
        <f t="shared" si="28"/>
        <v>0.92500001192092896</v>
      </c>
      <c r="Q1011">
        <f t="shared" si="23"/>
        <v>0.87790475998605999</v>
      </c>
      <c r="R1011">
        <f t="shared" si="24"/>
        <v>4.7095251934868965E-2</v>
      </c>
      <c r="S1011">
        <f t="shared" si="25"/>
        <v>2.5795919149100368E-2</v>
      </c>
      <c r="T1011">
        <f t="shared" si="26"/>
        <v>3.869387872365055E-4</v>
      </c>
      <c r="U1011">
        <f t="shared" si="27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29"/>
        <v>1010</v>
      </c>
      <c r="I1012">
        <f>SUM($F$3:F1012)/H1012</f>
        <v>4337883.2515160888</v>
      </c>
      <c r="N1012">
        <f>IF(A1012&lt;&gt;$K$52,MAX(N1011,VLOOKUP(A1012,A:C,3)),)</f>
        <v>0.94199997186660767</v>
      </c>
      <c r="O1012">
        <f>IF(A1012&lt;&gt;$K$52,MIN(O1011,VLOOKUP(A1012,A:D,4)),)</f>
        <v>0.8399999737739563</v>
      </c>
      <c r="P1012">
        <f t="shared" si="28"/>
        <v>0.93299998839696252</v>
      </c>
      <c r="Q1012">
        <f t="shared" si="23"/>
        <v>0.88421428345498576</v>
      </c>
      <c r="R1012">
        <f t="shared" si="24"/>
        <v>4.878570494197676E-2</v>
      </c>
      <c r="S1012">
        <f t="shared" si="25"/>
        <v>2.7357142596017743E-2</v>
      </c>
      <c r="T1012">
        <f t="shared" si="26"/>
        <v>4.1035713894026611E-4</v>
      </c>
      <c r="U1012">
        <f t="shared" si="27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29"/>
        <v>1011</v>
      </c>
      <c r="I1013">
        <f>SUM($F$3:F1013)/H1013</f>
        <v>4337393.5784186451</v>
      </c>
      <c r="N1013">
        <f>IF(A1013&lt;&gt;$K$52,MAX(N1012,VLOOKUP(A1013,A:C,3)),)</f>
        <v>0.95899999141693115</v>
      </c>
      <c r="O1013">
        <f>IF(A1013&lt;&gt;$K$52,MIN(O1012,VLOOKUP(A1013,A:D,4)),)</f>
        <v>0.8399999737739563</v>
      </c>
      <c r="P1013">
        <f t="shared" si="28"/>
        <v>0.95066666603088379</v>
      </c>
      <c r="Q1013">
        <f t="shared" si="23"/>
        <v>0.89166666496367675</v>
      </c>
      <c r="R1013">
        <f t="shared" si="24"/>
        <v>5.9000001067207042E-2</v>
      </c>
      <c r="S1013">
        <f t="shared" si="25"/>
        <v>2.9047616890498562E-2</v>
      </c>
      <c r="T1013">
        <f t="shared" si="26"/>
        <v>4.3571425335747841E-4</v>
      </c>
      <c r="U1013">
        <f t="shared" si="27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29"/>
        <v>1012</v>
      </c>
      <c r="I1014">
        <f>SUM($F$3:F1014)/H1014</f>
        <v>4339643.3723134883</v>
      </c>
      <c r="N1014">
        <f>IF(A1014&lt;&gt;$K$52,MAX(N1013,VLOOKUP(A1014,A:C,3)),)</f>
        <v>0.98500001430511475</v>
      </c>
      <c r="O1014">
        <f>IF(A1014&lt;&gt;$K$52,MIN(O1013,VLOOKUP(A1014,A:D,4)),)</f>
        <v>0.8399999737739563</v>
      </c>
      <c r="P1014">
        <f t="shared" si="28"/>
        <v>0.97833333412806189</v>
      </c>
      <c r="Q1014">
        <f t="shared" si="23"/>
        <v>0.90071428531692133</v>
      </c>
      <c r="R1014">
        <f t="shared" si="24"/>
        <v>7.7619048811140567E-2</v>
      </c>
      <c r="S1014">
        <f t="shared" si="25"/>
        <v>3.2340134487671077E-2</v>
      </c>
      <c r="T1014">
        <f t="shared" si="26"/>
        <v>4.8510201731506611E-4</v>
      </c>
      <c r="U1014">
        <f t="shared" si="27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29"/>
        <v>1013</v>
      </c>
      <c r="I1015">
        <f>SUM($F$3:F1015)/H1015</f>
        <v>4339636.973130553</v>
      </c>
      <c r="N1015">
        <f>IF(A1015&lt;&gt;$K$52,MAX(N1014,VLOOKUP(A1015,A:C,3)),)</f>
        <v>0.99800002574920654</v>
      </c>
      <c r="O1015">
        <f>IF(A1015&lt;&gt;$K$52,MIN(O1014,VLOOKUP(A1015,A:D,4)),)</f>
        <v>0.8399999737739563</v>
      </c>
      <c r="P1015">
        <f t="shared" si="28"/>
        <v>0.97666666905085242</v>
      </c>
      <c r="Q1015">
        <f t="shared" si="23"/>
        <v>0.90926190359251824</v>
      </c>
      <c r="R1015">
        <f t="shared" si="24"/>
        <v>6.7404765458334182E-2</v>
      </c>
      <c r="S1015">
        <f t="shared" si="25"/>
        <v>3.4642856745492827E-2</v>
      </c>
      <c r="T1015">
        <f t="shared" si="26"/>
        <v>5.1964285118239243E-4</v>
      </c>
      <c r="U1015">
        <f t="shared" si="27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29"/>
        <v>1014</v>
      </c>
      <c r="I1016">
        <f>SUM($F$3:F1016)/H1016</f>
        <v>4339581.819310897</v>
      </c>
      <c r="N1016">
        <f>IF(A1016&lt;&gt;$K$52,MAX(N1015,VLOOKUP(A1016,A:C,3)),)</f>
        <v>0.99800002574920654</v>
      </c>
      <c r="O1016">
        <f>IF(A1016&lt;&gt;$K$52,MIN(O1015,VLOOKUP(A1016,A:D,4)),)</f>
        <v>0.8399999737739563</v>
      </c>
      <c r="P1016">
        <f t="shared" si="28"/>
        <v>0.97233335177103675</v>
      </c>
      <c r="Q1016">
        <f t="shared" si="23"/>
        <v>0.91752380984170101</v>
      </c>
      <c r="R1016">
        <f t="shared" si="24"/>
        <v>5.4809541929335737E-2</v>
      </c>
      <c r="S1016">
        <f t="shared" si="25"/>
        <v>3.4210885057643935E-2</v>
      </c>
      <c r="T1016">
        <f t="shared" si="26"/>
        <v>5.1316327586465899E-4</v>
      </c>
      <c r="U1016">
        <f t="shared" si="27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29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28"/>
        <v>1.0039999683698018</v>
      </c>
      <c r="Q1017">
        <f t="shared" si="23"/>
        <v>0.92823809385299683</v>
      </c>
      <c r="R1017">
        <f t="shared" si="24"/>
        <v>7.5761874516804939E-2</v>
      </c>
      <c r="S1017">
        <f t="shared" si="25"/>
        <v>3.5081630661374028E-2</v>
      </c>
      <c r="T1017">
        <f t="shared" si="26"/>
        <v>5.2622445992061043E-4</v>
      </c>
      <c r="U1017">
        <f t="shared" si="27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29"/>
        <v>1016</v>
      </c>
      <c r="I1018">
        <f>SUM($F$3:F1018)/H1018</f>
        <v>4339319.9249815457</v>
      </c>
      <c r="N1018">
        <f>IF(A1018&lt;&gt;$K$53,MAX(N1017,VLOOKUP(A1018,A:C,3)),)</f>
        <v>0.99800002574920654</v>
      </c>
      <c r="O1018">
        <f>IF(A1018&lt;&gt;$K$53,MIN(O1017,VLOOKUP(A1018,A:D,4)),)</f>
        <v>0.9649999737739563</v>
      </c>
      <c r="P1018">
        <f t="shared" si="28"/>
        <v>0.97666666905085242</v>
      </c>
      <c r="Q1018">
        <f t="shared" si="23"/>
        <v>0.93635714196023478</v>
      </c>
      <c r="R1018">
        <f t="shared" si="24"/>
        <v>4.0309527090617636E-2</v>
      </c>
      <c r="S1018">
        <f t="shared" si="25"/>
        <v>3.4360543805725681E-2</v>
      </c>
      <c r="T1018">
        <f t="shared" si="26"/>
        <v>5.1540815708588518E-4</v>
      </c>
      <c r="U1018">
        <f t="shared" si="27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29"/>
        <v>1017</v>
      </c>
      <c r="I1019">
        <f>SUM($F$3:F1019)/H1019</f>
        <v>4339265.2456059493</v>
      </c>
      <c r="N1019">
        <f>IF(A1019&lt;&gt;$K$53,MAX(N1018,VLOOKUP(A1019,A:C,3)),)</f>
        <v>0.99800002574920654</v>
      </c>
      <c r="O1019">
        <f>IF(A1019&lt;&gt;$K$53,MIN(O1018,VLOOKUP(A1019,A:D,4)),)</f>
        <v>0.93900001049041748</v>
      </c>
      <c r="P1019">
        <f t="shared" si="28"/>
        <v>0.97233335177103675</v>
      </c>
      <c r="Q1019">
        <f t="shared" si="23"/>
        <v>0.94371428518068201</v>
      </c>
      <c r="R1019">
        <f t="shared" si="24"/>
        <v>2.8619066590354736E-2</v>
      </c>
      <c r="S1019">
        <f t="shared" si="25"/>
        <v>3.2142859129678611E-2</v>
      </c>
      <c r="T1019">
        <f t="shared" si="26"/>
        <v>4.8214288694517916E-4</v>
      </c>
      <c r="U1019">
        <f t="shared" si="27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29"/>
        <v>1018</v>
      </c>
      <c r="I1020">
        <f>SUM($F$3:F1020)/H1020</f>
        <v>4339010.4840680258</v>
      </c>
      <c r="N1020">
        <f>IF(A1020&lt;&gt;$K$53,MAX(N1019,VLOOKUP(A1020,A:C,3)),)</f>
        <v>1.0199999809265137</v>
      </c>
      <c r="O1020">
        <f>IF(A1020&lt;&gt;$K$53,MIN(O1019,VLOOKUP(A1020,A:D,4)),)</f>
        <v>0.93900001049041748</v>
      </c>
      <c r="P1020">
        <f t="shared" si="28"/>
        <v>1.0039999683698018</v>
      </c>
      <c r="Q1020">
        <f t="shared" si="23"/>
        <v>0.95209523467790513</v>
      </c>
      <c r="R1020">
        <f t="shared" si="24"/>
        <v>5.1904733691896632E-2</v>
      </c>
      <c r="S1020">
        <f t="shared" si="25"/>
        <v>3.1380952823729713E-2</v>
      </c>
      <c r="T1020">
        <f t="shared" si="26"/>
        <v>4.7071429235594567E-4</v>
      </c>
      <c r="U1020">
        <f t="shared" si="27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29"/>
        <v>1019</v>
      </c>
      <c r="I1021">
        <f>SUM($F$3:F1021)/H1021</f>
        <v>4338617.8623957308</v>
      </c>
      <c r="N1021">
        <f>IF(A1021&lt;&gt;$K$53,MAX(N1020,VLOOKUP(A1021,A:C,3)),)</f>
        <v>1.0210000276565552</v>
      </c>
      <c r="O1021">
        <f>IF(A1021&lt;&gt;$K$53,MIN(O1020,VLOOKUP(A1021,A:D,4)),)</f>
        <v>0.93900001049041748</v>
      </c>
      <c r="P1021">
        <f t="shared" si="28"/>
        <v>1.0160000324249268</v>
      </c>
      <c r="Q1021">
        <f t="shared" si="23"/>
        <v>0.96090476143927805</v>
      </c>
      <c r="R1021">
        <f t="shared" si="24"/>
        <v>5.5095270985648703E-2</v>
      </c>
      <c r="S1021">
        <f t="shared" si="25"/>
        <v>3.0442179060306645E-2</v>
      </c>
      <c r="T1021">
        <f t="shared" si="26"/>
        <v>4.5663268590459967E-4</v>
      </c>
      <c r="U1021">
        <f t="shared" si="27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29"/>
        <v>1020</v>
      </c>
      <c r="I1022">
        <f>SUM($F$3:F1022)/H1022</f>
        <v>4343501.4762561275</v>
      </c>
      <c r="N1022">
        <f>IF(A1022&lt;&gt;$K$53,MAX(N1021,VLOOKUP(A1022,A:C,3)),)</f>
        <v>1.0279999971389771</v>
      </c>
      <c r="O1022">
        <f>IF(A1022&lt;&gt;$K$53,MIN(O1021,VLOOKUP(A1022,A:D,4)),)</f>
        <v>0.93900001049041748</v>
      </c>
      <c r="P1022">
        <f t="shared" si="28"/>
        <v>1.0066666603088379</v>
      </c>
      <c r="Q1022">
        <f t="shared" si="23"/>
        <v>0.96852380888802669</v>
      </c>
      <c r="R1022">
        <f t="shared" si="24"/>
        <v>3.8142851420811197E-2</v>
      </c>
      <c r="S1022">
        <f t="shared" si="25"/>
        <v>2.7183675036138381E-2</v>
      </c>
      <c r="T1022">
        <f t="shared" si="26"/>
        <v>4.0775512554207569E-4</v>
      </c>
      <c r="U1022">
        <f t="shared" si="27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29"/>
        <v>1021</v>
      </c>
      <c r="I1023">
        <f>SUM($F$3:F1023)/H1023</f>
        <v>4342260.1721657692</v>
      </c>
      <c r="N1023">
        <f>IF(A1023&lt;&gt;$K$53,MAX(N1022,VLOOKUP(A1023,A:C,3)),)</f>
        <v>1.0279999971389771</v>
      </c>
      <c r="O1023">
        <f>IF(A1023&lt;&gt;$K$53,MIN(O1022,VLOOKUP(A1023,A:D,4)),)</f>
        <v>0.93900001049041748</v>
      </c>
      <c r="P1023">
        <f t="shared" si="28"/>
        <v>1.0030000011126201</v>
      </c>
      <c r="Q1023">
        <f t="shared" si="23"/>
        <v>0.97454761891137986</v>
      </c>
      <c r="R1023">
        <f t="shared" si="24"/>
        <v>2.8452382201240245E-2</v>
      </c>
      <c r="S1023">
        <f t="shared" si="25"/>
        <v>2.4136050217816611E-2</v>
      </c>
      <c r="T1023">
        <f t="shared" si="26"/>
        <v>3.6204075326724914E-4</v>
      </c>
      <c r="U1023">
        <f t="shared" si="27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29"/>
        <v>1022</v>
      </c>
      <c r="I1024">
        <f>SUM($F$3:F1024)/H1024</f>
        <v>4342678.9440129651</v>
      </c>
      <c r="N1024">
        <f>IF(A1024&lt;&gt;$K$53,MAX(N1023,VLOOKUP(A1024,A:C,3)),)</f>
        <v>1.0279999971389771</v>
      </c>
      <c r="O1024">
        <f>IF(A1024&lt;&gt;$K$53,MIN(O1023,VLOOKUP(A1024,A:D,4)),)</f>
        <v>0.93900001049041748</v>
      </c>
      <c r="P1024">
        <f t="shared" si="28"/>
        <v>0.97766669591267907</v>
      </c>
      <c r="Q1024">
        <f t="shared" si="23"/>
        <v>0.97830952632994883</v>
      </c>
      <c r="R1024">
        <f t="shared" si="24"/>
        <v>-6.4283041726975743E-4</v>
      </c>
      <c r="S1024">
        <f t="shared" si="25"/>
        <v>2.030611524776537E-2</v>
      </c>
      <c r="T1024">
        <f t="shared" si="26"/>
        <v>3.0459172871648055E-4</v>
      </c>
      <c r="U1024">
        <f t="shared" si="27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29"/>
        <v>1023</v>
      </c>
      <c r="I1025">
        <f>SUM($F$3:F1025)/H1025</f>
        <v>4343709.9900109973</v>
      </c>
      <c r="N1025">
        <f>IF(A1025&lt;&gt;$K$53,MAX(N1024,VLOOKUP(A1025,A:C,3)),)</f>
        <v>1.0279999971389771</v>
      </c>
      <c r="O1025">
        <f>IF(A1025&lt;&gt;$K$53,MIN(O1024,VLOOKUP(A1025,A:D,4)),)</f>
        <v>0.88899999856948853</v>
      </c>
      <c r="P1025">
        <f t="shared" si="28"/>
        <v>0.97066666682561242</v>
      </c>
      <c r="Q1025">
        <f t="shared" si="23"/>
        <v>0.98157143025171201</v>
      </c>
      <c r="R1025">
        <f t="shared" si="24"/>
        <v>-1.0904763426099584E-2</v>
      </c>
      <c r="S1025">
        <f t="shared" si="25"/>
        <v>1.7972782761061307E-2</v>
      </c>
      <c r="T1025">
        <f t="shared" si="26"/>
        <v>2.6959174141591961E-4</v>
      </c>
      <c r="U1025">
        <f t="shared" si="27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29"/>
        <v>1024</v>
      </c>
      <c r="I1026">
        <f>SUM($F$3:F1026)/H1026</f>
        <v>4345502.700958252</v>
      </c>
      <c r="N1026">
        <f>IF(A1026&lt;&gt;$K$53,MAX(N1025,VLOOKUP(A1026,A:C,3)),)</f>
        <v>1.0279999971389771</v>
      </c>
      <c r="O1026">
        <f>IF(A1026&lt;&gt;$K$53,MIN(O1025,VLOOKUP(A1026,A:D,4)),)</f>
        <v>0.88899999856948853</v>
      </c>
      <c r="P1026">
        <f t="shared" si="28"/>
        <v>1.0133333206176758</v>
      </c>
      <c r="Q1026">
        <f t="shared" si="23"/>
        <v>0.98730952541033434</v>
      </c>
      <c r="R1026">
        <f t="shared" si="24"/>
        <v>2.6023795207341438E-2</v>
      </c>
      <c r="S1026">
        <f t="shared" si="25"/>
        <v>1.7591828391665516E-2</v>
      </c>
      <c r="T1026">
        <f t="shared" si="26"/>
        <v>2.6387742587498272E-4</v>
      </c>
      <c r="U1026">
        <f t="shared" si="27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29"/>
        <v>1025</v>
      </c>
      <c r="I1027">
        <f>SUM($F$3:F1027)/H1027</f>
        <v>4345098.271006098</v>
      </c>
      <c r="N1027">
        <f>IF(A1027&lt;&gt;$K$53,MAX(N1026,VLOOKUP(A1027,A:C,3)),)</f>
        <v>1.0399999618530273</v>
      </c>
      <c r="O1027">
        <f>IF(A1027&lt;&gt;$K$53,MIN(O1026,VLOOKUP(A1027,A:D,4)),)</f>
        <v>0.88899999856948853</v>
      </c>
      <c r="P1027">
        <f t="shared" si="28"/>
        <v>1.0319999853769939</v>
      </c>
      <c r="Q1027">
        <f t="shared" si="23"/>
        <v>0.99311904822077068</v>
      </c>
      <c r="R1027">
        <f t="shared" si="24"/>
        <v>3.8880937156223205E-2</v>
      </c>
      <c r="S1027">
        <f t="shared" si="25"/>
        <v>1.8166657005037588E-2</v>
      </c>
      <c r="T1027">
        <f t="shared" si="26"/>
        <v>2.7249985507556379E-4</v>
      </c>
      <c r="U1027">
        <f t="shared" si="27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29"/>
        <v>1026</v>
      </c>
      <c r="I1028">
        <f>SUM($F$3:F1028)/H1028</f>
        <v>4345513.6069992688</v>
      </c>
      <c r="N1028">
        <f>IF(A1028&lt;&gt;$K$53,MAX(N1027,VLOOKUP(A1028,A:C,3)),)</f>
        <v>1.0470000505447388</v>
      </c>
      <c r="O1028">
        <f>IF(A1028&lt;&gt;$K$53,MIN(O1027,VLOOKUP(A1028,A:D,4)),)</f>
        <v>0.88899999856948853</v>
      </c>
      <c r="P1028">
        <f t="shared" si="28"/>
        <v>1.033999999364217</v>
      </c>
      <c r="Q1028">
        <f t="shared" si="23"/>
        <v>0.99709523859478189</v>
      </c>
      <c r="R1028">
        <f t="shared" si="24"/>
        <v>3.6904760769435163E-2</v>
      </c>
      <c r="S1028">
        <f t="shared" si="25"/>
        <v>1.9462575312374386E-2</v>
      </c>
      <c r="T1028">
        <f t="shared" si="26"/>
        <v>2.9193862968561577E-4</v>
      </c>
      <c r="U1028">
        <f t="shared" si="27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29"/>
        <v>1027</v>
      </c>
      <c r="I1029">
        <f>SUM($F$3:F1029)/H1029</f>
        <v>4343654.0543147521</v>
      </c>
      <c r="N1029">
        <f>IF(A1029&lt;&gt;$K$53,MAX(N1028,VLOOKUP(A1029,A:C,3)),)</f>
        <v>1.0470000505447388</v>
      </c>
      <c r="O1029">
        <f>IF(A1029&lt;&gt;$K$53,MIN(O1028,VLOOKUP(A1029,A:D,4)),)</f>
        <v>0.88899999856948853</v>
      </c>
      <c r="P1029">
        <f t="shared" si="28"/>
        <v>1.0366666316986084</v>
      </c>
      <c r="Q1029">
        <f t="shared" si="23"/>
        <v>1.0013809502124786</v>
      </c>
      <c r="R1029">
        <f t="shared" si="24"/>
        <v>3.5285681486129761E-2</v>
      </c>
      <c r="S1029">
        <f t="shared" si="25"/>
        <v>1.9605430818739389E-2</v>
      </c>
      <c r="T1029">
        <f t="shared" si="26"/>
        <v>2.9408146228109081E-4</v>
      </c>
      <c r="U1029">
        <f t="shared" si="27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29"/>
        <v>1028</v>
      </c>
      <c r="I1030">
        <f>SUM($F$3:F1030)/H1030</f>
        <v>4345008.6204097765</v>
      </c>
      <c r="N1030">
        <f>IF(A1030&lt;&gt;$K$53,MAX(N1029,VLOOKUP(A1030,A:C,3)),)</f>
        <v>1.0540000200271606</v>
      </c>
      <c r="O1030">
        <f>IF(A1030&lt;&gt;$K$53,MIN(O1029,VLOOKUP(A1030,A:D,4)),)</f>
        <v>0.88899999856948853</v>
      </c>
      <c r="P1030">
        <f t="shared" si="28"/>
        <v>1.0466666618982952</v>
      </c>
      <c r="Q1030">
        <f t="shared" si="23"/>
        <v>1.0066904723644257</v>
      </c>
      <c r="R1030">
        <f t="shared" si="24"/>
        <v>3.9976189533869499E-2</v>
      </c>
      <c r="S1030">
        <f t="shared" si="25"/>
        <v>1.978911388488044E-2</v>
      </c>
      <c r="T1030">
        <f t="shared" si="26"/>
        <v>2.9683670827320661E-4</v>
      </c>
      <c r="U1030">
        <f t="shared" si="27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29"/>
        <v>1029</v>
      </c>
      <c r="I1031">
        <f>SUM($F$3:F1031)/H1031</f>
        <v>4347570.4341897471</v>
      </c>
      <c r="N1031">
        <f>IF(A1031&lt;&gt;$K$53,MAX(N1030,VLOOKUP(A1031,A:C,3)),)</f>
        <v>1.0590000152587891</v>
      </c>
      <c r="O1031">
        <f>IF(A1031&lt;&gt;$K$53,MIN(O1030,VLOOKUP(A1031,A:D,4)),)</f>
        <v>0.88899999856948853</v>
      </c>
      <c r="P1031">
        <f t="shared" si="28"/>
        <v>1.0433333714803059</v>
      </c>
      <c r="Q1031">
        <f t="shared" si="23"/>
        <v>1.0095000011580331</v>
      </c>
      <c r="R1031">
        <f t="shared" si="24"/>
        <v>3.3833370322272849E-2</v>
      </c>
      <c r="S1031">
        <f t="shared" si="25"/>
        <v>2.2214284964970181E-2</v>
      </c>
      <c r="T1031">
        <f t="shared" si="26"/>
        <v>3.332142744745527E-4</v>
      </c>
      <c r="U1031">
        <f t="shared" si="27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29"/>
        <v>1030</v>
      </c>
      <c r="I1032">
        <f>SUM($F$3:F1032)/H1032</f>
        <v>4348097.3376516989</v>
      </c>
      <c r="N1032">
        <f>IF(A1032&lt;&gt;$K$53,MAX(N1031,VLOOKUP(A1032,A:C,3)),)</f>
        <v>1.0590000152587891</v>
      </c>
      <c r="O1032">
        <f>IF(A1032&lt;&gt;$K$53,MIN(O1031,VLOOKUP(A1032,A:D,4)),)</f>
        <v>0.88899999856948853</v>
      </c>
      <c r="P1032">
        <f t="shared" si="28"/>
        <v>1.0460000038146973</v>
      </c>
      <c r="Q1032">
        <f t="shared" si="23"/>
        <v>1.0144523822125935</v>
      </c>
      <c r="R1032">
        <f t="shared" si="24"/>
        <v>3.1547621602103781E-2</v>
      </c>
      <c r="S1032">
        <f t="shared" si="25"/>
        <v>2.1928572938555761E-2</v>
      </c>
      <c r="T1032">
        <f t="shared" si="26"/>
        <v>3.2892859407833642E-4</v>
      </c>
      <c r="U1032">
        <f t="shared" si="27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29"/>
        <v>1031</v>
      </c>
      <c r="I1033">
        <f>SUM($F$3:F1033)/H1033</f>
        <v>4346569.8155007279</v>
      </c>
      <c r="N1033">
        <f>IF(A1033&lt;&gt;$K$53,MAX(N1032,VLOOKUP(A1033,A:C,3)),)</f>
        <v>1.0590000152587891</v>
      </c>
      <c r="O1033">
        <f>IF(A1033&lt;&gt;$K$53,MIN(O1032,VLOOKUP(A1033,A:D,4)),)</f>
        <v>0.88899999856948853</v>
      </c>
      <c r="P1033">
        <f t="shared" si="28"/>
        <v>1.0480000178019206</v>
      </c>
      <c r="Q1033">
        <f t="shared" si="23"/>
        <v>1.0198571440719422</v>
      </c>
      <c r="R1033">
        <f t="shared" si="24"/>
        <v>2.8142873729978479E-2</v>
      </c>
      <c r="S1033">
        <f t="shared" si="25"/>
        <v>2.109523756163461E-2</v>
      </c>
      <c r="T1033">
        <f t="shared" si="26"/>
        <v>3.1642856342451912E-4</v>
      </c>
      <c r="U1033">
        <f t="shared" si="27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29"/>
        <v>1032</v>
      </c>
      <c r="I1034">
        <f>SUM($F$3:F1034)/H1034</f>
        <v>4346377.5501756296</v>
      </c>
      <c r="N1034">
        <f>IF(A1034&lt;&gt;$K$53,MAX(N1033,VLOOKUP(A1034,A:C,3)),)</f>
        <v>1.1510000228881836</v>
      </c>
      <c r="O1034">
        <f>IF(A1034&lt;&gt;$K$53,MIN(O1033,VLOOKUP(A1034,A:D,4)),)</f>
        <v>0.88899999856948853</v>
      </c>
      <c r="P1034">
        <f t="shared" si="28"/>
        <v>1.0789999961853027</v>
      </c>
      <c r="Q1034">
        <f t="shared" si="23"/>
        <v>1.0252142889159066</v>
      </c>
      <c r="R1034">
        <f t="shared" si="24"/>
        <v>5.3785707269396132E-2</v>
      </c>
      <c r="S1034">
        <f t="shared" si="25"/>
        <v>2.3421765184726846E-2</v>
      </c>
      <c r="T1034">
        <f t="shared" si="26"/>
        <v>3.5132647777090265E-4</v>
      </c>
      <c r="U1034">
        <f t="shared" si="27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29"/>
        <v>1033</v>
      </c>
      <c r="I1035">
        <f>SUM($F$3:F1035)/H1035</f>
        <v>4343973.5370583255</v>
      </c>
      <c r="N1035">
        <f>IF(A1035&lt;&gt;$K$53,MAX(N1034,VLOOKUP(A1035,A:C,3)),)</f>
        <v>1.1510000228881836</v>
      </c>
      <c r="O1035">
        <f>IF(A1035&lt;&gt;$K$53,MIN(O1034,VLOOKUP(A1035,A:D,4)),)</f>
        <v>0.88899999856948853</v>
      </c>
      <c r="P1035">
        <f t="shared" si="28"/>
        <v>1.0460000038146973</v>
      </c>
      <c r="Q1035">
        <f t="shared" si="23"/>
        <v>1.0273571440151759</v>
      </c>
      <c r="R1035">
        <f t="shared" si="24"/>
        <v>1.8642859799521405E-2</v>
      </c>
      <c r="S1035">
        <f t="shared" si="25"/>
        <v>2.3636053614064973E-2</v>
      </c>
      <c r="T1035">
        <f t="shared" si="26"/>
        <v>3.5454080421097459E-4</v>
      </c>
      <c r="U1035">
        <f t="shared" si="27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29"/>
        <v>1034</v>
      </c>
      <c r="I1036">
        <f>SUM($F$3:F1036)/H1036</f>
        <v>4343397.2676801253</v>
      </c>
      <c r="N1036">
        <f>IF(A1036&lt;&gt;$K$53,MAX(N1035,VLOOKUP(A1036,A:C,3)),)</f>
        <v>1.1510000228881836</v>
      </c>
      <c r="O1036">
        <f>IF(A1036&lt;&gt;$K$53,MIN(O1035,VLOOKUP(A1036,A:D,4)),)</f>
        <v>0.88899999856948853</v>
      </c>
      <c r="P1036">
        <f t="shared" si="28"/>
        <v>1.0783333381017048</v>
      </c>
      <c r="Q1036">
        <f t="shared" si="23"/>
        <v>1.0324761924289523</v>
      </c>
      <c r="R1036">
        <f t="shared" si="24"/>
        <v>4.5857145672752564E-2</v>
      </c>
      <c r="S1036">
        <f t="shared" si="25"/>
        <v>2.3673470328454207E-2</v>
      </c>
      <c r="T1036">
        <f t="shared" si="26"/>
        <v>3.5510205492681309E-4</v>
      </c>
      <c r="U1036">
        <f t="shared" si="27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29"/>
        <v>1035</v>
      </c>
      <c r="I1037">
        <f>SUM($F$3:F1037)/H1037</f>
        <v>4341699.9369867146</v>
      </c>
      <c r="N1037">
        <f>IF(A1037&lt;&gt;$K$53,MAX(N1036,VLOOKUP(A1037,A:C,3)),)</f>
        <v>1.1510000228881836</v>
      </c>
      <c r="O1037">
        <f>IF(A1037&lt;&gt;$K$53,MIN(O1036,VLOOKUP(A1037,A:D,4)),)</f>
        <v>0.88899999856948853</v>
      </c>
      <c r="P1037">
        <f t="shared" si="28"/>
        <v>1.0699999729792278</v>
      </c>
      <c r="Q1037">
        <f t="shared" ref="Q1037:Q1119" si="30">SUM(P1024:P1037)/14</f>
        <v>1.0372619047051386</v>
      </c>
      <c r="R1037">
        <f t="shared" ref="R1037:R1119" si="31">P1037-Q1037</f>
        <v>3.2738068274089205E-2</v>
      </c>
      <c r="S1037">
        <f t="shared" ref="S1037:S1119" si="32">AVEDEV(P1024:P1037)</f>
        <v>2.2748304062149134E-2</v>
      </c>
      <c r="T1037">
        <f t="shared" ref="T1037:T1119" si="33">0.015*S1037</f>
        <v>3.4122456093223696E-4</v>
      </c>
      <c r="U1037">
        <f t="shared" ref="U1037:U1119" si="34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29"/>
        <v>1036</v>
      </c>
      <c r="I1038">
        <f>SUM($F$3:F1038)/H1038</f>
        <v>4343763.6378197391</v>
      </c>
      <c r="N1038">
        <f>IF(A1038&lt;&gt;$K$53,MAX(N1037,VLOOKUP(A1038,A:C,3)),)</f>
        <v>1.1510000228881836</v>
      </c>
      <c r="O1038">
        <f>IF(A1038&lt;&gt;$K$53,MIN(O1037,VLOOKUP(A1038,A:D,4)),)</f>
        <v>0.88899999856948853</v>
      </c>
      <c r="P1038">
        <f t="shared" si="28"/>
        <v>1.0789999961853027</v>
      </c>
      <c r="Q1038">
        <f t="shared" si="30"/>
        <v>1.0444999975817544</v>
      </c>
      <c r="R1038">
        <f t="shared" si="31"/>
        <v>3.4499998603548354E-2</v>
      </c>
      <c r="S1038">
        <f t="shared" si="32"/>
        <v>1.9571430018159013E-2</v>
      </c>
      <c r="T1038">
        <f t="shared" si="33"/>
        <v>2.935714502723852E-4</v>
      </c>
      <c r="U1038">
        <f t="shared" si="34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29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28"/>
        <v>1.0863333543141682</v>
      </c>
      <c r="Q1039">
        <f t="shared" si="30"/>
        <v>1.052761903830937</v>
      </c>
      <c r="R1039">
        <f t="shared" si="31"/>
        <v>3.357145048323118E-2</v>
      </c>
      <c r="S1039">
        <f t="shared" si="32"/>
        <v>1.8408162658717364E-2</v>
      </c>
      <c r="T1039">
        <f t="shared" si="33"/>
        <v>2.7612243988076046E-4</v>
      </c>
      <c r="U1039">
        <f t="shared" si="34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29"/>
        <v>1038</v>
      </c>
      <c r="I1040">
        <f>SUM($F$3:F1040)/H1040</f>
        <v>4341770.9518605489</v>
      </c>
      <c r="N1040">
        <f>IF(A1040&lt;&gt;$K$54,MAX(N1039,VLOOKUP(A1040,A:C,3)),)</f>
        <v>1.1109999418258667</v>
      </c>
      <c r="O1040">
        <f>IF(A1040&lt;&gt;$K$54,MIN(O1039,VLOOKUP(A1040,A:D,4)),)</f>
        <v>1.0889999866485596</v>
      </c>
      <c r="P1040">
        <f t="shared" si="28"/>
        <v>1.099999984105428</v>
      </c>
      <c r="Q1040">
        <f t="shared" si="30"/>
        <v>1.0589523797943481</v>
      </c>
      <c r="R1040">
        <f t="shared" si="31"/>
        <v>4.1047604311079899E-2</v>
      </c>
      <c r="S1040">
        <f t="shared" si="32"/>
        <v>1.9850337586435347E-2</v>
      </c>
      <c r="T1040">
        <f t="shared" si="33"/>
        <v>2.977550637965302E-4</v>
      </c>
      <c r="U1040">
        <f t="shared" si="34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29"/>
        <v>1039</v>
      </c>
      <c r="I1041">
        <f>SUM($F$3:F1041)/H1041</f>
        <v>4340155.4841494225</v>
      </c>
      <c r="N1041">
        <f>IF(A1041&lt;&gt;$K$54,MAX(N1040,VLOOKUP(A1041,A:C,3)),)</f>
        <v>1.1109999418258667</v>
      </c>
      <c r="O1041">
        <f>IF(A1041&lt;&gt;$K$54,MIN(O1040,VLOOKUP(A1041,A:D,4)),)</f>
        <v>1.062999963760376</v>
      </c>
      <c r="P1041">
        <f t="shared" si="28"/>
        <v>1.0763333241144817</v>
      </c>
      <c r="Q1041">
        <f t="shared" si="30"/>
        <v>1.0621190468470256</v>
      </c>
      <c r="R1041">
        <f t="shared" si="31"/>
        <v>1.4214277267456055E-2</v>
      </c>
      <c r="S1041">
        <f t="shared" si="32"/>
        <v>1.9166662579491019E-2</v>
      </c>
      <c r="T1041">
        <f t="shared" si="33"/>
        <v>2.8749993869236525E-4</v>
      </c>
      <c r="U1041">
        <f t="shared" si="34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29"/>
        <v>1040</v>
      </c>
      <c r="I1042">
        <f>SUM($F$3:F1042)/H1042</f>
        <v>4339129.1971454322</v>
      </c>
      <c r="N1042">
        <f>IF(A1042&lt;&gt;$K$54,MAX(N1041,VLOOKUP(A1042,A:C,3)),)</f>
        <v>1.1109999418258667</v>
      </c>
      <c r="O1042">
        <f>IF(A1042&lt;&gt;$K$54,MIN(O1041,VLOOKUP(A1042,A:D,4)),)</f>
        <v>1.0019999742507935</v>
      </c>
      <c r="P1042">
        <f t="shared" si="28"/>
        <v>1.037333329518636</v>
      </c>
      <c r="Q1042">
        <f t="shared" si="30"/>
        <v>1.0623571418580555</v>
      </c>
      <c r="R1042">
        <f t="shared" si="31"/>
        <v>-2.5023812339419527E-2</v>
      </c>
      <c r="S1042">
        <f t="shared" si="32"/>
        <v>1.8928567568461094E-2</v>
      </c>
      <c r="T1042">
        <f t="shared" si="33"/>
        <v>2.8392851352691638E-4</v>
      </c>
      <c r="U1042">
        <f t="shared" si="34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29"/>
        <v>1041</v>
      </c>
      <c r="I1043">
        <f>SUM($F$3:F1043)/H1043</f>
        <v>4337702.7666006247</v>
      </c>
      <c r="N1043">
        <f>IF(A1043&lt;&gt;$K$54,MAX(N1042,VLOOKUP(A1043,A:C,3)),)</f>
        <v>1.1109999418258667</v>
      </c>
      <c r="O1043">
        <f>IF(A1043&lt;&gt;$K$54,MIN(O1042,VLOOKUP(A1043,A:D,4)),)</f>
        <v>1.0019999742507935</v>
      </c>
      <c r="P1043">
        <f t="shared" si="28"/>
        <v>1.0416666666666667</v>
      </c>
      <c r="Q1043">
        <f t="shared" si="30"/>
        <v>1.0627142872129167</v>
      </c>
      <c r="R1043">
        <f t="shared" si="31"/>
        <v>-2.1047620546249979E-2</v>
      </c>
      <c r="S1043">
        <f t="shared" si="32"/>
        <v>1.8571422213599784E-2</v>
      </c>
      <c r="T1043">
        <f t="shared" si="33"/>
        <v>2.7857133320399676E-4</v>
      </c>
      <c r="U1043">
        <f t="shared" si="34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29"/>
        <v>1042</v>
      </c>
      <c r="I1044">
        <f>SUM($F$3:F1044)/H1044</f>
        <v>4337712.6497420827</v>
      </c>
      <c r="N1044">
        <f>IF(A1044&lt;&gt;$K$54,MAX(N1043,VLOOKUP(A1044,A:C,3)),)</f>
        <v>1.1109999418258667</v>
      </c>
      <c r="O1044">
        <f>IF(A1044&lt;&gt;$K$54,MIN(O1043,VLOOKUP(A1044,A:D,4)),)</f>
        <v>1.0019999742507935</v>
      </c>
      <c r="P1044">
        <f t="shared" si="28"/>
        <v>1.0416666269302368</v>
      </c>
      <c r="Q1044">
        <f t="shared" si="30"/>
        <v>1.0623571418580555</v>
      </c>
      <c r="R1044">
        <f t="shared" si="31"/>
        <v>-2.0690514927818704E-2</v>
      </c>
      <c r="S1044">
        <f t="shared" si="32"/>
        <v>1.8928567568461094E-2</v>
      </c>
      <c r="T1044">
        <f t="shared" si="33"/>
        <v>2.8392851352691638E-4</v>
      </c>
      <c r="U1044">
        <f t="shared" si="34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29"/>
        <v>1043</v>
      </c>
      <c r="I1045">
        <f>SUM($F$3:F1045)/H1045</f>
        <v>4336167.3020433849</v>
      </c>
      <c r="N1045">
        <f>IF(A1045&lt;&gt;$K$54,MAX(N1044,VLOOKUP(A1045,A:C,3)),)</f>
        <v>1.1109999418258667</v>
      </c>
      <c r="O1045">
        <f>IF(A1045&lt;&gt;$K$54,MIN(O1044,VLOOKUP(A1045,A:D,4)),)</f>
        <v>1.0019999742507935</v>
      </c>
      <c r="P1045">
        <f t="shared" si="28"/>
        <v>1.0533333619435628</v>
      </c>
      <c r="Q1045">
        <f t="shared" si="30"/>
        <v>1.0630714268911452</v>
      </c>
      <c r="R1045">
        <f t="shared" si="31"/>
        <v>-9.7380649475824477E-3</v>
      </c>
      <c r="S1045">
        <f t="shared" si="32"/>
        <v>1.8214282535371322E-2</v>
      </c>
      <c r="T1045">
        <f t="shared" si="33"/>
        <v>2.7321423803056984E-4</v>
      </c>
      <c r="U1045">
        <f t="shared" si="34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29"/>
        <v>1044</v>
      </c>
      <c r="I1046">
        <f>SUM($F$3:F1046)/H1046</f>
        <v>4333129.7873862544</v>
      </c>
      <c r="N1046">
        <f>IF(A1046&lt;&gt;$K$54,MAX(N1045,VLOOKUP(A1046,A:C,3)),)</f>
        <v>1.1109999418258667</v>
      </c>
      <c r="O1046">
        <f>IF(A1046&lt;&gt;$K$54,MIN(O1045,VLOOKUP(A1046,A:D,4)),)</f>
        <v>1.0019999742507935</v>
      </c>
      <c r="P1046">
        <f t="shared" si="28"/>
        <v>1.0303333600362141</v>
      </c>
      <c r="Q1046">
        <f t="shared" si="30"/>
        <v>1.061952380906968</v>
      </c>
      <c r="R1046">
        <f t="shared" si="31"/>
        <v>-3.1619020870753856E-2</v>
      </c>
      <c r="S1046">
        <f t="shared" si="32"/>
        <v>1.9333328519548689E-2</v>
      </c>
      <c r="T1046">
        <f t="shared" si="33"/>
        <v>2.899999277932303E-4</v>
      </c>
      <c r="U1046">
        <f t="shared" si="34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29"/>
        <v>1045</v>
      </c>
      <c r="I1047">
        <f>SUM($F$3:F1047)/H1047</f>
        <v>4329762.9732356463</v>
      </c>
      <c r="N1047">
        <f>IF(A1047&lt;&gt;$K$54,MAX(N1046,VLOOKUP(A1047,A:C,3)),)</f>
        <v>1.1109999418258667</v>
      </c>
      <c r="O1047">
        <f>IF(A1047&lt;&gt;$K$54,MIN(O1046,VLOOKUP(A1047,A:D,4)),)</f>
        <v>1.0019999742507935</v>
      </c>
      <c r="P1047">
        <f t="shared" si="28"/>
        <v>1.0333333412806194</v>
      </c>
      <c r="Q1047">
        <f t="shared" si="30"/>
        <v>1.0609047611554463</v>
      </c>
      <c r="R1047">
        <f t="shared" si="31"/>
        <v>-2.7571419874826919E-2</v>
      </c>
      <c r="S1047">
        <f t="shared" si="32"/>
        <v>2.0380948271070207E-2</v>
      </c>
      <c r="T1047">
        <f t="shared" si="33"/>
        <v>3.057142240660531E-4</v>
      </c>
      <c r="U1047">
        <f t="shared" si="34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29"/>
        <v>1046</v>
      </c>
      <c r="I1048">
        <f>SUM($F$3:F1048)/H1048</f>
        <v>4330268.8451541588</v>
      </c>
      <c r="N1048">
        <f>IF(A1048&lt;&gt;$K$54,MAX(N1047,VLOOKUP(A1048,A:C,3)),)</f>
        <v>1.1109999418258667</v>
      </c>
      <c r="O1048">
        <f>IF(A1048&lt;&gt;$K$54,MIN(O1047,VLOOKUP(A1048,A:D,4)),)</f>
        <v>1.0019999742507935</v>
      </c>
      <c r="P1048">
        <f t="shared" si="28"/>
        <v>1.0496666431427002</v>
      </c>
      <c r="Q1048">
        <f t="shared" si="30"/>
        <v>1.0588095216524034</v>
      </c>
      <c r="R1048">
        <f t="shared" si="31"/>
        <v>-9.1428785097031895E-3</v>
      </c>
      <c r="S1048">
        <f t="shared" si="32"/>
        <v>1.9591834269413338E-2</v>
      </c>
      <c r="T1048">
        <f t="shared" si="33"/>
        <v>2.9387751404120007E-4</v>
      </c>
      <c r="U1048">
        <f t="shared" si="34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29"/>
        <v>1047</v>
      </c>
      <c r="I1049">
        <f>SUM($F$3:F1049)/H1049</f>
        <v>4327088.8367060646</v>
      </c>
      <c r="N1049">
        <f>IF(A1049&lt;&gt;$K$54,MAX(N1048,VLOOKUP(A1049,A:C,3)),)</f>
        <v>1.1109999418258667</v>
      </c>
      <c r="O1049">
        <f>IF(A1049&lt;&gt;$K$54,MIN(O1048,VLOOKUP(A1049,A:D,4)),)</f>
        <v>1.0019999742507935</v>
      </c>
      <c r="P1049">
        <f t="shared" si="28"/>
        <v>1.0516666571299236</v>
      </c>
      <c r="Q1049">
        <f t="shared" si="30"/>
        <v>1.0592142826034909</v>
      </c>
      <c r="R1049">
        <f t="shared" si="31"/>
        <v>-7.5476254735673542E-3</v>
      </c>
      <c r="S1049">
        <f t="shared" si="32"/>
        <v>1.9244896311338251E-2</v>
      </c>
      <c r="T1049">
        <f t="shared" si="33"/>
        <v>2.8867344467007374E-4</v>
      </c>
      <c r="U1049">
        <f t="shared" si="34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29"/>
        <v>1048</v>
      </c>
      <c r="I1050">
        <f>SUM($F$3:F1050)/H1050</f>
        <v>4324280.9389611166</v>
      </c>
      <c r="N1050">
        <f>IF(A1050&lt;&gt;$K$54,MAX(N1049,VLOOKUP(A1050,A:C,3)),)</f>
        <v>1.1109999418258667</v>
      </c>
      <c r="O1050">
        <f>IF(A1050&lt;&gt;$K$54,MIN(O1049,VLOOKUP(A1050,A:D,4)),)</f>
        <v>1.0019999742507935</v>
      </c>
      <c r="P1050">
        <f t="shared" si="28"/>
        <v>1.0479999780654907</v>
      </c>
      <c r="Q1050">
        <f t="shared" si="30"/>
        <v>1.0570476140294756</v>
      </c>
      <c r="R1050">
        <f t="shared" si="31"/>
        <v>-9.0476359639848347E-3</v>
      </c>
      <c r="S1050">
        <f t="shared" si="32"/>
        <v>1.8061223078747166E-2</v>
      </c>
      <c r="T1050">
        <f t="shared" si="33"/>
        <v>2.7091834618120749E-4</v>
      </c>
      <c r="U1050">
        <f t="shared" si="34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29"/>
        <v>1049</v>
      </c>
      <c r="I1051">
        <f>SUM($F$3:F1051)/H1051</f>
        <v>4322439.9695245475</v>
      </c>
      <c r="N1051">
        <f>IF(A1051&lt;&gt;$K$54,MAX(N1050,VLOOKUP(A1051,A:C,3)),)</f>
        <v>1.1109999418258667</v>
      </c>
      <c r="O1051">
        <f>IF(A1051&lt;&gt;$K$54,MIN(O1050,VLOOKUP(A1051,A:D,4)),)</f>
        <v>1.0019999742507935</v>
      </c>
      <c r="P1051">
        <f t="shared" si="28"/>
        <v>1.0669999917348225</v>
      </c>
      <c r="Q1051">
        <f t="shared" si="30"/>
        <v>1.0568333296548753</v>
      </c>
      <c r="R1051">
        <f t="shared" si="31"/>
        <v>1.0166662079947208E-2</v>
      </c>
      <c r="S1051">
        <f t="shared" si="32"/>
        <v>1.7785714597118148E-2</v>
      </c>
      <c r="T1051">
        <f t="shared" si="33"/>
        <v>2.6678571895677222E-4</v>
      </c>
      <c r="U1051">
        <f t="shared" si="34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29"/>
        <v>1050</v>
      </c>
      <c r="I1052">
        <f>SUM($F$3:F1052)/H1052</f>
        <v>4320611.6695535714</v>
      </c>
      <c r="N1052">
        <f>IF(A1052&lt;&gt;$K$54,MAX(N1051,VLOOKUP(A1052,A:C,3)),)</f>
        <v>1.1109999418258667</v>
      </c>
      <c r="O1052">
        <f>IF(A1052&lt;&gt;$K$54,MIN(O1051,VLOOKUP(A1052,A:D,4)),)</f>
        <v>1.0019999742507935</v>
      </c>
      <c r="P1052">
        <f t="shared" si="28"/>
        <v>1.0839999914169312</v>
      </c>
      <c r="Q1052">
        <f t="shared" si="30"/>
        <v>1.05719047217142</v>
      </c>
      <c r="R1052">
        <f t="shared" si="31"/>
        <v>2.6809519245511115E-2</v>
      </c>
      <c r="S1052">
        <f t="shared" si="32"/>
        <v>1.8244897832675817E-2</v>
      </c>
      <c r="T1052">
        <f t="shared" si="33"/>
        <v>2.7367346749013725E-4</v>
      </c>
      <c r="U1052">
        <f t="shared" si="34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29"/>
        <v>1051</v>
      </c>
      <c r="I1053">
        <f>SUM($F$3:F1053)/H1053</f>
        <v>4318373.0371372504</v>
      </c>
      <c r="N1053">
        <f>IF(A1053&lt;&gt;$K$54,MAX(N1052,VLOOKUP(A1053,A:C,3)),)</f>
        <v>1.1109999418258667</v>
      </c>
      <c r="O1053">
        <f>IF(A1053&lt;&gt;$K$54,MIN(O1052,VLOOKUP(A1053,A:D,4)),)</f>
        <v>1.0019999742507935</v>
      </c>
      <c r="P1053">
        <f t="shared" si="28"/>
        <v>1.0876666307449341</v>
      </c>
      <c r="Q1053">
        <f t="shared" si="30"/>
        <v>1.057285706202189</v>
      </c>
      <c r="R1053">
        <f t="shared" si="31"/>
        <v>3.0380924542745102E-2</v>
      </c>
      <c r="S1053">
        <f t="shared" si="32"/>
        <v>1.8367341586521646E-2</v>
      </c>
      <c r="T1053">
        <f t="shared" si="33"/>
        <v>2.7551012379782466E-4</v>
      </c>
      <c r="U1053">
        <f t="shared" si="34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29"/>
        <v>1052</v>
      </c>
      <c r="I1054">
        <f>SUM($F$3:F1054)/H1054</f>
        <v>4315538.2756951042</v>
      </c>
      <c r="N1054">
        <f>IF(A1054&lt;&gt;$K$54,MAX(N1053,VLOOKUP(A1054,A:C,3)),)</f>
        <v>1.1109999418258667</v>
      </c>
      <c r="O1054">
        <f>IF(A1054&lt;&gt;$K$54,MIN(O1053,VLOOKUP(A1054,A:D,4)),)</f>
        <v>1.0019999742507935</v>
      </c>
      <c r="P1054">
        <f t="shared" si="28"/>
        <v>1.099666674931844</v>
      </c>
      <c r="Q1054">
        <f t="shared" si="30"/>
        <v>1.057261898404076</v>
      </c>
      <c r="R1054">
        <f t="shared" si="31"/>
        <v>4.2404776527767973E-2</v>
      </c>
      <c r="S1054">
        <f t="shared" si="32"/>
        <v>1.8336731560376233E-2</v>
      </c>
      <c r="T1054">
        <f t="shared" si="33"/>
        <v>2.7505097340564352E-4</v>
      </c>
      <c r="U1054">
        <f t="shared" si="34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29"/>
        <v>1053</v>
      </c>
      <c r="I1055">
        <f>SUM($F$3:F1055)/H1055</f>
        <v>4313227.8898682334</v>
      </c>
      <c r="N1055">
        <f>IF(A1055&lt;&gt;$K$54,MAX(N1054,VLOOKUP(A1055,A:C,3)),)</f>
        <v>1.128000020980835</v>
      </c>
      <c r="O1055">
        <f>IF(A1055&lt;&gt;$K$54,MIN(O1054,VLOOKUP(A1055,A:D,4)),)</f>
        <v>1.0019999742507935</v>
      </c>
      <c r="P1055">
        <f t="shared" si="28"/>
        <v>1.1040000120798747</v>
      </c>
      <c r="Q1055">
        <f t="shared" si="30"/>
        <v>1.0592380904016041</v>
      </c>
      <c r="R1055">
        <f t="shared" si="31"/>
        <v>4.4761921678270644E-2</v>
      </c>
      <c r="S1055">
        <f t="shared" si="32"/>
        <v>2.0877549842912329E-2</v>
      </c>
      <c r="T1055">
        <f t="shared" si="33"/>
        <v>3.1316324764368495E-4</v>
      </c>
      <c r="U1055">
        <f t="shared" si="34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29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28"/>
        <v>1.0806666215260823</v>
      </c>
      <c r="Q1056">
        <f t="shared" si="30"/>
        <v>1.0623333255449932</v>
      </c>
      <c r="R1056">
        <f t="shared" si="31"/>
        <v>1.8333295981089126E-2</v>
      </c>
      <c r="S1056">
        <f t="shared" si="32"/>
        <v>2.1285709880647201E-2</v>
      </c>
      <c r="T1056">
        <f t="shared" si="33"/>
        <v>3.1928564820970801E-4</v>
      </c>
      <c r="U1056">
        <f t="shared" si="34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29"/>
        <v>1055</v>
      </c>
      <c r="I1057">
        <f>SUM($F$3:F1057)/H1057</f>
        <v>4308508.9790580571</v>
      </c>
      <c r="N1057">
        <f>IF(A1057&lt;&gt;$K$55,MAX(N1056,VLOOKUP(A1057,A:C,3)),)</f>
        <v>1.0789999961853027</v>
      </c>
      <c r="O1057">
        <f>IF(A1057&lt;&gt;$K$55,MIN(O1056,VLOOKUP(A1057,A:D,4)),)</f>
        <v>1.0570000410079956</v>
      </c>
      <c r="P1057">
        <f t="shared" si="28"/>
        <v>1.0700000127156575</v>
      </c>
      <c r="Q1057">
        <f t="shared" si="30"/>
        <v>1.0643571359770641</v>
      </c>
      <c r="R1057">
        <f t="shared" si="31"/>
        <v>5.6428767385934275E-3</v>
      </c>
      <c r="S1057">
        <f t="shared" si="32"/>
        <v>2.0357140472957051E-2</v>
      </c>
      <c r="T1057">
        <f t="shared" si="33"/>
        <v>3.0535710709435576E-4</v>
      </c>
      <c r="U1057">
        <f t="shared" si="34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29"/>
        <v>1056</v>
      </c>
      <c r="I1058">
        <f>SUM($F$3:F1058)/H1058</f>
        <v>4305569.8607066758</v>
      </c>
      <c r="N1058">
        <f>IF(A1058&lt;&gt;$K$55,MAX(N1057,VLOOKUP(A1058,A:C,3)),)</f>
        <v>1.0789999961853027</v>
      </c>
      <c r="O1058">
        <f>IF(A1058&lt;&gt;$K$55,MIN(O1057,VLOOKUP(A1058,A:D,4)),)</f>
        <v>1.0529999732971191</v>
      </c>
      <c r="P1058">
        <f t="shared" si="28"/>
        <v>1.0619999965031941</v>
      </c>
      <c r="Q1058">
        <f t="shared" si="30"/>
        <v>1.0658095195179895</v>
      </c>
      <c r="R1058">
        <f t="shared" si="31"/>
        <v>-3.809523014795424E-3</v>
      </c>
      <c r="S1058">
        <f t="shared" si="32"/>
        <v>1.890475693203153E-2</v>
      </c>
      <c r="T1058">
        <f t="shared" si="33"/>
        <v>2.8357135398047296E-4</v>
      </c>
      <c r="U1058">
        <f t="shared" si="34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29"/>
        <v>1057</v>
      </c>
      <c r="I1059">
        <f>SUM($F$3:F1059)/H1059</f>
        <v>4303594.8797599338</v>
      </c>
      <c r="N1059">
        <f>IF(A1059&lt;&gt;$K$55,MAX(N1058,VLOOKUP(A1059,A:C,3)),)</f>
        <v>1.0789999961853027</v>
      </c>
      <c r="O1059">
        <f>IF(A1059&lt;&gt;$K$55,MIN(O1058,VLOOKUP(A1059,A:D,4)),)</f>
        <v>1.0449999570846558</v>
      </c>
      <c r="P1059">
        <f t="shared" si="28"/>
        <v>1.0583333174387615</v>
      </c>
      <c r="Q1059">
        <f t="shared" si="30"/>
        <v>1.066166659196218</v>
      </c>
      <c r="R1059">
        <f t="shared" si="31"/>
        <v>-7.8333417574565356E-3</v>
      </c>
      <c r="S1059">
        <f t="shared" si="32"/>
        <v>1.854761725380305E-2</v>
      </c>
      <c r="T1059">
        <f t="shared" si="33"/>
        <v>2.7821425880704577E-4</v>
      </c>
      <c r="U1059">
        <f t="shared" si="34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29"/>
        <v>1058</v>
      </c>
      <c r="I1060">
        <f>SUM($F$3:F1060)/H1060</f>
        <v>4300635.9195711249</v>
      </c>
      <c r="N1060">
        <f>IF(A1060&lt;&gt;$K$55,MAX(N1059,VLOOKUP(A1060,A:C,3)),)</f>
        <v>1.0820000171661377</v>
      </c>
      <c r="O1060">
        <f>IF(A1060&lt;&gt;$K$55,MIN(O1059,VLOOKUP(A1060,A:D,4)),)</f>
        <v>1.0449999570846558</v>
      </c>
      <c r="P1060">
        <f t="shared" si="28"/>
        <v>1.0750000079472859</v>
      </c>
      <c r="Q1060">
        <f t="shared" si="30"/>
        <v>1.0693571340470087</v>
      </c>
      <c r="R1060">
        <f t="shared" si="31"/>
        <v>5.6428739002771788E-3</v>
      </c>
      <c r="S1060">
        <f t="shared" si="32"/>
        <v>1.6500001861935547E-2</v>
      </c>
      <c r="T1060">
        <f t="shared" si="33"/>
        <v>2.4750002792903322E-4</v>
      </c>
      <c r="U1060">
        <f t="shared" si="34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29"/>
        <v>1059</v>
      </c>
      <c r="I1061">
        <f>SUM($F$3:F1061)/H1061</f>
        <v>4297527.1982117565</v>
      </c>
      <c r="N1061">
        <f>IF(A1061&lt;&gt;$K$55,MAX(N1060,VLOOKUP(A1061,A:C,3)),)</f>
        <v>1.0820000171661377</v>
      </c>
      <c r="O1061">
        <f>IF(A1061&lt;&gt;$K$55,MIN(O1060,VLOOKUP(A1061,A:D,4)),)</f>
        <v>1.0449999570846558</v>
      </c>
      <c r="P1061">
        <f t="shared" si="28"/>
        <v>1.0750000079472859</v>
      </c>
      <c r="Q1061">
        <f t="shared" si="30"/>
        <v>1.0723333245231994</v>
      </c>
      <c r="R1061">
        <f t="shared" si="31"/>
        <v>2.6666834240864912E-3</v>
      </c>
      <c r="S1061">
        <f t="shared" si="32"/>
        <v>1.4238096418834858E-2</v>
      </c>
      <c r="T1061">
        <f t="shared" si="33"/>
        <v>2.1357144628252286E-4</v>
      </c>
      <c r="U1061">
        <f t="shared" si="34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29"/>
        <v>1060</v>
      </c>
      <c r="I1062">
        <f>SUM($F$3:F1062)/H1062</f>
        <v>4294567.078213443</v>
      </c>
      <c r="N1062">
        <f>IF(A1062&lt;&gt;$K$55,MAX(N1061,VLOOKUP(A1062,A:C,3)),)</f>
        <v>1.0820000171661377</v>
      </c>
      <c r="O1062">
        <f>IF(A1062&lt;&gt;$K$55,MIN(O1061,VLOOKUP(A1062,A:D,4)),)</f>
        <v>1.0449999570846558</v>
      </c>
      <c r="P1062">
        <f t="shared" si="28"/>
        <v>1.0730000336964924</v>
      </c>
      <c r="Q1062">
        <f t="shared" si="30"/>
        <v>1.0739999952770416</v>
      </c>
      <c r="R1062">
        <f t="shared" si="31"/>
        <v>-9.9996158054915796E-4</v>
      </c>
      <c r="S1062">
        <f t="shared" si="32"/>
        <v>1.2571425664992555E-2</v>
      </c>
      <c r="T1062">
        <f t="shared" si="33"/>
        <v>1.8857138497488832E-4</v>
      </c>
      <c r="U1062">
        <f t="shared" si="34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29"/>
        <v>1061</v>
      </c>
      <c r="I1063">
        <f>SUM($F$3:F1063)/H1063</f>
        <v>4291599.6257363334</v>
      </c>
      <c r="N1063">
        <f>IF(A1063&lt;&gt;$K$55,MAX(N1062,VLOOKUP(A1063,A:C,3)),)</f>
        <v>1.093000054359436</v>
      </c>
      <c r="O1063">
        <f>IF(A1063&lt;&gt;$K$55,MIN(O1062,VLOOKUP(A1063,A:D,4)),)</f>
        <v>1.0449999570846558</v>
      </c>
      <c r="P1063">
        <f t="shared" si="28"/>
        <v>1.071666677792867</v>
      </c>
      <c r="Q1063">
        <f t="shared" si="30"/>
        <v>1.0754285681815376</v>
      </c>
      <c r="R1063">
        <f t="shared" si="31"/>
        <v>-3.7618903886706967E-3</v>
      </c>
      <c r="S1063">
        <f t="shared" si="32"/>
        <v>1.1265298541711386E-2</v>
      </c>
      <c r="T1063">
        <f t="shared" si="33"/>
        <v>1.6897947812567079E-4</v>
      </c>
      <c r="U1063">
        <f t="shared" si="34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29"/>
        <v>1062</v>
      </c>
      <c r="I1064">
        <f>SUM($F$3:F1064)/H1064</f>
        <v>4288556.2174258474</v>
      </c>
      <c r="N1064">
        <f>IF(A1064&lt;&gt;$K$55,MAX(N1063,VLOOKUP(A1064,A:C,3)),)</f>
        <v>1.093000054359436</v>
      </c>
      <c r="O1064">
        <f>IF(A1064&lt;&gt;$K$55,MIN(O1063,VLOOKUP(A1064,A:D,4)),)</f>
        <v>1.0449999570846558</v>
      </c>
      <c r="P1064">
        <f t="shared" si="28"/>
        <v>1.0596667130788167</v>
      </c>
      <c r="Q1064">
        <f t="shared" si="30"/>
        <v>1.0762619063967751</v>
      </c>
      <c r="R1064">
        <f t="shared" si="31"/>
        <v>-1.6595193317958445E-2</v>
      </c>
      <c r="S1064">
        <f t="shared" si="32"/>
        <v>1.0670056959398806E-2</v>
      </c>
      <c r="T1064">
        <f t="shared" si="33"/>
        <v>1.6005085439098208E-4</v>
      </c>
      <c r="U1064">
        <f t="shared" si="34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29"/>
        <v>1063</v>
      </c>
      <c r="I1065">
        <f>SUM($F$3:F1065)/H1065</f>
        <v>4286266.4279456725</v>
      </c>
      <c r="N1065">
        <f>IF(A1065&lt;&gt;$K$55,MAX(N1064,VLOOKUP(A1065,A:C,3)),)</f>
        <v>1.093000054359436</v>
      </c>
      <c r="O1065">
        <f>IF(A1065&lt;&gt;$K$55,MIN(O1064,VLOOKUP(A1065,A:D,4)),)</f>
        <v>1.0449999570846558</v>
      </c>
      <c r="P1065">
        <f t="shared" si="28"/>
        <v>1.0709999799728394</v>
      </c>
      <c r="Q1065">
        <f t="shared" si="30"/>
        <v>1.0765476198423478</v>
      </c>
      <c r="R1065">
        <f t="shared" si="31"/>
        <v>-5.5476398695084583E-3</v>
      </c>
      <c r="S1065">
        <f t="shared" si="32"/>
        <v>1.0465975926846949E-2</v>
      </c>
      <c r="T1065">
        <f t="shared" si="33"/>
        <v>1.5698963890270422E-4</v>
      </c>
      <c r="U1065">
        <f t="shared" si="34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29"/>
        <v>1064</v>
      </c>
      <c r="I1066">
        <f>SUM($F$3:F1066)/H1066</f>
        <v>4283583.8514156481</v>
      </c>
      <c r="N1066">
        <f>IF(A1066&lt;&gt;$K$55,MAX(N1065,VLOOKUP(A1066,A:C,3)),)</f>
        <v>1.093000054359436</v>
      </c>
      <c r="O1066">
        <f>IF(A1066&lt;&gt;$K$55,MIN(O1065,VLOOKUP(A1066,A:D,4)),)</f>
        <v>1.0449999570846558</v>
      </c>
      <c r="P1066">
        <f t="shared" si="28"/>
        <v>1.0613333384195964</v>
      </c>
      <c r="Q1066">
        <f t="shared" si="30"/>
        <v>1.0749285731996809</v>
      </c>
      <c r="R1066">
        <f t="shared" si="31"/>
        <v>-1.3595234780084509E-2</v>
      </c>
      <c r="S1066">
        <f t="shared" si="32"/>
        <v>1.0346930854174565E-2</v>
      </c>
      <c r="T1066">
        <f t="shared" si="33"/>
        <v>1.5520396281261848E-4</v>
      </c>
      <c r="U1066">
        <f t="shared" si="34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29"/>
        <v>1065</v>
      </c>
      <c r="I1067">
        <f>SUM($F$3:F1067)/H1067</f>
        <v>4280559.8308978872</v>
      </c>
      <c r="N1067">
        <f>IF(A1067&lt;&gt;$K$55,MAX(N1066,VLOOKUP(A1067,A:C,3)),)</f>
        <v>1.093000054359436</v>
      </c>
      <c r="O1067">
        <f>IF(A1067&lt;&gt;$K$55,MIN(O1066,VLOOKUP(A1067,A:D,4)),)</f>
        <v>1.0449999570846558</v>
      </c>
      <c r="P1067">
        <f t="shared" si="28"/>
        <v>1.0503333409627278</v>
      </c>
      <c r="Q1067">
        <f t="shared" si="30"/>
        <v>1.0722619096438091</v>
      </c>
      <c r="R1067">
        <f t="shared" si="31"/>
        <v>-2.1928568681081284E-2</v>
      </c>
      <c r="S1067">
        <f t="shared" si="32"/>
        <v>1.0537414323715941E-2</v>
      </c>
      <c r="T1067">
        <f t="shared" si="33"/>
        <v>1.5806121485573911E-4</v>
      </c>
      <c r="U1067">
        <f t="shared" si="34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29"/>
        <v>1066</v>
      </c>
      <c r="I1068">
        <f>SUM($F$3:F1068)/H1068</f>
        <v>4277182.8516944181</v>
      </c>
      <c r="N1068">
        <f>IF(A1068&lt;&gt;$K$55,MAX(N1067,VLOOKUP(A1068,A:C,3)),)</f>
        <v>1.093000054359436</v>
      </c>
      <c r="O1068">
        <f>IF(A1068&lt;&gt;$K$55,MIN(O1067,VLOOKUP(A1068,A:D,4)),)</f>
        <v>1.0390000343322754</v>
      </c>
      <c r="P1068">
        <f t="shared" si="28"/>
        <v>1.0453333457310994</v>
      </c>
      <c r="Q1068">
        <f t="shared" si="30"/>
        <v>1.0683809575580416</v>
      </c>
      <c r="R1068">
        <f t="shared" si="31"/>
        <v>-2.304761182694226E-2</v>
      </c>
      <c r="S1068">
        <f t="shared" si="32"/>
        <v>1.0469384744864712E-2</v>
      </c>
      <c r="T1068">
        <f t="shared" si="33"/>
        <v>1.5704077117297067E-4</v>
      </c>
      <c r="U1068">
        <f t="shared" si="34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29"/>
        <v>1067</v>
      </c>
      <c r="I1069">
        <f>SUM($F$3:F1069)/H1069</f>
        <v>4273900.7712335987</v>
      </c>
      <c r="N1069">
        <f>IF(A1069&lt;&gt;$K$55,MAX(N1068,VLOOKUP(A1069,A:C,3)),)</f>
        <v>1.093000054359436</v>
      </c>
      <c r="O1069">
        <f>IF(A1069&lt;&gt;$K$55,MIN(O1068,VLOOKUP(A1069,A:D,4)),)</f>
        <v>1.0390000343322754</v>
      </c>
      <c r="P1069">
        <f t="shared" si="28"/>
        <v>1.0470000108083088</v>
      </c>
      <c r="Q1069">
        <f t="shared" si="30"/>
        <v>1.0643095288957869</v>
      </c>
      <c r="R1069">
        <f t="shared" si="31"/>
        <v>-1.7309518087478049E-2</v>
      </c>
      <c r="S1069">
        <f t="shared" si="32"/>
        <v>9.4523770468575453E-3</v>
      </c>
      <c r="T1069">
        <f t="shared" si="33"/>
        <v>1.4178565570286317E-4</v>
      </c>
      <c r="U1069">
        <f t="shared" si="34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29"/>
        <v>1068</v>
      </c>
      <c r="I1070">
        <f>SUM($F$3:F1070)/H1070</f>
        <v>4270627.3622717699</v>
      </c>
      <c r="N1070">
        <f>IF(A1070&lt;&gt;$K$55,MAX(N1069,VLOOKUP(A1070,A:C,3)),)</f>
        <v>1.093000054359436</v>
      </c>
      <c r="O1070">
        <f>IF(A1070&lt;&gt;$K$55,MIN(O1069,VLOOKUP(A1070,A:D,4)),)</f>
        <v>1.0369999408721924</v>
      </c>
      <c r="P1070">
        <f t="shared" si="28"/>
        <v>1.0439999898274739</v>
      </c>
      <c r="Q1070">
        <f t="shared" si="30"/>
        <v>1.0616904837744576</v>
      </c>
      <c r="R1070">
        <f t="shared" si="31"/>
        <v>-1.7690493946983743E-2</v>
      </c>
      <c r="S1070">
        <f t="shared" si="32"/>
        <v>9.4047614506312625E-3</v>
      </c>
      <c r="T1070">
        <f t="shared" si="33"/>
        <v>1.4107142175946892E-4</v>
      </c>
      <c r="U1070">
        <f t="shared" si="34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29"/>
        <v>1069</v>
      </c>
      <c r="I1071">
        <f>SUM($F$3:F1071)/H1071</f>
        <v>4268306.6640844243</v>
      </c>
      <c r="N1071">
        <f>IF(A1071&lt;&gt;$K$55,MAX(N1070,VLOOKUP(A1071,A:C,3)),)</f>
        <v>1.093000054359436</v>
      </c>
      <c r="O1071">
        <f>IF(A1071&lt;&gt;$K$55,MIN(O1070,VLOOKUP(A1071,A:D,4)),)</f>
        <v>1.0089999437332153</v>
      </c>
      <c r="P1071">
        <f t="shared" si="28"/>
        <v>1.0189999739329021</v>
      </c>
      <c r="Q1071">
        <f t="shared" si="30"/>
        <v>1.0580476238614036</v>
      </c>
      <c r="R1071">
        <f t="shared" si="31"/>
        <v>-3.9047649928501516E-2</v>
      </c>
      <c r="S1071">
        <f t="shared" si="32"/>
        <v>1.2081636863500913E-2</v>
      </c>
      <c r="T1071">
        <f t="shared" si="33"/>
        <v>1.8122455295251368E-4</v>
      </c>
      <c r="U1071">
        <f t="shared" si="34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29"/>
        <v>1070</v>
      </c>
      <c r="I1072">
        <f>SUM($F$3:F1072)/H1072</f>
        <v>4266032.4531834116</v>
      </c>
      <c r="N1072">
        <f>IF(A1072&lt;&gt;$K$55,MAX(N1071,VLOOKUP(A1072,A:C,3)),)</f>
        <v>1.093000054359436</v>
      </c>
      <c r="O1072">
        <f>IF(A1072&lt;&gt;$K$55,MIN(O1071,VLOOKUP(A1072,A:D,4)),)</f>
        <v>1</v>
      </c>
      <c r="P1072">
        <f t="shared" si="28"/>
        <v>1.0073333581288655</v>
      </c>
      <c r="Q1072">
        <f t="shared" si="30"/>
        <v>1.0541428639775232</v>
      </c>
      <c r="R1072">
        <f t="shared" si="31"/>
        <v>-4.6809505848657729E-2</v>
      </c>
      <c r="S1072">
        <f t="shared" si="32"/>
        <v>1.5979594924822944E-2</v>
      </c>
      <c r="T1072">
        <f t="shared" si="33"/>
        <v>2.3969392387234416E-4</v>
      </c>
      <c r="U1072">
        <f t="shared" si="34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29"/>
        <v>1071</v>
      </c>
      <c r="I1073">
        <f>SUM($F$3:F1073)/H1073</f>
        <v>4264072.8523867885</v>
      </c>
      <c r="N1073">
        <f>IF(A1073&lt;&gt;$K$55,MAX(N1072,VLOOKUP(A1073,A:C,3)),)</f>
        <v>1.093000054359436</v>
      </c>
      <c r="O1073">
        <f>IF(A1073&lt;&gt;$K$55,MIN(O1072,VLOOKUP(A1073,A:D,4)),)</f>
        <v>1</v>
      </c>
      <c r="P1073">
        <f t="shared" si="28"/>
        <v>1.025000015894572</v>
      </c>
      <c r="Q1073">
        <f t="shared" si="30"/>
        <v>1.0517619138672238</v>
      </c>
      <c r="R1073">
        <f t="shared" si="31"/>
        <v>-2.6761897972651827E-2</v>
      </c>
      <c r="S1073">
        <f t="shared" si="32"/>
        <v>1.7761908826373869E-2</v>
      </c>
      <c r="T1073">
        <f t="shared" si="33"/>
        <v>2.6642863239560803E-4</v>
      </c>
      <c r="U1073">
        <f t="shared" si="34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29"/>
        <v>1072</v>
      </c>
      <c r="I1074">
        <f>SUM($F$3:F1074)/H1074</f>
        <v>4262406.6463677706</v>
      </c>
      <c r="N1074">
        <f>IF(A1074&lt;&gt;$K$55,MAX(N1073,VLOOKUP(A1074,A:C,3)),)</f>
        <v>1.093000054359436</v>
      </c>
      <c r="O1074">
        <f>IF(A1074&lt;&gt;$K$55,MIN(O1073,VLOOKUP(A1074,A:D,4)),)</f>
        <v>1</v>
      </c>
      <c r="P1074">
        <f t="shared" si="28"/>
        <v>1.0376666784286499</v>
      </c>
      <c r="Q1074">
        <f t="shared" si="30"/>
        <v>1.0490952474730355</v>
      </c>
      <c r="R1074">
        <f t="shared" si="31"/>
        <v>-1.1428569044385606E-2</v>
      </c>
      <c r="S1074">
        <f t="shared" si="32"/>
        <v>1.6904765651339564E-2</v>
      </c>
      <c r="T1074">
        <f t="shared" si="33"/>
        <v>2.5357148477009344E-4</v>
      </c>
      <c r="U1074">
        <f t="shared" si="34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29"/>
        <v>1073</v>
      </c>
      <c r="I1075">
        <f>SUM($F$3:F1075)/H1075</f>
        <v>4259291.0763338767</v>
      </c>
      <c r="N1075">
        <f>IF(A1075&lt;&gt;$K$55,MAX(N1074,VLOOKUP(A1075,A:C,3)),)</f>
        <v>1.093000054359436</v>
      </c>
      <c r="O1075">
        <f>IF(A1075&lt;&gt;$K$55,MIN(O1074,VLOOKUP(A1075,A:D,4)),)</f>
        <v>1</v>
      </c>
      <c r="P1075">
        <f t="shared" si="28"/>
        <v>1.0386666854222615</v>
      </c>
      <c r="Q1075">
        <f t="shared" si="30"/>
        <v>1.0465000101498194</v>
      </c>
      <c r="R1075">
        <f t="shared" si="31"/>
        <v>-7.8333247275579332E-3</v>
      </c>
      <c r="S1075">
        <f t="shared" si="32"/>
        <v>1.550000338327316E-2</v>
      </c>
      <c r="T1075">
        <f t="shared" si="33"/>
        <v>2.3250005074909738E-4</v>
      </c>
      <c r="U1075">
        <f t="shared" si="34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29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28"/>
        <v>1.0386666456858318</v>
      </c>
      <c r="Q1076">
        <f t="shared" si="30"/>
        <v>1.0440476252919151</v>
      </c>
      <c r="R1076">
        <f t="shared" si="31"/>
        <v>-5.3809796060833026E-3</v>
      </c>
      <c r="S1076">
        <f t="shared" si="32"/>
        <v>1.400000424612134E-2</v>
      </c>
      <c r="T1076">
        <f t="shared" si="33"/>
        <v>2.1000006369182008E-4</v>
      </c>
      <c r="U1076">
        <f t="shared" si="34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29"/>
        <v>1075</v>
      </c>
      <c r="I1077">
        <f>SUM($F$3:F1077)/H1077</f>
        <v>4253528.2101453487</v>
      </c>
      <c r="N1077">
        <f>IF(A1077&lt;&gt;$K$56,MAX(N1076,VLOOKUP(A1077,A:C,3)),)</f>
        <v>1.0570000410079956</v>
      </c>
      <c r="O1077">
        <f>IF(A1077&lt;&gt;$K$56,MIN(O1076,VLOOKUP(A1077,A:D,4)),)</f>
        <v>1.0429999828338623</v>
      </c>
      <c r="P1077">
        <f t="shared" si="28"/>
        <v>1.0509999990463257</v>
      </c>
      <c r="Q1077">
        <f t="shared" si="30"/>
        <v>1.0425714339528764</v>
      </c>
      <c r="R1077">
        <f t="shared" si="31"/>
        <v>8.4285650934492473E-3</v>
      </c>
      <c r="S1077">
        <f t="shared" si="32"/>
        <v>1.2727892317739456E-2</v>
      </c>
      <c r="T1077">
        <f t="shared" si="33"/>
        <v>1.9091838476609184E-4</v>
      </c>
      <c r="U1077">
        <f t="shared" si="34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29"/>
        <v>1076</v>
      </c>
      <c r="I1078">
        <f>SUM($F$3:F1078)/H1078</f>
        <v>4250269.5408050651</v>
      </c>
      <c r="N1078">
        <f>IF(A1078&lt;&gt;$K$56,MAX(N1077,VLOOKUP(A1078,A:C,3)),)</f>
        <v>1.0700000524520874</v>
      </c>
      <c r="O1078">
        <f>IF(A1078&lt;&gt;$K$56,MIN(O1077,VLOOKUP(A1078,A:D,4)),)</f>
        <v>1.0379999876022339</v>
      </c>
      <c r="P1078">
        <f t="shared" si="28"/>
        <v>1.0523333549499512</v>
      </c>
      <c r="Q1078">
        <f t="shared" si="30"/>
        <v>1.0420476226579576</v>
      </c>
      <c r="R1078">
        <f t="shared" si="31"/>
        <v>1.0285732291993588E-2</v>
      </c>
      <c r="S1078">
        <f t="shared" si="32"/>
        <v>1.22789112078089E-2</v>
      </c>
      <c r="T1078">
        <f t="shared" si="33"/>
        <v>1.8418366811713348E-4</v>
      </c>
      <c r="U1078">
        <f t="shared" si="34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29"/>
        <v>1077</v>
      </c>
      <c r="I1079">
        <f>SUM($F$3:F1079)/H1079</f>
        <v>4247553.5059482362</v>
      </c>
      <c r="N1079">
        <f>IF(A1079&lt;&gt;$K$56,MAX(N1078,VLOOKUP(A1079,A:C,3)),)</f>
        <v>1.0700000524520874</v>
      </c>
      <c r="O1079">
        <f>IF(A1079&lt;&gt;$K$56,MIN(O1078,VLOOKUP(A1079,A:D,4)),)</f>
        <v>1.0379999876022339</v>
      </c>
      <c r="P1079">
        <f t="shared" si="28"/>
        <v>1.0460000038146973</v>
      </c>
      <c r="Q1079">
        <f t="shared" si="30"/>
        <v>1.0402619100752331</v>
      </c>
      <c r="R1079">
        <f t="shared" si="31"/>
        <v>5.7380937394642118E-3</v>
      </c>
      <c r="S1079">
        <f t="shared" si="32"/>
        <v>1.0748300422616541E-2</v>
      </c>
      <c r="T1079">
        <f t="shared" si="33"/>
        <v>1.612245063392481E-4</v>
      </c>
      <c r="U1079">
        <f t="shared" si="34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29"/>
        <v>1078</v>
      </c>
      <c r="I1080">
        <f>SUM($F$3:F1080)/H1080</f>
        <v>4245387.276350881</v>
      </c>
      <c r="N1080">
        <f>IF(A1080&lt;&gt;$K$56,MAX(N1079,VLOOKUP(A1080,A:C,3)),)</f>
        <v>1.0700000524520874</v>
      </c>
      <c r="O1080">
        <f>IF(A1080&lt;&gt;$K$56,MIN(O1079,VLOOKUP(A1080,A:D,4)),)</f>
        <v>1.0379999876022339</v>
      </c>
      <c r="P1080">
        <f t="shared" si="28"/>
        <v>1.0446666479110718</v>
      </c>
      <c r="Q1080">
        <f t="shared" si="30"/>
        <v>1.0390714321817671</v>
      </c>
      <c r="R1080">
        <f t="shared" si="31"/>
        <v>5.5952157293046589E-3</v>
      </c>
      <c r="S1080">
        <f t="shared" si="32"/>
        <v>9.7278907996456287E-3</v>
      </c>
      <c r="T1080">
        <f t="shared" si="33"/>
        <v>1.4591836199468443E-4</v>
      </c>
      <c r="U1080">
        <f t="shared" si="34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29"/>
        <v>1079</v>
      </c>
      <c r="I1081">
        <f>SUM($F$3:F1081)/H1081</f>
        <v>4243179.1380039388</v>
      </c>
      <c r="N1081">
        <f>IF(A1081&lt;&gt;$K$56,MAX(N1080,VLOOKUP(A1081,A:C,3)),)</f>
        <v>1.0700000524520874</v>
      </c>
      <c r="O1081">
        <f>IF(A1081&lt;&gt;$K$56,MIN(O1080,VLOOKUP(A1081,A:D,4)),)</f>
        <v>1.0379999876022339</v>
      </c>
      <c r="P1081">
        <f t="shared" si="28"/>
        <v>1.0553333361943562</v>
      </c>
      <c r="Q1081">
        <f t="shared" si="30"/>
        <v>1.0394285746983118</v>
      </c>
      <c r="R1081">
        <f t="shared" si="31"/>
        <v>1.5904761496044362E-2</v>
      </c>
      <c r="S1081">
        <f t="shared" si="32"/>
        <v>1.0034012956684126E-2</v>
      </c>
      <c r="T1081">
        <f t="shared" si="33"/>
        <v>1.505101943502619E-4</v>
      </c>
      <c r="U1081">
        <f t="shared" si="34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29"/>
        <v>1080</v>
      </c>
      <c r="I1082">
        <f>SUM($F$3:F1082)/H1082</f>
        <v>4240976.674913194</v>
      </c>
      <c r="N1082">
        <f>IF(A1082&lt;&gt;$K$56,MAX(N1081,VLOOKUP(A1082,A:C,3)),)</f>
        <v>1.0770000219345093</v>
      </c>
      <c r="O1082">
        <f>IF(A1082&lt;&gt;$K$56,MIN(O1081,VLOOKUP(A1082,A:D,4)),)</f>
        <v>1.0379999876022339</v>
      </c>
      <c r="P1082">
        <f t="shared" si="28"/>
        <v>1.0696666638056438</v>
      </c>
      <c r="Q1082">
        <f t="shared" si="30"/>
        <v>1.0411666688464936</v>
      </c>
      <c r="R1082">
        <f t="shared" si="31"/>
        <v>2.8499994959150232E-2</v>
      </c>
      <c r="S1082">
        <f t="shared" si="32"/>
        <v>1.1523807940839912E-2</v>
      </c>
      <c r="T1082">
        <f t="shared" si="33"/>
        <v>1.7285711911259867E-4</v>
      </c>
      <c r="U1082">
        <f t="shared" si="34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29"/>
        <v>1081</v>
      </c>
      <c r="I1083">
        <f>SUM($F$3:F1083)/H1083</f>
        <v>4238761.5280122571</v>
      </c>
      <c r="N1083">
        <f>IF(A1083&lt;&gt;$K$56,MAX(N1082,VLOOKUP(A1083,A:C,3)),)</f>
        <v>1.0779999494552612</v>
      </c>
      <c r="O1083">
        <f>IF(A1083&lt;&gt;$K$56,MIN(O1082,VLOOKUP(A1083,A:D,4)),)</f>
        <v>1.0379999876022339</v>
      </c>
      <c r="P1083">
        <f t="shared" si="28"/>
        <v>1.0703333218892415</v>
      </c>
      <c r="Q1083">
        <f t="shared" si="30"/>
        <v>1.0428333339237033</v>
      </c>
      <c r="R1083">
        <f t="shared" si="31"/>
        <v>2.7499987965538208E-2</v>
      </c>
      <c r="S1083">
        <f t="shared" si="32"/>
        <v>1.2952378007019427E-2</v>
      </c>
      <c r="T1083">
        <f t="shared" si="33"/>
        <v>1.9428567010529139E-4</v>
      </c>
      <c r="U1083">
        <f t="shared" si="34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29"/>
        <v>1082</v>
      </c>
      <c r="I1084">
        <f>SUM($F$3:F1084)/H1084</f>
        <v>4236251.397210028</v>
      </c>
      <c r="N1084">
        <f>IF(A1084&lt;&gt;$K$56,MAX(N1083,VLOOKUP(A1084,A:C,3)),)</f>
        <v>1.0779999494552612</v>
      </c>
      <c r="O1084">
        <f>IF(A1084&lt;&gt;$K$56,MIN(O1083,VLOOKUP(A1084,A:D,4)),)</f>
        <v>1.0379999876022339</v>
      </c>
      <c r="P1084">
        <f t="shared" si="28"/>
        <v>1.0663333336512248</v>
      </c>
      <c r="Q1084">
        <f t="shared" si="30"/>
        <v>1.044428572768257</v>
      </c>
      <c r="R1084">
        <f t="shared" si="31"/>
        <v>2.1904760882967889E-2</v>
      </c>
      <c r="S1084">
        <f t="shared" si="32"/>
        <v>1.4319725588065395E-2</v>
      </c>
      <c r="T1084">
        <f t="shared" si="33"/>
        <v>2.1479588382098091E-4</v>
      </c>
      <c r="U1084">
        <f t="shared" si="34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29"/>
        <v>1083</v>
      </c>
      <c r="I1085">
        <f>SUM($F$3:F1085)/H1085</f>
        <v>4233962.8991516624</v>
      </c>
      <c r="N1085">
        <f>IF(A1085&lt;&gt;$K$56,MAX(N1084,VLOOKUP(A1085,A:C,3)),)</f>
        <v>1.0779999494552612</v>
      </c>
      <c r="O1085">
        <f>IF(A1085&lt;&gt;$K$56,MIN(O1084,VLOOKUP(A1085,A:D,4)),)</f>
        <v>1.0379999876022339</v>
      </c>
      <c r="P1085">
        <f t="shared" si="28"/>
        <v>1.0643333196640015</v>
      </c>
      <c r="Q1085">
        <f t="shared" si="30"/>
        <v>1.0476666688919067</v>
      </c>
      <c r="R1085">
        <f t="shared" si="31"/>
        <v>1.6666650772094727E-2</v>
      </c>
      <c r="S1085">
        <f t="shared" si="32"/>
        <v>1.366666385105678E-2</v>
      </c>
      <c r="T1085">
        <f t="shared" si="33"/>
        <v>2.0499995776585169E-4</v>
      </c>
      <c r="U1085">
        <f t="shared" si="34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29"/>
        <v>1084</v>
      </c>
      <c r="I1086">
        <f>SUM($F$3:F1086)/H1086</f>
        <v>4231014.5938941417</v>
      </c>
      <c r="N1086">
        <f>IF(A1086&lt;&gt;$K$56,MAX(N1085,VLOOKUP(A1086,A:C,3)),)</f>
        <v>1.0779999494552612</v>
      </c>
      <c r="O1086">
        <f>IF(A1086&lt;&gt;$K$56,MIN(O1085,VLOOKUP(A1086,A:D,4)),)</f>
        <v>1.0379999876022339</v>
      </c>
      <c r="P1086">
        <f t="shared" si="28"/>
        <v>1.0603333711624146</v>
      </c>
      <c r="Q1086">
        <f t="shared" si="30"/>
        <v>1.051452384108589</v>
      </c>
      <c r="R1086">
        <f t="shared" si="31"/>
        <v>8.880987053825562E-3</v>
      </c>
      <c r="S1086">
        <f t="shared" si="32"/>
        <v>1.1214287508101686E-2</v>
      </c>
      <c r="T1086">
        <f t="shared" si="33"/>
        <v>1.6821431262152526E-4</v>
      </c>
      <c r="U1086">
        <f t="shared" si="34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29"/>
        <v>1085</v>
      </c>
      <c r="I1087">
        <f>SUM($F$3:F1087)/H1087</f>
        <v>4228348.7739919359</v>
      </c>
      <c r="N1087">
        <f>IF(A1087&lt;&gt;$K$56,MAX(N1086,VLOOKUP(A1087,A:C,3)),)</f>
        <v>1.0779999494552612</v>
      </c>
      <c r="O1087">
        <f>IF(A1087&lt;&gt;$K$56,MIN(O1086,VLOOKUP(A1087,A:D,4)),)</f>
        <v>1.0379999876022339</v>
      </c>
      <c r="P1087">
        <f t="shared" ref="P1087:P1119" si="35">(C1087+D1087+E1087)/3</f>
        <v>1.0546666781107585</v>
      </c>
      <c r="Q1087">
        <f t="shared" si="30"/>
        <v>1.0535714314097449</v>
      </c>
      <c r="R1087">
        <f t="shared" si="31"/>
        <v>1.0952467010136857E-3</v>
      </c>
      <c r="S1087">
        <f t="shared" si="32"/>
        <v>9.4285720870608426E-3</v>
      </c>
      <c r="T1087">
        <f t="shared" si="33"/>
        <v>1.4142858130591264E-4</v>
      </c>
      <c r="U1087">
        <f t="shared" si="34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29"/>
        <v>1086</v>
      </c>
      <c r="I1088">
        <f>SUM($F$3:F1088)/H1088</f>
        <v>4227114.3828556631</v>
      </c>
      <c r="N1088">
        <f>IF(A1088&lt;&gt;$K$56,MAX(N1087,VLOOKUP(A1088,A:C,3)),)</f>
        <v>1.0779999494552612</v>
      </c>
      <c r="O1088">
        <f>IF(A1088&lt;&gt;$K$56,MIN(O1087,VLOOKUP(A1088,A:D,4)),)</f>
        <v>1.0360000133514404</v>
      </c>
      <c r="P1088">
        <f t="shared" si="35"/>
        <v>1.0426666736602783</v>
      </c>
      <c r="Q1088">
        <f t="shared" si="30"/>
        <v>1.0539285739262898</v>
      </c>
      <c r="R1088">
        <f t="shared" si="31"/>
        <v>-1.1261900266011482E-2</v>
      </c>
      <c r="S1088">
        <f t="shared" si="32"/>
        <v>9.0714295705159563E-3</v>
      </c>
      <c r="T1088">
        <f t="shared" si="33"/>
        <v>1.3607144355773934E-4</v>
      </c>
      <c r="U1088">
        <f t="shared" si="34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19" si="36">H1088+1</f>
        <v>1087</v>
      </c>
      <c r="I1089">
        <f>SUM($F$3:F1089)/H1089</f>
        <v>4224765.9822044615</v>
      </c>
      <c r="N1089">
        <f>IF(A1089&lt;&gt;$K$56,MAX(N1088,VLOOKUP(A1089,A:C,3)),)</f>
        <v>1.0779999494552612</v>
      </c>
      <c r="O1089">
        <f>IF(A1089&lt;&gt;$K$56,MIN(O1088,VLOOKUP(A1089,A:D,4)),)</f>
        <v>1.0360000133514404</v>
      </c>
      <c r="P1089">
        <f t="shared" si="35"/>
        <v>1.0559999942779541</v>
      </c>
      <c r="Q1089">
        <f t="shared" si="30"/>
        <v>1.0551666674159821</v>
      </c>
      <c r="R1089">
        <f t="shared" si="31"/>
        <v>8.3332686197201689E-4</v>
      </c>
      <c r="S1089">
        <f t="shared" si="32"/>
        <v>8.0238098189944207E-3</v>
      </c>
      <c r="T1089">
        <f t="shared" si="33"/>
        <v>1.2035714728491631E-4</v>
      </c>
      <c r="U1089">
        <f t="shared" si="34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36"/>
        <v>1088</v>
      </c>
      <c r="I1090">
        <f>SUM($F$3:F1090)/H1090</f>
        <v>4221734.5796472887</v>
      </c>
      <c r="N1090">
        <f>IF(A1090&lt;&gt;$K$56,MAX(N1089,VLOOKUP(A1090,A:C,3)),)</f>
        <v>1.0779999494552612</v>
      </c>
      <c r="O1090">
        <f>IF(A1090&lt;&gt;$K$56,MIN(O1089,VLOOKUP(A1090,A:D,4)),)</f>
        <v>1.0360000133514404</v>
      </c>
      <c r="P1090">
        <f t="shared" si="35"/>
        <v>1.0503333409627278</v>
      </c>
      <c r="Q1090">
        <f t="shared" si="30"/>
        <v>1.0560000027929033</v>
      </c>
      <c r="R1090">
        <f t="shared" si="31"/>
        <v>-5.6666618301755012E-3</v>
      </c>
      <c r="S1090">
        <f t="shared" si="32"/>
        <v>7.2857137440013164E-3</v>
      </c>
      <c r="T1090">
        <f t="shared" si="33"/>
        <v>1.0928570616001974E-4</v>
      </c>
      <c r="U1090">
        <f t="shared" si="34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36"/>
        <v>1089</v>
      </c>
      <c r="I1091">
        <f>SUM($F$3:F1091)/H1091</f>
        <v>4219485.515639348</v>
      </c>
      <c r="N1091">
        <f>IF(A1091&lt;&gt;$K$56,MAX(N1090,VLOOKUP(A1091,A:C,3)),)</f>
        <v>1.0779999494552612</v>
      </c>
      <c r="O1091">
        <f>IF(A1091&lt;&gt;$K$56,MIN(O1090,VLOOKUP(A1091,A:D,4)),)</f>
        <v>1.0360000133514404</v>
      </c>
      <c r="P1091">
        <f t="shared" si="35"/>
        <v>1.0523333152135212</v>
      </c>
      <c r="Q1091">
        <f t="shared" si="30"/>
        <v>1.0560952396619887</v>
      </c>
      <c r="R1091">
        <f t="shared" si="31"/>
        <v>-3.7619244484674574E-3</v>
      </c>
      <c r="S1091">
        <f t="shared" si="32"/>
        <v>7.2176874089403221E-3</v>
      </c>
      <c r="T1091">
        <f t="shared" si="33"/>
        <v>1.0826531113410483E-4</v>
      </c>
      <c r="U1091">
        <f t="shared" si="34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36"/>
        <v>1090</v>
      </c>
      <c r="I1092">
        <f>SUM($F$3:F1092)/H1092</f>
        <v>4216791.2353497706</v>
      </c>
      <c r="N1092">
        <f>IF(A1092&lt;&gt;$K$56,MAX(N1091,VLOOKUP(A1092,A:C,3)),)</f>
        <v>1.0779999494552612</v>
      </c>
      <c r="O1092">
        <f>IF(A1092&lt;&gt;$K$56,MIN(O1091,VLOOKUP(A1092,A:D,4)),)</f>
        <v>1.0360000133514404</v>
      </c>
      <c r="P1092">
        <f t="shared" si="35"/>
        <v>1.0650000174840291</v>
      </c>
      <c r="Q1092">
        <f t="shared" si="30"/>
        <v>1.0570000012715659</v>
      </c>
      <c r="R1092">
        <f t="shared" si="31"/>
        <v>8.0000162124631569E-3</v>
      </c>
      <c r="S1092">
        <f t="shared" si="32"/>
        <v>7.7142885753086953E-3</v>
      </c>
      <c r="T1092">
        <f t="shared" si="33"/>
        <v>1.1571432862963042E-4</v>
      </c>
      <c r="U1092">
        <f t="shared" si="34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36"/>
        <v>1091</v>
      </c>
      <c r="I1093">
        <f>SUM($F$3:F1093)/H1093</f>
        <v>4215027.5467747478</v>
      </c>
      <c r="N1093">
        <f>IF(A1093&lt;&gt;$K$56,MAX(N1092,VLOOKUP(A1093,A:C,3)),)</f>
        <v>1.0779999494552612</v>
      </c>
      <c r="O1093">
        <f>IF(A1093&lt;&gt;$K$56,MIN(O1092,VLOOKUP(A1093,A:D,4)),)</f>
        <v>1.0360000133514404</v>
      </c>
      <c r="P1093">
        <f t="shared" si="35"/>
        <v>1.068666656812032</v>
      </c>
      <c r="Q1093">
        <f t="shared" si="30"/>
        <v>1.0586190479142326</v>
      </c>
      <c r="R1093">
        <f t="shared" si="31"/>
        <v>1.0047608897799432E-2</v>
      </c>
      <c r="S1093">
        <f t="shared" si="32"/>
        <v>7.7619070098513699E-3</v>
      </c>
      <c r="T1093">
        <f t="shared" si="33"/>
        <v>1.1642860514777055E-4</v>
      </c>
      <c r="U1093">
        <f t="shared" si="34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36"/>
        <v>1092</v>
      </c>
      <c r="I1094">
        <f>SUM($F$3:F1094)/H1094</f>
        <v>4213005.0882841116</v>
      </c>
      <c r="N1094">
        <f>IF(A1094&lt;&gt;$K$56,MAX(N1093,VLOOKUP(A1094,A:C,3)),)</f>
        <v>1.0779999494552612</v>
      </c>
      <c r="O1094">
        <f>IF(A1094&lt;&gt;$K$56,MIN(O1093,VLOOKUP(A1094,A:D,4)),)</f>
        <v>1.0360000133514404</v>
      </c>
      <c r="P1094">
        <f t="shared" si="35"/>
        <v>1.0699999729792278</v>
      </c>
      <c r="Q1094">
        <f t="shared" si="30"/>
        <v>1.0604285711333867</v>
      </c>
      <c r="R1094">
        <f t="shared" si="31"/>
        <v>9.5714018458410433E-3</v>
      </c>
      <c r="S1094">
        <f t="shared" si="32"/>
        <v>7.3333269073849738E-3</v>
      </c>
      <c r="T1094">
        <f t="shared" si="33"/>
        <v>1.099999036107746E-4</v>
      </c>
      <c r="U1094">
        <f t="shared" si="34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36"/>
        <v>1093</v>
      </c>
      <c r="I1095">
        <f>SUM($F$3:F1095)/H1095</f>
        <v>4209999.1476726895</v>
      </c>
      <c r="N1095">
        <f>IF(A1095&lt;&gt;$K$56,MAX(N1094,VLOOKUP(A1095,A:C,3)),)</f>
        <v>1.1139999628067017</v>
      </c>
      <c r="O1095">
        <f>IF(A1095&lt;&gt;$K$56,MIN(O1094,VLOOKUP(A1095,A:D,4)),)</f>
        <v>1.0360000133514404</v>
      </c>
      <c r="P1095">
        <f t="shared" si="35"/>
        <v>1.0836666822433472</v>
      </c>
      <c r="Q1095">
        <f t="shared" si="30"/>
        <v>1.0624523815654574</v>
      </c>
      <c r="R1095">
        <f t="shared" si="31"/>
        <v>2.1214300677889764E-2</v>
      </c>
      <c r="S1095">
        <f t="shared" si="32"/>
        <v>8.3401308578698718E-3</v>
      </c>
      <c r="T1095">
        <f t="shared" si="33"/>
        <v>1.2510196286804806E-4</v>
      </c>
      <c r="U1095">
        <f t="shared" si="34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36"/>
        <v>1094</v>
      </c>
      <c r="I1096">
        <f>SUM($F$3:F1096)/H1096</f>
        <v>4208190.0351062613</v>
      </c>
      <c r="N1096">
        <f>IF(A1096&lt;&gt;$K$56,MAX(N1095,VLOOKUP(A1096,A:C,3)),)</f>
        <v>1.1139999628067017</v>
      </c>
      <c r="O1096">
        <f>IF(A1096&lt;&gt;$K$56,MIN(O1095,VLOOKUP(A1096,A:D,4)),)</f>
        <v>1.0360000133514404</v>
      </c>
      <c r="P1096">
        <f t="shared" si="35"/>
        <v>1.0750000079472859</v>
      </c>
      <c r="Q1096">
        <f t="shared" si="30"/>
        <v>1.0628333347184318</v>
      </c>
      <c r="R1096">
        <f t="shared" si="31"/>
        <v>1.2166673228854119E-2</v>
      </c>
      <c r="S1096">
        <f t="shared" si="32"/>
        <v>8.6666621318479686E-3</v>
      </c>
      <c r="T1096">
        <f t="shared" si="33"/>
        <v>1.2999993197771953E-4</v>
      </c>
      <c r="U1096">
        <f t="shared" si="34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36"/>
        <v>1095</v>
      </c>
      <c r="I1097">
        <f>SUM($F$3:F1097)/H1097</f>
        <v>4205598.5373573061</v>
      </c>
      <c r="N1097">
        <f>IF(A1097&lt;&gt;$K$56,MAX(N1096,VLOOKUP(A1097,A:C,3)),)</f>
        <v>1.1139999628067017</v>
      </c>
      <c r="O1097">
        <f>IF(A1097&lt;&gt;$K$56,MIN(O1096,VLOOKUP(A1097,A:D,4)),)</f>
        <v>1.0360000133514404</v>
      </c>
      <c r="P1097">
        <f t="shared" si="35"/>
        <v>1.0723333358764648</v>
      </c>
      <c r="Q1097">
        <f t="shared" si="30"/>
        <v>1.0629761928603763</v>
      </c>
      <c r="R1097">
        <f t="shared" si="31"/>
        <v>9.3571430160885871E-3</v>
      </c>
      <c r="S1097">
        <f t="shared" si="32"/>
        <v>8.7891119678004271E-3</v>
      </c>
      <c r="T1097">
        <f t="shared" si="33"/>
        <v>1.3183667951700641E-4</v>
      </c>
      <c r="U1097">
        <f t="shared" si="34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36"/>
        <v>1096</v>
      </c>
      <c r="I1098">
        <f>SUM($F$3:F1098)/H1098</f>
        <v>4202705.8388743158</v>
      </c>
      <c r="N1098">
        <f>IF(A1098&lt;&gt;$K$56,MAX(N1097,VLOOKUP(A1098,A:C,3)),)</f>
        <v>1.1139999628067017</v>
      </c>
      <c r="O1098">
        <f>IF(A1098&lt;&gt;$K$56,MIN(O1097,VLOOKUP(A1098,A:D,4)),)</f>
        <v>1.0360000133514404</v>
      </c>
      <c r="P1098">
        <f t="shared" si="35"/>
        <v>1.0740000009536743</v>
      </c>
      <c r="Q1098">
        <f t="shared" si="30"/>
        <v>1.0635238119534083</v>
      </c>
      <c r="R1098">
        <f t="shared" si="31"/>
        <v>1.0476189000266034E-2</v>
      </c>
      <c r="S1098">
        <f t="shared" si="32"/>
        <v>9.2584997618279565E-3</v>
      </c>
      <c r="T1098">
        <f t="shared" si="33"/>
        <v>1.3887749642741933E-4</v>
      </c>
      <c r="U1098">
        <f t="shared" si="34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36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35"/>
        <v>1.0693333546320598</v>
      </c>
      <c r="Q1099">
        <f t="shared" si="30"/>
        <v>1.0638809573082697</v>
      </c>
      <c r="R1099">
        <f t="shared" si="31"/>
        <v>5.4523973237901036E-3</v>
      </c>
      <c r="S1099">
        <f t="shared" si="32"/>
        <v>9.5646243517090637E-3</v>
      </c>
      <c r="T1099">
        <f t="shared" si="33"/>
        <v>1.4346936527563596E-4</v>
      </c>
      <c r="U1099">
        <f t="shared" si="34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36"/>
        <v>1098</v>
      </c>
      <c r="I1100">
        <f>SUM($F$3:F1100)/H1100</f>
        <v>4199110.1442679875</v>
      </c>
      <c r="N1100">
        <f>IF(A1100&lt;&gt;$K$57,MAX(N1099,VLOOKUP(A1100,A:C,3)),)</f>
        <v>1.0850000381469727</v>
      </c>
      <c r="O1100">
        <f>IF(A1100&lt;&gt;$K$57,MIN(O1099,VLOOKUP(A1100,A:D,4)),)</f>
        <v>1.0740000009536743</v>
      </c>
      <c r="P1100">
        <f t="shared" si="35"/>
        <v>1.0806666612625122</v>
      </c>
      <c r="Q1100">
        <f t="shared" si="30"/>
        <v>1.0653333351725622</v>
      </c>
      <c r="R1100">
        <f t="shared" si="31"/>
        <v>1.5333326089949972E-2</v>
      </c>
      <c r="S1100">
        <f t="shared" si="32"/>
        <v>1.014285590372932E-2</v>
      </c>
      <c r="T1100">
        <f t="shared" si="33"/>
        <v>1.521428385559398E-4</v>
      </c>
      <c r="U1100">
        <f t="shared" si="34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36"/>
        <v>1099</v>
      </c>
      <c r="I1101">
        <f>SUM($F$3:F1101)/H1101</f>
        <v>4198889.5108337123</v>
      </c>
      <c r="N1101">
        <f>IF(A1101&lt;&gt;$K$57,MAX(N1100,VLOOKUP(A1101,A:C,3)),)</f>
        <v>1.0950000286102295</v>
      </c>
      <c r="O1101">
        <f>IF(A1101&lt;&gt;$K$57,MIN(O1100,VLOOKUP(A1101,A:D,4)),)</f>
        <v>1.0740000009536743</v>
      </c>
      <c r="P1101">
        <f t="shared" si="35"/>
        <v>1.0899999936421711</v>
      </c>
      <c r="Q1101">
        <f t="shared" si="30"/>
        <v>1.0678571434248061</v>
      </c>
      <c r="R1101">
        <f t="shared" si="31"/>
        <v>2.2142850217365062E-2</v>
      </c>
      <c r="S1101">
        <f t="shared" si="32"/>
        <v>1.0421767932217163E-2</v>
      </c>
      <c r="T1101">
        <f t="shared" si="33"/>
        <v>1.5632651898325745E-4</v>
      </c>
      <c r="U1101">
        <f t="shared" si="34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36"/>
        <v>1100</v>
      </c>
      <c r="I1102">
        <f>SUM($F$3:F1102)/H1102</f>
        <v>4199240.6349147726</v>
      </c>
      <c r="N1102">
        <f>IF(A1102&lt;&gt;$K$57,MAX(N1101,VLOOKUP(A1102,A:C,3)),)</f>
        <v>1.0959999561309814</v>
      </c>
      <c r="O1102">
        <f>IF(A1102&lt;&gt;$K$57,MIN(O1101,VLOOKUP(A1102,A:D,4)),)</f>
        <v>1.0740000009536743</v>
      </c>
      <c r="P1102">
        <f t="shared" si="35"/>
        <v>1.0896666447321575</v>
      </c>
      <c r="Q1102">
        <f t="shared" si="30"/>
        <v>1.0712142842156545</v>
      </c>
      <c r="R1102">
        <f t="shared" si="31"/>
        <v>1.8452360516503008E-2</v>
      </c>
      <c r="S1102">
        <f t="shared" si="32"/>
        <v>9.5476195925758046E-3</v>
      </c>
      <c r="T1102">
        <f t="shared" si="33"/>
        <v>1.4321429388863707E-4</v>
      </c>
      <c r="U1102">
        <f t="shared" si="34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36"/>
        <v>1101</v>
      </c>
      <c r="I1103">
        <f>SUM($F$3:F1103)/H1103</f>
        <v>4197696.7496877834</v>
      </c>
      <c r="N1103">
        <f>IF(A1103&lt;&gt;$K$57,MAX(N1102,VLOOKUP(A1103,A:C,3)),)</f>
        <v>1.0959999561309814</v>
      </c>
      <c r="O1103">
        <f>IF(A1103&lt;&gt;$K$57,MIN(O1102,VLOOKUP(A1103,A:D,4)),)</f>
        <v>1.0740000009536743</v>
      </c>
      <c r="P1103">
        <f t="shared" si="35"/>
        <v>1.0803333123524983</v>
      </c>
      <c r="Q1103">
        <f t="shared" si="30"/>
        <v>1.0729523783638364</v>
      </c>
      <c r="R1103">
        <f t="shared" si="31"/>
        <v>7.3809339886619085E-3</v>
      </c>
      <c r="S1103">
        <f t="shared" si="32"/>
        <v>8.9523792266845703E-3</v>
      </c>
      <c r="T1103">
        <f t="shared" si="33"/>
        <v>1.3428568840026856E-4</v>
      </c>
      <c r="U1103">
        <f t="shared" si="34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36"/>
        <v>1102</v>
      </c>
      <c r="I1104">
        <f>SUM($F$3:F1104)/H1104</f>
        <v>4196946.414161751</v>
      </c>
      <c r="N1104">
        <f>IF(A1104&lt;&gt;$K$57,MAX(N1103,VLOOKUP(A1104,A:C,3)),)</f>
        <v>1.0959999561309814</v>
      </c>
      <c r="O1104">
        <f>IF(A1104&lt;&gt;$K$57,MIN(O1103,VLOOKUP(A1104,A:D,4)),)</f>
        <v>1.0740000009536743</v>
      </c>
      <c r="P1104">
        <f t="shared" si="35"/>
        <v>1.0826666752497356</v>
      </c>
      <c r="Q1104">
        <f t="shared" si="30"/>
        <v>1.0752619022414798</v>
      </c>
      <c r="R1104">
        <f t="shared" si="31"/>
        <v>7.4047730082558161E-3</v>
      </c>
      <c r="S1104">
        <f t="shared" si="32"/>
        <v>7.9183651476490338E-3</v>
      </c>
      <c r="T1104">
        <f t="shared" si="33"/>
        <v>1.187754772147355E-4</v>
      </c>
      <c r="U1104">
        <f t="shared" si="34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36"/>
        <v>1103</v>
      </c>
      <c r="I1105">
        <f>SUM($F$3:F1105)/H1105</f>
        <v>4195936.8598424755</v>
      </c>
      <c r="N1105">
        <f>IF(A1105&lt;&gt;$K$57,MAX(N1104,VLOOKUP(A1105,A:C,3)),)</f>
        <v>1.0970000028610229</v>
      </c>
      <c r="O1105">
        <f>IF(A1105&lt;&gt;$K$57,MIN(O1104,VLOOKUP(A1105,A:D,4)),)</f>
        <v>1.0740000009536743</v>
      </c>
      <c r="P1105">
        <f t="shared" si="35"/>
        <v>1.0893333355585735</v>
      </c>
      <c r="Q1105">
        <f t="shared" si="30"/>
        <v>1.0779047608375547</v>
      </c>
      <c r="R1105">
        <f t="shared" si="31"/>
        <v>1.1428574721018769E-2</v>
      </c>
      <c r="S1105">
        <f t="shared" si="32"/>
        <v>7.2857113111586902E-3</v>
      </c>
      <c r="T1105">
        <f t="shared" si="33"/>
        <v>1.0928566966738035E-4</v>
      </c>
      <c r="U1105">
        <f t="shared" si="34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36"/>
        <v>1104</v>
      </c>
      <c r="I1106">
        <f>SUM($F$3:F1106)/H1106</f>
        <v>4195159.8373245019</v>
      </c>
      <c r="N1106">
        <f>IF(A1106&lt;&gt;$K$57,MAX(N1105,VLOOKUP(A1106,A:C,3)),)</f>
        <v>1.1050000190734863</v>
      </c>
      <c r="O1106">
        <f>IF(A1106&lt;&gt;$K$57,MIN(O1105,VLOOKUP(A1106,A:D,4)),)</f>
        <v>1.0740000009536743</v>
      </c>
      <c r="P1106">
        <f t="shared" si="35"/>
        <v>1.0883333285649617</v>
      </c>
      <c r="Q1106">
        <f t="shared" si="30"/>
        <v>1.0795714259147644</v>
      </c>
      <c r="R1106">
        <f t="shared" si="31"/>
        <v>8.761902650197273E-3</v>
      </c>
      <c r="S1106">
        <f t="shared" si="32"/>
        <v>6.8707466125488281E-3</v>
      </c>
      <c r="T1106">
        <f t="shared" si="33"/>
        <v>1.0306119918823242E-4</v>
      </c>
      <c r="U1106">
        <f t="shared" si="34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36"/>
        <v>1105</v>
      </c>
      <c r="I1107">
        <f>SUM($F$3:F1107)/H1107</f>
        <v>4193586.3017251133</v>
      </c>
      <c r="N1107">
        <f>IF(A1107&lt;&gt;$K$57,MAX(N1106,VLOOKUP(A1107,A:C,3)),)</f>
        <v>1.1050000190734863</v>
      </c>
      <c r="O1107">
        <f>IF(A1107&lt;&gt;$K$57,MIN(O1106,VLOOKUP(A1107,A:D,4)),)</f>
        <v>1.0740000009536743</v>
      </c>
      <c r="P1107">
        <f t="shared" si="35"/>
        <v>1.0853333473205566</v>
      </c>
      <c r="Q1107">
        <f t="shared" si="30"/>
        <v>1.0807619038082303</v>
      </c>
      <c r="R1107">
        <f t="shared" si="31"/>
        <v>4.5714435123263009E-3</v>
      </c>
      <c r="S1107">
        <f t="shared" si="32"/>
        <v>6.2380972362700016E-3</v>
      </c>
      <c r="T1107">
        <f t="shared" si="33"/>
        <v>9.3571458544050023E-5</v>
      </c>
      <c r="U1107">
        <f t="shared" si="34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36"/>
        <v>1106</v>
      </c>
      <c r="I1108">
        <f>SUM($F$3:F1108)/H1108</f>
        <v>4192955.126949593</v>
      </c>
      <c r="N1108">
        <f>IF(A1108&lt;&gt;$K$57,MAX(N1107,VLOOKUP(A1108,A:C,3)),)</f>
        <v>1.1050000190734863</v>
      </c>
      <c r="O1108">
        <f>IF(A1108&lt;&gt;$K$57,MIN(O1107,VLOOKUP(A1108,A:D,4)),)</f>
        <v>1.0740000009536743</v>
      </c>
      <c r="P1108">
        <f t="shared" si="35"/>
        <v>1.0849999984105427</v>
      </c>
      <c r="Q1108">
        <f t="shared" si="30"/>
        <v>1.0818333341961817</v>
      </c>
      <c r="R1108">
        <f t="shared" si="31"/>
        <v>3.1666642143610702E-3</v>
      </c>
      <c r="S1108">
        <f t="shared" si="32"/>
        <v>5.6190474503705146E-3</v>
      </c>
      <c r="T1108">
        <f t="shared" si="33"/>
        <v>8.4285711755557714E-5</v>
      </c>
      <c r="U1108">
        <f t="shared" si="34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36"/>
        <v>1107</v>
      </c>
      <c r="I1109">
        <f>SUM($F$3:F1109)/H1109</f>
        <v>4194241.3617039295</v>
      </c>
      <c r="N1109">
        <f>IF(A1109&lt;&gt;$K$57,MAX(N1108,VLOOKUP(A1109,A:C,3)),)</f>
        <v>1.1050000190734863</v>
      </c>
      <c r="O1109">
        <f>IF(A1109&lt;&gt;$K$57,MIN(O1108,VLOOKUP(A1109,A:D,4)),)</f>
        <v>1.0740000009536743</v>
      </c>
      <c r="P1109">
        <f t="shared" si="35"/>
        <v>1.0926666657129924</v>
      </c>
      <c r="Q1109">
        <f t="shared" si="30"/>
        <v>1.0824761901582991</v>
      </c>
      <c r="R1109">
        <f t="shared" si="31"/>
        <v>1.0190475554693323E-2</v>
      </c>
      <c r="S1109">
        <f t="shared" si="32"/>
        <v>6.170066846471256E-3</v>
      </c>
      <c r="T1109">
        <f t="shared" si="33"/>
        <v>9.2551002697068834E-5</v>
      </c>
      <c r="U1109">
        <f t="shared" si="34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36"/>
        <v>1108</v>
      </c>
      <c r="I1110">
        <f>SUM($F$3:F1110)/H1110</f>
        <v>4192495.2963955323</v>
      </c>
      <c r="N1110">
        <f>IF(A1110&lt;&gt;$K$57,MAX(N1109,VLOOKUP(A1110,A:C,3)),)</f>
        <v>1.1050000190734863</v>
      </c>
      <c r="O1110">
        <f>IF(A1110&lt;&gt;$K$57,MIN(O1109,VLOOKUP(A1110,A:D,4)),)</f>
        <v>1.0740000009536743</v>
      </c>
      <c r="P1110">
        <f t="shared" si="35"/>
        <v>1.0896666844685872</v>
      </c>
      <c r="Q1110">
        <f t="shared" si="30"/>
        <v>1.0835238099098206</v>
      </c>
      <c r="R1110">
        <f t="shared" si="31"/>
        <v>6.1428745587666089E-3</v>
      </c>
      <c r="S1110">
        <f t="shared" si="32"/>
        <v>5.9727884474254688E-3</v>
      </c>
      <c r="T1110">
        <f t="shared" si="33"/>
        <v>8.9591826711382026E-5</v>
      </c>
      <c r="U1110">
        <f t="shared" si="34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36"/>
        <v>1109</v>
      </c>
      <c r="I1111">
        <f>SUM($F$3:F1111)/H1111</f>
        <v>4189505.4007270061</v>
      </c>
      <c r="N1111">
        <f>IF(A1111&lt;&gt;$K$57,MAX(N1110,VLOOKUP(A1111,A:C,3)),)</f>
        <v>1.1050000190734863</v>
      </c>
      <c r="O1111">
        <f>IF(A1111&lt;&gt;$K$57,MIN(O1110,VLOOKUP(A1111,A:D,4)),)</f>
        <v>1.0709999799728394</v>
      </c>
      <c r="P1111">
        <f t="shared" si="35"/>
        <v>1.0786666472752888</v>
      </c>
      <c r="Q1111">
        <f t="shared" si="30"/>
        <v>1.0839761892954509</v>
      </c>
      <c r="R1111">
        <f t="shared" si="31"/>
        <v>-5.3095420201620946E-3</v>
      </c>
      <c r="S1111">
        <f t="shared" si="32"/>
        <v>5.455783435276561E-3</v>
      </c>
      <c r="T1111">
        <f t="shared" si="33"/>
        <v>8.1836751529148409E-5</v>
      </c>
      <c r="U1111">
        <f t="shared" si="34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36"/>
        <v>1110</v>
      </c>
      <c r="I1112">
        <f>SUM($F$3:F1112)/H1112</f>
        <v>4187483.9553209459</v>
      </c>
      <c r="N1112">
        <f>IF(A1112&lt;&gt;$K$57,MAX(N1111,VLOOKUP(A1112,A:C,3)),)</f>
        <v>1.1050000190734863</v>
      </c>
      <c r="O1112">
        <f>IF(A1112&lt;&gt;$K$57,MIN(O1111,VLOOKUP(A1112,A:D,4)),)</f>
        <v>1.0709999799728394</v>
      </c>
      <c r="P1112">
        <f t="shared" si="35"/>
        <v>1.0823333263397217</v>
      </c>
      <c r="Q1112">
        <f t="shared" si="30"/>
        <v>1.0845714268230258</v>
      </c>
      <c r="R1112">
        <f t="shared" si="31"/>
        <v>-2.2381004833040841E-3</v>
      </c>
      <c r="S1112">
        <f t="shared" si="32"/>
        <v>4.7755119751910569E-3</v>
      </c>
      <c r="T1112">
        <f t="shared" si="33"/>
        <v>7.1632679627865847E-5</v>
      </c>
      <c r="U1112">
        <f t="shared" si="34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36"/>
        <v>1111</v>
      </c>
      <c r="I1113">
        <f>SUM($F$3:F1113)/H1113</f>
        <v>4186442.83744937</v>
      </c>
      <c r="N1113">
        <f>IF(A1113&lt;&gt;$K$57,MAX(N1112,VLOOKUP(A1113,A:C,3)),)</f>
        <v>1.1050000190734863</v>
      </c>
      <c r="O1113">
        <f>IF(A1113&lt;&gt;$K$57,MIN(O1112,VLOOKUP(A1113,A:D,4)),)</f>
        <v>1.0690000057220459</v>
      </c>
      <c r="P1113">
        <f t="shared" si="35"/>
        <v>1.0806666612625122</v>
      </c>
      <c r="Q1113">
        <f t="shared" si="30"/>
        <v>1.0853809487252009</v>
      </c>
      <c r="R1113">
        <f t="shared" si="31"/>
        <v>-4.7142874626886488E-3</v>
      </c>
      <c r="S1113">
        <f t="shared" si="32"/>
        <v>3.9115657611769206E-3</v>
      </c>
      <c r="T1113">
        <f t="shared" si="33"/>
        <v>5.8673486417653808E-5</v>
      </c>
      <c r="U1113">
        <f t="shared" si="34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36"/>
        <v>1112</v>
      </c>
      <c r="I1114">
        <f>SUM($F$3:F1114)/H1114</f>
        <v>4185764.7449696492</v>
      </c>
      <c r="N1114">
        <f>IF(A1114&lt;&gt;$K$57,MAX(N1113,VLOOKUP(A1114,A:C,3)),)</f>
        <v>1.1050000190734863</v>
      </c>
      <c r="O1114">
        <f>IF(A1114&lt;&gt;$K$57,MIN(O1113,VLOOKUP(A1114,A:D,4)),)</f>
        <v>1.0690000057220459</v>
      </c>
      <c r="P1114">
        <f t="shared" si="35"/>
        <v>1.0793333450953166</v>
      </c>
      <c r="Q1114">
        <f t="shared" si="30"/>
        <v>1.0852857118561154</v>
      </c>
      <c r="R1114">
        <f t="shared" si="31"/>
        <v>-5.9523667607987996E-3</v>
      </c>
      <c r="S1114">
        <f t="shared" si="32"/>
        <v>4.000002429598859E-3</v>
      </c>
      <c r="T1114">
        <f t="shared" si="33"/>
        <v>6.0000036443982883E-5</v>
      </c>
      <c r="U1114">
        <f t="shared" si="34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36"/>
        <v>1113</v>
      </c>
      <c r="I1115">
        <f>SUM($F$3:F1115)/H1115</f>
        <v>4183015.8107872866</v>
      </c>
      <c r="N1115">
        <f>IF(A1115&lt;&gt;$K$57,MAX(N1114,VLOOKUP(A1115,A:C,3)),)</f>
        <v>1.1050000190734863</v>
      </c>
      <c r="O1115">
        <f>IF(A1115&lt;&gt;$K$57,MIN(O1114,VLOOKUP(A1115,A:D,4)),)</f>
        <v>1.0690000057220459</v>
      </c>
      <c r="P1115">
        <f t="shared" si="35"/>
        <v>1.0756666660308838</v>
      </c>
      <c r="Q1115">
        <f t="shared" si="30"/>
        <v>1.0842619027410234</v>
      </c>
      <c r="R1115">
        <f t="shared" si="31"/>
        <v>-8.5952367101396199E-3</v>
      </c>
      <c r="S1115">
        <f t="shared" si="32"/>
        <v>4.3095265116010395E-3</v>
      </c>
      <c r="T1115">
        <f t="shared" si="33"/>
        <v>6.4642897674015588E-5</v>
      </c>
      <c r="U1115">
        <f t="shared" si="34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36"/>
        <v>1114</v>
      </c>
      <c r="I1116">
        <f>SUM($F$3:F1116)/H1116</f>
        <v>4180997.1260379264</v>
      </c>
      <c r="N1116">
        <f>IF(A1116&lt;&gt;$K$57,MAX(N1115,VLOOKUP(A1116,A:C,3)),)</f>
        <v>1.1050000190734863</v>
      </c>
      <c r="O1116">
        <f>IF(A1116&lt;&gt;$K$57,MIN(O1115,VLOOKUP(A1116,A:D,4)),)</f>
        <v>1.062999963760376</v>
      </c>
      <c r="P1116">
        <f t="shared" si="35"/>
        <v>1.0709999799728394</v>
      </c>
      <c r="Q1116">
        <f t="shared" si="30"/>
        <v>1.0829285695439295</v>
      </c>
      <c r="R1116">
        <f t="shared" si="31"/>
        <v>-1.1928589571090109E-2</v>
      </c>
      <c r="S1116">
        <f t="shared" si="32"/>
        <v>4.6802775389483331E-3</v>
      </c>
      <c r="T1116">
        <f t="shared" si="33"/>
        <v>7.0204163084224992E-5</v>
      </c>
      <c r="U1116">
        <f t="shared" si="34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36"/>
        <v>1115</v>
      </c>
      <c r="I1117">
        <f>SUM($F$3:F1117)/H1117</f>
        <v>4179402.786911435</v>
      </c>
      <c r="N1117">
        <f>IF(A1117&lt;&gt;$K$57,MAX(N1116,VLOOKUP(A1117,A:C,3)),)</f>
        <v>1.1050000190734863</v>
      </c>
      <c r="O1117">
        <f>IF(A1117&lt;&gt;$K$57,MIN(O1116,VLOOKUP(A1117,A:D,4)),)</f>
        <v>1.062999963760376</v>
      </c>
      <c r="P1117">
        <f t="shared" si="35"/>
        <v>1.0693333546320598</v>
      </c>
      <c r="Q1117">
        <f t="shared" si="30"/>
        <v>1.0821428582781836</v>
      </c>
      <c r="R1117">
        <f t="shared" si="31"/>
        <v>-1.2809503646123765E-2</v>
      </c>
      <c r="S1117">
        <f t="shared" si="32"/>
        <v>5.455785057171687E-3</v>
      </c>
      <c r="T1117">
        <f t="shared" si="33"/>
        <v>8.1836775857575296E-5</v>
      </c>
      <c r="U1117">
        <f t="shared" si="34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36"/>
        <v>1116</v>
      </c>
      <c r="I1118">
        <f>SUM($F$3:F1118)/H1118</f>
        <v>4177592.7611167114</v>
      </c>
      <c r="N1118">
        <f>IF(A1118&lt;&gt;$K$57,MAX(N1117,VLOOKUP(A1118,A:C,3)),)</f>
        <v>1.1050000190734863</v>
      </c>
      <c r="O1118">
        <f>IF(A1118&lt;&gt;$K$57,MIN(O1117,VLOOKUP(A1118,A:D,4)),)</f>
        <v>1.062999963760376</v>
      </c>
      <c r="P1118">
        <f t="shared" si="35"/>
        <v>1.0690000057220459</v>
      </c>
      <c r="Q1118">
        <f t="shared" si="30"/>
        <v>1.0811666675976344</v>
      </c>
      <c r="R1118">
        <f t="shared" si="31"/>
        <v>-1.2166661875588458E-2</v>
      </c>
      <c r="S1118">
        <f t="shared" si="32"/>
        <v>6.357144741784948E-3</v>
      </c>
      <c r="T1118">
        <f t="shared" si="33"/>
        <v>9.5357171126774211E-5</v>
      </c>
      <c r="U1118">
        <f t="shared" si="34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36"/>
        <v>1117</v>
      </c>
      <c r="I1119">
        <f>SUM($F$3:F1119)/H1119</f>
        <v>4177049.6174183078</v>
      </c>
      <c r="N1119">
        <f>VLOOKUP(L58,A:C,3)</f>
        <v>1.0770000219345093</v>
      </c>
      <c r="O1119">
        <f>VLOOKUP(L58,A:D,4)</f>
        <v>1.0499999523162842</v>
      </c>
      <c r="P1119">
        <f t="shared" si="35"/>
        <v>1.0663333336512248</v>
      </c>
      <c r="Q1119">
        <f t="shared" si="30"/>
        <v>1.0795238103185381</v>
      </c>
      <c r="R1119">
        <f t="shared" si="31"/>
        <v>-1.3190476667313211E-2</v>
      </c>
      <c r="S1119">
        <f t="shared" si="32"/>
        <v>6.7619056928725262E-3</v>
      </c>
      <c r="T1119">
        <f t="shared" si="33"/>
        <v>1.0142858539308789E-4</v>
      </c>
      <c r="U1119">
        <f t="shared" si="34"/>
        <v>-130.04693515337254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2026-03-01T04:04:39Z</dcterms:modified>
</cp:coreProperties>
</file>