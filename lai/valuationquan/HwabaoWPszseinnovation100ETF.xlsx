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93" i="1" l="1"/>
  <c r="T1193" i="1"/>
  <c r="S1193" i="1"/>
  <c r="R1193" i="1"/>
  <c r="Q1193" i="1"/>
  <c r="P1193" i="1"/>
  <c r="I1193" i="1"/>
  <c r="H1193" i="1"/>
  <c r="U1192" i="1"/>
  <c r="T1192" i="1"/>
  <c r="S1192" i="1"/>
  <c r="R1192" i="1"/>
  <c r="Q1192" i="1"/>
  <c r="P1192" i="1"/>
  <c r="I1192" i="1"/>
  <c r="H1192" i="1"/>
  <c r="U1191" i="1"/>
  <c r="T1191" i="1"/>
  <c r="S1191" i="1"/>
  <c r="R1191" i="1"/>
  <c r="Q1191" i="1"/>
  <c r="P1191" i="1"/>
  <c r="I1191" i="1"/>
  <c r="H1191" i="1"/>
  <c r="U1190" i="1"/>
  <c r="T1190" i="1"/>
  <c r="S1190" i="1"/>
  <c r="R1190" i="1"/>
  <c r="Q1190" i="1"/>
  <c r="P1190" i="1"/>
  <c r="I1190" i="1"/>
  <c r="H1190" i="1"/>
  <c r="U1189" i="1"/>
  <c r="T1189" i="1"/>
  <c r="S1189" i="1"/>
  <c r="R1189" i="1"/>
  <c r="Q1189" i="1"/>
  <c r="P1189" i="1"/>
  <c r="I1189" i="1"/>
  <c r="H1189" i="1"/>
  <c r="U1188" i="1"/>
  <c r="T1188" i="1"/>
  <c r="S1188" i="1"/>
  <c r="R1188" i="1"/>
  <c r="Q1188" i="1"/>
  <c r="P1188" i="1"/>
  <c r="I1188" i="1"/>
  <c r="H1188" i="1"/>
  <c r="U1187" i="1"/>
  <c r="T1187" i="1"/>
  <c r="S1187" i="1"/>
  <c r="R1187" i="1"/>
  <c r="Q1187" i="1"/>
  <c r="P1187" i="1"/>
  <c r="I1187" i="1"/>
  <c r="H1187" i="1"/>
  <c r="U1186" i="1"/>
  <c r="T1186" i="1"/>
  <c r="S1186" i="1"/>
  <c r="R1186" i="1"/>
  <c r="Q1186" i="1"/>
  <c r="P1186" i="1"/>
  <c r="I1186" i="1"/>
  <c r="H1186" i="1"/>
  <c r="U1185" i="1"/>
  <c r="T1185" i="1"/>
  <c r="S1185" i="1"/>
  <c r="R1185" i="1"/>
  <c r="Q1185" i="1"/>
  <c r="P1185" i="1"/>
  <c r="I1185" i="1"/>
  <c r="H1185" i="1"/>
  <c r="U1184" i="1"/>
  <c r="T1184" i="1"/>
  <c r="S1184" i="1"/>
  <c r="R1184" i="1"/>
  <c r="Q1184" i="1"/>
  <c r="P1184" i="1"/>
  <c r="I1184" i="1"/>
  <c r="H1184" i="1"/>
  <c r="U1183" i="1"/>
  <c r="T1183" i="1"/>
  <c r="S1183" i="1"/>
  <c r="R1183" i="1"/>
  <c r="Q1183" i="1"/>
  <c r="P1183" i="1"/>
  <c r="I1183" i="1"/>
  <c r="H1183" i="1"/>
  <c r="U1182" i="1"/>
  <c r="T1182" i="1"/>
  <c r="S1182" i="1"/>
  <c r="R1182" i="1"/>
  <c r="Q1182" i="1"/>
  <c r="P1182" i="1"/>
  <c r="I1182" i="1"/>
  <c r="H1182" i="1"/>
  <c r="U1181" i="1"/>
  <c r="T1181" i="1"/>
  <c r="S1181" i="1"/>
  <c r="R1181" i="1"/>
  <c r="Q1181" i="1"/>
  <c r="P1181" i="1"/>
  <c r="I1181" i="1"/>
  <c r="H1181" i="1"/>
  <c r="U1180" i="1"/>
  <c r="T1180" i="1"/>
  <c r="S1180" i="1"/>
  <c r="R1180" i="1"/>
  <c r="Q1180" i="1"/>
  <c r="P1180" i="1"/>
  <c r="I1180" i="1"/>
  <c r="H1180" i="1"/>
  <c r="U1179" i="1"/>
  <c r="T1179" i="1"/>
  <c r="S1179" i="1"/>
  <c r="R1179" i="1"/>
  <c r="Q1179" i="1"/>
  <c r="P1179" i="1"/>
  <c r="I1179" i="1"/>
  <c r="H1179" i="1"/>
  <c r="U1178" i="1"/>
  <c r="T1178" i="1"/>
  <c r="S1178" i="1"/>
  <c r="R1178" i="1"/>
  <c r="Q1178" i="1"/>
  <c r="P1178" i="1"/>
  <c r="I1178" i="1"/>
  <c r="H1178" i="1"/>
  <c r="U1177" i="1"/>
  <c r="T1177" i="1"/>
  <c r="S1177" i="1"/>
  <c r="R1177" i="1"/>
  <c r="Q1177" i="1"/>
  <c r="P1177" i="1"/>
  <c r="I1177" i="1"/>
  <c r="H1177" i="1"/>
  <c r="O1193" i="1"/>
  <c r="N1193" i="1"/>
  <c r="O1192" i="1"/>
  <c r="N1192" i="1"/>
  <c r="O1191" i="1"/>
  <c r="N1191" i="1"/>
  <c r="O1190" i="1"/>
  <c r="N1190" i="1"/>
  <c r="O1189" i="1"/>
  <c r="N1189" i="1"/>
  <c r="O1188" i="1"/>
  <c r="N1188" i="1"/>
  <c r="O1187" i="1"/>
  <c r="N1187" i="1"/>
  <c r="O1186" i="1"/>
  <c r="N1186" i="1"/>
  <c r="O1185" i="1"/>
  <c r="N1185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U1176" i="1" l="1"/>
  <c r="T1176" i="1"/>
  <c r="S1176" i="1"/>
  <c r="R1176" i="1"/>
  <c r="Q1176" i="1"/>
  <c r="P1176" i="1"/>
  <c r="I1176" i="1"/>
  <c r="H1176" i="1"/>
  <c r="U1175" i="1" l="1"/>
  <c r="T1175" i="1"/>
  <c r="S1175" i="1"/>
  <c r="R1175" i="1"/>
  <c r="Q1175" i="1"/>
  <c r="P1175" i="1"/>
  <c r="I1175" i="1"/>
  <c r="H1175" i="1"/>
  <c r="U1174" i="1"/>
  <c r="T1174" i="1"/>
  <c r="S1174" i="1"/>
  <c r="R1174" i="1"/>
  <c r="Q1174" i="1"/>
  <c r="P1174" i="1"/>
  <c r="I1174" i="1"/>
  <c r="H1174" i="1"/>
  <c r="U1173" i="1"/>
  <c r="T1173" i="1"/>
  <c r="S1173" i="1"/>
  <c r="R1173" i="1"/>
  <c r="Q1173" i="1"/>
  <c r="P1173" i="1"/>
  <c r="I1173" i="1"/>
  <c r="H1173" i="1"/>
  <c r="U1172" i="1"/>
  <c r="T1172" i="1"/>
  <c r="S1172" i="1"/>
  <c r="R1172" i="1"/>
  <c r="Q1172" i="1"/>
  <c r="P1172" i="1"/>
  <c r="I1172" i="1"/>
  <c r="H1172" i="1"/>
  <c r="U1171" i="1"/>
  <c r="T1171" i="1"/>
  <c r="S1171" i="1"/>
  <c r="R1171" i="1"/>
  <c r="Q1171" i="1"/>
  <c r="P1171" i="1"/>
  <c r="I1171" i="1"/>
  <c r="H1171" i="1"/>
  <c r="U1170" i="1"/>
  <c r="T1170" i="1"/>
  <c r="S1170" i="1"/>
  <c r="R1170" i="1"/>
  <c r="Q1170" i="1"/>
  <c r="P1170" i="1"/>
  <c r="I1170" i="1"/>
  <c r="H1170" i="1"/>
  <c r="U1169" i="1"/>
  <c r="T1169" i="1"/>
  <c r="S1169" i="1"/>
  <c r="R1169" i="1"/>
  <c r="Q1169" i="1"/>
  <c r="P1169" i="1"/>
  <c r="I1169" i="1"/>
  <c r="H1169" i="1"/>
  <c r="U1168" i="1"/>
  <c r="T1168" i="1"/>
  <c r="S1168" i="1"/>
  <c r="R1168" i="1"/>
  <c r="Q1168" i="1"/>
  <c r="P1168" i="1"/>
  <c r="I1168" i="1"/>
  <c r="H1168" i="1"/>
  <c r="U1167" i="1"/>
  <c r="T1167" i="1"/>
  <c r="S1167" i="1"/>
  <c r="R1167" i="1"/>
  <c r="Q1167" i="1"/>
  <c r="P1167" i="1"/>
  <c r="I1167" i="1"/>
  <c r="H1167" i="1"/>
  <c r="U1166" i="1"/>
  <c r="T1166" i="1"/>
  <c r="S1166" i="1"/>
  <c r="R1166" i="1"/>
  <c r="Q1166" i="1"/>
  <c r="P1166" i="1"/>
  <c r="I1166" i="1"/>
  <c r="H1166" i="1"/>
  <c r="U1165" i="1"/>
  <c r="T1165" i="1"/>
  <c r="S1165" i="1"/>
  <c r="R1165" i="1"/>
  <c r="Q1165" i="1"/>
  <c r="P1165" i="1"/>
  <c r="I1165" i="1"/>
  <c r="H1165" i="1"/>
  <c r="U1164" i="1"/>
  <c r="T1164" i="1"/>
  <c r="S1164" i="1"/>
  <c r="R1164" i="1"/>
  <c r="Q1164" i="1"/>
  <c r="P1164" i="1"/>
  <c r="I1164" i="1"/>
  <c r="H1164" i="1"/>
  <c r="U1163" i="1"/>
  <c r="T1163" i="1"/>
  <c r="S1163" i="1"/>
  <c r="R1163" i="1"/>
  <c r="Q1163" i="1"/>
  <c r="P1163" i="1"/>
  <c r="I1163" i="1"/>
  <c r="H1163" i="1"/>
  <c r="U1162" i="1"/>
  <c r="T1162" i="1"/>
  <c r="S1162" i="1"/>
  <c r="R1162" i="1"/>
  <c r="Q1162" i="1"/>
  <c r="P1162" i="1"/>
  <c r="I1162" i="1"/>
  <c r="H1162" i="1"/>
  <c r="U1161" i="1"/>
  <c r="T1161" i="1"/>
  <c r="S1161" i="1"/>
  <c r="R1161" i="1"/>
  <c r="Q1161" i="1"/>
  <c r="P1161" i="1"/>
  <c r="I1161" i="1"/>
  <c r="H1161" i="1"/>
  <c r="U1160" i="1"/>
  <c r="T1160" i="1"/>
  <c r="S1160" i="1"/>
  <c r="R1160" i="1"/>
  <c r="Q1160" i="1"/>
  <c r="P1160" i="1"/>
  <c r="I1160" i="1"/>
  <c r="H1160" i="1"/>
  <c r="U1159" i="1"/>
  <c r="T1159" i="1"/>
  <c r="S1159" i="1"/>
  <c r="R1159" i="1"/>
  <c r="Q1159" i="1"/>
  <c r="P1159" i="1"/>
  <c r="I1159" i="1"/>
  <c r="H1159" i="1"/>
  <c r="U1158" i="1"/>
  <c r="T1158" i="1"/>
  <c r="S1158" i="1"/>
  <c r="R1158" i="1"/>
  <c r="Q1158" i="1"/>
  <c r="P1158" i="1"/>
  <c r="I1158" i="1"/>
  <c r="H1158" i="1"/>
  <c r="U1157" i="1"/>
  <c r="T1157" i="1"/>
  <c r="S1157" i="1"/>
  <c r="R1157" i="1"/>
  <c r="Q1157" i="1"/>
  <c r="P1157" i="1"/>
  <c r="I1157" i="1"/>
  <c r="H1157" i="1"/>
  <c r="U1156" i="1"/>
  <c r="T1156" i="1"/>
  <c r="S1156" i="1"/>
  <c r="R1156" i="1"/>
  <c r="Q1156" i="1"/>
  <c r="P1156" i="1"/>
  <c r="I1156" i="1"/>
  <c r="H1156" i="1"/>
  <c r="O1155" i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N1155" i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U1155" i="1" l="1"/>
  <c r="T1155" i="1"/>
  <c r="S1155" i="1"/>
  <c r="R1155" i="1"/>
  <c r="Q1155" i="1"/>
  <c r="P1155" i="1"/>
  <c r="I1155" i="1"/>
  <c r="H1155" i="1"/>
  <c r="U1154" i="1" l="1"/>
  <c r="T1154" i="1"/>
  <c r="S1154" i="1"/>
  <c r="R1154" i="1"/>
  <c r="Q1154" i="1"/>
  <c r="P1154" i="1"/>
  <c r="I1154" i="1"/>
  <c r="H1154" i="1"/>
  <c r="U1153" i="1"/>
  <c r="T1153" i="1"/>
  <c r="S1153" i="1"/>
  <c r="R1153" i="1"/>
  <c r="Q1153" i="1"/>
  <c r="P1153" i="1"/>
  <c r="I1153" i="1"/>
  <c r="H1153" i="1"/>
  <c r="U1152" i="1"/>
  <c r="T1152" i="1"/>
  <c r="S1152" i="1"/>
  <c r="R1152" i="1"/>
  <c r="Q1152" i="1"/>
  <c r="P1152" i="1"/>
  <c r="I1152" i="1"/>
  <c r="H1152" i="1"/>
  <c r="U1151" i="1"/>
  <c r="T1151" i="1"/>
  <c r="S1151" i="1"/>
  <c r="R1151" i="1"/>
  <c r="Q1151" i="1"/>
  <c r="P1151" i="1"/>
  <c r="I1151" i="1"/>
  <c r="H1151" i="1"/>
  <c r="U1150" i="1"/>
  <c r="T1150" i="1"/>
  <c r="S1150" i="1"/>
  <c r="R1150" i="1"/>
  <c r="Q1150" i="1"/>
  <c r="P1150" i="1"/>
  <c r="I1150" i="1"/>
  <c r="H1150" i="1"/>
  <c r="U1149" i="1"/>
  <c r="T1149" i="1"/>
  <c r="S1149" i="1"/>
  <c r="R1149" i="1"/>
  <c r="Q1149" i="1"/>
  <c r="P1149" i="1"/>
  <c r="I1149" i="1"/>
  <c r="H1149" i="1"/>
  <c r="U1148" i="1"/>
  <c r="T1148" i="1"/>
  <c r="S1148" i="1"/>
  <c r="R1148" i="1"/>
  <c r="Q1148" i="1"/>
  <c r="P1148" i="1"/>
  <c r="I1148" i="1"/>
  <c r="H1148" i="1"/>
  <c r="U1147" i="1"/>
  <c r="T1147" i="1"/>
  <c r="S1147" i="1"/>
  <c r="R1147" i="1"/>
  <c r="Q1147" i="1"/>
  <c r="P1147" i="1"/>
  <c r="I1147" i="1"/>
  <c r="H1147" i="1"/>
  <c r="U1146" i="1"/>
  <c r="T1146" i="1"/>
  <c r="S1146" i="1"/>
  <c r="R1146" i="1"/>
  <c r="Q1146" i="1"/>
  <c r="P1146" i="1"/>
  <c r="I1146" i="1"/>
  <c r="H1146" i="1"/>
  <c r="U1145" i="1"/>
  <c r="T1145" i="1"/>
  <c r="S1145" i="1"/>
  <c r="R1145" i="1"/>
  <c r="Q1145" i="1"/>
  <c r="P1145" i="1"/>
  <c r="I1145" i="1"/>
  <c r="H1145" i="1"/>
  <c r="U1144" i="1"/>
  <c r="T1144" i="1"/>
  <c r="S1144" i="1"/>
  <c r="R1144" i="1"/>
  <c r="Q1144" i="1"/>
  <c r="P1144" i="1"/>
  <c r="I1144" i="1"/>
  <c r="H1144" i="1"/>
  <c r="U1143" i="1"/>
  <c r="T1143" i="1"/>
  <c r="S1143" i="1"/>
  <c r="R1143" i="1"/>
  <c r="Q1143" i="1"/>
  <c r="P1143" i="1"/>
  <c r="I1143" i="1"/>
  <c r="H1143" i="1"/>
  <c r="U1142" i="1"/>
  <c r="T1142" i="1"/>
  <c r="S1142" i="1"/>
  <c r="R1142" i="1"/>
  <c r="Q1142" i="1"/>
  <c r="P1142" i="1"/>
  <c r="I1142" i="1"/>
  <c r="H1142" i="1"/>
  <c r="U1141" i="1"/>
  <c r="T1141" i="1"/>
  <c r="S1141" i="1"/>
  <c r="R1141" i="1"/>
  <c r="Q1141" i="1"/>
  <c r="P1141" i="1"/>
  <c r="I1141" i="1"/>
  <c r="H1141" i="1"/>
  <c r="U1140" i="1"/>
  <c r="T1140" i="1"/>
  <c r="S1140" i="1"/>
  <c r="R1140" i="1"/>
  <c r="Q1140" i="1"/>
  <c r="P1140" i="1"/>
  <c r="I1140" i="1"/>
  <c r="H1140" i="1"/>
  <c r="U1139" i="1"/>
  <c r="T1139" i="1"/>
  <c r="S1139" i="1"/>
  <c r="R1139" i="1"/>
  <c r="Q1139" i="1"/>
  <c r="P1139" i="1"/>
  <c r="I1139" i="1"/>
  <c r="H1139" i="1"/>
  <c r="U1138" i="1"/>
  <c r="T1138" i="1"/>
  <c r="S1138" i="1"/>
  <c r="R1138" i="1"/>
  <c r="Q1138" i="1"/>
  <c r="P1138" i="1"/>
  <c r="I1138" i="1"/>
  <c r="H1138" i="1"/>
  <c r="U1137" i="1"/>
  <c r="T1137" i="1"/>
  <c r="S1137" i="1"/>
  <c r="R1137" i="1"/>
  <c r="Q1137" i="1"/>
  <c r="P1137" i="1"/>
  <c r="I1137" i="1"/>
  <c r="H1137" i="1"/>
  <c r="U1136" i="1"/>
  <c r="T1136" i="1"/>
  <c r="S1136" i="1"/>
  <c r="R1136" i="1"/>
  <c r="Q1136" i="1"/>
  <c r="P1136" i="1"/>
  <c r="I1136" i="1"/>
  <c r="H1136" i="1"/>
  <c r="U1135" i="1"/>
  <c r="T1135" i="1"/>
  <c r="S1135" i="1"/>
  <c r="R1135" i="1"/>
  <c r="Q1135" i="1"/>
  <c r="P1135" i="1"/>
  <c r="I1135" i="1"/>
  <c r="H1135" i="1"/>
  <c r="U1134" i="1"/>
  <c r="T1134" i="1"/>
  <c r="S1134" i="1"/>
  <c r="R1134" i="1"/>
  <c r="Q1134" i="1"/>
  <c r="P1134" i="1"/>
  <c r="I1134" i="1"/>
  <c r="H1134" i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U1133" i="1" l="1"/>
  <c r="T1133" i="1"/>
  <c r="S1133" i="1"/>
  <c r="R1133" i="1"/>
  <c r="Q1133" i="1"/>
  <c r="P1133" i="1"/>
  <c r="I1133" i="1"/>
  <c r="H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<sst xmlns="http://schemas.openxmlformats.org/spreadsheetml/2006/main" count="15" uniqueCount="15">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</sst>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93"/>
  <sheetViews>
    <sheetView tabSelected="1" topLeftCell="A1176" workbookViewId="0">
      <selection activeCell="A1194" sqref="A1194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2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K61" s="2">
        <v>46171</v>
      </c>
      <c r="L61" s="2">
        <v>46148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93" si="132">SUM(P1024:P1037)/14</f>
        <v>1.0372619047051386</v>
      </c>
      <c r="R1037">
        <f t="shared" ref="R1037:R1193" si="133">P1037-Q1037</f>
        <v>3.2738068274089205E-2</v>
      </c>
      <c r="S1037">
        <f t="shared" ref="S1037:S1193" si="134">AVEDEV(P1024:P1037)</f>
        <v>2.2748304062149134E-2</v>
      </c>
      <c r="T1037">
        <f t="shared" ref="T1037:T1193" si="135">0.015*S1037</f>
        <v>3.4122456093223696E-4</v>
      </c>
      <c r="U1037">
        <f t="shared" ref="U1037:U1193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93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93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  <row r="1176" spans="1:21" x14ac:dyDescent="0.15">
      <c r="A1176" s="1">
        <v>46142</v>
      </c>
      <c r="B1176">
        <v>1.1809999942779541</v>
      </c>
      <c r="C1176">
        <v>1.1859999895095825</v>
      </c>
      <c r="D1176">
        <v>1.1740000247955322</v>
      </c>
      <c r="E1176">
        <v>1.1770000457763672</v>
      </c>
      <c r="F1176">
        <v>1531906</v>
      </c>
      <c r="G1176">
        <v>15319.0595703125</v>
      </c>
      <c r="H1176">
        <f t="shared" si="144"/>
        <v>1174</v>
      </c>
      <c r="I1176">
        <f>SUM($F$3:F1176)/H1176</f>
        <v>4074387.1456824956</v>
      </c>
      <c r="N1176">
        <f>VLOOKUP(L61,A:C,3)</f>
        <v>1.2000000476837158</v>
      </c>
      <c r="O1176">
        <f>VLOOKUP(L61,A:D,4)</f>
        <v>1.1660000085830688</v>
      </c>
      <c r="P1176">
        <f t="shared" si="143"/>
        <v>1.1790000200271606</v>
      </c>
      <c r="Q1176">
        <f t="shared" si="132"/>
        <v>1.1559047613825117</v>
      </c>
      <c r="R1176">
        <f t="shared" si="133"/>
        <v>2.3095258644648897E-2</v>
      </c>
      <c r="S1176">
        <f t="shared" si="134"/>
        <v>1.6170069879415081E-2</v>
      </c>
      <c r="T1176">
        <f t="shared" si="135"/>
        <v>2.4255104819122621E-4</v>
      </c>
      <c r="U1176">
        <f t="shared" si="136"/>
        <v>95.218135798121537</v>
      </c>
    </row>
    <row r="1177" spans="1:21" x14ac:dyDescent="0.15">
      <c r="A1177" s="1">
        <v>46148</v>
      </c>
      <c r="B1177">
        <v>1.1660000085830688</v>
      </c>
      <c r="C1177">
        <v>1.2000000476837158</v>
      </c>
      <c r="D1177">
        <v>1.1660000085830688</v>
      </c>
      <c r="E1177">
        <v>1.1929999589920044</v>
      </c>
      <c r="F1177">
        <v>2577800</v>
      </c>
      <c r="G1177">
        <v>25778</v>
      </c>
      <c r="H1177">
        <f t="shared" si="144"/>
        <v>1175</v>
      </c>
      <c r="I1177">
        <f>SUM($F$3:F1177)/H1177</f>
        <v>4073113.4544946807</v>
      </c>
      <c r="N1177">
        <f t="shared" ref="N1177:N1193" si="153">IF(A1177&lt;&gt;$K$61,MAX(N1176,VLOOKUP(A1177,A:C,3)),)</f>
        <v>1.2000000476837158</v>
      </c>
      <c r="O1177">
        <f t="shared" ref="O1177:O1193" si="154">IF(A1177&lt;&gt;$K$61,MIN(O1176,VLOOKUP(A1177,A:D,4)),)</f>
        <v>1.1660000085830688</v>
      </c>
      <c r="P1177">
        <f t="shared" si="143"/>
        <v>1.1863333384195964</v>
      </c>
      <c r="Q1177">
        <f t="shared" si="132"/>
        <v>1.161166665099916</v>
      </c>
      <c r="R1177">
        <f t="shared" si="133"/>
        <v>2.5166673319680477E-2</v>
      </c>
      <c r="S1177">
        <f t="shared" si="134"/>
        <v>1.378572270983742E-2</v>
      </c>
      <c r="T1177">
        <f t="shared" si="135"/>
        <v>2.0678584064756129E-4</v>
      </c>
      <c r="U1177">
        <f t="shared" si="136"/>
        <v>121.7040453102091</v>
      </c>
    </row>
    <row r="1178" spans="1:21" x14ac:dyDescent="0.15">
      <c r="A1178" s="1">
        <v>46149</v>
      </c>
      <c r="B1178">
        <v>1.1929999589920044</v>
      </c>
      <c r="C1178">
        <v>1.2059999704360962</v>
      </c>
      <c r="D1178">
        <v>1.1890000104904175</v>
      </c>
      <c r="E1178">
        <v>1.2050000429153442</v>
      </c>
      <c r="F1178">
        <v>2515003</v>
      </c>
      <c r="G1178">
        <v>25150.029296875</v>
      </c>
      <c r="H1178">
        <f t="shared" si="144"/>
        <v>1176</v>
      </c>
      <c r="I1178">
        <f>SUM($F$3:F1178)/H1178</f>
        <v>4071788.5306388182</v>
      </c>
      <c r="N1178">
        <f t="shared" si="153"/>
        <v>1.2059999704360962</v>
      </c>
      <c r="O1178">
        <f t="shared" si="154"/>
        <v>1.1660000085830688</v>
      </c>
      <c r="P1178">
        <f t="shared" si="143"/>
        <v>1.2000000079472859</v>
      </c>
      <c r="Q1178">
        <f t="shared" si="132"/>
        <v>1.1661666660081771</v>
      </c>
      <c r="R1178">
        <f t="shared" si="133"/>
        <v>3.3833341939108807E-2</v>
      </c>
      <c r="S1178">
        <f t="shared" si="134"/>
        <v>1.3690485840752022E-2</v>
      </c>
      <c r="T1178">
        <f t="shared" si="135"/>
        <v>2.0535728761128034E-4</v>
      </c>
      <c r="U1178">
        <f t="shared" si="136"/>
        <v>164.75354896170887</v>
      </c>
    </row>
    <row r="1179" spans="1:21" x14ac:dyDescent="0.15">
      <c r="A1179" s="1">
        <v>46150</v>
      </c>
      <c r="B1179">
        <v>1.1970000267028809</v>
      </c>
      <c r="C1179">
        <v>1.2050000429153442</v>
      </c>
      <c r="D1179">
        <v>1.1950000524520874</v>
      </c>
      <c r="E1179">
        <v>1.1959999799728394</v>
      </c>
      <c r="F1179">
        <v>585700</v>
      </c>
      <c r="G1179">
        <v>5857</v>
      </c>
      <c r="H1179">
        <f t="shared" si="144"/>
        <v>1177</v>
      </c>
      <c r="I1179">
        <f>SUM($F$3:F1179)/H1179</f>
        <v>4068826.6882168651</v>
      </c>
      <c r="N1179">
        <f t="shared" si="153"/>
        <v>1.2059999704360962</v>
      </c>
      <c r="O1179">
        <f t="shared" si="154"/>
        <v>1.1660000085830688</v>
      </c>
      <c r="P1179">
        <f t="shared" si="143"/>
        <v>1.1986666917800903</v>
      </c>
      <c r="Q1179">
        <f t="shared" si="132"/>
        <v>1.1712619066238403</v>
      </c>
      <c r="R1179">
        <f t="shared" si="133"/>
        <v>2.740478515625E-2</v>
      </c>
      <c r="S1179">
        <f t="shared" si="134"/>
        <v>1.2775511968703492E-2</v>
      </c>
      <c r="T1179">
        <f t="shared" si="135"/>
        <v>1.9163267953055236E-4</v>
      </c>
      <c r="U1179">
        <f t="shared" si="136"/>
        <v>143.00684634470605</v>
      </c>
    </row>
    <row r="1180" spans="1:21" x14ac:dyDescent="0.15">
      <c r="A1180" s="1">
        <v>46153</v>
      </c>
      <c r="B1180">
        <v>1.2070000171661377</v>
      </c>
      <c r="C1180">
        <v>1.2259999513626099</v>
      </c>
      <c r="D1180">
        <v>1.2039999961853027</v>
      </c>
      <c r="E1180">
        <v>1.2239999771118164</v>
      </c>
      <c r="F1180">
        <v>1827702.875</v>
      </c>
      <c r="G1180">
        <v>18277.029296875</v>
      </c>
      <c r="H1180">
        <f t="shared" si="144"/>
        <v>1178</v>
      </c>
      <c r="I1180">
        <f>SUM($F$3:F1180)/H1180</f>
        <v>4066924.2062022495</v>
      </c>
      <c r="N1180">
        <f t="shared" si="153"/>
        <v>1.2259999513626099</v>
      </c>
      <c r="O1180">
        <f t="shared" si="154"/>
        <v>1.1660000085830688</v>
      </c>
      <c r="P1180">
        <f t="shared" si="143"/>
        <v>1.2179999748865764</v>
      </c>
      <c r="Q1180">
        <f t="shared" si="132"/>
        <v>1.1766190500486464</v>
      </c>
      <c r="R1180">
        <f t="shared" si="133"/>
        <v>4.1380924837929989E-2</v>
      </c>
      <c r="S1180">
        <f t="shared" si="134"/>
        <v>1.4278913841766541E-2</v>
      </c>
      <c r="T1180">
        <f t="shared" si="135"/>
        <v>2.1418370762649809E-4</v>
      </c>
      <c r="U1180">
        <f t="shared" si="136"/>
        <v>193.2029531867646</v>
      </c>
    </row>
    <row r="1181" spans="1:21" x14ac:dyDescent="0.15">
      <c r="A1181" s="1">
        <v>46154</v>
      </c>
      <c r="B1181">
        <v>1.2300000190734863</v>
      </c>
      <c r="C1181">
        <v>1.2300000190734863</v>
      </c>
      <c r="D1181">
        <v>1.2100000381469727</v>
      </c>
      <c r="E1181">
        <v>1.2220000028610229</v>
      </c>
      <c r="F1181">
        <v>2837503</v>
      </c>
      <c r="G1181">
        <v>28375.029296875</v>
      </c>
      <c r="H1181">
        <f t="shared" si="144"/>
        <v>1179</v>
      </c>
      <c r="I1181">
        <f>SUM($F$3:F1181)/H1181</f>
        <v>4065881.4401240456</v>
      </c>
      <c r="N1181">
        <f t="shared" si="153"/>
        <v>1.2300000190734863</v>
      </c>
      <c r="O1181">
        <f t="shared" si="154"/>
        <v>1.1660000085830688</v>
      </c>
      <c r="P1181">
        <f t="shared" si="143"/>
        <v>1.2206666866938274</v>
      </c>
      <c r="Q1181">
        <f t="shared" si="132"/>
        <v>1.1814285743804205</v>
      </c>
      <c r="R1181">
        <f t="shared" si="133"/>
        <v>3.9238112313406903E-2</v>
      </c>
      <c r="S1181">
        <f t="shared" si="134"/>
        <v>1.6646261117896244E-2</v>
      </c>
      <c r="T1181">
        <f t="shared" si="135"/>
        <v>2.4969391676844365E-4</v>
      </c>
      <c r="U1181">
        <f t="shared" si="136"/>
        <v>157.14484686382966</v>
      </c>
    </row>
    <row r="1182" spans="1:21" x14ac:dyDescent="0.15">
      <c r="A1182" s="1">
        <v>46155</v>
      </c>
      <c r="B1182">
        <v>1.2220000028610229</v>
      </c>
      <c r="C1182">
        <v>1.2430000305175781</v>
      </c>
      <c r="D1182">
        <v>1.2150000333786011</v>
      </c>
      <c r="E1182">
        <v>1.2430000305175781</v>
      </c>
      <c r="F1182">
        <v>3813105.75</v>
      </c>
      <c r="G1182">
        <v>38131.05859375</v>
      </c>
      <c r="H1182">
        <f t="shared" si="144"/>
        <v>1180</v>
      </c>
      <c r="I1182">
        <f>SUM($F$3:F1182)/H1182</f>
        <v>4065667.2234375002</v>
      </c>
      <c r="N1182">
        <f t="shared" si="153"/>
        <v>1.2430000305175781</v>
      </c>
      <c r="O1182">
        <f t="shared" si="154"/>
        <v>1.1660000085830688</v>
      </c>
      <c r="P1182">
        <f t="shared" si="143"/>
        <v>1.2336666981379192</v>
      </c>
      <c r="Q1182">
        <f t="shared" si="132"/>
        <v>1.1867142915725708</v>
      </c>
      <c r="R1182">
        <f t="shared" si="133"/>
        <v>4.6952406565348381E-2</v>
      </c>
      <c r="S1182">
        <f t="shared" si="134"/>
        <v>1.9632657368977853E-2</v>
      </c>
      <c r="T1182">
        <f t="shared" si="135"/>
        <v>2.9448986053466777E-4</v>
      </c>
      <c r="U1182">
        <f t="shared" si="136"/>
        <v>159.43641142721475</v>
      </c>
    </row>
    <row r="1183" spans="1:21" x14ac:dyDescent="0.15">
      <c r="A1183" s="1">
        <v>46156</v>
      </c>
      <c r="B1183">
        <v>1.2389999628067017</v>
      </c>
      <c r="C1183">
        <v>1.2560000419616699</v>
      </c>
      <c r="D1183">
        <v>1.2150000333786011</v>
      </c>
      <c r="E1183">
        <v>1.2239999771118164</v>
      </c>
      <c r="F1183">
        <v>1523502</v>
      </c>
      <c r="G1183">
        <v>15235.01953125</v>
      </c>
      <c r="H1183">
        <f t="shared" si="144"/>
        <v>1181</v>
      </c>
      <c r="I1183">
        <f>SUM($F$3:F1183)/H1183</f>
        <v>4063514.6703270534</v>
      </c>
      <c r="N1183">
        <f t="shared" si="153"/>
        <v>1.2560000419616699</v>
      </c>
      <c r="O1183">
        <f t="shared" si="154"/>
        <v>1.1660000085830688</v>
      </c>
      <c r="P1183">
        <f t="shared" si="143"/>
        <v>1.2316666841506958</v>
      </c>
      <c r="Q1183">
        <f t="shared" si="132"/>
        <v>1.1918809584208898</v>
      </c>
      <c r="R1183">
        <f t="shared" si="133"/>
        <v>3.9785725729805987E-2</v>
      </c>
      <c r="S1183">
        <f t="shared" si="134"/>
        <v>2.1625856153008081E-2</v>
      </c>
      <c r="T1183">
        <f t="shared" si="135"/>
        <v>3.2438784229512122E-4</v>
      </c>
      <c r="U1183">
        <f t="shared" si="136"/>
        <v>122.64863395715605</v>
      </c>
    </row>
    <row r="1184" spans="1:21" x14ac:dyDescent="0.15">
      <c r="A1184" s="1">
        <v>46157</v>
      </c>
      <c r="B1184">
        <v>1.218999981880188</v>
      </c>
      <c r="C1184">
        <v>1.2319999933242798</v>
      </c>
      <c r="D1184">
        <v>1.2000000476837158</v>
      </c>
      <c r="E1184">
        <v>1.2100000381469727</v>
      </c>
      <c r="F1184">
        <v>2310300</v>
      </c>
      <c r="G1184">
        <v>23103</v>
      </c>
      <c r="H1184">
        <f t="shared" si="144"/>
        <v>1182</v>
      </c>
      <c r="I1184">
        <f>SUM($F$3:F1184)/H1184</f>
        <v>4062031.4091846445</v>
      </c>
      <c r="N1184">
        <f t="shared" si="153"/>
        <v>1.2560000419616699</v>
      </c>
      <c r="O1184">
        <f t="shared" si="154"/>
        <v>1.1660000085830688</v>
      </c>
      <c r="P1184">
        <f t="shared" si="143"/>
        <v>1.2140000263849895</v>
      </c>
      <c r="Q1184">
        <f t="shared" si="132"/>
        <v>1.1946428673607963</v>
      </c>
      <c r="R1184">
        <f t="shared" si="133"/>
        <v>1.9357159024193216E-2</v>
      </c>
      <c r="S1184">
        <f t="shared" si="134"/>
        <v>2.2023814065115794E-2</v>
      </c>
      <c r="T1184">
        <f t="shared" si="135"/>
        <v>3.3035721097673688E-4</v>
      </c>
      <c r="U1184">
        <f t="shared" si="136"/>
        <v>58.594631450488635</v>
      </c>
    </row>
    <row r="1185" spans="1:21" x14ac:dyDescent="0.15">
      <c r="A1185" s="1">
        <v>46160</v>
      </c>
      <c r="B1185">
        <v>1.2009999752044678</v>
      </c>
      <c r="C1185">
        <v>1.2150000333786011</v>
      </c>
      <c r="D1185">
        <v>1.1959999799728394</v>
      </c>
      <c r="E1185">
        <v>1.2029999494552612</v>
      </c>
      <c r="F1185">
        <v>1285802</v>
      </c>
      <c r="G1185">
        <v>12858.01953125</v>
      </c>
      <c r="H1185">
        <f t="shared" si="144"/>
        <v>1183</v>
      </c>
      <c r="I1185">
        <f>SUM($F$3:F1185)/H1185</f>
        <v>4059684.6387626794</v>
      </c>
      <c r="N1185">
        <f t="shared" si="153"/>
        <v>1.2560000419616699</v>
      </c>
      <c r="O1185">
        <f t="shared" si="154"/>
        <v>1.1660000085830688</v>
      </c>
      <c r="P1185">
        <f t="shared" si="143"/>
        <v>1.2046666542689006</v>
      </c>
      <c r="Q1185">
        <f t="shared" si="132"/>
        <v>1.1965714380854651</v>
      </c>
      <c r="R1185">
        <f t="shared" si="133"/>
        <v>8.0952161834355607E-3</v>
      </c>
      <c r="S1185">
        <f t="shared" si="134"/>
        <v>2.1251702795223339E-2</v>
      </c>
      <c r="T1185">
        <f t="shared" si="135"/>
        <v>3.1877554192835011E-4</v>
      </c>
      <c r="U1185">
        <f t="shared" si="136"/>
        <v>25.39472173575691</v>
      </c>
    </row>
    <row r="1186" spans="1:21" x14ac:dyDescent="0.15">
      <c r="A1186" s="1">
        <v>46161</v>
      </c>
      <c r="B1186">
        <v>1.1929999589920044</v>
      </c>
      <c r="C1186">
        <v>1.2029999494552612</v>
      </c>
      <c r="D1186">
        <v>1.1779999732971191</v>
      </c>
      <c r="E1186">
        <v>1.2029999494552612</v>
      </c>
      <c r="F1186">
        <v>1353000</v>
      </c>
      <c r="G1186">
        <v>13530</v>
      </c>
      <c r="H1186">
        <f t="shared" si="144"/>
        <v>1184</v>
      </c>
      <c r="I1186">
        <f>SUM($F$3:F1186)/H1186</f>
        <v>4057398.5875475085</v>
      </c>
      <c r="N1186">
        <f t="shared" si="153"/>
        <v>1.2560000419616699</v>
      </c>
      <c r="O1186">
        <f t="shared" si="154"/>
        <v>1.1660000085830688</v>
      </c>
      <c r="P1186">
        <f t="shared" si="143"/>
        <v>1.1946666240692139</v>
      </c>
      <c r="Q1186">
        <f t="shared" si="132"/>
        <v>1.1986428641137619</v>
      </c>
      <c r="R1186">
        <f t="shared" si="133"/>
        <v>-3.9762400445479962E-3</v>
      </c>
      <c r="S1186">
        <f t="shared" si="134"/>
        <v>1.8884358762883875E-2</v>
      </c>
      <c r="T1186">
        <f t="shared" si="135"/>
        <v>2.832653814432581E-4</v>
      </c>
      <c r="U1186">
        <f t="shared" si="136"/>
        <v>-14.037154926199449</v>
      </c>
    </row>
    <row r="1187" spans="1:21" x14ac:dyDescent="0.15">
      <c r="A1187" s="1">
        <v>46162</v>
      </c>
      <c r="B1187">
        <v>1.1940000057220459</v>
      </c>
      <c r="C1187">
        <v>1.2050000429153442</v>
      </c>
      <c r="D1187">
        <v>1.1909999847412109</v>
      </c>
      <c r="E1187">
        <v>1.1990000009536743</v>
      </c>
      <c r="F1187">
        <v>1973003.875</v>
      </c>
      <c r="G1187">
        <v>19730.0390625</v>
      </c>
      <c r="H1187">
        <f t="shared" si="144"/>
        <v>1185</v>
      </c>
      <c r="I1187">
        <f>SUM($F$3:F1187)/H1187</f>
        <v>4055639.6046677213</v>
      </c>
      <c r="N1187">
        <f t="shared" si="153"/>
        <v>1.2560000419616699</v>
      </c>
      <c r="O1187">
        <f t="shared" si="154"/>
        <v>1.1660000085830688</v>
      </c>
      <c r="P1187">
        <f t="shared" si="143"/>
        <v>1.1983333428700764</v>
      </c>
      <c r="Q1187">
        <f t="shared" si="132"/>
        <v>1.200595242636544</v>
      </c>
      <c r="R1187">
        <f t="shared" si="133"/>
        <v>-2.2618997664676233E-3</v>
      </c>
      <c r="S1187">
        <f t="shared" si="134"/>
        <v>1.7013609814806024E-2</v>
      </c>
      <c r="T1187">
        <f t="shared" si="135"/>
        <v>2.5520414722209034E-4</v>
      </c>
      <c r="U1187">
        <f t="shared" si="136"/>
        <v>-8.8630995659299163</v>
      </c>
    </row>
    <row r="1188" spans="1:21" x14ac:dyDescent="0.15">
      <c r="A1188" s="1">
        <v>46163</v>
      </c>
      <c r="B1188">
        <v>1.2109999656677246</v>
      </c>
      <c r="C1188">
        <v>1.2319999933242798</v>
      </c>
      <c r="D1188">
        <v>1.1859999895095825</v>
      </c>
      <c r="E1188">
        <v>1.1859999895095825</v>
      </c>
      <c r="F1188">
        <v>4589602</v>
      </c>
      <c r="G1188">
        <v>45896.01953125</v>
      </c>
      <c r="H1188">
        <f t="shared" si="144"/>
        <v>1186</v>
      </c>
      <c r="I1188">
        <f>SUM($F$3:F1188)/H1188</f>
        <v>4056089.8259116779</v>
      </c>
      <c r="N1188">
        <f t="shared" si="153"/>
        <v>1.2560000419616699</v>
      </c>
      <c r="O1188">
        <f t="shared" si="154"/>
        <v>1.1660000085830688</v>
      </c>
      <c r="P1188">
        <f t="shared" si="143"/>
        <v>1.2013333241144817</v>
      </c>
      <c r="Q1188">
        <f t="shared" si="132"/>
        <v>1.203619054385594</v>
      </c>
      <c r="R1188">
        <f t="shared" si="133"/>
        <v>-2.2857302711123406E-3</v>
      </c>
      <c r="S1188">
        <f t="shared" si="134"/>
        <v>1.4421771172763569E-2</v>
      </c>
      <c r="T1188">
        <f t="shared" si="135"/>
        <v>2.1632656759145352E-4</v>
      </c>
      <c r="U1188">
        <f t="shared" si="136"/>
        <v>-10.56610982442567</v>
      </c>
    </row>
    <row r="1189" spans="1:21" x14ac:dyDescent="0.15">
      <c r="A1189" s="1">
        <v>46164</v>
      </c>
      <c r="B1189">
        <v>1.190000057220459</v>
      </c>
      <c r="C1189">
        <v>1.2150000333786011</v>
      </c>
      <c r="D1189">
        <v>1.190000057220459</v>
      </c>
      <c r="E1189">
        <v>1.2150000333786011</v>
      </c>
      <c r="F1189">
        <v>3018704</v>
      </c>
      <c r="G1189">
        <v>30187.0390625</v>
      </c>
      <c r="H1189">
        <f t="shared" si="144"/>
        <v>1187</v>
      </c>
      <c r="I1189">
        <f>SUM($F$3:F1189)/H1189</f>
        <v>4055215.8698662594</v>
      </c>
      <c r="N1189">
        <f t="shared" si="153"/>
        <v>1.2560000419616699</v>
      </c>
      <c r="O1189">
        <f t="shared" si="154"/>
        <v>1.1660000085830688</v>
      </c>
      <c r="P1189">
        <f t="shared" si="143"/>
        <v>1.2066667079925537</v>
      </c>
      <c r="Q1189">
        <f t="shared" si="132"/>
        <v>1.206261912981669</v>
      </c>
      <c r="R1189">
        <f t="shared" si="133"/>
        <v>4.0479501088475089E-4</v>
      </c>
      <c r="S1189">
        <f t="shared" si="134"/>
        <v>1.2442185765221001E-2</v>
      </c>
      <c r="T1189">
        <f t="shared" si="135"/>
        <v>1.8663278647831501E-4</v>
      </c>
      <c r="U1189">
        <f t="shared" si="136"/>
        <v>2.1689383656701944</v>
      </c>
    </row>
    <row r="1190" spans="1:21" x14ac:dyDescent="0.15">
      <c r="A1190" s="1">
        <v>46167</v>
      </c>
      <c r="B1190">
        <v>1.2239999771118164</v>
      </c>
      <c r="C1190">
        <v>1.2380000352859497</v>
      </c>
      <c r="D1190">
        <v>1.2109999656677246</v>
      </c>
      <c r="E1190">
        <v>1.2359999418258667</v>
      </c>
      <c r="F1190">
        <v>1636907</v>
      </c>
      <c r="G1190">
        <v>16369.0703125</v>
      </c>
      <c r="H1190">
        <f t="shared" si="144"/>
        <v>1188</v>
      </c>
      <c r="I1190">
        <f>SUM($F$3:F1190)/H1190</f>
        <v>4053180.2563394359</v>
      </c>
      <c r="N1190">
        <f t="shared" si="153"/>
        <v>1.2560000419616699</v>
      </c>
      <c r="O1190">
        <f t="shared" si="154"/>
        <v>1.1660000085830688</v>
      </c>
      <c r="P1190">
        <f t="shared" si="143"/>
        <v>1.2283333142598469</v>
      </c>
      <c r="Q1190">
        <f t="shared" si="132"/>
        <v>1.2097857197125752</v>
      </c>
      <c r="R1190">
        <f t="shared" si="133"/>
        <v>1.8547594547271729E-2</v>
      </c>
      <c r="S1190">
        <f t="shared" si="134"/>
        <v>1.2517009462629045E-2</v>
      </c>
      <c r="T1190">
        <f t="shared" si="135"/>
        <v>1.8775514193943566E-4</v>
      </c>
      <c r="U1190">
        <f t="shared" si="136"/>
        <v>98.786080400688263</v>
      </c>
    </row>
    <row r="1191" spans="1:21" x14ac:dyDescent="0.15">
      <c r="A1191" s="1">
        <v>46168</v>
      </c>
      <c r="B1191">
        <v>1.2630000114440918</v>
      </c>
      <c r="C1191">
        <v>1.2630000114440918</v>
      </c>
      <c r="D1191">
        <v>1.2130000591278076</v>
      </c>
      <c r="E1191">
        <v>1.2450000047683716</v>
      </c>
      <c r="F1191">
        <v>2589104</v>
      </c>
      <c r="G1191">
        <v>25891.0390625</v>
      </c>
      <c r="H1191">
        <f t="shared" si="144"/>
        <v>1189</v>
      </c>
      <c r="I1191">
        <f>SUM($F$3:F1191)/H1191</f>
        <v>4051948.905408957</v>
      </c>
      <c r="N1191">
        <f t="shared" si="153"/>
        <v>1.2630000114440918</v>
      </c>
      <c r="O1191">
        <f t="shared" si="154"/>
        <v>1.1660000085830688</v>
      </c>
      <c r="P1191">
        <f t="shared" si="143"/>
        <v>1.2403333584467571</v>
      </c>
      <c r="Q1191">
        <f t="shared" si="132"/>
        <v>1.2136428640002297</v>
      </c>
      <c r="R1191">
        <f t="shared" si="133"/>
        <v>2.669049444652738E-2</v>
      </c>
      <c r="S1191">
        <f t="shared" si="134"/>
        <v>1.3023813565572124E-2</v>
      </c>
      <c r="T1191">
        <f t="shared" si="135"/>
        <v>1.9535720348358185E-4</v>
      </c>
      <c r="U1191">
        <f t="shared" si="136"/>
        <v>136.62406080035075</v>
      </c>
    </row>
    <row r="1192" spans="1:21" x14ac:dyDescent="0.15">
      <c r="A1192" s="1">
        <v>46169</v>
      </c>
      <c r="B1192">
        <v>1.2439999580383301</v>
      </c>
      <c r="C1192">
        <v>1.2640000581741333</v>
      </c>
      <c r="D1192">
        <v>1.2350000143051147</v>
      </c>
      <c r="E1192">
        <v>1.2389999628067017</v>
      </c>
      <c r="F1192">
        <v>1705300</v>
      </c>
      <c r="G1192">
        <v>17053</v>
      </c>
      <c r="H1192">
        <f t="shared" si="144"/>
        <v>1190</v>
      </c>
      <c r="I1192">
        <f>SUM($F$3:F1192)/H1192</f>
        <v>4049976.9315388654</v>
      </c>
      <c r="N1192">
        <f t="shared" si="153"/>
        <v>1.2640000581741333</v>
      </c>
      <c r="O1192">
        <f t="shared" si="154"/>
        <v>1.1660000085830688</v>
      </c>
      <c r="P1192">
        <f t="shared" si="143"/>
        <v>1.2460000117619832</v>
      </c>
      <c r="Q1192">
        <f t="shared" si="132"/>
        <v>1.2169285785584223</v>
      </c>
      <c r="R1192">
        <f t="shared" si="133"/>
        <v>2.907143320356087E-2</v>
      </c>
      <c r="S1192">
        <f t="shared" si="134"/>
        <v>1.4309525489807129E-2</v>
      </c>
      <c r="T1192">
        <f t="shared" si="135"/>
        <v>2.1464288234710691E-4</v>
      </c>
      <c r="U1192">
        <f t="shared" si="136"/>
        <v>135.44093745698208</v>
      </c>
    </row>
    <row r="1193" spans="1:21" x14ac:dyDescent="0.15">
      <c r="A1193" s="1">
        <v>46170</v>
      </c>
      <c r="B1193">
        <v>1.25</v>
      </c>
      <c r="C1193">
        <v>1.2680000066757202</v>
      </c>
      <c r="D1193">
        <v>1.2209999561309814</v>
      </c>
      <c r="E1193">
        <v>1.2519999742507935</v>
      </c>
      <c r="F1193">
        <v>2592805</v>
      </c>
      <c r="G1193">
        <v>25928.05078125</v>
      </c>
      <c r="H1193">
        <f t="shared" si="144"/>
        <v>1191</v>
      </c>
      <c r="I1193">
        <f>SUM($F$3:F1193)/H1193</f>
        <v>4048753.4454502519</v>
      </c>
      <c r="N1193">
        <f t="shared" si="153"/>
        <v>1.2680000066757202</v>
      </c>
      <c r="O1193">
        <f t="shared" si="154"/>
        <v>1.1660000085830688</v>
      </c>
      <c r="P1193">
        <f t="shared" si="143"/>
        <v>1.246999979019165</v>
      </c>
      <c r="Q1193">
        <f t="shared" si="132"/>
        <v>1.2203809562183563</v>
      </c>
      <c r="R1193">
        <f t="shared" si="133"/>
        <v>2.6619022800808745E-2</v>
      </c>
      <c r="S1193">
        <f t="shared" si="134"/>
        <v>1.5000005563100169E-2</v>
      </c>
      <c r="T1193">
        <f t="shared" si="135"/>
        <v>2.2500008344650252E-4</v>
      </c>
      <c r="U1193">
        <f t="shared" si="136"/>
        <v>118.30672412678396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2026-05-29T02:06:19Z</dcterms:modified>
</cp:coreProperties>
</file>