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2(1)" sheetId="13" r:id="rId1"/>
    <sheet name="model2(1)&amp;RSI" sheetId="27" r:id="rId2"/>
    <sheet name="model2(1)&amp;KDJ" sheetId="24" r:id="rId3"/>
    <sheet name="model2(1)vol" sheetId="22" r:id="rId4"/>
    <sheet name="model2(2)" sheetId="21" r:id="rId5"/>
    <sheet name="model2(2)&amp;RSI" sheetId="28" r:id="rId6"/>
    <sheet name="model2(2)&amp;KDJ" sheetId="26" r:id="rId7"/>
    <sheet name="model2(2)vol" sheetId="23" r:id="rId8"/>
  </sheets>
  <definedNames>
    <definedName name="_xlnm._FilterDatabase" localSheetId="0" hidden="1">'model2(1)'!$O$1:$O$76</definedName>
    <definedName name="_xlnm._FilterDatabase" localSheetId="2" hidden="1">'model2(1)&amp;KDJ'!$Q$1:$Q$76</definedName>
    <definedName name="_xlnm._FilterDatabase" localSheetId="1" hidden="1">'model2(1)&amp;RSI'!$Q$1:$Q$76</definedName>
    <definedName name="_xlnm._FilterDatabase" localSheetId="3" hidden="1">'model2(1)vol'!$Q$1:$Q$76</definedName>
    <definedName name="_xlnm._FilterDatabase" localSheetId="4" hidden="1">'model2(2)'!$O$1:$O$76</definedName>
    <definedName name="_xlnm._FilterDatabase" localSheetId="6" hidden="1">'model2(2)&amp;KDJ'!$Q$1:$Q$76</definedName>
    <definedName name="_xlnm._FilterDatabase" localSheetId="5" hidden="1">'model2(2)&amp;RSI'!$Q$1:$Q$76</definedName>
    <definedName name="_xlnm._FilterDatabase" localSheetId="7" hidden="1">'model2(2)vol'!$Q$1:$Q$76</definedName>
    <definedName name="金额" localSheetId="0">OFFSET('model2(1)'!J1,0,0,COUNTA('model2(1)'!J:J)-1)</definedName>
    <definedName name="金额" localSheetId="2">OFFSET('model2(1)&amp;KDJ'!J1,0,0,COUNTA('model2(1)&amp;KDJ'!J:J)-1)</definedName>
    <definedName name="金额" localSheetId="1">OFFSET('model2(1)&amp;RSI'!J1,0,0,COUNTA('model2(1)&amp;RSI'!J:J)-1)</definedName>
    <definedName name="金额" localSheetId="3">OFFSET('model2(1)vol'!L1,0,0,COUNTA('model2(1)vol'!L:L)-1)</definedName>
    <definedName name="金额" localSheetId="4">OFFSET('model2(2)'!J1,0,0,COUNTA('model2(2)'!J:J)-1)</definedName>
    <definedName name="金额" localSheetId="6">OFFSET('model2(2)&amp;KDJ'!J1,0,0,COUNTA('model2(2)&amp;KDJ'!J:J)-1)</definedName>
    <definedName name="金额" localSheetId="5">OFFSET('model2(2)&amp;RSI'!J1,0,0,COUNTA('model2(2)&amp;RSI'!J:J)-1)</definedName>
    <definedName name="金额" localSheetId="7">OFFSET('model2(2)vol'!L1,0,0,COUNTA('model2(2)vol'!L:L)-1)</definedName>
    <definedName name="时间" localSheetId="0">OFFSET('model2(1)'!A1,0,0,COUNTA('model2(1)'!A:A)-1)</definedName>
    <definedName name="时间" localSheetId="2">OFFSET('model2(1)&amp;KDJ'!A1,0,0,COUNTA('model2(1)&amp;KDJ'!A:A)-1)</definedName>
    <definedName name="时间" localSheetId="1">OFFSET('model2(1)&amp;RSI'!A1,0,0,COUNTA('model2(1)&amp;RSI'!A:A)-1)</definedName>
    <definedName name="时间" localSheetId="3">OFFSET('model2(1)vol'!A1,0,0,COUNTA('model2(1)vol'!A:A)-1)</definedName>
    <definedName name="时间" localSheetId="4">OFFSET('model2(2)'!A1,0,0,COUNTA('model2(2)'!A:A)-1)</definedName>
    <definedName name="时间" localSheetId="6">OFFSET('model2(2)&amp;KDJ'!A1,0,0,COUNTA('model2(2)&amp;KDJ'!A:A)-1)</definedName>
    <definedName name="时间" localSheetId="5">OFFSET('model2(2)&amp;RSI'!A1,0,0,COUNTA('model2(2)&amp;RSI'!A:A)-1)</definedName>
    <definedName name="时间" localSheetId="7">OFFSET('model2(2)vol'!A1,0,0,COUNTA('model2(2)vol'!A:A)-1)</definedName>
    <definedName name="资产" localSheetId="0">OFFSET('model2(1)'!I1,0,0,COUNTA('model2(1)'!I:I)-1)</definedName>
    <definedName name="资产" localSheetId="2">OFFSET('model2(1)&amp;KDJ'!I1,0,0,COUNTA('model2(1)&amp;KDJ'!I:I)-1)</definedName>
    <definedName name="资产" localSheetId="1">OFFSET('model2(1)&amp;RSI'!I1,0,0,COUNTA('model2(1)&amp;RSI'!I:I)-1)</definedName>
    <definedName name="资产" localSheetId="3">OFFSET('model2(1)vol'!K1,0,0,COUNTA('model2(1)vol'!K:K)-1)</definedName>
    <definedName name="资产" localSheetId="4">OFFSET('model2(2)'!I1,0,0,COUNTA('model2(2)'!I:I)-1)</definedName>
    <definedName name="资产" localSheetId="6">OFFSET('model2(2)&amp;KDJ'!I1,0,0,COUNTA('model2(2)&amp;KDJ'!I:I)-1)</definedName>
    <definedName name="资产" localSheetId="5">OFFSET('model2(2)&amp;RSI'!I1,0,0,COUNTA('model2(2)&amp;RSI'!I:I)-1)</definedName>
    <definedName name="资产" localSheetId="7">OFFSET('model2(2)vol'!K1,0,0,COUNTA('model2(2)vol'!K:K)-1)</definedName>
    <definedName name="资金" localSheetId="0">OFFSET('model2(1)'!H1,0,0,COUNTA('model2(1)'!H:H)-1)</definedName>
    <definedName name="资金" localSheetId="2">OFFSET('model2(1)&amp;KDJ'!H1,0,0,COUNTA('model2(1)&amp;KDJ'!H:H)-1)</definedName>
    <definedName name="资金" localSheetId="1">OFFSET('model2(1)&amp;RSI'!H1,0,0,COUNTA('model2(1)&amp;RSI'!H:H)-1)</definedName>
    <definedName name="资金" localSheetId="3">OFFSET('model2(1)vol'!J1,0,0,COUNTA('model2(1)vol'!J:J)-1)</definedName>
    <definedName name="资金" localSheetId="4">OFFSET('model2(2)'!H1,0,0,COUNTA('model2(2)'!H:H)-1)</definedName>
    <definedName name="资金" localSheetId="6">OFFSET('model2(2)&amp;KDJ'!H1,0,0,COUNTA('model2(2)&amp;KDJ'!H:H)-1)</definedName>
    <definedName name="资金" localSheetId="5">OFFSET('model2(2)&amp;RSI'!H1,0,0,COUNTA('model2(2)&amp;RSI'!H:H)-1)</definedName>
    <definedName name="资金" localSheetId="7">OFFSET('model2(2)vol'!J1,0,0,COUNTA('model2(2)vol'!J:J)-1)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B10" i="13" l="1"/>
  <c r="AC10" i="13" s="1"/>
  <c r="Y10" i="13"/>
  <c r="Z10" i="13" s="1"/>
  <c r="AB10" i="21"/>
  <c r="AC10" i="21" s="1"/>
  <c r="Y10" i="21"/>
  <c r="Z10" i="21" s="1"/>
  <c r="AB4" i="21"/>
  <c r="AC4" i="21" s="1"/>
  <c r="AE4" i="21"/>
  <c r="AF4" i="21" s="1"/>
  <c r="AB4" i="13"/>
  <c r="AC4" i="13" s="1"/>
  <c r="AE4" i="13"/>
  <c r="AF4" i="13" s="1"/>
  <c r="Y4" i="21"/>
  <c r="Z4" i="21" s="1"/>
  <c r="Y4" i="13"/>
  <c r="Z4" i="13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Y11" i="13"/>
  <c r="Z11" i="13" s="1"/>
  <c r="AB11" i="13"/>
  <c r="AC11" i="13" s="1"/>
  <c r="AE5" i="21"/>
  <c r="AF5" i="21" s="1"/>
  <c r="Y11" i="21"/>
  <c r="Z11" i="21" s="1"/>
  <c r="AB11" i="21"/>
  <c r="AC11" i="21" s="1"/>
  <c r="Y5" i="21"/>
  <c r="Z5" i="21" s="1"/>
  <c r="AB5" i="21"/>
  <c r="AC5" i="21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Z7" i="21" l="1"/>
  <c r="AB7" i="22" l="1"/>
  <c r="AB7" i="23"/>
  <c r="AB12" i="13" l="1"/>
  <c r="AC12" i="13" s="1"/>
  <c r="Y12" i="13"/>
  <c r="Z12" i="13" s="1"/>
  <c r="AB12" i="21"/>
  <c r="AC12" i="21" s="1"/>
  <c r="Y12" i="21"/>
  <c r="Z12" i="21" s="1"/>
  <c r="AB6" i="13"/>
  <c r="AC6" i="13" s="1"/>
  <c r="AE6" i="13"/>
  <c r="AF6" i="13" s="1"/>
  <c r="AB6" i="21"/>
  <c r="AC6" i="21" s="1"/>
  <c r="AE6" i="21"/>
  <c r="AF6" i="21" s="1"/>
  <c r="AD12" i="23" l="1"/>
  <c r="AE12" i="23" s="1"/>
  <c r="AA12" i="23"/>
  <c r="AB12" i="23" s="1"/>
  <c r="AD12" i="22"/>
  <c r="AE12" i="22" s="1"/>
  <c r="AA12" i="22"/>
  <c r="AB12" i="22" s="1"/>
  <c r="AD6" i="22"/>
  <c r="AE6" i="22" s="1"/>
  <c r="AG6" i="22"/>
  <c r="AH6" i="22" s="1"/>
  <c r="AD6" i="23"/>
  <c r="AE6" i="23" s="1"/>
  <c r="AG6" i="23"/>
  <c r="AH6" i="23" s="1"/>
  <c r="AC8" i="13" l="1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F9" i="13" l="1"/>
  <c r="AF9" i="2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C17" i="13" l="1"/>
  <c r="AC17" i="2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D15" i="23" l="1"/>
  <c r="AE15" i="23" s="1"/>
  <c r="AD15" i="22"/>
  <c r="AE15" i="22" s="1"/>
  <c r="G3" i="13" l="1"/>
  <c r="AE17" i="23" l="1"/>
  <c r="AE17" i="22"/>
  <c r="I3" i="22" l="1"/>
  <c r="I3" i="23"/>
  <c r="G3" i="21" l="1"/>
  <c r="AA10" i="27" l="1"/>
  <c r="AB10" i="27" s="1"/>
  <c r="AD4" i="27"/>
  <c r="AE4" i="27" s="1"/>
  <c r="AA4" i="27"/>
  <c r="AB4" i="27" s="1"/>
  <c r="AD10" i="27"/>
  <c r="AE10" i="27" s="1"/>
  <c r="AG4" i="27"/>
  <c r="AH4" i="27" s="1"/>
  <c r="AD10" i="28"/>
  <c r="AE10" i="28" s="1"/>
  <c r="AD4" i="28"/>
  <c r="AE4" i="28" s="1"/>
  <c r="AA10" i="28"/>
  <c r="AB10" i="28" s="1"/>
  <c r="AG4" i="28"/>
  <c r="AH4" i="28" s="1"/>
  <c r="AA4" i="28"/>
  <c r="AB4" i="28" s="1"/>
  <c r="AG5" i="27" l="1"/>
  <c r="AH5" i="27" s="1"/>
  <c r="AD11" i="27"/>
  <c r="AE11" i="27" s="1"/>
  <c r="AA5" i="27"/>
  <c r="AB5" i="27" s="1"/>
  <c r="AA11" i="27"/>
  <c r="AB11" i="27" s="1"/>
  <c r="AD5" i="27"/>
  <c r="AE5" i="27" s="1"/>
  <c r="AG5" i="28"/>
  <c r="AH5" i="28" s="1"/>
  <c r="AD11" i="28"/>
  <c r="AE11" i="28" s="1"/>
  <c r="AA5" i="28"/>
  <c r="AB5" i="28" s="1"/>
  <c r="AA11" i="28"/>
  <c r="AB11" i="28" s="1"/>
  <c r="AD5" i="28"/>
  <c r="AE5" i="28" s="1"/>
  <c r="AB7" i="28" l="1"/>
  <c r="AB7" i="27" l="1"/>
  <c r="AD12" i="28" l="1"/>
  <c r="AE12" i="28" s="1"/>
  <c r="AG6" i="28"/>
  <c r="AH6" i="28" s="1"/>
  <c r="AA12" i="28"/>
  <c r="AB12" i="28" s="1"/>
  <c r="AD6" i="28"/>
  <c r="AE6" i="28" s="1"/>
  <c r="AA12" i="27"/>
  <c r="AB12" i="27" s="1"/>
  <c r="AG6" i="27"/>
  <c r="AH6" i="27" s="1"/>
  <c r="AD12" i="27"/>
  <c r="AE12" i="27" s="1"/>
  <c r="AD6" i="27"/>
  <c r="AE6" i="27" s="1"/>
  <c r="AE8" i="28" l="1"/>
  <c r="AE8" i="27"/>
  <c r="AG7" i="27" l="1"/>
  <c r="AH7" i="27" s="1"/>
  <c r="AD13" i="27"/>
  <c r="AE13" i="27" s="1"/>
  <c r="AA13" i="27"/>
  <c r="AB13" i="27" s="1"/>
  <c r="AG7" i="28" l="1"/>
  <c r="AH7" i="28" s="1"/>
  <c r="AD13" i="28"/>
  <c r="AE13" i="28" s="1"/>
  <c r="AA13" i="28"/>
  <c r="AB13" i="28" s="1"/>
  <c r="AH9" i="28" l="1"/>
  <c r="AH9" i="27"/>
  <c r="AA14" i="27" l="1"/>
  <c r="AB14" i="27" s="1"/>
  <c r="AD14" i="27"/>
  <c r="AE14" i="27" s="1"/>
  <c r="AD14" i="28" l="1"/>
  <c r="AE14" i="28" s="1"/>
  <c r="AA14" i="28"/>
  <c r="AB14" i="28" s="1"/>
  <c r="AB16" i="27" l="1"/>
  <c r="AB16" i="28"/>
  <c r="AD15" i="27" l="1"/>
  <c r="AE15" i="27" s="1"/>
  <c r="AD15" i="28"/>
  <c r="AE15" i="28" s="1"/>
  <c r="AE17" i="28" l="1"/>
  <c r="AE17" i="27"/>
  <c r="G3" i="28" l="1"/>
  <c r="G3" i="27"/>
  <c r="AG4" i="26" l="1"/>
  <c r="AH4" i="26" s="1"/>
  <c r="AA10" i="26"/>
  <c r="AB10" i="26" s="1"/>
  <c r="AD4" i="26"/>
  <c r="AE4" i="26" s="1"/>
  <c r="AD10" i="26"/>
  <c r="AE10" i="26" s="1"/>
  <c r="AA4" i="26"/>
  <c r="AB4" i="26" s="1"/>
  <c r="AG4" i="24"/>
  <c r="AH4" i="24" s="1"/>
  <c r="AA4" i="24"/>
  <c r="AB4" i="24" s="1"/>
  <c r="AD10" i="24"/>
  <c r="AE10" i="24" s="1"/>
  <c r="AD4" i="24"/>
  <c r="AE4" i="24" s="1"/>
  <c r="AA10" i="24"/>
  <c r="AB10" i="24" s="1"/>
  <c r="AA11" i="24" l="1"/>
  <c r="AB11" i="24" s="1"/>
  <c r="AD11" i="24"/>
  <c r="AE11" i="24" s="1"/>
  <c r="AG5" i="24"/>
  <c r="AH5" i="24" s="1"/>
  <c r="AD5" i="24"/>
  <c r="AE5" i="24" s="1"/>
  <c r="AA5" i="24"/>
  <c r="AB5" i="24" s="1"/>
  <c r="AD11" i="26"/>
  <c r="AE11" i="26" s="1"/>
  <c r="AG5" i="26"/>
  <c r="AH5" i="26" s="1"/>
  <c r="AA5" i="26"/>
  <c r="AB5" i="26" s="1"/>
  <c r="AD5" i="26"/>
  <c r="AE5" i="26" s="1"/>
  <c r="AA11" i="26"/>
  <c r="AB11" i="26" s="1"/>
  <c r="AB7" i="26" l="1"/>
  <c r="AB7" i="24"/>
  <c r="AD6" i="24" l="1"/>
  <c r="AE6" i="24" s="1"/>
  <c r="AA12" i="24"/>
  <c r="AB12" i="24" s="1"/>
  <c r="AG6" i="24"/>
  <c r="AH6" i="24" s="1"/>
  <c r="AD12" i="24"/>
  <c r="AE12" i="24" s="1"/>
  <c r="AD12" i="26"/>
  <c r="AE12" i="26" s="1"/>
  <c r="AG6" i="26"/>
  <c r="AH6" i="26" s="1"/>
  <c r="AD6" i="26"/>
  <c r="AE6" i="26" s="1"/>
  <c r="AA12" i="26"/>
  <c r="AB12" i="26" s="1"/>
  <c r="AE8" i="26" l="1"/>
  <c r="AE8" i="24" l="1"/>
  <c r="AD13" i="26" l="1"/>
  <c r="AE13" i="26" s="1"/>
  <c r="AA13" i="26"/>
  <c r="AB13" i="26" s="1"/>
  <c r="AG7" i="26"/>
  <c r="AH7" i="26" s="1"/>
  <c r="AD14" i="26" l="1"/>
  <c r="AE14" i="26" s="1"/>
  <c r="AA14" i="26"/>
  <c r="AB14" i="26" s="1"/>
  <c r="AG7" i="24" l="1"/>
  <c r="AH7" i="24" s="1"/>
  <c r="AD13" i="24"/>
  <c r="AE13" i="24" s="1"/>
  <c r="AA13" i="24"/>
  <c r="AB13" i="24" s="1"/>
  <c r="AA14" i="24" l="1"/>
  <c r="AB14" i="24" s="1"/>
  <c r="AD14" i="24"/>
  <c r="AE14" i="24" s="1"/>
  <c r="AH9" i="24" l="1"/>
  <c r="AH9" i="26"/>
  <c r="AB16" i="24" l="1"/>
  <c r="AB16" i="26"/>
  <c r="AD15" i="24" l="1"/>
  <c r="AE15" i="24" s="1"/>
  <c r="AD15" i="26"/>
  <c r="AE15" i="26" s="1"/>
  <c r="AE17" i="26" l="1"/>
  <c r="AE17" i="24"/>
  <c r="G3" i="26" l="1"/>
  <c r="G3" i="24" l="1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<sst xmlns="http://schemas.openxmlformats.org/spreadsheetml/2006/main" count="182" uniqueCount="30">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</sst>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107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  <c:pt idx="105">
                  <c:v>4893.7540233362733</c:v>
                </c:pt>
                <c:pt idx="106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107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  <c:pt idx="105">
                  <c:v>7246.1850032321172</c:v>
                </c:pt>
                <c:pt idx="106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  <c:pt idx="105">
                  <c:v>2352.4309798958438</c:v>
                </c:pt>
                <c:pt idx="106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973504"/>
        <c:axId val="623975040"/>
      </c:lineChart>
      <c:dateAx>
        <c:axId val="6239735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975040"/>
        <c:crosses val="autoZero"/>
        <c:auto val="1"/>
        <c:lblOffset val="100"/>
        <c:baseTimeUnit val="days"/>
      </c:dateAx>
      <c:valAx>
        <c:axId val="6239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9735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107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  <c:pt idx="105">
                  <c:v>6052.5924500756464</c:v>
                </c:pt>
                <c:pt idx="106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'model2(1)&amp;RSI'!$I$1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107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  <c:pt idx="105">
                  <c:v>11585.38397723743</c:v>
                </c:pt>
                <c:pt idx="106">
                  <c:v>11584.987800428717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'model2(1)&amp;RSI'!$J$1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  <c:pt idx="105">
                  <c:v>5532.791527161784</c:v>
                </c:pt>
                <c:pt idx="106">
                  <c:v>5532.3953503530702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7974016"/>
        <c:axId val="447984000"/>
      </c:lineChart>
      <c:dateAx>
        <c:axId val="4479740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984000"/>
        <c:crosses val="autoZero"/>
        <c:auto val="1"/>
        <c:lblOffset val="100"/>
        <c:baseTimeUnit val="days"/>
      </c:dateAx>
      <c:valAx>
        <c:axId val="4479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9740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107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  <c:pt idx="105">
                  <c:v>4478.5830960357953</c:v>
                </c:pt>
                <c:pt idx="106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'model2(1)&amp;KDJ'!$I$1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107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  <c:pt idx="105">
                  <c:v>6735.3146089982411</c:v>
                </c:pt>
                <c:pt idx="106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'model2(1)&amp;KDJ'!$J$1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  <c:pt idx="105">
                  <c:v>2256.7315129624458</c:v>
                </c:pt>
                <c:pt idx="106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057344"/>
        <c:axId val="448058880"/>
      </c:lineChart>
      <c:dateAx>
        <c:axId val="44805734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058880"/>
        <c:crosses val="autoZero"/>
        <c:auto val="1"/>
        <c:lblOffset val="100"/>
        <c:baseTimeUnit val="days"/>
      </c:dateAx>
      <c:valAx>
        <c:axId val="44805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05734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'model2(1)vol'!资金</c:f>
              <c:numCache>
                <c:formatCode>0.00_ </c:formatCode>
                <c:ptCount val="107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  <c:pt idx="105">
                  <c:v>2280.0747683969207</c:v>
                </c:pt>
                <c:pt idx="106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'model2(1)vol'!$K$1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'model2(1)vol'!资产</c:f>
              <c:numCache>
                <c:formatCode>0.00_ </c:formatCode>
                <c:ptCount val="107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  <c:pt idx="105">
                  <c:v>3181.8326442193757</c:v>
                </c:pt>
                <c:pt idx="106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'model2(1)vol'!$L$1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'model2(1)vol'!金额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  <c:pt idx="105">
                  <c:v>901.75787582245493</c:v>
                </c:pt>
                <c:pt idx="106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2315776"/>
        <c:axId val="492317312"/>
      </c:lineChart>
      <c:dateAx>
        <c:axId val="4923157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317312"/>
        <c:crosses val="autoZero"/>
        <c:auto val="1"/>
        <c:lblOffset val="100"/>
        <c:baseTimeUnit val="days"/>
      </c:dateAx>
      <c:valAx>
        <c:axId val="49231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3157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107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'model2(2)'!$I$1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107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  <c:pt idx="105">
                  <c:v>1243.9035388429725</c:v>
                </c:pt>
                <c:pt idx="106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'model2(2)'!$J$1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  <c:pt idx="105">
                  <c:v>461.2250703448251</c:v>
                </c:pt>
                <c:pt idx="106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2349696"/>
        <c:axId val="492351488"/>
      </c:lineChart>
      <c:dateAx>
        <c:axId val="4923496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351488"/>
        <c:crosses val="autoZero"/>
        <c:auto val="1"/>
        <c:lblOffset val="100"/>
        <c:baseTimeUnit val="days"/>
      </c:dateAx>
      <c:valAx>
        <c:axId val="49235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3496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107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'model2(2)&amp;RSI'!$I$1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107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'model2(2)&amp;RSI'!$J$1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525824"/>
        <c:axId val="500630656"/>
      </c:lineChart>
      <c:dateAx>
        <c:axId val="4945258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630656"/>
        <c:crosses val="autoZero"/>
        <c:auto val="1"/>
        <c:lblOffset val="100"/>
        <c:baseTimeUnit val="days"/>
      </c:dateAx>
      <c:valAx>
        <c:axId val="50063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5258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'model2(2)&amp;KDJ'!资金</c:f>
              <c:numCache>
                <c:formatCode>0.00_ </c:formatCode>
                <c:ptCount val="107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'model2(2)&amp;KDJ'!$I$1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'model2(2)&amp;KDJ'!资产</c:f>
              <c:numCache>
                <c:formatCode>0.00_ </c:formatCode>
                <c:ptCount val="107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'model2(2)&amp;KDJ'!$J$1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'model2(2)&amp;KDJ'!金额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675328"/>
        <c:axId val="500676864"/>
      </c:lineChart>
      <c:dateAx>
        <c:axId val="5006753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676864"/>
        <c:crosses val="autoZero"/>
        <c:auto val="1"/>
        <c:lblOffset val="100"/>
        <c:baseTimeUnit val="days"/>
      </c:dateAx>
      <c:valAx>
        <c:axId val="50067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6753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7.6751671607300818</c:v>
                </c:pt>
                <c:pt idx="10">
                  <c:v>13.80080126068386</c:v>
                </c:pt>
                <c:pt idx="11">
                  <c:v>13.80080126068386</c:v>
                </c:pt>
                <c:pt idx="12">
                  <c:v>13.80080126068386</c:v>
                </c:pt>
                <c:pt idx="13">
                  <c:v>15.944334985436218</c:v>
                </c:pt>
                <c:pt idx="14">
                  <c:v>41.00000990007112</c:v>
                </c:pt>
                <c:pt idx="15">
                  <c:v>46.656363711234441</c:v>
                </c:pt>
                <c:pt idx="16">
                  <c:v>57.449123125560902</c:v>
                </c:pt>
                <c:pt idx="17">
                  <c:v>92.205343440745878</c:v>
                </c:pt>
                <c:pt idx="18">
                  <c:v>172.25682437147825</c:v>
                </c:pt>
                <c:pt idx="19">
                  <c:v>228.92762261829787</c:v>
                </c:pt>
                <c:pt idx="20">
                  <c:v>263.25640802103641</c:v>
                </c:pt>
                <c:pt idx="21">
                  <c:v>300.29413244478542</c:v>
                </c:pt>
                <c:pt idx="22">
                  <c:v>303.27934928812726</c:v>
                </c:pt>
                <c:pt idx="23">
                  <c:v>303.27934928812726</c:v>
                </c:pt>
                <c:pt idx="24">
                  <c:v>303.27934928812726</c:v>
                </c:pt>
                <c:pt idx="25">
                  <c:v>305.30649024552577</c:v>
                </c:pt>
                <c:pt idx="26">
                  <c:v>306.39230537304292</c:v>
                </c:pt>
                <c:pt idx="27">
                  <c:v>306.39230537304292</c:v>
                </c:pt>
                <c:pt idx="28">
                  <c:v>306.39230537304292</c:v>
                </c:pt>
                <c:pt idx="29">
                  <c:v>306.39230537304292</c:v>
                </c:pt>
                <c:pt idx="30">
                  <c:v>306.39230537304292</c:v>
                </c:pt>
                <c:pt idx="31">
                  <c:v>306.39230537304292</c:v>
                </c:pt>
                <c:pt idx="32">
                  <c:v>306.39230537304292</c:v>
                </c:pt>
                <c:pt idx="33">
                  <c:v>306.39230537304292</c:v>
                </c:pt>
                <c:pt idx="34">
                  <c:v>306.39230537304292</c:v>
                </c:pt>
                <c:pt idx="35">
                  <c:v>306.39230537304292</c:v>
                </c:pt>
                <c:pt idx="36">
                  <c:v>306.39230537304292</c:v>
                </c:pt>
                <c:pt idx="37">
                  <c:v>306.39230537304292</c:v>
                </c:pt>
                <c:pt idx="38">
                  <c:v>306.39230537304292</c:v>
                </c:pt>
                <c:pt idx="39">
                  <c:v>306.39230537304292</c:v>
                </c:pt>
                <c:pt idx="40">
                  <c:v>306.39230537304292</c:v>
                </c:pt>
                <c:pt idx="41">
                  <c:v>306.39230537304292</c:v>
                </c:pt>
                <c:pt idx="42">
                  <c:v>306.39230537304292</c:v>
                </c:pt>
                <c:pt idx="43">
                  <c:v>306.39230537304292</c:v>
                </c:pt>
                <c:pt idx="44">
                  <c:v>306.39230537304292</c:v>
                </c:pt>
                <c:pt idx="45">
                  <c:v>306.39230537304292</c:v>
                </c:pt>
                <c:pt idx="46">
                  <c:v>306.39230537304292</c:v>
                </c:pt>
                <c:pt idx="47">
                  <c:v>306.39230537304292</c:v>
                </c:pt>
                <c:pt idx="48">
                  <c:v>306.39230537304292</c:v>
                </c:pt>
                <c:pt idx="49">
                  <c:v>306.39230537304292</c:v>
                </c:pt>
                <c:pt idx="50">
                  <c:v>306.39230537304292</c:v>
                </c:pt>
                <c:pt idx="51">
                  <c:v>306.39230537304292</c:v>
                </c:pt>
                <c:pt idx="52">
                  <c:v>306.39230537304292</c:v>
                </c:pt>
                <c:pt idx="53">
                  <c:v>306.39230537304292</c:v>
                </c:pt>
                <c:pt idx="54">
                  <c:v>306.39230537304292</c:v>
                </c:pt>
                <c:pt idx="55">
                  <c:v>306.39230537304292</c:v>
                </c:pt>
                <c:pt idx="56">
                  <c:v>306.39230537304292</c:v>
                </c:pt>
                <c:pt idx="57">
                  <c:v>306.39230537304292</c:v>
                </c:pt>
                <c:pt idx="58">
                  <c:v>306.39230537304292</c:v>
                </c:pt>
                <c:pt idx="59">
                  <c:v>306.39230537304292</c:v>
                </c:pt>
                <c:pt idx="60">
                  <c:v>307.29383953330063</c:v>
                </c:pt>
                <c:pt idx="61">
                  <c:v>307.46386841096211</c:v>
                </c:pt>
                <c:pt idx="62">
                  <c:v>307.46386841096211</c:v>
                </c:pt>
                <c:pt idx="63">
                  <c:v>307.46386841096211</c:v>
                </c:pt>
                <c:pt idx="64">
                  <c:v>308.24243503506432</c:v>
                </c:pt>
                <c:pt idx="65">
                  <c:v>313.55625318420357</c:v>
                </c:pt>
                <c:pt idx="66">
                  <c:v>316.40980136665678</c:v>
                </c:pt>
                <c:pt idx="67">
                  <c:v>316.66711559676457</c:v>
                </c:pt>
                <c:pt idx="68">
                  <c:v>317.47163111329627</c:v>
                </c:pt>
                <c:pt idx="69">
                  <c:v>317.47163111329627</c:v>
                </c:pt>
                <c:pt idx="70">
                  <c:v>317.47163111329627</c:v>
                </c:pt>
                <c:pt idx="71">
                  <c:v>317.47163111329627</c:v>
                </c:pt>
                <c:pt idx="72">
                  <c:v>317.47163111329627</c:v>
                </c:pt>
                <c:pt idx="73">
                  <c:v>317.47163111329627</c:v>
                </c:pt>
                <c:pt idx="74">
                  <c:v>317.47163111329627</c:v>
                </c:pt>
                <c:pt idx="75">
                  <c:v>317.47163111329627</c:v>
                </c:pt>
                <c:pt idx="76">
                  <c:v>317.47163111329627</c:v>
                </c:pt>
                <c:pt idx="77">
                  <c:v>317.47163111329627</c:v>
                </c:pt>
                <c:pt idx="78">
                  <c:v>317.69163418300059</c:v>
                </c:pt>
                <c:pt idx="79">
                  <c:v>317.69698357629846</c:v>
                </c:pt>
                <c:pt idx="80">
                  <c:v>317.71400645756421</c:v>
                </c:pt>
                <c:pt idx="81">
                  <c:v>346.08354405632002</c:v>
                </c:pt>
                <c:pt idx="82">
                  <c:v>346.30788375424851</c:v>
                </c:pt>
                <c:pt idx="83">
                  <c:v>346.38742602055021</c:v>
                </c:pt>
                <c:pt idx="84">
                  <c:v>346.38742602055021</c:v>
                </c:pt>
                <c:pt idx="85">
                  <c:v>347.11379609210042</c:v>
                </c:pt>
                <c:pt idx="86">
                  <c:v>347.79511155896887</c:v>
                </c:pt>
                <c:pt idx="87">
                  <c:v>348.87658976517741</c:v>
                </c:pt>
                <c:pt idx="88">
                  <c:v>366.38319454663912</c:v>
                </c:pt>
                <c:pt idx="89">
                  <c:v>366.38319454663912</c:v>
                </c:pt>
                <c:pt idx="90">
                  <c:v>366.38319454663912</c:v>
                </c:pt>
                <c:pt idx="91">
                  <c:v>366.38319454663912</c:v>
                </c:pt>
                <c:pt idx="92">
                  <c:v>366.38319454663912</c:v>
                </c:pt>
                <c:pt idx="93">
                  <c:v>366.38319454663912</c:v>
                </c:pt>
                <c:pt idx="94">
                  <c:v>366.38319454663912</c:v>
                </c:pt>
                <c:pt idx="95">
                  <c:v>366.38319454663912</c:v>
                </c:pt>
                <c:pt idx="96">
                  <c:v>366.38319454663912</c:v>
                </c:pt>
                <c:pt idx="97">
                  <c:v>366.38319454663912</c:v>
                </c:pt>
                <c:pt idx="98">
                  <c:v>366.38319454663912</c:v>
                </c:pt>
                <c:pt idx="99">
                  <c:v>366.38319454663912</c:v>
                </c:pt>
                <c:pt idx="100">
                  <c:v>366.38319454663912</c:v>
                </c:pt>
                <c:pt idx="101">
                  <c:v>366.38319454663912</c:v>
                </c:pt>
                <c:pt idx="102">
                  <c:v>366.38319454663912</c:v>
                </c:pt>
                <c:pt idx="103">
                  <c:v>366.38319454663912</c:v>
                </c:pt>
                <c:pt idx="104">
                  <c:v>366.38319454663912</c:v>
                </c:pt>
                <c:pt idx="105">
                  <c:v>366.38319454663912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'model2(2)vol'!$K$1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7.6556189453144388</c:v>
                </c:pt>
                <c:pt idx="10">
                  <c:v>13.819646319818441</c:v>
                </c:pt>
                <c:pt idx="11">
                  <c:v>15.019555730820638</c:v>
                </c:pt>
                <c:pt idx="12">
                  <c:v>14.830932386853132</c:v>
                </c:pt>
                <c:pt idx="13">
                  <c:v>16.544825186542703</c:v>
                </c:pt>
                <c:pt idx="14">
                  <c:v>40.866066804284195</c:v>
                </c:pt>
                <c:pt idx="15">
                  <c:v>46.304462658280386</c:v>
                </c:pt>
                <c:pt idx="16">
                  <c:v>54.887500222617739</c:v>
                </c:pt>
                <c:pt idx="17">
                  <c:v>87.994565653552684</c:v>
                </c:pt>
                <c:pt idx="18">
                  <c:v>157.32388554251733</c:v>
                </c:pt>
                <c:pt idx="19">
                  <c:v>222.07409497002104</c:v>
                </c:pt>
                <c:pt idx="20">
                  <c:v>245.98967276070016</c:v>
                </c:pt>
                <c:pt idx="21">
                  <c:v>287.95824026366319</c:v>
                </c:pt>
                <c:pt idx="22">
                  <c:v>361.38282997052386</c:v>
                </c:pt>
                <c:pt idx="23">
                  <c:v>398.8116371980218</c:v>
                </c:pt>
                <c:pt idx="24">
                  <c:v>383.21368345790773</c:v>
                </c:pt>
                <c:pt idx="25">
                  <c:v>362.92632072720983</c:v>
                </c:pt>
                <c:pt idx="26">
                  <c:v>370.07104951315989</c:v>
                </c:pt>
                <c:pt idx="27">
                  <c:v>389.3797207243166</c:v>
                </c:pt>
                <c:pt idx="28">
                  <c:v>402.94222878327179</c:v>
                </c:pt>
                <c:pt idx="29">
                  <c:v>422.32628821906735</c:v>
                </c:pt>
                <c:pt idx="30">
                  <c:v>418.09772809832526</c:v>
                </c:pt>
                <c:pt idx="31">
                  <c:v>416.52015155971355</c:v>
                </c:pt>
                <c:pt idx="32">
                  <c:v>442.98972064487316</c:v>
                </c:pt>
                <c:pt idx="33">
                  <c:v>486.12273529086843</c:v>
                </c:pt>
                <c:pt idx="34">
                  <c:v>497.95800006871411</c:v>
                </c:pt>
                <c:pt idx="35">
                  <c:v>497.95800006871411</c:v>
                </c:pt>
                <c:pt idx="36">
                  <c:v>497.95800006871411</c:v>
                </c:pt>
                <c:pt idx="37">
                  <c:v>497.95800006871411</c:v>
                </c:pt>
                <c:pt idx="38">
                  <c:v>497.95800006871411</c:v>
                </c:pt>
                <c:pt idx="39">
                  <c:v>497.95800006871411</c:v>
                </c:pt>
                <c:pt idx="40">
                  <c:v>497.95800006871411</c:v>
                </c:pt>
                <c:pt idx="41">
                  <c:v>497.95800006871411</c:v>
                </c:pt>
                <c:pt idx="42">
                  <c:v>497.95800006871411</c:v>
                </c:pt>
                <c:pt idx="43">
                  <c:v>497.95800006871411</c:v>
                </c:pt>
                <c:pt idx="44">
                  <c:v>497.95800006871411</c:v>
                </c:pt>
                <c:pt idx="45">
                  <c:v>497.95800006871411</c:v>
                </c:pt>
                <c:pt idx="46">
                  <c:v>497.95800006871411</c:v>
                </c:pt>
                <c:pt idx="47">
                  <c:v>497.95800006871411</c:v>
                </c:pt>
                <c:pt idx="48">
                  <c:v>497.95800006871411</c:v>
                </c:pt>
                <c:pt idx="49">
                  <c:v>497.95800006871411</c:v>
                </c:pt>
                <c:pt idx="50">
                  <c:v>497.95800006871411</c:v>
                </c:pt>
                <c:pt idx="51">
                  <c:v>497.95800006871411</c:v>
                </c:pt>
                <c:pt idx="52">
                  <c:v>497.95800006871411</c:v>
                </c:pt>
                <c:pt idx="53">
                  <c:v>497.95800006871411</c:v>
                </c:pt>
                <c:pt idx="54">
                  <c:v>497.95800006871411</c:v>
                </c:pt>
                <c:pt idx="55">
                  <c:v>497.95800006871411</c:v>
                </c:pt>
                <c:pt idx="56">
                  <c:v>497.95800006871411</c:v>
                </c:pt>
                <c:pt idx="57">
                  <c:v>497.95800006871411</c:v>
                </c:pt>
                <c:pt idx="58">
                  <c:v>497.95800006871411</c:v>
                </c:pt>
                <c:pt idx="59">
                  <c:v>497.95800006871411</c:v>
                </c:pt>
                <c:pt idx="60">
                  <c:v>498.85953422897182</c:v>
                </c:pt>
                <c:pt idx="61">
                  <c:v>499.06649148941165</c:v>
                </c:pt>
                <c:pt idx="62">
                  <c:v>499.14804001097889</c:v>
                </c:pt>
                <c:pt idx="63">
                  <c:v>499.11026572029095</c:v>
                </c:pt>
                <c:pt idx="64">
                  <c:v>499.83329366891127</c:v>
                </c:pt>
                <c:pt idx="65">
                  <c:v>505.00383153990776</c:v>
                </c:pt>
                <c:pt idx="66">
                  <c:v>508.16777461444445</c:v>
                </c:pt>
                <c:pt idx="67">
                  <c:v>508.74966109503436</c:v>
                </c:pt>
                <c:pt idx="68">
                  <c:v>509.46861796063047</c:v>
                </c:pt>
                <c:pt idx="69">
                  <c:v>510.72829733122541</c:v>
                </c:pt>
                <c:pt idx="70">
                  <c:v>511.3491122835789</c:v>
                </c:pt>
                <c:pt idx="71">
                  <c:v>513.14363571171555</c:v>
                </c:pt>
                <c:pt idx="72">
                  <c:v>513.14363571171555</c:v>
                </c:pt>
                <c:pt idx="73">
                  <c:v>513.14363571171555</c:v>
                </c:pt>
                <c:pt idx="74">
                  <c:v>513.14363571171555</c:v>
                </c:pt>
                <c:pt idx="75">
                  <c:v>513.14363571171555</c:v>
                </c:pt>
                <c:pt idx="76">
                  <c:v>513.14363571171555</c:v>
                </c:pt>
                <c:pt idx="77">
                  <c:v>513.14363571171555</c:v>
                </c:pt>
                <c:pt idx="78">
                  <c:v>513.36363878141981</c:v>
                </c:pt>
                <c:pt idx="79">
                  <c:v>513.37460049257663</c:v>
                </c:pt>
                <c:pt idx="80">
                  <c:v>513.39124035259374</c:v>
                </c:pt>
                <c:pt idx="81">
                  <c:v>541.71368371871426</c:v>
                </c:pt>
                <c:pt idx="82">
                  <c:v>548.26738659766897</c:v>
                </c:pt>
                <c:pt idx="83">
                  <c:v>548.3764212171784</c:v>
                </c:pt>
                <c:pt idx="84">
                  <c:v>549.20403687766918</c:v>
                </c:pt>
                <c:pt idx="85">
                  <c:v>547.89547876543384</c:v>
                </c:pt>
                <c:pt idx="86">
                  <c:v>548.72740802734802</c:v>
                </c:pt>
                <c:pt idx="87">
                  <c:v>549.53247485173995</c:v>
                </c:pt>
                <c:pt idx="88">
                  <c:v>563.74695671141922</c:v>
                </c:pt>
                <c:pt idx="89">
                  <c:v>576.0991291349651</c:v>
                </c:pt>
                <c:pt idx="90">
                  <c:v>579.37662589030651</c:v>
                </c:pt>
                <c:pt idx="91">
                  <c:v>579.37662589030651</c:v>
                </c:pt>
                <c:pt idx="92">
                  <c:v>579.37662589030651</c:v>
                </c:pt>
                <c:pt idx="93">
                  <c:v>579.37662589030651</c:v>
                </c:pt>
                <c:pt idx="94">
                  <c:v>579.37662589030651</c:v>
                </c:pt>
                <c:pt idx="95">
                  <c:v>579.37662589030651</c:v>
                </c:pt>
                <c:pt idx="96">
                  <c:v>579.37662589030651</c:v>
                </c:pt>
                <c:pt idx="97">
                  <c:v>579.37662589030651</c:v>
                </c:pt>
                <c:pt idx="98">
                  <c:v>579.37662589030651</c:v>
                </c:pt>
                <c:pt idx="99">
                  <c:v>579.37662589030651</c:v>
                </c:pt>
                <c:pt idx="100">
                  <c:v>579.37662589030651</c:v>
                </c:pt>
                <c:pt idx="101">
                  <c:v>579.37662589030651</c:v>
                </c:pt>
                <c:pt idx="102">
                  <c:v>579.37662589030651</c:v>
                </c:pt>
                <c:pt idx="103">
                  <c:v>579.37662589030651</c:v>
                </c:pt>
                <c:pt idx="104">
                  <c:v>579.37662589030651</c:v>
                </c:pt>
                <c:pt idx="105">
                  <c:v>579.37662589030651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'model2(2)vol'!$L$1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-1.9548215415643E-2</c:v>
                </c:pt>
                <c:pt idx="10">
                  <c:v>1.8845059134580566E-2</c:v>
                </c:pt>
                <c:pt idx="11">
                  <c:v>1.2187544701367781</c:v>
                </c:pt>
                <c:pt idx="12">
                  <c:v>1.0301311261692714</c:v>
                </c:pt>
                <c:pt idx="13">
                  <c:v>0.60049020110648499</c:v>
                </c:pt>
                <c:pt idx="14">
                  <c:v>-0.13394309578692543</c:v>
                </c:pt>
                <c:pt idx="15">
                  <c:v>-0.35190105295405516</c:v>
                </c:pt>
                <c:pt idx="16">
                  <c:v>-2.5616229029431636</c:v>
                </c:pt>
                <c:pt idx="17">
                  <c:v>-4.2107777871931944</c:v>
                </c:pt>
                <c:pt idx="18">
                  <c:v>-14.932938828960914</c:v>
                </c:pt>
                <c:pt idx="19">
                  <c:v>-6.8535276482768381</c:v>
                </c:pt>
                <c:pt idx="20">
                  <c:v>-17.266735260336247</c:v>
                </c:pt>
                <c:pt idx="21">
                  <c:v>-12.335892181122233</c:v>
                </c:pt>
                <c:pt idx="22">
                  <c:v>58.103480682396594</c:v>
                </c:pt>
                <c:pt idx="23">
                  <c:v>95.532287909894535</c:v>
                </c:pt>
                <c:pt idx="24">
                  <c:v>79.93433416978047</c:v>
                </c:pt>
                <c:pt idx="25">
                  <c:v>57.619830481684062</c:v>
                </c:pt>
                <c:pt idx="26">
                  <c:v>63.678744140116976</c:v>
                </c:pt>
                <c:pt idx="27">
                  <c:v>82.987415351273683</c:v>
                </c:pt>
                <c:pt idx="28">
                  <c:v>96.549923410228871</c:v>
                </c:pt>
                <c:pt idx="29">
                  <c:v>115.93398284602443</c:v>
                </c:pt>
                <c:pt idx="30">
                  <c:v>111.70542272528235</c:v>
                </c:pt>
                <c:pt idx="31">
                  <c:v>110.12784618667064</c:v>
                </c:pt>
                <c:pt idx="32">
                  <c:v>136.59741527183024</c:v>
                </c:pt>
                <c:pt idx="33">
                  <c:v>179.73042991782552</c:v>
                </c:pt>
                <c:pt idx="34">
                  <c:v>191.5656946956712</c:v>
                </c:pt>
                <c:pt idx="35">
                  <c:v>191.5656946956712</c:v>
                </c:pt>
                <c:pt idx="36">
                  <c:v>191.5656946956712</c:v>
                </c:pt>
                <c:pt idx="37">
                  <c:v>191.5656946956712</c:v>
                </c:pt>
                <c:pt idx="38">
                  <c:v>191.5656946956712</c:v>
                </c:pt>
                <c:pt idx="39">
                  <c:v>191.5656946956712</c:v>
                </c:pt>
                <c:pt idx="40">
                  <c:v>191.5656946956712</c:v>
                </c:pt>
                <c:pt idx="41">
                  <c:v>191.5656946956712</c:v>
                </c:pt>
                <c:pt idx="42">
                  <c:v>191.5656946956712</c:v>
                </c:pt>
                <c:pt idx="43">
                  <c:v>191.5656946956712</c:v>
                </c:pt>
                <c:pt idx="44">
                  <c:v>191.5656946956712</c:v>
                </c:pt>
                <c:pt idx="45">
                  <c:v>191.5656946956712</c:v>
                </c:pt>
                <c:pt idx="46">
                  <c:v>191.5656946956712</c:v>
                </c:pt>
                <c:pt idx="47">
                  <c:v>191.5656946956712</c:v>
                </c:pt>
                <c:pt idx="48">
                  <c:v>191.5656946956712</c:v>
                </c:pt>
                <c:pt idx="49">
                  <c:v>191.5656946956712</c:v>
                </c:pt>
                <c:pt idx="50">
                  <c:v>191.5656946956712</c:v>
                </c:pt>
                <c:pt idx="51">
                  <c:v>191.5656946956712</c:v>
                </c:pt>
                <c:pt idx="52">
                  <c:v>191.5656946956712</c:v>
                </c:pt>
                <c:pt idx="53">
                  <c:v>191.5656946956712</c:v>
                </c:pt>
                <c:pt idx="54">
                  <c:v>191.5656946956712</c:v>
                </c:pt>
                <c:pt idx="55">
                  <c:v>191.5656946956712</c:v>
                </c:pt>
                <c:pt idx="56">
                  <c:v>191.5656946956712</c:v>
                </c:pt>
                <c:pt idx="57">
                  <c:v>191.5656946956712</c:v>
                </c:pt>
                <c:pt idx="58">
                  <c:v>191.5656946956712</c:v>
                </c:pt>
                <c:pt idx="59">
                  <c:v>191.5656946956712</c:v>
                </c:pt>
                <c:pt idx="60">
                  <c:v>191.5656946956712</c:v>
                </c:pt>
                <c:pt idx="61">
                  <c:v>191.60262307844954</c:v>
                </c:pt>
                <c:pt idx="62">
                  <c:v>191.68417160001678</c:v>
                </c:pt>
                <c:pt idx="63">
                  <c:v>191.64639730932885</c:v>
                </c:pt>
                <c:pt idx="64">
                  <c:v>191.59085863384695</c:v>
                </c:pt>
                <c:pt idx="65">
                  <c:v>191.4475783557042</c:v>
                </c:pt>
                <c:pt idx="66">
                  <c:v>191.75797324778767</c:v>
                </c:pt>
                <c:pt idx="67">
                  <c:v>192.08254549826978</c:v>
                </c:pt>
                <c:pt idx="68">
                  <c:v>191.9969868473342</c:v>
                </c:pt>
                <c:pt idx="69">
                  <c:v>193.25666621792914</c:v>
                </c:pt>
                <c:pt idx="70">
                  <c:v>193.87748117028264</c:v>
                </c:pt>
                <c:pt idx="71">
                  <c:v>195.67200459841928</c:v>
                </c:pt>
                <c:pt idx="72">
                  <c:v>195.67200459841928</c:v>
                </c:pt>
                <c:pt idx="73">
                  <c:v>195.67200459841928</c:v>
                </c:pt>
                <c:pt idx="74">
                  <c:v>195.67200459841928</c:v>
                </c:pt>
                <c:pt idx="75">
                  <c:v>195.67200459841928</c:v>
                </c:pt>
                <c:pt idx="76">
                  <c:v>195.67200459841928</c:v>
                </c:pt>
                <c:pt idx="77">
                  <c:v>195.67200459841928</c:v>
                </c:pt>
                <c:pt idx="78">
                  <c:v>195.67200459841922</c:v>
                </c:pt>
                <c:pt idx="79">
                  <c:v>195.67761691627817</c:v>
                </c:pt>
                <c:pt idx="80">
                  <c:v>195.67723389502953</c:v>
                </c:pt>
                <c:pt idx="81">
                  <c:v>195.63013966239424</c:v>
                </c:pt>
                <c:pt idx="82">
                  <c:v>201.95950284342047</c:v>
                </c:pt>
                <c:pt idx="83">
                  <c:v>201.9889951966282</c:v>
                </c:pt>
                <c:pt idx="84">
                  <c:v>202.81661085711897</c:v>
                </c:pt>
                <c:pt idx="85">
                  <c:v>200.78168267333342</c:v>
                </c:pt>
                <c:pt idx="86">
                  <c:v>200.93229646837915</c:v>
                </c:pt>
                <c:pt idx="87">
                  <c:v>200.65588508656253</c:v>
                </c:pt>
                <c:pt idx="88">
                  <c:v>197.3637621647801</c:v>
                </c:pt>
                <c:pt idx="89">
                  <c:v>209.71593458832598</c:v>
                </c:pt>
                <c:pt idx="90">
                  <c:v>212.9934313436674</c:v>
                </c:pt>
                <c:pt idx="91">
                  <c:v>212.9934313436674</c:v>
                </c:pt>
                <c:pt idx="92">
                  <c:v>212.9934313436674</c:v>
                </c:pt>
                <c:pt idx="93">
                  <c:v>212.9934313436674</c:v>
                </c:pt>
                <c:pt idx="94">
                  <c:v>212.9934313436674</c:v>
                </c:pt>
                <c:pt idx="95">
                  <c:v>212.9934313436674</c:v>
                </c:pt>
                <c:pt idx="96">
                  <c:v>212.9934313436674</c:v>
                </c:pt>
                <c:pt idx="97">
                  <c:v>212.9934313436674</c:v>
                </c:pt>
                <c:pt idx="98">
                  <c:v>212.9934313436674</c:v>
                </c:pt>
                <c:pt idx="99">
                  <c:v>212.9934313436674</c:v>
                </c:pt>
                <c:pt idx="100">
                  <c:v>212.9934313436674</c:v>
                </c:pt>
                <c:pt idx="101">
                  <c:v>212.9934313436674</c:v>
                </c:pt>
                <c:pt idx="102">
                  <c:v>212.9934313436674</c:v>
                </c:pt>
                <c:pt idx="103">
                  <c:v>212.9934313436674</c:v>
                </c:pt>
                <c:pt idx="104">
                  <c:v>212.9934313436674</c:v>
                </c:pt>
                <c:pt idx="105">
                  <c:v>212.9934313436674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036928"/>
        <c:axId val="501038464"/>
      </c:lineChart>
      <c:dateAx>
        <c:axId val="5010369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038464"/>
        <c:crosses val="autoZero"/>
        <c:auto val="1"/>
        <c:lblOffset val="100"/>
        <c:baseTimeUnit val="days"/>
      </c:dateAx>
      <c:valAx>
        <c:axId val="50103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0369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4893.7540233362733</v>
      </c>
      <c r="I109" s="22">
        <v>7246.1850032321172</v>
      </c>
      <c r="J109" s="22">
        <v>2352.4309798958438</v>
      </c>
      <c r="K109" s="21">
        <v>7246.1850032321172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4893.7540233362733</v>
      </c>
      <c r="I110" s="22">
        <v>7246.1850032321172</v>
      </c>
      <c r="J110" s="22">
        <v>2352.4309798958438</v>
      </c>
      <c r="K110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-145.08939735614592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-405.63347659313405</v>
      </c>
      <c r="E109" s="22">
        <v>-155.89295806705468</v>
      </c>
      <c r="F109" s="22">
        <v>5.0791853840317174</v>
      </c>
      <c r="G109" s="22">
        <v>13.216040359562751</v>
      </c>
      <c r="H109" s="22">
        <v>6052.5924500756464</v>
      </c>
      <c r="I109" s="22">
        <v>11585.38397723743</v>
      </c>
      <c r="J109" s="22">
        <v>5532.791527161784</v>
      </c>
      <c r="K109" s="21">
        <v>11572.167936877868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-379.02549223852623</v>
      </c>
      <c r="E110" s="22">
        <v>-150.16858274017764</v>
      </c>
      <c r="F110" s="22">
        <v>-145.08939735614592</v>
      </c>
      <c r="G110" s="22">
        <v>-366.20562868767797</v>
      </c>
      <c r="H110" s="22">
        <v>6052.5924500756464</v>
      </c>
      <c r="I110" s="22">
        <v>11584.987800428717</v>
      </c>
      <c r="J110" s="22">
        <v>5532.3953503530702</v>
      </c>
      <c r="K110" s="21">
        <v>11951.193429116394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4478.5830960357953</v>
      </c>
      <c r="I109" s="22">
        <v>6735.3146089982411</v>
      </c>
      <c r="J109" s="22">
        <v>2256.7315129624458</v>
      </c>
      <c r="K109" s="21">
        <v>6735.3146089982411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4478.5830960357953</v>
      </c>
      <c r="I110" s="22">
        <v>6735.3146089982411</v>
      </c>
      <c r="J110" s="22">
        <v>2256.7315129624458</v>
      </c>
      <c r="K110" s="21">
        <v>6735.3146089982411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2280.0747683969207</v>
      </c>
      <c r="K109" s="22">
        <v>3181.8326442193757</v>
      </c>
      <c r="L109" s="22">
        <v>901.75787582245493</v>
      </c>
      <c r="M109" s="21">
        <v>3181.8326442193757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2280.0747683969207</v>
      </c>
      <c r="K110" s="22">
        <v>3181.8326442193757</v>
      </c>
      <c r="L110" s="22">
        <v>901.75787582245493</v>
      </c>
      <c r="M110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1243.9035388429725</v>
      </c>
      <c r="J109" s="22">
        <v>461.2250703448251</v>
      </c>
      <c r="K109" s="21">
        <v>1243.9035388429725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1243.9035388429725</v>
      </c>
      <c r="J110" s="22">
        <v>461.2250703448251</v>
      </c>
      <c r="K110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9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0.53243165671554316</v>
      </c>
      <c r="AB4" s="7">
        <f t="shared" ref="AB4:AB5" si="0">0-AA4</f>
        <v>-0.53243165671554316</v>
      </c>
      <c r="AC4" s="6">
        <v>43098</v>
      </c>
      <c r="AD4" s="1">
        <f>VLOOKUP(AC4,Q:R,2,)</f>
        <v>0.53243165671554316</v>
      </c>
      <c r="AE4" s="1">
        <f t="shared" ref="AE4" si="1">0-AD4</f>
        <v>-0.53243165671554316</v>
      </c>
      <c r="AF4" s="6">
        <v>43098</v>
      </c>
      <c r="AG4" s="7">
        <f>VLOOKUP(AF4,Q:R,2,)</f>
        <v>0.53243165671554316</v>
      </c>
      <c r="AH4" s="7">
        <f t="shared" ref="AH4:AH7" si="2">0-AG4</f>
        <v>-0.53243165671554316</v>
      </c>
    </row>
    <row r="5" spans="1:34" ht="14.1" customHeight="1">
      <c r="A5" s="15">
        <v>46080</v>
      </c>
      <c r="B5" s="25">
        <v>2.5239999294281006</v>
      </c>
      <c r="C5" s="20">
        <v>1.3013370512393063</v>
      </c>
      <c r="D5" s="20">
        <v>665022</v>
      </c>
      <c r="E5" s="20">
        <v>1877770.3918344665</v>
      </c>
      <c r="F5" s="21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1">
        <v>0</v>
      </c>
      <c r="N5" s="7"/>
      <c r="Q5" s="6">
        <v>43098</v>
      </c>
      <c r="R5" s="10">
        <v>0.53243165671554316</v>
      </c>
      <c r="S5" s="5">
        <v>0.53243165671554316</v>
      </c>
      <c r="T5" s="5">
        <v>0.53243165671554316</v>
      </c>
      <c r="U5" s="5">
        <v>0</v>
      </c>
      <c r="V5" s="5">
        <v>0</v>
      </c>
      <c r="W5" s="9">
        <v>0</v>
      </c>
      <c r="X5" s="9">
        <v>0</v>
      </c>
      <c r="Z5" s="6">
        <v>43462</v>
      </c>
      <c r="AA5" s="7">
        <f>VLOOKUP(Z5,Q:R,2,)</f>
        <v>262.72397636432089</v>
      </c>
      <c r="AB5" s="7">
        <f t="shared" si="0"/>
        <v>-262.72397636432089</v>
      </c>
      <c r="AC5" s="6">
        <v>43462</v>
      </c>
      <c r="AD5" s="1">
        <f>VLOOKUP(AC5,Q:R,2,)</f>
        <v>262.72397636432089</v>
      </c>
      <c r="AE5" s="1">
        <f t="shared" ref="AE5:AE6" si="3">0-AD5</f>
        <v>-262.72397636432089</v>
      </c>
      <c r="AF5" s="6">
        <v>43462</v>
      </c>
      <c r="AG5" s="7">
        <f>VLOOKUP(AF5,Q:R,2,)</f>
        <v>262.72397636432089</v>
      </c>
      <c r="AH5" s="7">
        <f t="shared" si="2"/>
        <v>-262.72397636432089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7"/>
      <c r="Q6" s="6">
        <v>43462</v>
      </c>
      <c r="R6" s="10">
        <v>262.72397636432089</v>
      </c>
      <c r="S6" s="5">
        <v>263.25640802103641</v>
      </c>
      <c r="T6" s="5">
        <v>245.98967276070016</v>
      </c>
      <c r="U6" s="5">
        <v>-17.266735260336247</v>
      </c>
      <c r="V6" s="5">
        <v>7.3368677267415947</v>
      </c>
      <c r="W6" s="9">
        <v>-6.558904070041284E-2</v>
      </c>
      <c r="X6" s="9">
        <v>-6.5465305989182543E-2</v>
      </c>
      <c r="Z6" s="6">
        <v>43462</v>
      </c>
      <c r="AB6" s="7">
        <v>245.98967276070016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1">
        <v>0</v>
      </c>
      <c r="N7" s="7"/>
      <c r="Q7" s="6">
        <v>43830</v>
      </c>
      <c r="R7" s="10">
        <v>43.135897352006509</v>
      </c>
      <c r="S7" s="5">
        <v>306.39230537304292</v>
      </c>
      <c r="T7" s="5">
        <v>442.98972064487316</v>
      </c>
      <c r="U7" s="5">
        <v>136.59741527183024</v>
      </c>
      <c r="V7" s="5">
        <v>103.24337240586956</v>
      </c>
      <c r="W7" s="9">
        <v>0.4458252145252744</v>
      </c>
      <c r="X7" s="9">
        <v>0.21760724296498135</v>
      </c>
      <c r="AB7" s="8">
        <f>IRR(AB4:AB6)</f>
        <v>-6.5465305989182543E-2</v>
      </c>
      <c r="AC7" s="6">
        <v>43830</v>
      </c>
      <c r="AE7" s="1">
        <v>442.98972064487316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1">
        <v>0</v>
      </c>
      <c r="N8" s="7"/>
      <c r="Q8" s="6">
        <v>44196</v>
      </c>
      <c r="R8" s="10">
        <v>0</v>
      </c>
      <c r="S8" s="5">
        <v>306.39230537304292</v>
      </c>
      <c r="T8" s="5">
        <v>497.95800006871411</v>
      </c>
      <c r="U8" s="5">
        <v>191.5656946956712</v>
      </c>
      <c r="V8" s="5">
        <v>497.95800006871411</v>
      </c>
      <c r="W8" s="9">
        <v>0.62523010968710047</v>
      </c>
      <c r="X8" s="9">
        <v>0.18430783116175009</v>
      </c>
      <c r="AE8" s="2">
        <f>IRR(AE4:AE7)</f>
        <v>0.21760724296498135</v>
      </c>
      <c r="AF8" s="6">
        <v>44196</v>
      </c>
      <c r="AH8" s="7">
        <v>497.95800006871411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1">
        <v>0</v>
      </c>
      <c r="N9" s="7"/>
      <c r="Q9" s="29">
        <v>44561</v>
      </c>
      <c r="R9" s="10">
        <v>0</v>
      </c>
      <c r="S9" s="5">
        <v>306.39230537304292</v>
      </c>
      <c r="T9" s="5">
        <v>497.95800006871411</v>
      </c>
      <c r="U9" s="5">
        <v>191.5656946956712</v>
      </c>
      <c r="V9" s="5">
        <v>497.95800006871411</v>
      </c>
      <c r="W9" s="9">
        <v>0.62523010968710047</v>
      </c>
      <c r="X9" s="9">
        <v>0.13376124558787272</v>
      </c>
      <c r="AH9" s="2">
        <f>IRR(AH4:AH8)</f>
        <v>0.18430783116175009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1">
        <v>0</v>
      </c>
      <c r="N10" s="7"/>
      <c r="Q10" s="29">
        <v>44925</v>
      </c>
      <c r="R10" s="10">
        <v>11.079325740253353</v>
      </c>
      <c r="S10" s="5">
        <v>317.47163111329627</v>
      </c>
      <c r="T10" s="5">
        <v>509.46861796063047</v>
      </c>
      <c r="U10" s="5">
        <v>191.9969868473342</v>
      </c>
      <c r="V10" s="5">
        <v>498.25440122824045</v>
      </c>
      <c r="W10" s="9">
        <v>0.60476895580889278</v>
      </c>
      <c r="X10" s="9">
        <v>0.1046018033933096</v>
      </c>
      <c r="Z10" s="6">
        <v>43098</v>
      </c>
      <c r="AA10" s="7">
        <f>VLOOKUP(Z10,Q:R,2,)</f>
        <v>0.53243165671554316</v>
      </c>
      <c r="AB10" s="1">
        <f>-AA10</f>
        <v>-0.53243165671554316</v>
      </c>
      <c r="AC10" s="6">
        <v>43098</v>
      </c>
      <c r="AD10" s="1">
        <f t="shared" ref="AD10:AD15" si="4">VLOOKUP(AC10,Q:R,2,)</f>
        <v>0.53243165671554316</v>
      </c>
      <c r="AE10" s="1">
        <f t="shared" ref="AE10:AE15" si="5">-AD10</f>
        <v>-0.53243165671554316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1">
        <v>0</v>
      </c>
      <c r="N11" s="7"/>
      <c r="Q11" s="29">
        <v>45289</v>
      </c>
      <c r="R11" s="10">
        <v>0.24237534426794127</v>
      </c>
      <c r="S11" s="5">
        <v>317.71400645756421</v>
      </c>
      <c r="T11" s="5">
        <v>513.39124035259374</v>
      </c>
      <c r="U11" s="5">
        <v>195.67723389502953</v>
      </c>
      <c r="V11" s="5">
        <v>513.14363571171555</v>
      </c>
      <c r="W11" s="9">
        <v>0.61589111565078369</v>
      </c>
      <c r="X11" s="9">
        <v>8.7073790790229921E-2</v>
      </c>
      <c r="Z11" s="6">
        <v>43462</v>
      </c>
      <c r="AA11" s="7">
        <f>VLOOKUP(Z11,Q:R,2,)</f>
        <v>262.72397636432089</v>
      </c>
      <c r="AB11" s="1">
        <f>-AA11</f>
        <v>-262.72397636432089</v>
      </c>
      <c r="AC11" s="6">
        <v>43462</v>
      </c>
      <c r="AD11" s="1">
        <f t="shared" si="4"/>
        <v>262.72397636432089</v>
      </c>
      <c r="AE11" s="1">
        <f t="shared" si="5"/>
        <v>-262.72397636432089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0.53243165671554316</v>
      </c>
      <c r="K12" s="22">
        <v>0.53243165671554316</v>
      </c>
      <c r="L12" s="22">
        <v>0</v>
      </c>
      <c r="M12" s="21">
        <v>0</v>
      </c>
      <c r="N12" s="7"/>
      <c r="Q12" s="29">
        <v>45657</v>
      </c>
      <c r="R12" s="10">
        <v>48.669188089074908</v>
      </c>
      <c r="S12" s="5">
        <v>366.38319454663912</v>
      </c>
      <c r="T12" s="5">
        <v>579.37662589030651</v>
      </c>
      <c r="U12" s="5">
        <v>212.9934313436674</v>
      </c>
      <c r="V12" s="5">
        <v>579.37662589030651</v>
      </c>
      <c r="W12" s="9">
        <v>0.58134061418189364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7.6751671607300818</v>
      </c>
      <c r="K13" s="22">
        <v>7.6556189453144388</v>
      </c>
      <c r="L13" s="22">
        <v>-1.9548215415643E-2</v>
      </c>
      <c r="M13" s="21">
        <v>0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13.80080126068386</v>
      </c>
      <c r="K14" s="22">
        <v>13.819646319818441</v>
      </c>
      <c r="L14" s="22">
        <v>1.8845059134580566E-2</v>
      </c>
      <c r="M14" s="21">
        <v>0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13.80080126068386</v>
      </c>
      <c r="K15" s="22">
        <v>15.019555730820638</v>
      </c>
      <c r="L15" s="22">
        <v>1.2187544701367781</v>
      </c>
      <c r="M15" s="21">
        <v>6.8031228675959499</v>
      </c>
      <c r="N15" s="7"/>
      <c r="Z15" s="29">
        <v>44561</v>
      </c>
      <c r="AB15" s="7">
        <v>497.95800006871411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13.80080126068386</v>
      </c>
      <c r="K16" s="22">
        <v>14.830932386853132</v>
      </c>
      <c r="L16" s="22">
        <v>1.0301311261692714</v>
      </c>
      <c r="M16" s="21">
        <v>7.3368677267415947</v>
      </c>
      <c r="N16" s="7"/>
      <c r="AB16" s="2">
        <f>IRR(AB10:AB15)</f>
        <v>0.13376124558787272</v>
      </c>
      <c r="AC16" s="29">
        <v>44925</v>
      </c>
      <c r="AE16" s="1">
        <v>509.46861796063047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15.944334985436218</v>
      </c>
      <c r="K17" s="22">
        <v>16.544825186542703</v>
      </c>
      <c r="L17" s="22">
        <v>0.60049020110648499</v>
      </c>
      <c r="M17" s="21">
        <v>7.3368677267415947</v>
      </c>
      <c r="N17" s="7"/>
      <c r="AE17" s="2">
        <f>IRR(AE10:AE16)</f>
        <v>0.1046018033933096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41.00000990007112</v>
      </c>
      <c r="K18" s="22">
        <v>40.866066804284195</v>
      </c>
      <c r="L18" s="22">
        <v>-0.13394309578692543</v>
      </c>
      <c r="M18" s="21">
        <v>7.3368677267415947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46.656363711234441</v>
      </c>
      <c r="K19" s="22">
        <v>46.304462658280386</v>
      </c>
      <c r="L19" s="22">
        <v>-0.35190105295405516</v>
      </c>
      <c r="M19" s="21">
        <v>7.3368677267415947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57.449123125560902</v>
      </c>
      <c r="K20" s="22">
        <v>54.887500222617739</v>
      </c>
      <c r="L20" s="22">
        <v>-2.5616229029431636</v>
      </c>
      <c r="M20" s="21">
        <v>7.3368677267415947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92.205343440745878</v>
      </c>
      <c r="K21" s="22">
        <v>87.994565653552684</v>
      </c>
      <c r="L21" s="22">
        <v>-4.2107777871931944</v>
      </c>
      <c r="M21" s="21">
        <v>7.3368677267415947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172.25682437147825</v>
      </c>
      <c r="K22" s="22">
        <v>157.32388554251733</v>
      </c>
      <c r="L22" s="22">
        <v>-14.932938828960914</v>
      </c>
      <c r="M22" s="21">
        <v>7.3368677267415947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228.92762261829787</v>
      </c>
      <c r="K23" s="22">
        <v>222.07409497002104</v>
      </c>
      <c r="L23" s="22">
        <v>-6.8535276482768381</v>
      </c>
      <c r="M23" s="21">
        <v>7.3368677267415947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263.25640802103641</v>
      </c>
      <c r="K24" s="22">
        <v>245.98967276070016</v>
      </c>
      <c r="L24" s="22">
        <v>-17.266735260336247</v>
      </c>
      <c r="M24" s="21">
        <v>7.3368677267415947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300.29413244478542</v>
      </c>
      <c r="K25" s="22">
        <v>287.95824026366319</v>
      </c>
      <c r="L25" s="22">
        <v>-12.335892181122233</v>
      </c>
      <c r="M25" s="21">
        <v>7.3368677267415947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303.27934928812726</v>
      </c>
      <c r="K26" s="22">
        <v>361.38282997052386</v>
      </c>
      <c r="L26" s="22">
        <v>58.103480682396594</v>
      </c>
      <c r="M26" s="21">
        <v>7.3368677267415947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303.27934928812726</v>
      </c>
      <c r="K27" s="22">
        <v>398.8116371980218</v>
      </c>
      <c r="L27" s="22">
        <v>95.532287909894535</v>
      </c>
      <c r="M27" s="21">
        <v>35.450214843091715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303.27934928812726</v>
      </c>
      <c r="K28" s="22">
        <v>383.21368345790773</v>
      </c>
      <c r="L28" s="22">
        <v>79.93433416978047</v>
      </c>
      <c r="M28" s="21">
        <v>35.744983171834384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305.30649024552577</v>
      </c>
      <c r="K29" s="22">
        <v>362.92632072720983</v>
      </c>
      <c r="L29" s="22">
        <v>57.619830481684062</v>
      </c>
      <c r="M29" s="21">
        <v>35.744983171834384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306.39230537304292</v>
      </c>
      <c r="K30" s="22">
        <v>370.07104951315989</v>
      </c>
      <c r="L30" s="22">
        <v>63.678744140116976</v>
      </c>
      <c r="M30" s="21">
        <v>35.744983171834384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306.39230537304292</v>
      </c>
      <c r="K31" s="22">
        <v>389.3797207243166</v>
      </c>
      <c r="L31" s="22">
        <v>82.987415351273683</v>
      </c>
      <c r="M31" s="21">
        <v>36.397603084667509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306.39230537304292</v>
      </c>
      <c r="K32" s="22">
        <v>402.94222878327179</v>
      </c>
      <c r="L32" s="22">
        <v>96.549923410228871</v>
      </c>
      <c r="M32" s="21">
        <v>47.45242448752122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306.39230537304292</v>
      </c>
      <c r="K33" s="22">
        <v>422.32628821906735</v>
      </c>
      <c r="L33" s="22">
        <v>115.93398284602443</v>
      </c>
      <c r="M33" s="21">
        <v>70.054702775703447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306.39230537304292</v>
      </c>
      <c r="K34" s="22">
        <v>418.09772809832526</v>
      </c>
      <c r="L34" s="22">
        <v>111.70542272528235</v>
      </c>
      <c r="M34" s="21">
        <v>80.496348835428833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306.39230537304292</v>
      </c>
      <c r="K35" s="22">
        <v>416.52015155971355</v>
      </c>
      <c r="L35" s="22">
        <v>110.12784618667064</v>
      </c>
      <c r="M35" s="21">
        <v>84.872021257419945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306.39230537304292</v>
      </c>
      <c r="K36" s="22">
        <v>442.98972064487316</v>
      </c>
      <c r="L36" s="22">
        <v>136.59741527183024</v>
      </c>
      <c r="M36" s="21">
        <v>103.24337240586956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306.39230537304292</v>
      </c>
      <c r="K37" s="22">
        <v>486.12273529086843</v>
      </c>
      <c r="L37" s="22">
        <v>179.73042991782552</v>
      </c>
      <c r="M37" s="21">
        <v>359.358246430637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306.39230537304292</v>
      </c>
      <c r="K38" s="22">
        <v>497.95800006871411</v>
      </c>
      <c r="L38" s="22">
        <v>191.5656946956712</v>
      </c>
      <c r="M38" s="21">
        <v>497.95800006871411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306.39230537304292</v>
      </c>
      <c r="K39" s="22">
        <v>497.95800006871411</v>
      </c>
      <c r="L39" s="22">
        <v>191.5656946956712</v>
      </c>
      <c r="M39" s="21">
        <v>497.95800006871411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306.39230537304292</v>
      </c>
      <c r="K40" s="22">
        <v>497.95800006871411</v>
      </c>
      <c r="L40" s="22">
        <v>191.5656946956712</v>
      </c>
      <c r="M40" s="21">
        <v>497.95800006871411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306.39230537304292</v>
      </c>
      <c r="K41" s="22">
        <v>497.95800006871411</v>
      </c>
      <c r="L41" s="22">
        <v>191.5656946956712</v>
      </c>
      <c r="M41" s="21">
        <v>497.95800006871411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306.39230537304292</v>
      </c>
      <c r="K42" s="22">
        <v>497.95800006871411</v>
      </c>
      <c r="L42" s="22">
        <v>191.5656946956712</v>
      </c>
      <c r="M42" s="21">
        <v>497.95800006871411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306.39230537304292</v>
      </c>
      <c r="K43" s="22">
        <v>497.95800006871411</v>
      </c>
      <c r="L43" s="22">
        <v>191.5656946956712</v>
      </c>
      <c r="M43" s="21">
        <v>497.95800006871411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306.39230537304292</v>
      </c>
      <c r="K44" s="22">
        <v>497.95800006871411</v>
      </c>
      <c r="L44" s="22">
        <v>191.5656946956712</v>
      </c>
      <c r="M44" s="21">
        <v>497.95800006871411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306.39230537304292</v>
      </c>
      <c r="K45" s="22">
        <v>497.95800006871411</v>
      </c>
      <c r="L45" s="22">
        <v>191.5656946956712</v>
      </c>
      <c r="M45" s="21">
        <v>497.95800006871411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306.39230537304292</v>
      </c>
      <c r="K46" s="22">
        <v>497.95800006871411</v>
      </c>
      <c r="L46" s="22">
        <v>191.5656946956712</v>
      </c>
      <c r="M46" s="21">
        <v>497.95800006871411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306.39230537304292</v>
      </c>
      <c r="K47" s="22">
        <v>497.95800006871411</v>
      </c>
      <c r="L47" s="22">
        <v>191.5656946956712</v>
      </c>
      <c r="M47" s="21">
        <v>497.95800006871411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306.39230537304292</v>
      </c>
      <c r="K48" s="22">
        <v>497.95800006871411</v>
      </c>
      <c r="L48" s="22">
        <v>191.5656946956712</v>
      </c>
      <c r="M48" s="21">
        <v>497.95800006871411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306.39230537304292</v>
      </c>
      <c r="K49" s="22">
        <v>497.95800006871411</v>
      </c>
      <c r="L49" s="22">
        <v>191.5656946956712</v>
      </c>
      <c r="M49" s="21">
        <v>497.95800006871411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306.39230537304292</v>
      </c>
      <c r="K50" s="22">
        <v>497.95800006871411</v>
      </c>
      <c r="L50" s="22">
        <v>191.5656946956712</v>
      </c>
      <c r="M50" s="21">
        <v>497.95800006871411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306.39230537304292</v>
      </c>
      <c r="K51" s="22">
        <v>497.95800006871411</v>
      </c>
      <c r="L51" s="22">
        <v>191.5656946956712</v>
      </c>
      <c r="M51" s="21">
        <v>497.95800006871411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306.39230537304292</v>
      </c>
      <c r="K52" s="22">
        <v>497.95800006871411</v>
      </c>
      <c r="L52" s="22">
        <v>191.5656946956712</v>
      </c>
      <c r="M52" s="21">
        <v>497.95800006871411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306.39230537304292</v>
      </c>
      <c r="K53" s="22">
        <v>497.95800006871411</v>
      </c>
      <c r="L53" s="22">
        <v>191.5656946956712</v>
      </c>
      <c r="M53" s="21">
        <v>497.95800006871411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306.39230537304292</v>
      </c>
      <c r="K54" s="22">
        <v>497.95800006871411</v>
      </c>
      <c r="L54" s="22">
        <v>191.5656946956712</v>
      </c>
      <c r="M54" s="21">
        <v>497.95800006871411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306.39230537304292</v>
      </c>
      <c r="K55" s="22">
        <v>497.95800006871411</v>
      </c>
      <c r="L55" s="22">
        <v>191.5656946956712</v>
      </c>
      <c r="M55" s="21">
        <v>497.95800006871411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306.39230537304292</v>
      </c>
      <c r="K56" s="22">
        <v>497.95800006871411</v>
      </c>
      <c r="L56" s="22">
        <v>191.5656946956712</v>
      </c>
      <c r="M56" s="21">
        <v>497.95800006871411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306.39230537304292</v>
      </c>
      <c r="K57" s="22">
        <v>497.95800006871411</v>
      </c>
      <c r="L57" s="22">
        <v>191.5656946956712</v>
      </c>
      <c r="M57" s="21">
        <v>497.95800006871411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306.39230537304292</v>
      </c>
      <c r="K58" s="22">
        <v>497.95800006871411</v>
      </c>
      <c r="L58" s="22">
        <v>191.5656946956712</v>
      </c>
      <c r="M58" s="21">
        <v>497.95800006871411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306.39230537304292</v>
      </c>
      <c r="K59" s="22">
        <v>497.95800006871411</v>
      </c>
      <c r="L59" s="22">
        <v>191.5656946956712</v>
      </c>
      <c r="M59" s="21">
        <v>497.95800006871411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306.39230537304292</v>
      </c>
      <c r="K60" s="22">
        <v>497.95800006871411</v>
      </c>
      <c r="L60" s="22">
        <v>191.5656946956712</v>
      </c>
      <c r="M60" s="21">
        <v>497.95800006871411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306.39230537304292</v>
      </c>
      <c r="K61" s="22">
        <v>497.95800006871411</v>
      </c>
      <c r="L61" s="22">
        <v>191.5656946956712</v>
      </c>
      <c r="M61" s="21">
        <v>497.95800006871411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306.39230537304292</v>
      </c>
      <c r="K62" s="22">
        <v>497.95800006871411</v>
      </c>
      <c r="L62" s="22">
        <v>191.5656946956712</v>
      </c>
      <c r="M62" s="21">
        <v>497.95800006871411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306.39230537304292</v>
      </c>
      <c r="K63" s="22">
        <v>497.95800006871411</v>
      </c>
      <c r="L63" s="22">
        <v>191.5656946956712</v>
      </c>
      <c r="M63" s="21">
        <v>497.95800006871411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307.29383953330063</v>
      </c>
      <c r="K64" s="22">
        <v>498.85953422897182</v>
      </c>
      <c r="L64" s="22">
        <v>191.5656946956712</v>
      </c>
      <c r="M64" s="21">
        <v>497.95800006871411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307.46386841096211</v>
      </c>
      <c r="K65" s="22">
        <v>499.06649148941165</v>
      </c>
      <c r="L65" s="22">
        <v>191.60262307844954</v>
      </c>
      <c r="M65" s="21">
        <v>497.95800006871411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307.46386841096211</v>
      </c>
      <c r="K66" s="22">
        <v>499.14804001097889</v>
      </c>
      <c r="L66" s="22">
        <v>191.68417160001678</v>
      </c>
      <c r="M66" s="21">
        <v>498.25357286912924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307.46386841096211</v>
      </c>
      <c r="K67" s="22">
        <v>499.11026572029095</v>
      </c>
      <c r="L67" s="22">
        <v>191.64639730932885</v>
      </c>
      <c r="M67" s="21">
        <v>498.25440122824045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308.24243503506432</v>
      </c>
      <c r="K68" s="22">
        <v>499.83329366891127</v>
      </c>
      <c r="L68" s="22">
        <v>191.59085863384695</v>
      </c>
      <c r="M68" s="21">
        <v>498.25440122824045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313.55625318420357</v>
      </c>
      <c r="K69" s="22">
        <v>505.00383153990776</v>
      </c>
      <c r="L69" s="22">
        <v>191.4475783557042</v>
      </c>
      <c r="M69" s="21">
        <v>498.25440122824045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316.40980136665678</v>
      </c>
      <c r="K70" s="22">
        <v>508.16777461444445</v>
      </c>
      <c r="L70" s="22">
        <v>191.75797324778767</v>
      </c>
      <c r="M70" s="21">
        <v>498.25440122824045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316.66711559676457</v>
      </c>
      <c r="K71" s="22">
        <v>508.74966109503436</v>
      </c>
      <c r="L71" s="22">
        <v>192.08254549826978</v>
      </c>
      <c r="M71" s="21">
        <v>498.25440122824045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317.47163111329627</v>
      </c>
      <c r="K72" s="22">
        <v>509.46861796063047</v>
      </c>
      <c r="L72" s="22">
        <v>191.9969868473342</v>
      </c>
      <c r="M72" s="21">
        <v>498.25440122824045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317.47163111329627</v>
      </c>
      <c r="K73" s="22">
        <v>510.72829733122541</v>
      </c>
      <c r="L73" s="22">
        <v>193.25666621792914</v>
      </c>
      <c r="M73" s="21">
        <v>498.33235018774388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317.47163111329627</v>
      </c>
      <c r="K74" s="22">
        <v>511.3491122835789</v>
      </c>
      <c r="L74" s="22">
        <v>193.87748117028264</v>
      </c>
      <c r="M74" s="21">
        <v>499.39496336616071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317.47163111329627</v>
      </c>
      <c r="K75" s="22">
        <v>513.14363571171555</v>
      </c>
      <c r="L75" s="22">
        <v>195.67200459841928</v>
      </c>
      <c r="M75" s="21">
        <v>513.14363571171555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317.47163111329627</v>
      </c>
      <c r="K76" s="22">
        <v>513.14363571171555</v>
      </c>
      <c r="L76" s="22">
        <v>195.67200459841928</v>
      </c>
      <c r="M76" s="21">
        <v>513.14363571171555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317.47163111329627</v>
      </c>
      <c r="K77" s="22">
        <v>513.14363571171555</v>
      </c>
      <c r="L77" s="22">
        <v>195.67200459841928</v>
      </c>
      <c r="M77" s="21">
        <v>513.14363571171555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317.47163111329627</v>
      </c>
      <c r="K78" s="22">
        <v>513.14363571171555</v>
      </c>
      <c r="L78" s="22">
        <v>195.67200459841928</v>
      </c>
      <c r="M78" s="21">
        <v>513.14363571171555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317.47163111329627</v>
      </c>
      <c r="K79" s="22">
        <v>513.14363571171555</v>
      </c>
      <c r="L79" s="22">
        <v>195.67200459841928</v>
      </c>
      <c r="M79" s="21">
        <v>513.14363571171555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317.47163111329627</v>
      </c>
      <c r="K80" s="22">
        <v>513.14363571171555</v>
      </c>
      <c r="L80" s="22">
        <v>195.67200459841928</v>
      </c>
      <c r="M80" s="21">
        <v>513.14363571171555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317.47163111329627</v>
      </c>
      <c r="K81" s="22">
        <v>513.14363571171555</v>
      </c>
      <c r="L81" s="22">
        <v>195.67200459841928</v>
      </c>
      <c r="M81" s="21">
        <v>513.14363571171555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317.69163418300059</v>
      </c>
      <c r="K82" s="22">
        <v>513.36363878141981</v>
      </c>
      <c r="L82" s="22">
        <v>195.67200459841922</v>
      </c>
      <c r="M82" s="21">
        <v>513.14363571171555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317.69698357629846</v>
      </c>
      <c r="K83" s="22">
        <v>513.37460049257663</v>
      </c>
      <c r="L83" s="22">
        <v>195.67761691627817</v>
      </c>
      <c r="M83" s="21">
        <v>513.14363571171555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317.71400645756421</v>
      </c>
      <c r="K84" s="22">
        <v>513.39124035259374</v>
      </c>
      <c r="L84" s="22">
        <v>195.67723389502953</v>
      </c>
      <c r="M84" s="21">
        <v>513.14363571171555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346.08354405632002</v>
      </c>
      <c r="K85" s="22">
        <v>541.71368371871426</v>
      </c>
      <c r="L85" s="22">
        <v>195.63013966239424</v>
      </c>
      <c r="M85" s="21">
        <v>513.14363571171555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346.30788375424851</v>
      </c>
      <c r="K86" s="22">
        <v>548.26738659766897</v>
      </c>
      <c r="L86" s="22">
        <v>201.95950284342047</v>
      </c>
      <c r="M86" s="21">
        <v>513.14363571171555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346.38742602055021</v>
      </c>
      <c r="K87" s="22">
        <v>548.3764212171784</v>
      </c>
      <c r="L87" s="22">
        <v>201.9889951966282</v>
      </c>
      <c r="M87" s="21">
        <v>513.14363571171555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346.38742602055021</v>
      </c>
      <c r="K88" s="22">
        <v>549.20403687766918</v>
      </c>
      <c r="L88" s="22">
        <v>202.81661085711897</v>
      </c>
      <c r="M88" s="21">
        <v>513.22414939129885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347.11379609210042</v>
      </c>
      <c r="K89" s="22">
        <v>547.89547876543384</v>
      </c>
      <c r="L89" s="22">
        <v>200.78168267333342</v>
      </c>
      <c r="M89" s="21">
        <v>513.22414939129885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347.79511155896887</v>
      </c>
      <c r="K90" s="22">
        <v>548.72740802734802</v>
      </c>
      <c r="L90" s="22">
        <v>200.93229646837915</v>
      </c>
      <c r="M90" s="21">
        <v>513.22414939129885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348.87658976517741</v>
      </c>
      <c r="K91" s="22">
        <v>549.53247485173995</v>
      </c>
      <c r="L91" s="22">
        <v>200.65588508656253</v>
      </c>
      <c r="M91" s="21">
        <v>513.22414939129885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366.38319454663912</v>
      </c>
      <c r="K92" s="22">
        <v>563.74695671141922</v>
      </c>
      <c r="L92" s="22">
        <v>197.3637621647801</v>
      </c>
      <c r="M92" s="21">
        <v>513.22414939129885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366.38319454663912</v>
      </c>
      <c r="K93" s="22">
        <v>576.0991291349651</v>
      </c>
      <c r="L93" s="22">
        <v>209.71593458832598</v>
      </c>
      <c r="M93" s="21">
        <v>538.11527957037993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366.38319454663912</v>
      </c>
      <c r="K94" s="22">
        <v>579.37662589030651</v>
      </c>
      <c r="L94" s="22">
        <v>212.9934313436674</v>
      </c>
      <c r="M94" s="21">
        <v>579.37662589030651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366.38319454663912</v>
      </c>
      <c r="K95" s="22">
        <v>579.37662589030651</v>
      </c>
      <c r="L95" s="22">
        <v>212.9934313436674</v>
      </c>
      <c r="M95" s="21">
        <v>579.37662589030651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366.38319454663912</v>
      </c>
      <c r="K96" s="22">
        <v>579.37662589030651</v>
      </c>
      <c r="L96" s="22">
        <v>212.9934313436674</v>
      </c>
      <c r="M96" s="21">
        <v>579.37662589030651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366.38319454663912</v>
      </c>
      <c r="K97" s="22">
        <v>579.37662589030651</v>
      </c>
      <c r="L97" s="22">
        <v>212.9934313436674</v>
      </c>
      <c r="M97" s="21">
        <v>579.37662589030651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366.38319454663912</v>
      </c>
      <c r="K98" s="22">
        <v>579.37662589030651</v>
      </c>
      <c r="L98" s="22">
        <v>212.9934313436674</v>
      </c>
      <c r="M98" s="21">
        <v>579.37662589030651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366.38319454663912</v>
      </c>
      <c r="K99" s="22">
        <v>579.37662589030651</v>
      </c>
      <c r="L99" s="22">
        <v>212.9934313436674</v>
      </c>
      <c r="M99" s="21">
        <v>579.37662589030651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366.38319454663912</v>
      </c>
      <c r="K100" s="22">
        <v>579.37662589030651</v>
      </c>
      <c r="L100" s="22">
        <v>212.9934313436674</v>
      </c>
      <c r="M100" s="21">
        <v>579.37662589030651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366.38319454663912</v>
      </c>
      <c r="K101" s="22">
        <v>579.37662589030651</v>
      </c>
      <c r="L101" s="22">
        <v>212.9934313436674</v>
      </c>
      <c r="M101" s="21">
        <v>579.37662589030651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366.38319454663912</v>
      </c>
      <c r="K102" s="22">
        <v>579.37662589030651</v>
      </c>
      <c r="L102" s="22">
        <v>212.9934313436674</v>
      </c>
      <c r="M102" s="21">
        <v>579.37662589030651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366.38319454663912</v>
      </c>
      <c r="K103" s="22">
        <v>579.37662589030651</v>
      </c>
      <c r="L103" s="22">
        <v>212.9934313436674</v>
      </c>
      <c r="M103" s="21">
        <v>579.37662589030651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366.38319454663912</v>
      </c>
      <c r="K104" s="22">
        <v>579.37662589030651</v>
      </c>
      <c r="L104" s="22">
        <v>212.9934313436674</v>
      </c>
      <c r="M104" s="21">
        <v>579.37662589030651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366.38319454663912</v>
      </c>
      <c r="K105" s="22">
        <v>579.37662589030651</v>
      </c>
      <c r="L105" s="22">
        <v>212.9934313436674</v>
      </c>
      <c r="M105" s="21">
        <v>579.37662589030651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366.38319454663912</v>
      </c>
      <c r="K106" s="22">
        <v>579.37662589030651</v>
      </c>
      <c r="L106" s="22">
        <v>212.9934313436674</v>
      </c>
      <c r="M106" s="21">
        <v>579.37662589030651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366.38319454663912</v>
      </c>
      <c r="K107" s="22">
        <v>579.37662589030651</v>
      </c>
      <c r="L107" s="22">
        <v>212.9934313436674</v>
      </c>
      <c r="M107" s="21">
        <v>579.37662589030651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366.38319454663912</v>
      </c>
      <c r="K108" s="22">
        <v>579.37662589030651</v>
      </c>
      <c r="L108" s="22">
        <v>212.9934313436674</v>
      </c>
      <c r="M108" s="21">
        <v>579.37662589030651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366.38319454663912</v>
      </c>
      <c r="K109" s="22">
        <v>579.37662589030651</v>
      </c>
      <c r="L109" s="22">
        <v>212.9934313436674</v>
      </c>
      <c r="M109" s="21">
        <v>579.37662589030651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model2(1)</vt:lpstr>
      <vt:lpstr>model2(1)&amp;RSI</vt:lpstr>
      <vt:lpstr>model2(1)&amp;KDJ</vt:lpstr>
      <vt:lpstr>model2(1)vol</vt:lpstr>
      <vt:lpstr>model2(2)</vt:lpstr>
      <vt:lpstr>model2(2)&amp;RSI</vt:lpstr>
      <vt:lpstr>model2(2)&amp;KDJ</vt:lpstr>
      <vt:lpstr>model2(2)vol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2026-03-31T10:58:17Z</dcterms:modified>
</cp:coreProperties>
</file>