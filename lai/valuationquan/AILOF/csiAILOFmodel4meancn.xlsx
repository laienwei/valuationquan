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D4" i="24"/>
  <c r="AE4" i="24" s="1"/>
  <c r="AA4" i="24"/>
  <c r="AB4" i="24" s="1"/>
  <c r="AG4" i="24"/>
  <c r="AH4" i="24" s="1"/>
  <c r="AD5" i="24" l="1"/>
  <c r="AE5" i="24" s="1"/>
  <c r="AG5" i="24"/>
  <c r="AH5" i="24" s="1"/>
  <c r="AA5" i="24"/>
  <c r="AB5" i="24" s="1"/>
  <c r="AG5" i="26"/>
  <c r="AH5" i="26" s="1"/>
  <c r="AD5" i="26"/>
  <c r="AE5" i="26" s="1"/>
  <c r="AA5" i="26"/>
  <c r="AB5" i="26" s="1"/>
  <c r="AB7" i="24" l="1"/>
  <c r="AB7" i="26" l="1"/>
  <c r="AG6" i="26" l="1"/>
  <c r="AH6" i="26" s="1"/>
  <c r="AD6" i="26"/>
  <c r="AE6" i="26" s="1"/>
  <c r="AD6" i="24"/>
  <c r="AE6" i="24" s="1"/>
  <c r="AG6" i="24"/>
  <c r="AH6" i="24" s="1"/>
  <c r="AE8" i="24" l="1"/>
  <c r="AE8" i="26" l="1"/>
  <c r="AG7" i="26" l="1"/>
  <c r="AH7" i="26" s="1"/>
  <c r="AG7" i="24" l="1"/>
  <c r="AH7" i="24" s="1"/>
  <c r="AH9" i="24" l="1"/>
  <c r="AH9" i="26" l="1"/>
  <c r="G3" i="24" l="1"/>
  <c r="G3" i="26" l="1"/>
</calcChain>
</file>

<file path=xl/sharedStrings.xml><?xml version="1.0" encoding="utf-8"?>
<sst xmlns="http://schemas.openxmlformats.org/spreadsheetml/2006/main" count="182" uniqueCount="38">
  <si>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</si>
  <si>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</si>
  <si>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</si>
  <si>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</si>
  <si>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</si>
  <si>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</si>
  <si>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</si>
  <si>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</si>
  <si>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</si>
  <si>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</si>
  <si>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</si>
  <si>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</si>
  <si>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</si>
  <si>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</si>
  <si>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</si>
  <si>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</si>
  <si>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</si>
  <si>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</si>
  <si>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</si>
  <si>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</si>
  <si>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人工智能产业LOF</t>
    <phoneticPr fontId="6" type="noConversion"/>
  </si>
  <si>
    <t>均线</t>
    <phoneticPr fontId="6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</si>
  <si>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</si>
  <si>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</si>
  <si>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</si>
  <si>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</si>
  <si>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</si>
  <si>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</si>
  <si>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</si>
  <si>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</si>
  <si>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</si>
  <si>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</si>
  <si>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</si>
  <si>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均线</t>
    <phoneticPr fontId="6" type="noConversion"/>
  </si>
  <si>
    <t>日期</t>
    <phoneticPr fontId="6" type="noConversion"/>
  </si>
  <si>
    <t>人工智能产业LOF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</si>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</sst>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13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  <c:pt idx="110">
                  <c:v>782.67846849814737</c:v>
                </c:pt>
                <c:pt idx="111">
                  <c:v>782.67846849814737</c:v>
                </c:pt>
                <c:pt idx="112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13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  <c:pt idx="107">
                  <c:v>1240.6008762862457</c:v>
                </c:pt>
                <c:pt idx="108">
                  <c:v>1240.6008762862457</c:v>
                </c:pt>
                <c:pt idx="109">
                  <c:v>1240.6008762862457</c:v>
                </c:pt>
                <c:pt idx="110">
                  <c:v>1240.6008762862457</c:v>
                </c:pt>
                <c:pt idx="111">
                  <c:v>1240.6008762862457</c:v>
                </c:pt>
                <c:pt idx="112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  <c:pt idx="107">
                  <c:v>457.92240778809833</c:v>
                </c:pt>
                <c:pt idx="108">
                  <c:v>457.92240778809833</c:v>
                </c:pt>
                <c:pt idx="109">
                  <c:v>457.92240778809833</c:v>
                </c:pt>
                <c:pt idx="110">
                  <c:v>457.92240778809833</c:v>
                </c:pt>
                <c:pt idx="111">
                  <c:v>457.92240778809833</c:v>
                </c:pt>
                <c:pt idx="112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387456"/>
        <c:axId val="458389376"/>
      </c:lineChart>
      <c:dateAx>
        <c:axId val="4583874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389376"/>
        <c:crosses val="autoZero"/>
        <c:auto val="1"/>
        <c:lblOffset val="100"/>
        <c:baseTimeUnit val="days"/>
      </c:dateAx>
      <c:valAx>
        <c:axId val="45838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3874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13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  <c:pt idx="110">
                  <c:v>1081.9760781597654</c:v>
                </c:pt>
                <c:pt idx="111">
                  <c:v>1081.9760781597654</c:v>
                </c:pt>
                <c:pt idx="112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13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  <c:pt idx="110">
                  <c:v>1938.211964032281</c:v>
                </c:pt>
                <c:pt idx="111">
                  <c:v>1938.211964032281</c:v>
                </c:pt>
                <c:pt idx="112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  <c:pt idx="110">
                  <c:v>856.23588587251561</c:v>
                </c:pt>
                <c:pt idx="111">
                  <c:v>856.23588587251561</c:v>
                </c:pt>
                <c:pt idx="112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387264"/>
        <c:axId val="508953728"/>
      </c:lineChart>
      <c:dateAx>
        <c:axId val="4633872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953728"/>
        <c:crosses val="autoZero"/>
        <c:auto val="1"/>
        <c:lblOffset val="100"/>
        <c:baseTimeUnit val="days"/>
      </c:dateAx>
      <c:valAx>
        <c:axId val="50895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3872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13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  <c:pt idx="110">
                  <c:v>717.1927699657906</c:v>
                </c:pt>
                <c:pt idx="111">
                  <c:v>717.1927699657906</c:v>
                </c:pt>
                <c:pt idx="112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13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  <c:pt idx="110">
                  <c:v>1152.2841821809159</c:v>
                </c:pt>
                <c:pt idx="111">
                  <c:v>1152.2841821809159</c:v>
                </c:pt>
                <c:pt idx="112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  <c:pt idx="110">
                  <c:v>435.09141221512527</c:v>
                </c:pt>
                <c:pt idx="111">
                  <c:v>435.09141221512527</c:v>
                </c:pt>
                <c:pt idx="112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865472"/>
        <c:axId val="533148800"/>
      </c:lineChart>
      <c:dateAx>
        <c:axId val="5238654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148800"/>
        <c:crosses val="autoZero"/>
        <c:auto val="1"/>
        <c:lblOffset val="100"/>
        <c:baseTimeUnit val="days"/>
      </c:dateAx>
      <c:valAx>
        <c:axId val="53314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8654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13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  <c:pt idx="107">
                  <c:v>366.42697665235454</c:v>
                </c:pt>
                <c:pt idx="108">
                  <c:v>366.42697665235454</c:v>
                </c:pt>
                <c:pt idx="109">
                  <c:v>366.42697665235454</c:v>
                </c:pt>
                <c:pt idx="110">
                  <c:v>366.42697665235454</c:v>
                </c:pt>
                <c:pt idx="111">
                  <c:v>366.42697665235454</c:v>
                </c:pt>
                <c:pt idx="112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13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  <c:pt idx="107">
                  <c:v>579.4237932103814</c:v>
                </c:pt>
                <c:pt idx="108">
                  <c:v>579.4237932103814</c:v>
                </c:pt>
                <c:pt idx="109">
                  <c:v>579.4237932103814</c:v>
                </c:pt>
                <c:pt idx="110">
                  <c:v>579.4237932103814</c:v>
                </c:pt>
                <c:pt idx="111">
                  <c:v>579.4237932103814</c:v>
                </c:pt>
                <c:pt idx="112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  <c:pt idx="107">
                  <c:v>212.99681655802686</c:v>
                </c:pt>
                <c:pt idx="108">
                  <c:v>212.99681655802686</c:v>
                </c:pt>
                <c:pt idx="109">
                  <c:v>212.99681655802686</c:v>
                </c:pt>
                <c:pt idx="110">
                  <c:v>212.99681655802686</c:v>
                </c:pt>
                <c:pt idx="111">
                  <c:v>212.99681655802686</c:v>
                </c:pt>
                <c:pt idx="112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259456"/>
        <c:axId val="538262144"/>
      </c:lineChart>
      <c:dateAx>
        <c:axId val="5382594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262144"/>
        <c:crosses val="autoZero"/>
        <c:auto val="1"/>
        <c:lblOffset val="100"/>
        <c:baseTimeUnit val="days"/>
      </c:dateAx>
      <c:valAx>
        <c:axId val="53826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2594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13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  <c:pt idx="107">
                  <c:v>155.51321719002138</c:v>
                </c:pt>
                <c:pt idx="108">
                  <c:v>155.51321719002138</c:v>
                </c:pt>
                <c:pt idx="109">
                  <c:v>155.51321719002138</c:v>
                </c:pt>
                <c:pt idx="110">
                  <c:v>155.51321719002138</c:v>
                </c:pt>
                <c:pt idx="111">
                  <c:v>155.51321719002138</c:v>
                </c:pt>
                <c:pt idx="112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13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  <c:pt idx="107">
                  <c:v>260.7091440429981</c:v>
                </c:pt>
                <c:pt idx="108">
                  <c:v>260.7091440429981</c:v>
                </c:pt>
                <c:pt idx="109">
                  <c:v>260.7091440429981</c:v>
                </c:pt>
                <c:pt idx="110">
                  <c:v>260.7091440429981</c:v>
                </c:pt>
                <c:pt idx="111">
                  <c:v>260.7091440429981</c:v>
                </c:pt>
                <c:pt idx="112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  <c:pt idx="107">
                  <c:v>105.19592685297673</c:v>
                </c:pt>
                <c:pt idx="108">
                  <c:v>105.19592685297673</c:v>
                </c:pt>
                <c:pt idx="109">
                  <c:v>105.19592685297673</c:v>
                </c:pt>
                <c:pt idx="110">
                  <c:v>105.19592685297673</c:v>
                </c:pt>
                <c:pt idx="111">
                  <c:v>105.19592685297673</c:v>
                </c:pt>
                <c:pt idx="112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484096"/>
        <c:axId val="538506368"/>
      </c:lineChart>
      <c:dateAx>
        <c:axId val="5384840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506368"/>
        <c:crosses val="autoZero"/>
        <c:auto val="1"/>
        <c:lblOffset val="100"/>
        <c:baseTimeUnit val="days"/>
      </c:dateAx>
      <c:valAx>
        <c:axId val="53850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84840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13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  <c:pt idx="107">
                  <c:v>228.82879320428773</c:v>
                </c:pt>
                <c:pt idx="108">
                  <c:v>228.82879320428773</c:v>
                </c:pt>
                <c:pt idx="109">
                  <c:v>228.82879320428773</c:v>
                </c:pt>
                <c:pt idx="110">
                  <c:v>228.82879320428773</c:v>
                </c:pt>
                <c:pt idx="111">
                  <c:v>228.82879320428773</c:v>
                </c:pt>
                <c:pt idx="112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13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  <c:pt idx="107">
                  <c:v>425.75844436164391</c:v>
                </c:pt>
                <c:pt idx="108">
                  <c:v>425.75844436164391</c:v>
                </c:pt>
                <c:pt idx="109">
                  <c:v>425.75844436164391</c:v>
                </c:pt>
                <c:pt idx="110">
                  <c:v>425.75844436164391</c:v>
                </c:pt>
                <c:pt idx="111">
                  <c:v>425.75844436164391</c:v>
                </c:pt>
                <c:pt idx="112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  <c:pt idx="107">
                  <c:v>196.92965115735618</c:v>
                </c:pt>
                <c:pt idx="108">
                  <c:v>196.92965115735618</c:v>
                </c:pt>
                <c:pt idx="109">
                  <c:v>196.92965115735618</c:v>
                </c:pt>
                <c:pt idx="110">
                  <c:v>196.92965115735618</c:v>
                </c:pt>
                <c:pt idx="111">
                  <c:v>196.92965115735618</c:v>
                </c:pt>
                <c:pt idx="112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9372160"/>
        <c:axId val="539419392"/>
      </c:lineChart>
      <c:dateAx>
        <c:axId val="5393721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419392"/>
        <c:crosses val="autoZero"/>
        <c:auto val="1"/>
        <c:lblOffset val="100"/>
        <c:baseTimeUnit val="days"/>
      </c:dateAx>
      <c:valAx>
        <c:axId val="53941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93721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13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  <c:pt idx="107">
                  <c:v>143.77000931573409</c:v>
                </c:pt>
                <c:pt idx="108">
                  <c:v>143.77000931573409</c:v>
                </c:pt>
                <c:pt idx="109">
                  <c:v>143.77000931573409</c:v>
                </c:pt>
                <c:pt idx="110">
                  <c:v>143.77000931573409</c:v>
                </c:pt>
                <c:pt idx="111">
                  <c:v>143.77000931573409</c:v>
                </c:pt>
                <c:pt idx="112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13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  <c:pt idx="107">
                  <c:v>242.17499191669597</c:v>
                </c:pt>
                <c:pt idx="108">
                  <c:v>242.17499191669597</c:v>
                </c:pt>
                <c:pt idx="109">
                  <c:v>242.17499191669597</c:v>
                </c:pt>
                <c:pt idx="110">
                  <c:v>242.17499191669597</c:v>
                </c:pt>
                <c:pt idx="111">
                  <c:v>242.17499191669597</c:v>
                </c:pt>
                <c:pt idx="112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  <c:pt idx="107">
                  <c:v>98.404982600961887</c:v>
                </c:pt>
                <c:pt idx="108">
                  <c:v>98.404982600961887</c:v>
                </c:pt>
                <c:pt idx="109">
                  <c:v>98.404982600961887</c:v>
                </c:pt>
                <c:pt idx="110">
                  <c:v>98.404982600961887</c:v>
                </c:pt>
                <c:pt idx="111">
                  <c:v>98.404982600961887</c:v>
                </c:pt>
                <c:pt idx="112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313920"/>
        <c:axId val="459315456"/>
      </c:lineChart>
      <c:dateAx>
        <c:axId val="45931392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315456"/>
        <c:crosses val="autoZero"/>
        <c:auto val="1"/>
        <c:lblOffset val="100"/>
        <c:baseTimeUnit val="days"/>
      </c:dateAx>
      <c:valAx>
        <c:axId val="45931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31392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13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  <c:pt idx="107">
                  <c:v>75.378225802571194</c:v>
                </c:pt>
                <c:pt idx="108">
                  <c:v>75.378225802571194</c:v>
                </c:pt>
                <c:pt idx="109">
                  <c:v>75.378225802571194</c:v>
                </c:pt>
                <c:pt idx="110">
                  <c:v>75.378225802571194</c:v>
                </c:pt>
                <c:pt idx="111">
                  <c:v>75.378225802571194</c:v>
                </c:pt>
                <c:pt idx="112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13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  <c:pt idx="107">
                  <c:v>125.02031660046136</c:v>
                </c:pt>
                <c:pt idx="108">
                  <c:v>125.02031660046136</c:v>
                </c:pt>
                <c:pt idx="109">
                  <c:v>125.02031660046136</c:v>
                </c:pt>
                <c:pt idx="110">
                  <c:v>125.02031660046136</c:v>
                </c:pt>
                <c:pt idx="111">
                  <c:v>125.02031660046136</c:v>
                </c:pt>
                <c:pt idx="112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1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  <c:pt idx="112">
                  <c:v>46265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13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  <c:pt idx="107">
                  <c:v>49.642090797890162</c:v>
                </c:pt>
                <c:pt idx="108">
                  <c:v>49.642090797890162</c:v>
                </c:pt>
                <c:pt idx="109">
                  <c:v>49.642090797890162</c:v>
                </c:pt>
                <c:pt idx="110">
                  <c:v>49.642090797890162</c:v>
                </c:pt>
                <c:pt idx="111">
                  <c:v>49.642090797890162</c:v>
                </c:pt>
                <c:pt idx="112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398784"/>
        <c:axId val="463400320"/>
      </c:lineChart>
      <c:dateAx>
        <c:axId val="4633987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400320"/>
        <c:crosses val="autoZero"/>
        <c:auto val="1"/>
        <c:lblOffset val="100"/>
        <c:baseTimeUnit val="days"/>
      </c:dateAx>
      <c:valAx>
        <c:axId val="46340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398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1240.6008762862457</v>
      </c>
      <c r="J111" s="22">
        <v>457.92240778809833</v>
      </c>
      <c r="K111" s="21">
        <v>1240.6008762862457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1240.6008762862457</v>
      </c>
      <c r="J112" s="22">
        <v>457.92240778809833</v>
      </c>
      <c r="K112" s="21">
        <v>1240.6008762862457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1240.6008762862457</v>
      </c>
      <c r="J113" s="22">
        <v>457.92240778809833</v>
      </c>
      <c r="K113" s="21">
        <v>1240.6008762862457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782.67846849814737</v>
      </c>
      <c r="I114" s="22">
        <v>1240.6008762862457</v>
      </c>
      <c r="J114" s="22">
        <v>457.92240778809833</v>
      </c>
      <c r="K114" s="21">
        <v>1240.6008762862457</v>
      </c>
    </row>
    <row r="115" spans="1:11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782.67846849814737</v>
      </c>
      <c r="I115" s="22">
        <v>1240.6008762862457</v>
      </c>
      <c r="J115" s="22">
        <v>457.92240778809833</v>
      </c>
      <c r="K115" s="21">
        <v>1240.6008762862457</v>
      </c>
    </row>
    <row r="116" spans="1:11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782.67846849814737</v>
      </c>
      <c r="I116" s="22">
        <v>1240.6008762862457</v>
      </c>
      <c r="J116" s="22">
        <v>457.92240778809833</v>
      </c>
      <c r="K116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23</v>
      </c>
      <c r="B1" s="30" t="s">
        <v>24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25</v>
      </c>
      <c r="M1" s="14" t="s">
        <v>26</v>
      </c>
      <c r="N1" s="14" t="s">
        <v>27</v>
      </c>
      <c r="O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1081.9760781597654</v>
      </c>
      <c r="I114" s="22">
        <v>1938.211964032281</v>
      </c>
      <c r="J114" s="22">
        <v>856.23588587251561</v>
      </c>
      <c r="K114" s="21">
        <v>1938.211964032281</v>
      </c>
      <c r="L114" s="26">
        <v>0.22298399794060811</v>
      </c>
      <c r="M114" s="27">
        <v>0.27636018590033579</v>
      </c>
      <c r="N114" s="27">
        <v>80.686006638099158</v>
      </c>
      <c r="O114" s="27">
        <v>0.2</v>
      </c>
    </row>
    <row r="115" spans="1:15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1081.9760781597654</v>
      </c>
      <c r="I115" s="22">
        <v>1938.211964032281</v>
      </c>
      <c r="J115" s="22">
        <v>856.23588587251561</v>
      </c>
      <c r="K115" s="21">
        <v>1938.211964032281</v>
      </c>
      <c r="L115" s="26">
        <v>0.1858199982838401</v>
      </c>
      <c r="M115" s="27">
        <v>0.33763349715124008</v>
      </c>
      <c r="N115" s="27">
        <v>55.036007935137903</v>
      </c>
      <c r="O115" s="27">
        <v>1</v>
      </c>
    </row>
    <row r="116" spans="1:15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1081.9760781597654</v>
      </c>
      <c r="I116" s="22">
        <v>1938.211964032281</v>
      </c>
      <c r="J116" s="22">
        <v>856.23588587251561</v>
      </c>
      <c r="K116" s="21">
        <v>1938.211964032281</v>
      </c>
      <c r="L116" s="26">
        <v>0.15551665665346456</v>
      </c>
      <c r="M116" s="27">
        <v>0.28202790570963121</v>
      </c>
      <c r="N116" s="27">
        <v>55.142293902497926</v>
      </c>
      <c r="O116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717.1927699657906</v>
      </c>
      <c r="I114" s="22">
        <v>1152.2841821809159</v>
      </c>
      <c r="J114" s="22">
        <v>435.09141221512527</v>
      </c>
      <c r="K114" s="21">
        <v>1152.2841821809159</v>
      </c>
      <c r="L114" s="26">
        <v>99.924817475329945</v>
      </c>
      <c r="M114" s="27">
        <v>87.572495182046978</v>
      </c>
      <c r="N114" s="27">
        <v>80.545329999757996</v>
      </c>
      <c r="O114" s="27">
        <v>101.62682554662496</v>
      </c>
      <c r="P114" s="27">
        <v>0.95</v>
      </c>
    </row>
    <row r="115" spans="1:16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717.1927699657906</v>
      </c>
      <c r="I115" s="22">
        <v>1152.2841821809159</v>
      </c>
      <c r="J115" s="22">
        <v>435.09141221512527</v>
      </c>
      <c r="K115" s="21">
        <v>1152.2841821809159</v>
      </c>
      <c r="L115" s="26">
        <v>48.239429998294135</v>
      </c>
      <c r="M115" s="27">
        <v>74.461473454129361</v>
      </c>
      <c r="N115" s="27">
        <v>78.51737781788178</v>
      </c>
      <c r="O115" s="27">
        <v>66.349664726624525</v>
      </c>
      <c r="P115" s="27">
        <v>0.95</v>
      </c>
    </row>
    <row r="116" spans="1:16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717.1927699657906</v>
      </c>
      <c r="I116" s="22">
        <v>1152.2841821809159</v>
      </c>
      <c r="J116" s="22">
        <v>435.09141221512527</v>
      </c>
      <c r="K116" s="21">
        <v>1152.2841821809159</v>
      </c>
      <c r="L116" s="26">
        <v>44.283524022760979</v>
      </c>
      <c r="M116" s="27">
        <v>64.40215697700657</v>
      </c>
      <c r="N116" s="27">
        <v>73.812304204256705</v>
      </c>
      <c r="O116" s="27">
        <v>45.581862522506299</v>
      </c>
      <c r="P116" s="27">
        <v>0.2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34</v>
      </c>
      <c r="B1" s="30" t="s">
        <v>35</v>
      </c>
      <c r="C1" s="30" t="s">
        <v>21</v>
      </c>
      <c r="D1" s="13" t="s">
        <v>36</v>
      </c>
      <c r="E1" s="13" t="s">
        <v>37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366.42697665235454</v>
      </c>
      <c r="K111" s="22">
        <v>579.4237932103814</v>
      </c>
      <c r="L111" s="22">
        <v>212.99681655802686</v>
      </c>
      <c r="M111" s="21">
        <v>579.4237932103814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366.42697665235454</v>
      </c>
      <c r="K112" s="22">
        <v>579.4237932103814</v>
      </c>
      <c r="L112" s="22">
        <v>212.99681655802686</v>
      </c>
      <c r="M112" s="21">
        <v>579.4237932103814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366.42697665235454</v>
      </c>
      <c r="K113" s="22">
        <v>579.4237932103814</v>
      </c>
      <c r="L113" s="22">
        <v>212.99681655802686</v>
      </c>
      <c r="M113" s="21">
        <v>579.4237932103814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366.42697665235454</v>
      </c>
      <c r="K114" s="22">
        <v>579.4237932103814</v>
      </c>
      <c r="L114" s="22">
        <v>212.99681655802686</v>
      </c>
      <c r="M114" s="21">
        <v>579.4237932103814</v>
      </c>
    </row>
    <row r="115" spans="1:13" ht="12.75">
      <c r="A115" s="15">
        <v>46234</v>
      </c>
      <c r="B115" s="25">
        <v>2.8029999732971191</v>
      </c>
      <c r="C115" s="20">
        <v>1.373083331676451</v>
      </c>
      <c r="D115" s="20">
        <v>842345</v>
      </c>
      <c r="E115" s="20">
        <v>1833164.83510292</v>
      </c>
      <c r="F115" s="21">
        <v>0</v>
      </c>
      <c r="G115" s="22">
        <v>0</v>
      </c>
      <c r="H115" s="22">
        <v>0</v>
      </c>
      <c r="I115" s="22">
        <v>0</v>
      </c>
      <c r="J115" s="22">
        <v>366.42697665235454</v>
      </c>
      <c r="K115" s="22">
        <v>579.4237932103814</v>
      </c>
      <c r="L115" s="22">
        <v>212.99681655802686</v>
      </c>
      <c r="M115" s="21">
        <v>579.4237932103814</v>
      </c>
    </row>
    <row r="116" spans="1:13" ht="12.75">
      <c r="A116" s="15">
        <v>46265</v>
      </c>
      <c r="B116" s="25">
        <v>2.8069999217987061</v>
      </c>
      <c r="C116" s="20">
        <v>1.3865164672617438</v>
      </c>
      <c r="D116" s="20">
        <v>934559.9375</v>
      </c>
      <c r="E116" s="20">
        <v>1822584.096999204</v>
      </c>
      <c r="F116" s="21">
        <v>0</v>
      </c>
      <c r="G116" s="22">
        <v>0</v>
      </c>
      <c r="H116" s="22">
        <v>0</v>
      </c>
      <c r="I116" s="22">
        <v>0</v>
      </c>
      <c r="J116" s="22">
        <v>366.42697665235454</v>
      </c>
      <c r="K116" s="22">
        <v>579.4237932103814</v>
      </c>
      <c r="L116" s="22">
        <v>212.99681655802686</v>
      </c>
      <c r="M116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20</v>
      </c>
      <c r="C1" s="30" t="s">
        <v>21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155.51321719002138</v>
      </c>
      <c r="I111" s="22">
        <v>260.7091440429981</v>
      </c>
      <c r="J111" s="22">
        <v>105.19592685297673</v>
      </c>
      <c r="K111" s="21">
        <v>260.7091440429981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155.51321719002138</v>
      </c>
      <c r="I112" s="22">
        <v>260.7091440429981</v>
      </c>
      <c r="J112" s="22">
        <v>105.19592685297673</v>
      </c>
      <c r="K112" s="21">
        <v>260.7091440429981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155.51321719002138</v>
      </c>
      <c r="I113" s="22">
        <v>260.7091440429981</v>
      </c>
      <c r="J113" s="22">
        <v>105.19592685297673</v>
      </c>
      <c r="K113" s="21">
        <v>260.7091440429981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155.51321719002138</v>
      </c>
      <c r="I114" s="22">
        <v>260.7091440429981</v>
      </c>
      <c r="J114" s="22">
        <v>105.19592685297673</v>
      </c>
      <c r="K114" s="21">
        <v>260.7091440429981</v>
      </c>
    </row>
    <row r="115" spans="1:11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155.51321719002138</v>
      </c>
      <c r="I115" s="22">
        <v>260.7091440429981</v>
      </c>
      <c r="J115" s="22">
        <v>105.19592685297673</v>
      </c>
      <c r="K115" s="21">
        <v>260.7091440429981</v>
      </c>
    </row>
    <row r="116" spans="1:11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155.51321719002138</v>
      </c>
      <c r="I116" s="22">
        <v>260.7091440429981</v>
      </c>
      <c r="J116" s="22">
        <v>105.19592685297673</v>
      </c>
      <c r="K116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25</v>
      </c>
      <c r="M1" s="14" t="s">
        <v>26</v>
      </c>
      <c r="N1" s="14" t="s">
        <v>27</v>
      </c>
      <c r="O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228.82879320428773</v>
      </c>
      <c r="I111" s="22">
        <v>425.75844436164391</v>
      </c>
      <c r="J111" s="22">
        <v>196.92965115735618</v>
      </c>
      <c r="K111" s="21">
        <v>425.75844436164391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228.82879320428773</v>
      </c>
      <c r="I112" s="22">
        <v>425.75844436164391</v>
      </c>
      <c r="J112" s="22">
        <v>196.92965115735618</v>
      </c>
      <c r="K112" s="21">
        <v>425.75844436164391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228.82879320428773</v>
      </c>
      <c r="I113" s="22">
        <v>425.75844436164391</v>
      </c>
      <c r="J113" s="22">
        <v>196.92965115735618</v>
      </c>
      <c r="K113" s="21">
        <v>425.75844436164391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1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228.82879320428773</v>
      </c>
      <c r="I114" s="22">
        <v>425.75844436164391</v>
      </c>
      <c r="J114" s="22">
        <v>196.92965115735618</v>
      </c>
      <c r="K114" s="21">
        <v>425.75844436164391</v>
      </c>
      <c r="L114" s="26">
        <v>0.22298399794060811</v>
      </c>
      <c r="M114" s="27">
        <v>0.27636018590033579</v>
      </c>
      <c r="N114" s="27">
        <v>80.686006638099158</v>
      </c>
      <c r="O114" s="27">
        <v>0.2</v>
      </c>
    </row>
    <row r="115" spans="1:15" ht="12.75">
      <c r="A115" s="15">
        <v>46234</v>
      </c>
      <c r="B115" s="25">
        <v>2.8029999732971191</v>
      </c>
      <c r="C115" s="21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228.82879320428773</v>
      </c>
      <c r="I115" s="22">
        <v>425.75844436164391</v>
      </c>
      <c r="J115" s="22">
        <v>196.92965115735618</v>
      </c>
      <c r="K115" s="21">
        <v>425.75844436164391</v>
      </c>
      <c r="L115" s="26">
        <v>0.1858199982838401</v>
      </c>
      <c r="M115" s="27">
        <v>0.33763349715124008</v>
      </c>
      <c r="N115" s="27">
        <v>55.036007935137903</v>
      </c>
      <c r="O115" s="27">
        <v>1</v>
      </c>
    </row>
    <row r="116" spans="1:15" ht="12.75">
      <c r="A116" s="15">
        <v>46265</v>
      </c>
      <c r="B116" s="25">
        <v>2.8069999217987061</v>
      </c>
      <c r="C116" s="21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228.82879320428773</v>
      </c>
      <c r="I116" s="22">
        <v>425.75844436164391</v>
      </c>
      <c r="J116" s="22">
        <v>196.92965115735618</v>
      </c>
      <c r="K116" s="21">
        <v>425.75844436164391</v>
      </c>
      <c r="L116" s="26">
        <v>0.15551665665346456</v>
      </c>
      <c r="M116" s="27">
        <v>0.28202790570963121</v>
      </c>
      <c r="N116" s="27">
        <v>55.142293902497926</v>
      </c>
      <c r="O116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23</v>
      </c>
      <c r="B1" s="30" t="s">
        <v>24</v>
      </c>
      <c r="C1" s="30" t="s">
        <v>33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29</v>
      </c>
      <c r="M1" s="14" t="s">
        <v>30</v>
      </c>
      <c r="N1" s="14" t="s">
        <v>31</v>
      </c>
      <c r="O1" s="14" t="s">
        <v>32</v>
      </c>
      <c r="P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143.77000931573409</v>
      </c>
      <c r="I111" s="22">
        <v>242.17499191669597</v>
      </c>
      <c r="J111" s="22">
        <v>98.404982600961887</v>
      </c>
      <c r="K111" s="21">
        <v>242.17499191669597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143.77000931573409</v>
      </c>
      <c r="I112" s="22">
        <v>242.17499191669597</v>
      </c>
      <c r="J112" s="22">
        <v>98.404982600961887</v>
      </c>
      <c r="K112" s="21">
        <v>242.17499191669597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143.77000931573409</v>
      </c>
      <c r="I113" s="22">
        <v>242.17499191669597</v>
      </c>
      <c r="J113" s="22">
        <v>98.404982600961887</v>
      </c>
      <c r="K113" s="21">
        <v>242.17499191669597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143.77000931573409</v>
      </c>
      <c r="I114" s="22">
        <v>242.17499191669597</v>
      </c>
      <c r="J114" s="22">
        <v>98.404982600961887</v>
      </c>
      <c r="K114" s="21">
        <v>242.17499191669597</v>
      </c>
      <c r="L114" s="26">
        <v>99.924817475329945</v>
      </c>
      <c r="M114" s="27">
        <v>87.572495182046978</v>
      </c>
      <c r="N114" s="27">
        <v>80.545329999757996</v>
      </c>
      <c r="O114" s="27">
        <v>101.62682554662496</v>
      </c>
      <c r="P114" s="27">
        <v>0.95</v>
      </c>
    </row>
    <row r="115" spans="1:16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143.77000931573409</v>
      </c>
      <c r="I115" s="22">
        <v>242.17499191669597</v>
      </c>
      <c r="J115" s="22">
        <v>98.404982600961887</v>
      </c>
      <c r="K115" s="21">
        <v>242.17499191669597</v>
      </c>
      <c r="L115" s="26">
        <v>48.239429998294135</v>
      </c>
      <c r="M115" s="27">
        <v>74.461473454129361</v>
      </c>
      <c r="N115" s="27">
        <v>78.51737781788178</v>
      </c>
      <c r="O115" s="27">
        <v>66.349664726624525</v>
      </c>
      <c r="P115" s="27">
        <v>0.95</v>
      </c>
    </row>
    <row r="116" spans="1:16" ht="12.75">
      <c r="A116" s="15">
        <v>46265</v>
      </c>
      <c r="B116" s="25">
        <v>2.8069999217987061</v>
      </c>
      <c r="C116" s="20">
        <v>1.3865164672617438</v>
      </c>
      <c r="D116" s="21">
        <v>0</v>
      </c>
      <c r="E116" s="22">
        <v>0</v>
      </c>
      <c r="F116" s="22">
        <v>0</v>
      </c>
      <c r="G116" s="22">
        <v>0</v>
      </c>
      <c r="H116" s="22">
        <v>143.77000931573409</v>
      </c>
      <c r="I116" s="22">
        <v>242.17499191669597</v>
      </c>
      <c r="J116" s="22">
        <v>98.404982600961887</v>
      </c>
      <c r="K116" s="21">
        <v>242.17499191669597</v>
      </c>
      <c r="L116" s="26">
        <v>44.283524022760979</v>
      </c>
      <c r="M116" s="27">
        <v>64.40215697700657</v>
      </c>
      <c r="N116" s="27">
        <v>73.812304204256705</v>
      </c>
      <c r="O116" s="27">
        <v>45.581862522506299</v>
      </c>
      <c r="P116" s="27">
        <v>0.2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23</v>
      </c>
      <c r="B1" s="30" t="s">
        <v>1</v>
      </c>
      <c r="C1" s="30" t="s">
        <v>2</v>
      </c>
      <c r="D1" s="13" t="s">
        <v>36</v>
      </c>
      <c r="E1" s="13" t="s">
        <v>37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75.378225802571194</v>
      </c>
      <c r="K111" s="22">
        <v>125.02031660046136</v>
      </c>
      <c r="L111" s="22">
        <v>49.642090797890162</v>
      </c>
      <c r="M111" s="21">
        <v>125.02031660046136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75.378225802571194</v>
      </c>
      <c r="K112" s="22">
        <v>125.02031660046136</v>
      </c>
      <c r="L112" s="22">
        <v>49.642090797890162</v>
      </c>
      <c r="M112" s="21">
        <v>125.02031660046136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75.378225802571194</v>
      </c>
      <c r="K113" s="22">
        <v>125.02031660046136</v>
      </c>
      <c r="L113" s="22">
        <v>49.642090797890162</v>
      </c>
      <c r="M113" s="21">
        <v>125.02031660046136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75.378225802571194</v>
      </c>
      <c r="K114" s="22">
        <v>125.02031660046136</v>
      </c>
      <c r="L114" s="22">
        <v>49.642090797890162</v>
      </c>
      <c r="M114" s="21">
        <v>125.02031660046136</v>
      </c>
    </row>
    <row r="115" spans="1:13" ht="12.75">
      <c r="A115" s="15">
        <v>46234</v>
      </c>
      <c r="B115" s="25">
        <v>2.8029999732971191</v>
      </c>
      <c r="C115" s="20">
        <v>1.373083331676451</v>
      </c>
      <c r="D115" s="20">
        <v>842345</v>
      </c>
      <c r="E115" s="20">
        <v>1833164.83510292</v>
      </c>
      <c r="F115" s="21">
        <v>0</v>
      </c>
      <c r="G115" s="22">
        <v>0</v>
      </c>
      <c r="H115" s="22">
        <v>0</v>
      </c>
      <c r="I115" s="22">
        <v>0</v>
      </c>
      <c r="J115" s="22">
        <v>75.378225802571194</v>
      </c>
      <c r="K115" s="22">
        <v>125.02031660046136</v>
      </c>
      <c r="L115" s="22">
        <v>49.642090797890162</v>
      </c>
      <c r="M115" s="21">
        <v>125.02031660046136</v>
      </c>
    </row>
    <row r="116" spans="1:13" ht="12.75">
      <c r="A116" s="15">
        <v>46265</v>
      </c>
      <c r="B116" s="25">
        <v>2.8069999217987061</v>
      </c>
      <c r="C116" s="20">
        <v>1.3865164672617438</v>
      </c>
      <c r="D116" s="20">
        <v>934559.9375</v>
      </c>
      <c r="E116" s="20">
        <v>1822584.096999204</v>
      </c>
      <c r="F116" s="21">
        <v>0</v>
      </c>
      <c r="G116" s="22">
        <v>0</v>
      </c>
      <c r="H116" s="22">
        <v>0</v>
      </c>
      <c r="I116" s="22">
        <v>0</v>
      </c>
      <c r="J116" s="22">
        <v>75.378225802571194</v>
      </c>
      <c r="K116" s="22">
        <v>125.02031660046136</v>
      </c>
      <c r="L116" s="22">
        <v>49.642090797890162</v>
      </c>
      <c r="M116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2026-09-29T12:13:55Z</dcterms:modified>
</cp:coreProperties>
</file>