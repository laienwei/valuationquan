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030" yWindow="3030" windowWidth="15600" windowHeight="8880" tabRatio="612" activeTab="2"/>
  </bookViews>
  <sheets>
    <sheet name="模型一" sheetId="5" r:id="rId1"/>
    <sheet name="模型一计算RSI" sheetId="39" r:id="rId2"/>
    <sheet name="模型一计算KDJ" sheetId="38" r:id="rId3"/>
  </sheets>
  <definedNames>
    <definedName name="_xlnm._FilterDatabase" localSheetId="0" hidden="1">模型一!$L$1:$L$82</definedName>
    <definedName name="_xlnm._FilterDatabase" localSheetId="2" hidden="1">模型一计算KDJ!$R$1:$R$81</definedName>
    <definedName name="_xlnm._FilterDatabase" localSheetId="1" hidden="1">模型一计算RSI!$R$1:$R$81</definedName>
    <definedName name="金额" localSheetId="0">OFFSET(模型一!I1,0,0,COUNTA(模型一!I:I)-1)</definedName>
    <definedName name="金额" localSheetId="2">OFFSET(模型一计算KDJ!I1,0,0,COUNTA(模型一计算KDJ!I:I)-1)</definedName>
    <definedName name="金额" localSheetId="1">OFFSET(模型一计算RSI!I1,0,0,COUNTA(模型一计算RSI!I:I)-1)</definedName>
    <definedName name="时间" localSheetId="0">OFFSET(模型一!A1,0,0,COUNTA(模型一!A:A)-1)</definedName>
    <definedName name="时间" localSheetId="2">OFFSET(模型一计算KDJ!A1,0,0,COUNTA(模型一计算KDJ!A:A)-1)</definedName>
    <definedName name="时间" localSheetId="1">OFFSET(模型一计算RSI!A1,0,0,COUNTA(模型一计算RSI!A:A)-1)</definedName>
    <definedName name="资产" localSheetId="0">OFFSET(模型一!H1,0,0,COUNTA(模型一!H:H)-1)</definedName>
    <definedName name="资产" localSheetId="2">OFFSET(模型一计算KDJ!H1,0,0,COUNTA(模型一计算KDJ!H:H)-1)</definedName>
    <definedName name="资产" localSheetId="1">OFFSET(模型一计算RSI!H1,0,0,COUNTA(模型一计算RSI!H:H)-1)</definedName>
    <definedName name="资金" localSheetId="0">OFFSET(模型一!G1,0,0,COUNTA(模型一!G:G)-1)</definedName>
    <definedName name="资金" localSheetId="2">OFFSET(模型一计算KDJ!G1,0,0,COUNTA(模型一计算KDJ!G:G)-1)</definedName>
    <definedName name="资金" localSheetId="1">OFFSET(模型一计算RSI!G1,0,0,COUNTA(模型一计算RSI!G:G)-1)</definedName>
  </definedNames>
  <calcPr calcId="145621"/>
</workbook>
</file>

<file path=xl/calcChain.xml><?xml version="1.0" encoding="utf-8"?>
<calcChain xmlns="http://schemas.openxmlformats.org/spreadsheetml/2006/main">
  <c r="AB25" i="38" l="1"/>
  <c r="AB24" i="38"/>
  <c r="AB23" i="38"/>
  <c r="AB22" i="38"/>
  <c r="AB21" i="38"/>
  <c r="AB20" i="38"/>
  <c r="AB19" i="38"/>
  <c r="AB18" i="38"/>
  <c r="AB25" i="39"/>
  <c r="AB24" i="39"/>
  <c r="AB23" i="39"/>
  <c r="AB22" i="39"/>
  <c r="AB21" i="39"/>
  <c r="AB20" i="39"/>
  <c r="AB19" i="39"/>
  <c r="AB18" i="39"/>
  <c r="V25" i="5"/>
  <c r="V24" i="5"/>
  <c r="V23" i="5"/>
  <c r="V22" i="5"/>
  <c r="V21" i="5"/>
  <c r="V20" i="5"/>
  <c r="V19" i="5"/>
  <c r="V18" i="5"/>
  <c r="AH15" i="38" l="1"/>
  <c r="AH14" i="38"/>
  <c r="AH13" i="38"/>
  <c r="AH12" i="38"/>
  <c r="AH11" i="38"/>
  <c r="AH10" i="38"/>
  <c r="AH9" i="38"/>
  <c r="AH15" i="39"/>
  <c r="AH14" i="39"/>
  <c r="AH13" i="39"/>
  <c r="AH12" i="39"/>
  <c r="AH11" i="39"/>
  <c r="AH10" i="39"/>
  <c r="AH9" i="39"/>
  <c r="AB15" i="5"/>
  <c r="AB14" i="5"/>
  <c r="AB13" i="5"/>
  <c r="AB12" i="5"/>
  <c r="AB11" i="5"/>
  <c r="AB10" i="5"/>
  <c r="AB9" i="5"/>
  <c r="AE14" i="38" l="1"/>
  <c r="AE13" i="38"/>
  <c r="AE12" i="38"/>
  <c r="AE11" i="38"/>
  <c r="AE10" i="38"/>
  <c r="AE9" i="38"/>
  <c r="AE14" i="39"/>
  <c r="AE13" i="39"/>
  <c r="AE12" i="39"/>
  <c r="AE11" i="39"/>
  <c r="AE10" i="39"/>
  <c r="AE9" i="39"/>
  <c r="Y14" i="5"/>
  <c r="Y13" i="5"/>
  <c r="Y12" i="5"/>
  <c r="Y11" i="5"/>
  <c r="Y10" i="5"/>
  <c r="Y9" i="5"/>
  <c r="AB13" i="38" l="1"/>
  <c r="AB12" i="38"/>
  <c r="AB11" i="38"/>
  <c r="AB10" i="38"/>
  <c r="AB9" i="38"/>
  <c r="AB13" i="39"/>
  <c r="AB12" i="39"/>
  <c r="AB11" i="39"/>
  <c r="AB10" i="39"/>
  <c r="AB9" i="39"/>
  <c r="V13" i="5"/>
  <c r="V12" i="5"/>
  <c r="V11" i="5"/>
  <c r="V10" i="5"/>
  <c r="V9" i="5"/>
  <c r="AD3" i="39" l="1"/>
  <c r="AE3" i="39" s="1"/>
  <c r="AG3" i="39"/>
  <c r="AH3" i="39" s="1"/>
  <c r="AA3" i="39"/>
  <c r="AB3" i="39" s="1"/>
  <c r="AD3" i="38" l="1"/>
  <c r="AG3" i="38"/>
  <c r="AH3" i="38" s="1"/>
  <c r="AA3" i="38"/>
  <c r="AB3" i="38" s="1"/>
  <c r="AG4" i="39" l="1"/>
  <c r="AH4" i="39" s="1"/>
  <c r="AA4" i="39" l="1"/>
  <c r="AB4" i="39" s="1"/>
  <c r="AD4" i="39"/>
  <c r="AE4" i="39" s="1"/>
  <c r="AB5" i="39"/>
  <c r="AB5" i="38" l="1"/>
  <c r="AG4" i="38" l="1"/>
  <c r="AH4" i="38" s="1"/>
  <c r="AA4" i="38" l="1"/>
  <c r="AB4" i="38" s="1"/>
  <c r="AD4" i="38"/>
  <c r="AE4" i="38" s="1"/>
  <c r="AE6" i="39" l="1"/>
  <c r="AD5" i="39" l="1"/>
  <c r="AE5" i="39" s="1"/>
  <c r="AG5" i="39"/>
  <c r="AH5" i="39" s="1"/>
  <c r="AE6" i="38" l="1"/>
  <c r="AE3" i="38" l="1"/>
  <c r="X3" i="5" l="1"/>
  <c r="Y3" i="5" s="1"/>
  <c r="AA3" i="5"/>
  <c r="AB3" i="5" s="1"/>
  <c r="AD5" i="38" l="1"/>
  <c r="AE5" i="38" s="1"/>
  <c r="AG5" i="38"/>
  <c r="AH5" i="38" s="1"/>
  <c r="AG6" i="39" l="1"/>
  <c r="AH6" i="39" s="1"/>
  <c r="AH7" i="39" l="1"/>
  <c r="AG6" i="38" l="1"/>
  <c r="AH6" i="38" s="1"/>
  <c r="X4" i="5" l="1"/>
  <c r="Y4" i="5" s="1"/>
  <c r="AA4" i="5"/>
  <c r="AB4" i="5" s="1"/>
  <c r="AH7" i="38"/>
  <c r="AA6" i="5" l="1"/>
  <c r="AB6" i="5" s="1"/>
  <c r="X5" i="5"/>
  <c r="Y5" i="5" s="1"/>
  <c r="AA5" i="5"/>
  <c r="AB5" i="5" s="1"/>
  <c r="V5" i="5" l="1"/>
  <c r="U4" i="5"/>
  <c r="V4" i="5" s="1"/>
  <c r="U3" i="5"/>
  <c r="V3" i="5" s="1"/>
  <c r="Y6" i="5" l="1"/>
  <c r="AB7" i="5" l="1"/>
</calcChain>
</file>

<file path=xl/sharedStrings.xml><?xml version="1.0" encoding="utf-8"?>
<sst xmlns="http://schemas.openxmlformats.org/spreadsheetml/2006/main" count="64" uniqueCount="34">
  <si>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</si>
  <si>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</si>
  <si>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</si>
  <si>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</si>
  <si>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</si>
  <si>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</si>
  <si>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</si>
  <si>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</si>
  <si>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</si>
  <si>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8" type="noConversion"/>
  </si>
  <si>
    <t>每年投入本金</t>
    <phoneticPr fontId="17" type="noConversion"/>
  </si>
  <si>
    <t>累计投入本金</t>
    <phoneticPr fontId="17" type="noConversion"/>
  </si>
  <si>
    <t>总资产</t>
    <phoneticPr fontId="17" type="noConversion"/>
  </si>
  <si>
    <t>盈利金额</t>
    <phoneticPr fontId="17" type="noConversion"/>
  </si>
  <si>
    <t>绝对收益率</t>
    <phoneticPr fontId="17" type="noConversion"/>
  </si>
  <si>
    <t>年化收益率</t>
    <phoneticPr fontId="17" type="noConversion"/>
  </si>
  <si>
    <t>单位：元</t>
    <phoneticPr fontId="18" type="noConversion"/>
  </si>
  <si>
    <t>MAX</t>
    <phoneticPr fontId="1" type="noConversion"/>
  </si>
  <si>
    <t>SMA之MAX</t>
    <phoneticPr fontId="1" type="noConversion"/>
  </si>
  <si>
    <t>ABS</t>
    <phoneticPr fontId="1" type="noConversion"/>
  </si>
  <si>
    <t>SMA之ABS</t>
    <phoneticPr fontId="1" type="noConversion"/>
  </si>
  <si>
    <t>RSI</t>
    <phoneticPr fontId="1" type="noConversion"/>
  </si>
  <si>
    <t>单位：元</t>
    <phoneticPr fontId="18" type="noConversion"/>
  </si>
  <si>
    <t>日期</t>
    <phoneticPr fontId="1" type="noConversion"/>
  </si>
  <si>
    <t>人工智能产业LOF</t>
    <phoneticPr fontId="1" type="noConversion"/>
  </si>
  <si>
    <t>买卖金额</t>
    <phoneticPr fontId="1" type="noConversion"/>
  </si>
  <si>
    <t>最高价</t>
    <phoneticPr fontId="5" type="noConversion"/>
  </si>
  <si>
    <t>最低价</t>
    <phoneticPr fontId="5" type="noConversion"/>
  </si>
  <si>
    <t>HHV</t>
    <phoneticPr fontId="5" type="noConversion"/>
  </si>
  <si>
    <t>LLV</t>
    <phoneticPr fontId="5" type="noConversion"/>
  </si>
  <si>
    <t>RSV</t>
    <phoneticPr fontId="5" type="noConversion"/>
  </si>
  <si>
    <t>K</t>
    <phoneticPr fontId="5" type="noConversion"/>
  </si>
  <si>
    <t>D</t>
    <phoneticPr fontId="5" type="noConversion"/>
  </si>
  <si>
    <t>J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</si>
</sst>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yyyy\-mm\-dd"/>
    <numFmt numFmtId="177" formatCode="0.00_ "/>
    <numFmt numFmtId="178" formatCode="0.00_);[Red]\(0.00\)"/>
  </numFmts>
  <fonts count="20">
    <font>
      <sz val="11"/>
      <color theme="1"/>
      <name val="等线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sz val="10"/>
      <color indexed="8"/>
      <name val="等线"/>
      <family val="3"/>
      <charset val="134"/>
    </font>
    <font>
      <sz val="9"/>
      <name val="等线"/>
      <family val="3"/>
      <charset val="134"/>
    </font>
    <font>
      <sz val="10"/>
      <color indexed="8"/>
      <name val="Tahoma"/>
      <family val="2"/>
    </font>
    <font>
      <b/>
      <sz val="10"/>
      <color indexed="9"/>
      <name val="等线"/>
      <family val="3"/>
      <charset val="134"/>
    </font>
    <font>
      <b/>
      <sz val="10"/>
      <name val="宋体"/>
      <family val="3"/>
      <charset val="134"/>
    </font>
    <font>
      <sz val="10"/>
      <color indexed="10"/>
      <name val="Tahoma"/>
      <family val="2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1"/>
      <color theme="1"/>
      <name val="等线"/>
      <family val="2"/>
      <scheme val="minor"/>
    </font>
    <font>
      <sz val="10"/>
      <color rgb="FFFF0000"/>
      <name val="Tahoma"/>
      <family val="2"/>
    </font>
    <font>
      <sz val="10"/>
      <color rgb="FFFF000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0"/>
      <color theme="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indexed="6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/>
    <xf numFmtId="0" fontId="10" fillId="2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3" borderId="0" applyNumberFormat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/>
  </cellStyleXfs>
  <cellXfs count="28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/>
    <xf numFmtId="0" fontId="6" fillId="0" borderId="0" xfId="0" applyFont="1"/>
    <xf numFmtId="0" fontId="6" fillId="0" borderId="1" xfId="0" applyFont="1" applyBorder="1"/>
    <xf numFmtId="178" fontId="6" fillId="0" borderId="1" xfId="0" applyNumberFormat="1" applyFont="1" applyBorder="1"/>
    <xf numFmtId="0" fontId="7" fillId="18" borderId="1" xfId="0" applyFont="1" applyFill="1" applyBorder="1" applyAlignment="1">
      <alignment horizontal="center" vertical="center"/>
    </xf>
    <xf numFmtId="177" fontId="7" fillId="18" borderId="1" xfId="0" applyNumberFormat="1" applyFont="1" applyFill="1" applyBorder="1" applyAlignment="1">
      <alignment horizontal="center" vertical="center"/>
    </xf>
    <xf numFmtId="176" fontId="3" fillId="19" borderId="1" xfId="0" applyNumberFormat="1" applyFont="1" applyFill="1" applyBorder="1" applyAlignment="1">
      <alignment horizontal="center"/>
    </xf>
    <xf numFmtId="177" fontId="6" fillId="0" borderId="1" xfId="0" applyNumberFormat="1" applyFont="1" applyBorder="1"/>
    <xf numFmtId="177" fontId="4" fillId="0" borderId="0" xfId="0" applyNumberFormat="1" applyFont="1"/>
    <xf numFmtId="10" fontId="6" fillId="0" borderId="1" xfId="0" applyNumberFormat="1" applyFont="1" applyBorder="1"/>
    <xf numFmtId="10" fontId="6" fillId="0" borderId="0" xfId="0" applyNumberFormat="1" applyFont="1"/>
    <xf numFmtId="176" fontId="9" fillId="19" borderId="1" xfId="0" applyNumberFormat="1" applyFont="1" applyFill="1" applyBorder="1" applyAlignment="1">
      <alignment horizontal="center"/>
    </xf>
    <xf numFmtId="177" fontId="9" fillId="0" borderId="1" xfId="0" applyNumberFormat="1" applyFont="1" applyBorder="1"/>
    <xf numFmtId="177" fontId="9" fillId="19" borderId="1" xfId="0" applyNumberFormat="1" applyFont="1" applyFill="1" applyBorder="1"/>
    <xf numFmtId="0" fontId="3" fillId="0" borderId="0" xfId="0" applyFont="1"/>
    <xf numFmtId="10" fontId="3" fillId="0" borderId="0" xfId="0" applyNumberFormat="1" applyFont="1"/>
    <xf numFmtId="0" fontId="15" fillId="19" borderId="1" xfId="0" applyFont="1" applyFill="1" applyBorder="1"/>
    <xf numFmtId="177" fontId="16" fillId="0" borderId="0" xfId="0" applyNumberFormat="1" applyFont="1"/>
    <xf numFmtId="0" fontId="7" fillId="18" borderId="0" xfId="0" applyFont="1" applyFill="1" applyAlignment="1">
      <alignment horizontal="center" vertical="center"/>
    </xf>
    <xf numFmtId="0" fontId="16" fillId="0" borderId="0" xfId="0" applyFont="1"/>
    <xf numFmtId="177" fontId="15" fillId="0" borderId="1" xfId="0" applyNumberFormat="1" applyFont="1" applyBorder="1"/>
    <xf numFmtId="0" fontId="15" fillId="0" borderId="0" xfId="0" applyFont="1"/>
    <xf numFmtId="10" fontId="4" fillId="0" borderId="0" xfId="0" applyNumberFormat="1" applyFont="1"/>
    <xf numFmtId="0" fontId="8" fillId="0" borderId="1" xfId="27" applyFont="1" applyFill="1" applyBorder="1"/>
    <xf numFmtId="0" fontId="8" fillId="0" borderId="1" xfId="27" applyFont="1" applyFill="1" applyBorder="1" applyAlignment="1">
      <alignment horizontal="center"/>
    </xf>
    <xf numFmtId="177" fontId="19" fillId="0" borderId="1" xfId="27" applyNumberFormat="1" applyFont="1" applyBorder="1"/>
  </cellXfs>
  <cellStyles count="28">
    <cellStyle name="20% - 着色 1" xfId="1"/>
    <cellStyle name="20% - 着色 2" xfId="2"/>
    <cellStyle name="20% - 着色 3" xfId="3"/>
    <cellStyle name="20% - 着色 4" xfId="4"/>
    <cellStyle name="20% - 着色 5" xfId="5"/>
    <cellStyle name="20% - 着色 6" xfId="6"/>
    <cellStyle name="40% - 着色 1" xfId="7"/>
    <cellStyle name="40% - 着色 2" xfId="8"/>
    <cellStyle name="40% - 着色 3" xfId="9"/>
    <cellStyle name="40% - 着色 4" xfId="10"/>
    <cellStyle name="40% - 着色 5" xfId="11"/>
    <cellStyle name="40% - 着色 6" xfId="12"/>
    <cellStyle name="60% - 着色 1" xfId="13"/>
    <cellStyle name="60% - 着色 2" xfId="14"/>
    <cellStyle name="60% - 着色 3" xfId="15"/>
    <cellStyle name="60% - 着色 4" xfId="16"/>
    <cellStyle name="60% - 着色 5" xfId="17"/>
    <cellStyle name="60% - 着色 6" xfId="18"/>
    <cellStyle name="差_主要板块" xfId="19"/>
    <cellStyle name="常规" xfId="0" builtinId="0"/>
    <cellStyle name="常规 2" xfId="27"/>
    <cellStyle name="好_主要板块" xfId="20"/>
    <cellStyle name="着色 1" xfId="21"/>
    <cellStyle name="着色 2" xfId="22"/>
    <cellStyle name="着色 3" xfId="23"/>
    <cellStyle name="着色 4" xfId="24"/>
    <cellStyle name="着色 5" xfId="25"/>
    <cellStyle name="着色 6" xf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1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596-4653-B424-FD39CCB829EE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1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  <c:pt idx="110">
                  <c:v>613430.1755816536</c:v>
                </c:pt>
                <c:pt idx="111">
                  <c:v>500823.54292283044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596-4653-B424-FD39CCB829EE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  <c:pt idx="110">
                  <c:v>391430.1755816536</c:v>
                </c:pt>
                <c:pt idx="111">
                  <c:v>276823.54292283044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596-4653-B424-FD39CCB829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437184"/>
        <c:axId val="591501184"/>
      </c:lineChart>
      <c:dateAx>
        <c:axId val="5914371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91501184"/>
        <c:crosses val="autoZero"/>
        <c:auto val="1"/>
        <c:lblOffset val="100"/>
        <c:baseTimeUnit val="days"/>
      </c:dateAx>
      <c:valAx>
        <c:axId val="59150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4371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1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83E-4A38-AFB8-CB0F288FA111}"/>
            </c:ext>
          </c:extLst>
        </c:ser>
        <c:ser>
          <c:idx val="6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1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29098.093379619742</c:v>
                </c:pt>
                <c:pt idx="17">
                  <c:v>30088.910950268768</c:v>
                </c:pt>
                <c:pt idx="18">
                  <c:v>28089.067698197112</c:v>
                </c:pt>
                <c:pt idx="19">
                  <c:v>31602.152836635905</c:v>
                </c:pt>
                <c:pt idx="20">
                  <c:v>32069.676224636522</c:v>
                </c:pt>
                <c:pt idx="21">
                  <c:v>34732.272840848018</c:v>
                </c:pt>
                <c:pt idx="22">
                  <c:v>45450.495173368581</c:v>
                </c:pt>
                <c:pt idx="23">
                  <c:v>52255.40189072577</c:v>
                </c:pt>
                <c:pt idx="24">
                  <c:v>52012.243175416566</c:v>
                </c:pt>
                <c:pt idx="25">
                  <c:v>50672.007375160458</c:v>
                </c:pt>
                <c:pt idx="26">
                  <c:v>53610.377882107874</c:v>
                </c:pt>
                <c:pt idx="27">
                  <c:v>58706.592219684157</c:v>
                </c:pt>
                <c:pt idx="28">
                  <c:v>62962.255014778188</c:v>
                </c:pt>
                <c:pt idx="29">
                  <c:v>68395.445161640484</c:v>
                </c:pt>
                <c:pt idx="30">
                  <c:v>69574.447204944896</c:v>
                </c:pt>
                <c:pt idx="31">
                  <c:v>71249.332965669455</c:v>
                </c:pt>
                <c:pt idx="32">
                  <c:v>78935.899446497526</c:v>
                </c:pt>
                <c:pt idx="33">
                  <c:v>90957.326680574624</c:v>
                </c:pt>
                <c:pt idx="34">
                  <c:v>101449.48449565913</c:v>
                </c:pt>
                <c:pt idx="35">
                  <c:v>88701.006156840653</c:v>
                </c:pt>
                <c:pt idx="36">
                  <c:v>98758.075254489275</c:v>
                </c:pt>
                <c:pt idx="37">
                  <c:v>99711.434033018537</c:v>
                </c:pt>
                <c:pt idx="38">
                  <c:v>112163.20638383992</c:v>
                </c:pt>
                <c:pt idx="39">
                  <c:v>127368.01599966596</c:v>
                </c:pt>
                <c:pt idx="40">
                  <c:v>127947.55485468826</c:v>
                </c:pt>
                <c:pt idx="41">
                  <c:v>120167.10266654793</c:v>
                </c:pt>
                <c:pt idx="42">
                  <c:v>122737.77411747456</c:v>
                </c:pt>
                <c:pt idx="43">
                  <c:v>125400.77357253181</c:v>
                </c:pt>
                <c:pt idx="44">
                  <c:v>124200.48519391782</c:v>
                </c:pt>
                <c:pt idx="45">
                  <c:v>126628.46756881072</c:v>
                </c:pt>
                <c:pt idx="46">
                  <c:v>125845.42432554015</c:v>
                </c:pt>
                <c:pt idx="47">
                  <c:v>123161.5707516261</c:v>
                </c:pt>
                <c:pt idx="48">
                  <c:v>126958.23845040986</c:v>
                </c:pt>
                <c:pt idx="49">
                  <c:v>137355.19245663829</c:v>
                </c:pt>
                <c:pt idx="50">
                  <c:v>146301.67211382132</c:v>
                </c:pt>
                <c:pt idx="51">
                  <c:v>150837.07353367252</c:v>
                </c:pt>
                <c:pt idx="52">
                  <c:v>143701.19336027669</c:v>
                </c:pt>
                <c:pt idx="53">
                  <c:v>141647.84138584288</c:v>
                </c:pt>
                <c:pt idx="54">
                  <c:v>144822.52629744209</c:v>
                </c:pt>
                <c:pt idx="55">
                  <c:v>158535.38621743055</c:v>
                </c:pt>
                <c:pt idx="56">
                  <c:v>162244.38759864992</c:v>
                </c:pt>
                <c:pt idx="57">
                  <c:v>152132.04410074069</c:v>
                </c:pt>
                <c:pt idx="58">
                  <c:v>155266.57968094296</c:v>
                </c:pt>
                <c:pt idx="59">
                  <c:v>138145.59697062976</c:v>
                </c:pt>
                <c:pt idx="60">
                  <c:v>121061.78981922449</c:v>
                </c:pt>
                <c:pt idx="61">
                  <c:v>128020.68800783598</c:v>
                </c:pt>
                <c:pt idx="62">
                  <c:v>139438.80134829466</c:v>
                </c:pt>
                <c:pt idx="63">
                  <c:v>135550.15371791922</c:v>
                </c:pt>
                <c:pt idx="64">
                  <c:v>128754.04630980789</c:v>
                </c:pt>
                <c:pt idx="65">
                  <c:v>119069.95998950595</c:v>
                </c:pt>
                <c:pt idx="66">
                  <c:v>126545.78619626531</c:v>
                </c:pt>
                <c:pt idx="67">
                  <c:v>132689.0025379307</c:v>
                </c:pt>
                <c:pt idx="68">
                  <c:v>133607.30544846162</c:v>
                </c:pt>
                <c:pt idx="69">
                  <c:v>150615.25209783338</c:v>
                </c:pt>
                <c:pt idx="70">
                  <c:v>160158.3788530968</c:v>
                </c:pt>
                <c:pt idx="71">
                  <c:v>186200.90710414504</c:v>
                </c:pt>
                <c:pt idx="72">
                  <c:v>181238.94896035441</c:v>
                </c:pt>
                <c:pt idx="73">
                  <c:v>185158.85123809642</c:v>
                </c:pt>
                <c:pt idx="74">
                  <c:v>188840.93872565418</c:v>
                </c:pt>
                <c:pt idx="75">
                  <c:v>183386.68581104401</c:v>
                </c:pt>
                <c:pt idx="76">
                  <c:v>174015.92223145079</c:v>
                </c:pt>
                <c:pt idx="77">
                  <c:v>167990.59910749257</c:v>
                </c:pt>
                <c:pt idx="78">
                  <c:v>161191.72879371172</c:v>
                </c:pt>
                <c:pt idx="79">
                  <c:v>167303.75877330403</c:v>
                </c:pt>
                <c:pt idx="80">
                  <c:v>169026.31000231727</c:v>
                </c:pt>
                <c:pt idx="81">
                  <c:v>138877.6219304878</c:v>
                </c:pt>
                <c:pt idx="82">
                  <c:v>171644.35031330268</c:v>
                </c:pt>
                <c:pt idx="83">
                  <c:v>173788.47489219444</c:v>
                </c:pt>
                <c:pt idx="84">
                  <c:v>179870.75397885064</c:v>
                </c:pt>
                <c:pt idx="85">
                  <c:v>171697.7353208859</c:v>
                </c:pt>
                <c:pt idx="86">
                  <c:v>174443.59791064644</c:v>
                </c:pt>
                <c:pt idx="87">
                  <c:v>175085.46353650829</c:v>
                </c:pt>
                <c:pt idx="88">
                  <c:v>161210.23766283222</c:v>
                </c:pt>
                <c:pt idx="89">
                  <c:v>202624.05406925111</c:v>
                </c:pt>
                <c:pt idx="90">
                  <c:v>222107.79222056473</c:v>
                </c:pt>
                <c:pt idx="91">
                  <c:v>230251.2047929948</c:v>
                </c:pt>
                <c:pt idx="92">
                  <c:v>233204.63259808367</c:v>
                </c:pt>
                <c:pt idx="93">
                  <c:v>233762.11967027574</c:v>
                </c:pt>
                <c:pt idx="94">
                  <c:v>264052.84458649351</c:v>
                </c:pt>
                <c:pt idx="95">
                  <c:v>250414.90987410149</c:v>
                </c:pt>
                <c:pt idx="96">
                  <c:v>242069.90627162918</c:v>
                </c:pt>
                <c:pt idx="97">
                  <c:v>239764.96574479528</c:v>
                </c:pt>
                <c:pt idx="98">
                  <c:v>260298.3404148421</c:v>
                </c:pt>
                <c:pt idx="99">
                  <c:v>287369.07931908855</c:v>
                </c:pt>
                <c:pt idx="100">
                  <c:v>475752.33275961777</c:v>
                </c:pt>
                <c:pt idx="101">
                  <c:v>410371.11675126915</c:v>
                </c:pt>
                <c:pt idx="102">
                  <c:v>401085.9140981122</c:v>
                </c:pt>
                <c:pt idx="103">
                  <c:v>388822.75954229012</c:v>
                </c:pt>
                <c:pt idx="104">
                  <c:v>416560.05776522681</c:v>
                </c:pt>
                <c:pt idx="105">
                  <c:v>453620.51101696113</c:v>
                </c:pt>
                <c:pt idx="106">
                  <c:v>442022.34382522095</c:v>
                </c:pt>
                <c:pt idx="107">
                  <c:v>399014.52605583996</c:v>
                </c:pt>
                <c:pt idx="108">
                  <c:v>493067.72480987286</c:v>
                </c:pt>
                <c:pt idx="109">
                  <c:v>542783.95352470258</c:v>
                </c:pt>
                <c:pt idx="110">
                  <c:v>613430.1755816536</c:v>
                </c:pt>
                <c:pt idx="111">
                  <c:v>500823.54292283044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83E-4A38-AFB8-CB0F288FA111}"/>
            </c:ext>
          </c:extLst>
        </c:ser>
        <c:ser>
          <c:idx val="7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-5911.0890497312321</c:v>
                </c:pt>
                <c:pt idx="18">
                  <c:v>-9910.9323018028881</c:v>
                </c:pt>
                <c:pt idx="19">
                  <c:v>-8397.8471633640947</c:v>
                </c:pt>
                <c:pt idx="20">
                  <c:v>-9930.3237753634785</c:v>
                </c:pt>
                <c:pt idx="21">
                  <c:v>-9267.7271591519821</c:v>
                </c:pt>
                <c:pt idx="22">
                  <c:v>-549.50482663141884</c:v>
                </c:pt>
                <c:pt idx="23">
                  <c:v>4255.4018907257705</c:v>
                </c:pt>
                <c:pt idx="24">
                  <c:v>2012.2431754165664</c:v>
                </c:pt>
                <c:pt idx="25">
                  <c:v>-1327.9926248395423</c:v>
                </c:pt>
                <c:pt idx="26">
                  <c:v>-389.62211789212597</c:v>
                </c:pt>
                <c:pt idx="27">
                  <c:v>2706.5922196841566</c:v>
                </c:pt>
                <c:pt idx="28">
                  <c:v>4962.2550147781876</c:v>
                </c:pt>
                <c:pt idx="29">
                  <c:v>8395.445161640484</c:v>
                </c:pt>
                <c:pt idx="30">
                  <c:v>7574.4472049448959</c:v>
                </c:pt>
                <c:pt idx="31">
                  <c:v>7249.332965669455</c:v>
                </c:pt>
                <c:pt idx="32">
                  <c:v>12935.899446497526</c:v>
                </c:pt>
                <c:pt idx="33">
                  <c:v>22957.326680574624</c:v>
                </c:pt>
                <c:pt idx="34">
                  <c:v>31449.484495659126</c:v>
                </c:pt>
                <c:pt idx="35">
                  <c:v>16701.006156840653</c:v>
                </c:pt>
                <c:pt idx="36">
                  <c:v>24758.075254489275</c:v>
                </c:pt>
                <c:pt idx="37">
                  <c:v>23711.434033018537</c:v>
                </c:pt>
                <c:pt idx="38">
                  <c:v>34163.206383839919</c:v>
                </c:pt>
                <c:pt idx="39">
                  <c:v>47368.015999665964</c:v>
                </c:pt>
                <c:pt idx="40">
                  <c:v>45947.554854688264</c:v>
                </c:pt>
                <c:pt idx="41">
                  <c:v>36167.102666547929</c:v>
                </c:pt>
                <c:pt idx="42">
                  <c:v>36737.774117474561</c:v>
                </c:pt>
                <c:pt idx="43">
                  <c:v>37400.773572531805</c:v>
                </c:pt>
                <c:pt idx="44">
                  <c:v>34200.485193917819</c:v>
                </c:pt>
                <c:pt idx="45">
                  <c:v>34628.467568810724</c:v>
                </c:pt>
                <c:pt idx="46">
                  <c:v>31845.424325540152</c:v>
                </c:pt>
                <c:pt idx="47">
                  <c:v>27161.570751626103</c:v>
                </c:pt>
                <c:pt idx="48">
                  <c:v>28958.238450409859</c:v>
                </c:pt>
                <c:pt idx="49">
                  <c:v>37355.192456638295</c:v>
                </c:pt>
                <c:pt idx="50">
                  <c:v>44301.672113821318</c:v>
                </c:pt>
                <c:pt idx="51">
                  <c:v>46837.073533672519</c:v>
                </c:pt>
                <c:pt idx="52">
                  <c:v>37701.193360276695</c:v>
                </c:pt>
                <c:pt idx="53">
                  <c:v>33647.841385842883</c:v>
                </c:pt>
                <c:pt idx="54">
                  <c:v>34822.526297442091</c:v>
                </c:pt>
                <c:pt idx="55">
                  <c:v>46535.386217430554</c:v>
                </c:pt>
                <c:pt idx="56">
                  <c:v>48244.387598649919</c:v>
                </c:pt>
                <c:pt idx="57">
                  <c:v>36132.044100740692</c:v>
                </c:pt>
                <c:pt idx="58">
                  <c:v>37266.579680942959</c:v>
                </c:pt>
                <c:pt idx="59">
                  <c:v>18145.596970629762</c:v>
                </c:pt>
                <c:pt idx="60">
                  <c:v>-938.2101807755098</c:v>
                </c:pt>
                <c:pt idx="61">
                  <c:v>4020.6880078359827</c:v>
                </c:pt>
                <c:pt idx="62">
                  <c:v>13438.801348294655</c:v>
                </c:pt>
                <c:pt idx="63">
                  <c:v>7550.1537179192237</c:v>
                </c:pt>
                <c:pt idx="64">
                  <c:v>-1245.9536901921092</c:v>
                </c:pt>
                <c:pt idx="65">
                  <c:v>-12930.040010494049</c:v>
                </c:pt>
                <c:pt idx="66">
                  <c:v>-7454.2138037346886</c:v>
                </c:pt>
                <c:pt idx="67">
                  <c:v>-3310.9974620692956</c:v>
                </c:pt>
                <c:pt idx="68">
                  <c:v>-4392.694551538385</c:v>
                </c:pt>
                <c:pt idx="69">
                  <c:v>10615.252097833378</c:v>
                </c:pt>
                <c:pt idx="70">
                  <c:v>18158.378853096801</c:v>
                </c:pt>
                <c:pt idx="71">
                  <c:v>42200.907104145037</c:v>
                </c:pt>
                <c:pt idx="72">
                  <c:v>35238.948960354406</c:v>
                </c:pt>
                <c:pt idx="73">
                  <c:v>37158.851238096424</c:v>
                </c:pt>
                <c:pt idx="74">
                  <c:v>38840.938725654181</c:v>
                </c:pt>
                <c:pt idx="75">
                  <c:v>31386.685811044008</c:v>
                </c:pt>
                <c:pt idx="76">
                  <c:v>20015.922231450793</c:v>
                </c:pt>
                <c:pt idx="77">
                  <c:v>11990.59910749257</c:v>
                </c:pt>
                <c:pt idx="78">
                  <c:v>3191.7287937117217</c:v>
                </c:pt>
                <c:pt idx="79">
                  <c:v>7303.7587733040273</c:v>
                </c:pt>
                <c:pt idx="80">
                  <c:v>7026.3100023172738</c:v>
                </c:pt>
                <c:pt idx="81">
                  <c:v>-25122.378069512197</c:v>
                </c:pt>
                <c:pt idx="82">
                  <c:v>5644.3503133026825</c:v>
                </c:pt>
                <c:pt idx="83">
                  <c:v>5788.4748921944411</c:v>
                </c:pt>
                <c:pt idx="84">
                  <c:v>9870.7539788506401</c:v>
                </c:pt>
                <c:pt idx="85">
                  <c:v>-302.26467911410145</c:v>
                </c:pt>
                <c:pt idx="86">
                  <c:v>443.5979106464365</c:v>
                </c:pt>
                <c:pt idx="87">
                  <c:v>-914.53646349170594</c:v>
                </c:pt>
                <c:pt idx="88">
                  <c:v>-16789.762337167776</c:v>
                </c:pt>
                <c:pt idx="89">
                  <c:v>22624.054069251113</c:v>
                </c:pt>
                <c:pt idx="90">
                  <c:v>40107.792220564734</c:v>
                </c:pt>
                <c:pt idx="91">
                  <c:v>46251.204792994802</c:v>
                </c:pt>
                <c:pt idx="92">
                  <c:v>47204.63259808367</c:v>
                </c:pt>
                <c:pt idx="93">
                  <c:v>45762.119670275744</c:v>
                </c:pt>
                <c:pt idx="94">
                  <c:v>74052.844586493506</c:v>
                </c:pt>
                <c:pt idx="95">
                  <c:v>58414.90987410149</c:v>
                </c:pt>
                <c:pt idx="96">
                  <c:v>48069.906271629181</c:v>
                </c:pt>
                <c:pt idx="97">
                  <c:v>43764.965744795278</c:v>
                </c:pt>
                <c:pt idx="98">
                  <c:v>62298.340414842096</c:v>
                </c:pt>
                <c:pt idx="99">
                  <c:v>87369.079319088545</c:v>
                </c:pt>
                <c:pt idx="100">
                  <c:v>273752.33275961777</c:v>
                </c:pt>
                <c:pt idx="101">
                  <c:v>206371.11675126915</c:v>
                </c:pt>
                <c:pt idx="102">
                  <c:v>195085.9140981122</c:v>
                </c:pt>
                <c:pt idx="103">
                  <c:v>180822.75954229012</c:v>
                </c:pt>
                <c:pt idx="104">
                  <c:v>206560.05776522681</c:v>
                </c:pt>
                <c:pt idx="105">
                  <c:v>241620.51101696113</c:v>
                </c:pt>
                <c:pt idx="106">
                  <c:v>228022.34382522095</c:v>
                </c:pt>
                <c:pt idx="107">
                  <c:v>183014.52605583996</c:v>
                </c:pt>
                <c:pt idx="108">
                  <c:v>275067.72480987286</c:v>
                </c:pt>
                <c:pt idx="109">
                  <c:v>322783.95352470258</c:v>
                </c:pt>
                <c:pt idx="110">
                  <c:v>391430.1755816536</c:v>
                </c:pt>
                <c:pt idx="111">
                  <c:v>276823.54292283044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83E-4A38-AFB8-CB0F288FA1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570816"/>
        <c:axId val="591581184"/>
      </c:lineChart>
      <c:dateAx>
        <c:axId val="59157081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91581184"/>
        <c:crosses val="autoZero"/>
        <c:auto val="1"/>
        <c:lblOffset val="100"/>
        <c:baseTimeUnit val="days"/>
      </c:dateAx>
      <c:valAx>
        <c:axId val="591581184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9157081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12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320-4F8A-8A32-5EE5A89E63CF}"/>
            </c:ext>
          </c:extLst>
        </c:ser>
        <c:ser>
          <c:idx val="1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12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  <c:pt idx="110">
                  <c:v>641210.7237338433</c:v>
                </c:pt>
                <c:pt idx="111">
                  <c:v>523413.87513215444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320-4F8A-8A32-5EE5A89E63CF}"/>
            </c:ext>
          </c:extLst>
        </c:ser>
        <c:ser>
          <c:idx val="2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  <c:pt idx="110">
                  <c:v>412210.7237338433</c:v>
                </c:pt>
                <c:pt idx="111">
                  <c:v>292413.87513215444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320-4F8A-8A32-5EE5A89E63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45568"/>
        <c:axId val="522876032"/>
      </c:lineChart>
      <c:dateAx>
        <c:axId val="5228455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22876032"/>
        <c:crosses val="autoZero"/>
        <c:auto val="1"/>
        <c:lblOffset val="100"/>
        <c:baseTimeUnit val="months"/>
      </c:dateAx>
      <c:valAx>
        <c:axId val="52287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455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模型一计算RSI!$G$1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模型一计算RSI!资金</c:f>
              <c:numCache>
                <c:formatCode>0.00_ </c:formatCode>
                <c:ptCount val="112"/>
                <c:pt idx="0">
                  <c:v>2000</c:v>
                </c:pt>
                <c:pt idx="1">
                  <c:v>5000</c:v>
                </c:pt>
                <c:pt idx="2">
                  <c:v>7000</c:v>
                </c:pt>
                <c:pt idx="3">
                  <c:v>9000</c:v>
                </c:pt>
                <c:pt idx="4">
                  <c:v>11000</c:v>
                </c:pt>
                <c:pt idx="5">
                  <c:v>13000</c:v>
                </c:pt>
                <c:pt idx="6">
                  <c:v>15000</c:v>
                </c:pt>
                <c:pt idx="7">
                  <c:v>17000</c:v>
                </c:pt>
                <c:pt idx="8">
                  <c:v>19000</c:v>
                </c:pt>
                <c:pt idx="9">
                  <c:v>21000</c:v>
                </c:pt>
                <c:pt idx="10">
                  <c:v>23000</c:v>
                </c:pt>
                <c:pt idx="11">
                  <c:v>25000</c:v>
                </c:pt>
                <c:pt idx="12">
                  <c:v>27000</c:v>
                </c:pt>
                <c:pt idx="13">
                  <c:v>29000</c:v>
                </c:pt>
                <c:pt idx="14">
                  <c:v>31000</c:v>
                </c:pt>
                <c:pt idx="15">
                  <c:v>33000</c:v>
                </c:pt>
                <c:pt idx="16">
                  <c:v>36000</c:v>
                </c:pt>
                <c:pt idx="17">
                  <c:v>39000</c:v>
                </c:pt>
                <c:pt idx="18">
                  <c:v>42000</c:v>
                </c:pt>
                <c:pt idx="19">
                  <c:v>44000</c:v>
                </c:pt>
                <c:pt idx="20">
                  <c:v>47000</c:v>
                </c:pt>
                <c:pt idx="21">
                  <c:v>49000</c:v>
                </c:pt>
                <c:pt idx="22">
                  <c:v>51000</c:v>
                </c:pt>
                <c:pt idx="23">
                  <c:v>53000</c:v>
                </c:pt>
                <c:pt idx="24">
                  <c:v>55000</c:v>
                </c:pt>
                <c:pt idx="25">
                  <c:v>57000</c:v>
                </c:pt>
                <c:pt idx="26">
                  <c:v>59000</c:v>
                </c:pt>
                <c:pt idx="27">
                  <c:v>61000</c:v>
                </c:pt>
                <c:pt idx="28">
                  <c:v>63000</c:v>
                </c:pt>
                <c:pt idx="29">
                  <c:v>65000</c:v>
                </c:pt>
                <c:pt idx="30">
                  <c:v>67000</c:v>
                </c:pt>
                <c:pt idx="31">
                  <c:v>69000</c:v>
                </c:pt>
                <c:pt idx="32">
                  <c:v>71000</c:v>
                </c:pt>
                <c:pt idx="33">
                  <c:v>73000</c:v>
                </c:pt>
                <c:pt idx="34">
                  <c:v>75000</c:v>
                </c:pt>
                <c:pt idx="35">
                  <c:v>77000</c:v>
                </c:pt>
                <c:pt idx="36">
                  <c:v>79000</c:v>
                </c:pt>
                <c:pt idx="37">
                  <c:v>81000</c:v>
                </c:pt>
                <c:pt idx="38">
                  <c:v>83000</c:v>
                </c:pt>
                <c:pt idx="39">
                  <c:v>85000</c:v>
                </c:pt>
                <c:pt idx="40">
                  <c:v>87000</c:v>
                </c:pt>
                <c:pt idx="41">
                  <c:v>89000</c:v>
                </c:pt>
                <c:pt idx="42">
                  <c:v>91000</c:v>
                </c:pt>
                <c:pt idx="43">
                  <c:v>93000</c:v>
                </c:pt>
                <c:pt idx="44">
                  <c:v>95000</c:v>
                </c:pt>
                <c:pt idx="45">
                  <c:v>97000</c:v>
                </c:pt>
                <c:pt idx="46">
                  <c:v>99000</c:v>
                </c:pt>
                <c:pt idx="47">
                  <c:v>101000</c:v>
                </c:pt>
                <c:pt idx="48">
                  <c:v>103000</c:v>
                </c:pt>
                <c:pt idx="49">
                  <c:v>105000</c:v>
                </c:pt>
                <c:pt idx="50">
                  <c:v>107000</c:v>
                </c:pt>
                <c:pt idx="51">
                  <c:v>109000</c:v>
                </c:pt>
                <c:pt idx="52">
                  <c:v>111000</c:v>
                </c:pt>
                <c:pt idx="53">
                  <c:v>113000</c:v>
                </c:pt>
                <c:pt idx="54">
                  <c:v>115000</c:v>
                </c:pt>
                <c:pt idx="55">
                  <c:v>117000</c:v>
                </c:pt>
                <c:pt idx="56">
                  <c:v>119000</c:v>
                </c:pt>
                <c:pt idx="57">
                  <c:v>121000</c:v>
                </c:pt>
                <c:pt idx="58">
                  <c:v>123000</c:v>
                </c:pt>
                <c:pt idx="59">
                  <c:v>125000</c:v>
                </c:pt>
                <c:pt idx="60">
                  <c:v>128000</c:v>
                </c:pt>
                <c:pt idx="61">
                  <c:v>130000</c:v>
                </c:pt>
                <c:pt idx="62">
                  <c:v>132000</c:v>
                </c:pt>
                <c:pt idx="63">
                  <c:v>134000</c:v>
                </c:pt>
                <c:pt idx="64">
                  <c:v>136000</c:v>
                </c:pt>
                <c:pt idx="65">
                  <c:v>138000</c:v>
                </c:pt>
                <c:pt idx="66">
                  <c:v>140000</c:v>
                </c:pt>
                <c:pt idx="67">
                  <c:v>142000</c:v>
                </c:pt>
                <c:pt idx="68">
                  <c:v>144000</c:v>
                </c:pt>
                <c:pt idx="69">
                  <c:v>146000</c:v>
                </c:pt>
                <c:pt idx="70">
                  <c:v>148000</c:v>
                </c:pt>
                <c:pt idx="71">
                  <c:v>150000</c:v>
                </c:pt>
                <c:pt idx="72">
                  <c:v>152000</c:v>
                </c:pt>
                <c:pt idx="73">
                  <c:v>154000</c:v>
                </c:pt>
                <c:pt idx="74">
                  <c:v>156000</c:v>
                </c:pt>
                <c:pt idx="75">
                  <c:v>158000</c:v>
                </c:pt>
                <c:pt idx="76">
                  <c:v>160000</c:v>
                </c:pt>
                <c:pt idx="77">
                  <c:v>162000</c:v>
                </c:pt>
                <c:pt idx="78">
                  <c:v>164000</c:v>
                </c:pt>
                <c:pt idx="79">
                  <c:v>166000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5EA-4B88-8435-3DB14E5CB4FF}"/>
            </c:ext>
          </c:extLst>
        </c:ser>
        <c:ser>
          <c:idx val="6"/>
          <c:order val="1"/>
          <c:tx>
            <c:strRef>
              <c:f>模型一计算RSI!$H$1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模型一计算RSI!资产</c:f>
              <c:numCache>
                <c:formatCode>0.00_ </c:formatCode>
                <c:ptCount val="112"/>
                <c:pt idx="0">
                  <c:v>2000</c:v>
                </c:pt>
                <c:pt idx="1">
                  <c:v>4943.887775551103</c:v>
                </c:pt>
                <c:pt idx="2">
                  <c:v>7326.1471396401048</c:v>
                </c:pt>
                <c:pt idx="3">
                  <c:v>9284.0831369244679</c:v>
                </c:pt>
                <c:pt idx="4">
                  <c:v>11614.700149500219</c:v>
                </c:pt>
                <c:pt idx="5">
                  <c:v>13657.877473476057</c:v>
                </c:pt>
                <c:pt idx="6">
                  <c:v>15721.108387705111</c:v>
                </c:pt>
                <c:pt idx="7">
                  <c:v>17445.807872160047</c:v>
                </c:pt>
                <c:pt idx="8">
                  <c:v>18938.471995952765</c:v>
                </c:pt>
                <c:pt idx="9">
                  <c:v>20243.146454072372</c:v>
                </c:pt>
                <c:pt idx="10">
                  <c:v>22344.666747222185</c:v>
                </c:pt>
                <c:pt idx="11">
                  <c:v>26284.772542639679</c:v>
                </c:pt>
                <c:pt idx="12">
                  <c:v>27681.357195012508</c:v>
                </c:pt>
                <c:pt idx="13">
                  <c:v>28094.362092666863</c:v>
                </c:pt>
                <c:pt idx="14">
                  <c:v>27853.535604717366</c:v>
                </c:pt>
                <c:pt idx="15">
                  <c:v>29672.472534697536</c:v>
                </c:pt>
                <c:pt idx="16">
                  <c:v>30989.845956939331</c:v>
                </c:pt>
                <c:pt idx="17">
                  <c:v>32915.053611611947</c:v>
                </c:pt>
                <c:pt idx="18">
                  <c:v>31539.519538691078</c:v>
                </c:pt>
                <c:pt idx="19">
                  <c:v>35238.471558040459</c:v>
                </c:pt>
                <c:pt idx="20">
                  <c:v>36529.659700048978</c:v>
                </c:pt>
                <c:pt idx="21">
                  <c:v>39284.404735173957</c:v>
                </c:pt>
                <c:pt idx="22">
                  <c:v>51145.26746222168</c:v>
                </c:pt>
                <c:pt idx="23">
                  <c:v>58552.210516480278</c:v>
                </c:pt>
                <c:pt idx="24">
                  <c:v>58038.749772358198</c:v>
                </c:pt>
                <c:pt idx="25">
                  <c:v>56311.490612665475</c:v>
                </c:pt>
                <c:pt idx="26">
                  <c:v>59354.2959943815</c:v>
                </c:pt>
                <c:pt idx="27">
                  <c:v>64782.244640046309</c:v>
                </c:pt>
                <c:pt idx="28">
                  <c:v>69271.350096387818</c:v>
                </c:pt>
                <c:pt idx="29">
                  <c:v>75048.561007193784</c:v>
                </c:pt>
                <c:pt idx="30">
                  <c:v>76147.701087439855</c:v>
                </c:pt>
                <c:pt idx="31">
                  <c:v>77791.870708526578</c:v>
                </c:pt>
                <c:pt idx="32">
                  <c:v>86000.611563197701</c:v>
                </c:pt>
                <c:pt idx="33">
                  <c:v>98918.950074699344</c:v>
                </c:pt>
                <c:pt idx="34">
                  <c:v>110154.43846901925</c:v>
                </c:pt>
                <c:pt idx="35">
                  <c:v>96140.45517712232</c:v>
                </c:pt>
                <c:pt idx="36">
                  <c:v>106873.27934680313</c:v>
                </c:pt>
                <c:pt idx="37">
                  <c:v>107740.63293434647</c:v>
                </c:pt>
                <c:pt idx="38">
                  <c:v>121034.02751124431</c:v>
                </c:pt>
                <c:pt idx="39">
                  <c:v>137283.18587475648</c:v>
                </c:pt>
                <c:pt idx="40">
                  <c:v>137752.14662708261</c:v>
                </c:pt>
                <c:pt idx="41">
                  <c:v>129222.22063177929</c:v>
                </c:pt>
                <c:pt idx="42">
                  <c:v>131835.89467819888</c:v>
                </c:pt>
                <c:pt idx="43">
                  <c:v>134548.03995667663</c:v>
                </c:pt>
                <c:pt idx="44">
                  <c:v>133114.30891681518</c:v>
                </c:pt>
                <c:pt idx="45">
                  <c:v>135573.0074313459</c:v>
                </c:pt>
                <c:pt idx="46">
                  <c:v>134593.38089439325</c:v>
                </c:pt>
                <c:pt idx="47">
                  <c:v>131583.93624031823</c:v>
                </c:pt>
                <c:pt idx="48">
                  <c:v>135503.46849765329</c:v>
                </c:pt>
                <c:pt idx="49">
                  <c:v>146465.59971928058</c:v>
                </c:pt>
                <c:pt idx="50">
                  <c:v>155872.8210316331</c:v>
                </c:pt>
                <c:pt idx="51">
                  <c:v>160574.09003320918</c:v>
                </c:pt>
                <c:pt idx="52">
                  <c:v>152848.45951593464</c:v>
                </c:pt>
                <c:pt idx="53">
                  <c:v>150537.09236107187</c:v>
                </c:pt>
                <c:pt idx="54">
                  <c:v>153785.49579103221</c:v>
                </c:pt>
                <c:pt idx="55">
                  <c:v>168223.25679394984</c:v>
                </c:pt>
                <c:pt idx="56">
                  <c:v>172036.69280387496</c:v>
                </c:pt>
                <c:pt idx="57">
                  <c:v>161193.3054403656</c:v>
                </c:pt>
                <c:pt idx="58">
                  <c:v>164395.41602392812</c:v>
                </c:pt>
                <c:pt idx="59">
                  <c:v>146150.22279620555</c:v>
                </c:pt>
                <c:pt idx="60">
                  <c:v>128960.63494006365</c:v>
                </c:pt>
                <c:pt idx="61">
                  <c:v>136243.08334894152</c:v>
                </c:pt>
                <c:pt idx="62">
                  <c:v>148266.09463564347</c:v>
                </c:pt>
                <c:pt idx="63">
                  <c:v>144004.66110065216</c:v>
                </c:pt>
                <c:pt idx="64">
                  <c:v>136659.92462070705</c:v>
                </c:pt>
                <c:pt idx="65">
                  <c:v>126258.40092837813</c:v>
                </c:pt>
                <c:pt idx="66">
                  <c:v>134064.81138394625</c:v>
                </c:pt>
                <c:pt idx="67">
                  <c:v>140454.20698584142</c:v>
                </c:pt>
                <c:pt idx="68">
                  <c:v>141309.20699342049</c:v>
                </c:pt>
                <c:pt idx="69">
                  <c:v>159182.29890635004</c:v>
                </c:pt>
                <c:pt idx="70">
                  <c:v>169154.48127912119</c:v>
                </c:pt>
                <c:pt idx="71">
                  <c:v>196547.4792856444</c:v>
                </c:pt>
                <c:pt idx="72">
                  <c:v>191198.66801863554</c:v>
                </c:pt>
                <c:pt idx="73">
                  <c:v>195224.07569361891</c:v>
                </c:pt>
                <c:pt idx="74">
                  <c:v>198997.6013598156</c:v>
                </c:pt>
                <c:pt idx="75">
                  <c:v>193142.42726490245</c:v>
                </c:pt>
                <c:pt idx="76">
                  <c:v>183166.76573906597</c:v>
                </c:pt>
                <c:pt idx="77">
                  <c:v>176719.4210261424</c:v>
                </c:pt>
                <c:pt idx="78">
                  <c:v>169463.35981916671</c:v>
                </c:pt>
                <c:pt idx="79">
                  <c:v>175786.40059324171</c:v>
                </c:pt>
                <c:pt idx="80">
                  <c:v>177494.88460365258</c:v>
                </c:pt>
                <c:pt idx="81">
                  <c:v>146735.47945903358</c:v>
                </c:pt>
                <c:pt idx="82">
                  <c:v>181243.02515201695</c:v>
                </c:pt>
                <c:pt idx="83">
                  <c:v>183395.20944837987</c:v>
                </c:pt>
                <c:pt idx="84">
                  <c:v>189703.15005599771</c:v>
                </c:pt>
                <c:pt idx="85">
                  <c:v>180974.03683272592</c:v>
                </c:pt>
                <c:pt idx="86">
                  <c:v>183760.19608834572</c:v>
                </c:pt>
                <c:pt idx="87">
                  <c:v>184329.52713921192</c:v>
                </c:pt>
                <c:pt idx="88">
                  <c:v>169616.13003921387</c:v>
                </c:pt>
                <c:pt idx="89">
                  <c:v>213085.07832595258</c:v>
                </c:pt>
                <c:pt idx="90">
                  <c:v>233471.46256111268</c:v>
                </c:pt>
                <c:pt idx="91">
                  <c:v>241929.18970369411</c:v>
                </c:pt>
                <c:pt idx="92">
                  <c:v>244930.97389211343</c:v>
                </c:pt>
                <c:pt idx="93">
                  <c:v>245415.92638930981</c:v>
                </c:pt>
                <c:pt idx="94">
                  <c:v>277117.03653209889</c:v>
                </c:pt>
                <c:pt idx="95">
                  <c:v>262705.40449016116</c:v>
                </c:pt>
                <c:pt idx="96">
                  <c:v>253852.66270571228</c:v>
                </c:pt>
                <c:pt idx="97">
                  <c:v>251338.17913211079</c:v>
                </c:pt>
                <c:pt idx="98">
                  <c:v>272766.1411292812</c:v>
                </c:pt>
                <c:pt idx="99">
                  <c:v>301037.72125258314</c:v>
                </c:pt>
                <c:pt idx="100">
                  <c:v>498286.24982888845</c:v>
                </c:pt>
                <c:pt idx="101">
                  <c:v>429713.53557868901</c:v>
                </c:pt>
                <c:pt idx="102">
                  <c:v>419896.41655189026</c:v>
                </c:pt>
                <c:pt idx="103">
                  <c:v>406964.33522915788</c:v>
                </c:pt>
                <c:pt idx="104">
                  <c:v>435902.47659264668</c:v>
                </c:pt>
                <c:pt idx="105">
                  <c:v>474590.91591369454</c:v>
                </c:pt>
                <c:pt idx="106">
                  <c:v>462364.11958165164</c:v>
                </c:pt>
                <c:pt idx="107">
                  <c:v>417285.05145775672</c:v>
                </c:pt>
                <c:pt idx="108">
                  <c:v>515553.28549581306</c:v>
                </c:pt>
                <c:pt idx="109">
                  <c:v>567445.53608854045</c:v>
                </c:pt>
                <c:pt idx="110">
                  <c:v>641210.7237338433</c:v>
                </c:pt>
                <c:pt idx="111">
                  <c:v>523413.87513215444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5EA-4B88-8435-3DB14E5CB4FF}"/>
            </c:ext>
          </c:extLst>
        </c:ser>
        <c:ser>
          <c:idx val="7"/>
          <c:order val="2"/>
          <c:tx>
            <c:strRef>
              <c:f>模型一计算RSI!$I$1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模型一计算RSI!时间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模型一计算RSI!金额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-56.112224448896995</c:v>
                </c:pt>
                <c:pt idx="2">
                  <c:v>326.1471396401048</c:v>
                </c:pt>
                <c:pt idx="3">
                  <c:v>284.08313692446791</c:v>
                </c:pt>
                <c:pt idx="4">
                  <c:v>614.70014950021869</c:v>
                </c:pt>
                <c:pt idx="5">
                  <c:v>657.87747347605728</c:v>
                </c:pt>
                <c:pt idx="6">
                  <c:v>721.10838770511145</c:v>
                </c:pt>
                <c:pt idx="7">
                  <c:v>445.80787216004683</c:v>
                </c:pt>
                <c:pt idx="8">
                  <c:v>-61.528004047235299</c:v>
                </c:pt>
                <c:pt idx="9">
                  <c:v>-756.85354592762815</c:v>
                </c:pt>
                <c:pt idx="10">
                  <c:v>-655.33325277781478</c:v>
                </c:pt>
                <c:pt idx="11">
                  <c:v>1284.7725426396792</c:v>
                </c:pt>
                <c:pt idx="12">
                  <c:v>681.35719501250787</c:v>
                </c:pt>
                <c:pt idx="13">
                  <c:v>-905.63790733313726</c:v>
                </c:pt>
                <c:pt idx="14">
                  <c:v>-3146.4643952826336</c:v>
                </c:pt>
                <c:pt idx="15">
                  <c:v>-3327.5274653024644</c:v>
                </c:pt>
                <c:pt idx="16">
                  <c:v>-5010.1540430606692</c:v>
                </c:pt>
                <c:pt idx="17">
                  <c:v>-6084.9463883880526</c:v>
                </c:pt>
                <c:pt idx="18">
                  <c:v>-10460.480461308922</c:v>
                </c:pt>
                <c:pt idx="19">
                  <c:v>-8761.5284419595409</c:v>
                </c:pt>
                <c:pt idx="20">
                  <c:v>-10470.340299951022</c:v>
                </c:pt>
                <c:pt idx="21">
                  <c:v>-9715.5952648260427</c:v>
                </c:pt>
                <c:pt idx="22">
                  <c:v>145.26746222168003</c:v>
                </c:pt>
                <c:pt idx="23">
                  <c:v>5552.2105164802779</c:v>
                </c:pt>
                <c:pt idx="24">
                  <c:v>3038.7497723581982</c:v>
                </c:pt>
                <c:pt idx="25">
                  <c:v>-688.50938733452494</c:v>
                </c:pt>
                <c:pt idx="26">
                  <c:v>354.29599438150035</c:v>
                </c:pt>
                <c:pt idx="27">
                  <c:v>3782.2446400463086</c:v>
                </c:pt>
                <c:pt idx="28">
                  <c:v>6271.3500963878178</c:v>
                </c:pt>
                <c:pt idx="29">
                  <c:v>10048.561007193784</c:v>
                </c:pt>
                <c:pt idx="30">
                  <c:v>9147.7010874398547</c:v>
                </c:pt>
                <c:pt idx="31">
                  <c:v>8791.8707085265778</c:v>
                </c:pt>
                <c:pt idx="32">
                  <c:v>15000.611563197701</c:v>
                </c:pt>
                <c:pt idx="33">
                  <c:v>25918.950074699344</c:v>
                </c:pt>
                <c:pt idx="34">
                  <c:v>35154.438469019253</c:v>
                </c:pt>
                <c:pt idx="35">
                  <c:v>19140.45517712232</c:v>
                </c:pt>
                <c:pt idx="36">
                  <c:v>27873.27934680313</c:v>
                </c:pt>
                <c:pt idx="37">
                  <c:v>26740.632934346475</c:v>
                </c:pt>
                <c:pt idx="38">
                  <c:v>38034.027511244305</c:v>
                </c:pt>
                <c:pt idx="39">
                  <c:v>52283.185874756484</c:v>
                </c:pt>
                <c:pt idx="40">
                  <c:v>50752.146627082606</c:v>
                </c:pt>
                <c:pt idx="41">
                  <c:v>40222.220631779288</c:v>
                </c:pt>
                <c:pt idx="42">
                  <c:v>40835.894678198878</c:v>
                </c:pt>
                <c:pt idx="43">
                  <c:v>41548.039956676628</c:v>
                </c:pt>
                <c:pt idx="44">
                  <c:v>38114.308916815178</c:v>
                </c:pt>
                <c:pt idx="45">
                  <c:v>38573.007431345904</c:v>
                </c:pt>
                <c:pt idx="46">
                  <c:v>35593.380894393253</c:v>
                </c:pt>
                <c:pt idx="47">
                  <c:v>30583.936240318231</c:v>
                </c:pt>
                <c:pt idx="48">
                  <c:v>32503.468497653288</c:v>
                </c:pt>
                <c:pt idx="49">
                  <c:v>41465.599719280581</c:v>
                </c:pt>
                <c:pt idx="50">
                  <c:v>48872.821031633095</c:v>
                </c:pt>
                <c:pt idx="51">
                  <c:v>51574.090033209184</c:v>
                </c:pt>
                <c:pt idx="52">
                  <c:v>41848.459515934635</c:v>
                </c:pt>
                <c:pt idx="53">
                  <c:v>37537.092361071875</c:v>
                </c:pt>
                <c:pt idx="54">
                  <c:v>38785.495791032212</c:v>
                </c:pt>
                <c:pt idx="55">
                  <c:v>51223.25679394984</c:v>
                </c:pt>
                <c:pt idx="56">
                  <c:v>53036.692803874961</c:v>
                </c:pt>
                <c:pt idx="57">
                  <c:v>40193.305440365599</c:v>
                </c:pt>
                <c:pt idx="58">
                  <c:v>41395.416023928119</c:v>
                </c:pt>
                <c:pt idx="59">
                  <c:v>21150.222796205548</c:v>
                </c:pt>
                <c:pt idx="60">
                  <c:v>960.63494006365363</c:v>
                </c:pt>
                <c:pt idx="61">
                  <c:v>6243.0833489415236</c:v>
                </c:pt>
                <c:pt idx="62">
                  <c:v>16266.094635643472</c:v>
                </c:pt>
                <c:pt idx="63">
                  <c:v>10004.661100652156</c:v>
                </c:pt>
                <c:pt idx="64">
                  <c:v>659.92462070705369</c:v>
                </c:pt>
                <c:pt idx="65">
                  <c:v>-11741.599071621866</c:v>
                </c:pt>
                <c:pt idx="66">
                  <c:v>-5935.1886160537542</c:v>
                </c:pt>
                <c:pt idx="67">
                  <c:v>-1545.7930141585821</c:v>
                </c:pt>
                <c:pt idx="68">
                  <c:v>-2690.7930065795081</c:v>
                </c:pt>
                <c:pt idx="69">
                  <c:v>13182.298906350043</c:v>
                </c:pt>
                <c:pt idx="70">
                  <c:v>21154.481279121188</c:v>
                </c:pt>
                <c:pt idx="71">
                  <c:v>46547.479285644396</c:v>
                </c:pt>
                <c:pt idx="72">
                  <c:v>39198.668018635537</c:v>
                </c:pt>
                <c:pt idx="73">
                  <c:v>41224.075693618914</c:v>
                </c:pt>
                <c:pt idx="74">
                  <c:v>42997.601359815599</c:v>
                </c:pt>
                <c:pt idx="75">
                  <c:v>35142.42726490245</c:v>
                </c:pt>
                <c:pt idx="76">
                  <c:v>23166.765739065973</c:v>
                </c:pt>
                <c:pt idx="77">
                  <c:v>14719.421026142401</c:v>
                </c:pt>
                <c:pt idx="78">
                  <c:v>5463.3598191667115</c:v>
                </c:pt>
                <c:pt idx="79">
                  <c:v>9786.4005932417058</c:v>
                </c:pt>
                <c:pt idx="80">
                  <c:v>9494.8846036525792</c:v>
                </c:pt>
                <c:pt idx="81">
                  <c:v>-24264.52054096642</c:v>
                </c:pt>
                <c:pt idx="82">
                  <c:v>8243.025152016955</c:v>
                </c:pt>
                <c:pt idx="83">
                  <c:v>8395.2094483798719</c:v>
                </c:pt>
                <c:pt idx="84">
                  <c:v>12703.150055997714</c:v>
                </c:pt>
                <c:pt idx="85">
                  <c:v>1974.0368327259202</c:v>
                </c:pt>
                <c:pt idx="86">
                  <c:v>2760.1960883457214</c:v>
                </c:pt>
                <c:pt idx="87">
                  <c:v>1329.5271392119175</c:v>
                </c:pt>
                <c:pt idx="88">
                  <c:v>-15383.869960786134</c:v>
                </c:pt>
                <c:pt idx="89">
                  <c:v>26085.078325952578</c:v>
                </c:pt>
                <c:pt idx="90">
                  <c:v>44471.462561112683</c:v>
                </c:pt>
                <c:pt idx="91">
                  <c:v>50929.189703694108</c:v>
                </c:pt>
                <c:pt idx="92">
                  <c:v>51930.973892113427</c:v>
                </c:pt>
                <c:pt idx="93">
                  <c:v>50415.92638930981</c:v>
                </c:pt>
                <c:pt idx="94">
                  <c:v>80117.036532098893</c:v>
                </c:pt>
                <c:pt idx="95">
                  <c:v>63705.404490161163</c:v>
                </c:pt>
                <c:pt idx="96">
                  <c:v>52852.662705712282</c:v>
                </c:pt>
                <c:pt idx="97">
                  <c:v>48338.179132110788</c:v>
                </c:pt>
                <c:pt idx="98">
                  <c:v>67766.141129281197</c:v>
                </c:pt>
                <c:pt idx="99">
                  <c:v>94037.721252583142</c:v>
                </c:pt>
                <c:pt idx="100">
                  <c:v>289286.24982888845</c:v>
                </c:pt>
                <c:pt idx="101">
                  <c:v>218713.53557868901</c:v>
                </c:pt>
                <c:pt idx="102">
                  <c:v>206896.41655189026</c:v>
                </c:pt>
                <c:pt idx="103">
                  <c:v>191964.33522915788</c:v>
                </c:pt>
                <c:pt idx="104">
                  <c:v>218902.47659264668</c:v>
                </c:pt>
                <c:pt idx="105">
                  <c:v>255590.91591369454</c:v>
                </c:pt>
                <c:pt idx="106">
                  <c:v>241364.11958165164</c:v>
                </c:pt>
                <c:pt idx="107">
                  <c:v>194285.05145775672</c:v>
                </c:pt>
                <c:pt idx="108">
                  <c:v>290553.28549581306</c:v>
                </c:pt>
                <c:pt idx="109">
                  <c:v>340445.53608854045</c:v>
                </c:pt>
                <c:pt idx="110">
                  <c:v>412210.7237338433</c:v>
                </c:pt>
                <c:pt idx="111">
                  <c:v>292413.87513215444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5EA-4B88-8435-3DB14E5CB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99456"/>
        <c:axId val="522900992"/>
      </c:lineChart>
      <c:dateAx>
        <c:axId val="52289945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22900992"/>
        <c:crosses val="autoZero"/>
        <c:auto val="1"/>
        <c:lblOffset val="100"/>
        <c:baseTimeUnit val="days"/>
      </c:dateAx>
      <c:valAx>
        <c:axId val="522900992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22899456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482758620689656"/>
          <c:y val="0.10588255568810449"/>
          <c:w val="0.85931034482758617"/>
          <c:h val="0.65490321481160929"/>
        </c:manualLayout>
      </c:layout>
      <c:lineChart>
        <c:grouping val="standard"/>
        <c:varyColors val="0"/>
        <c:ser>
          <c:idx val="0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1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17A-45D9-87DD-0CE6703AF311}"/>
            </c:ext>
          </c:extLst>
        </c:ser>
        <c:ser>
          <c:idx val="1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1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  <c:pt idx="110">
                  <c:v>639144.93698818795</c:v>
                </c:pt>
                <c:pt idx="111">
                  <c:v>521734.03754931345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17A-45D9-87DD-0CE6703AF311}"/>
            </c:ext>
          </c:extLst>
        </c:ser>
        <c:ser>
          <c:idx val="2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  <c:pt idx="110">
                  <c:v>410144.93698818795</c:v>
                </c:pt>
                <c:pt idx="111">
                  <c:v>290734.03754931345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17A-45D9-87DD-0CE6703AF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113216"/>
        <c:axId val="523114752"/>
      </c:lineChart>
      <c:dateAx>
        <c:axId val="52311321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等线"/>
                <a:ea typeface="等线"/>
                <a:cs typeface="等线"/>
              </a:defRPr>
            </a:pPr>
            <a:endParaRPr lang="zh-CN"/>
          </a:p>
        </c:txPr>
        <c:crossAx val="523114752"/>
        <c:crosses val="autoZero"/>
        <c:auto val="1"/>
        <c:lblOffset val="100"/>
        <c:baseTimeUnit val="months"/>
      </c:dateAx>
      <c:valAx>
        <c:axId val="523114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11321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813793103448276"/>
          <c:y val="0.9313743324416599"/>
          <c:w val="0.41793103448275865"/>
          <c:h val="4.3137337502561088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模型一计算KDJ!$G$1</c:f>
              <c:strCache>
                <c:ptCount val="1"/>
                <c:pt idx="0">
                  <c:v>累计投入资金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模型一计算KDJ!资金</c:f>
              <c:numCache>
                <c:formatCode>0.00_ </c:formatCode>
                <c:ptCount val="11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35000</c:v>
                </c:pt>
                <c:pt idx="17">
                  <c:v>38000</c:v>
                </c:pt>
                <c:pt idx="18">
                  <c:v>41000</c:v>
                </c:pt>
                <c:pt idx="19">
                  <c:v>43000</c:v>
                </c:pt>
                <c:pt idx="20">
                  <c:v>45000</c:v>
                </c:pt>
                <c:pt idx="21">
                  <c:v>47000</c:v>
                </c:pt>
                <c:pt idx="22">
                  <c:v>49000</c:v>
                </c:pt>
                <c:pt idx="23">
                  <c:v>51000</c:v>
                </c:pt>
                <c:pt idx="24">
                  <c:v>53000</c:v>
                </c:pt>
                <c:pt idx="25">
                  <c:v>55000</c:v>
                </c:pt>
                <c:pt idx="26">
                  <c:v>57000</c:v>
                </c:pt>
                <c:pt idx="27">
                  <c:v>59000</c:v>
                </c:pt>
                <c:pt idx="28">
                  <c:v>61000</c:v>
                </c:pt>
                <c:pt idx="29">
                  <c:v>63000</c:v>
                </c:pt>
                <c:pt idx="30">
                  <c:v>65000</c:v>
                </c:pt>
                <c:pt idx="31">
                  <c:v>67000</c:v>
                </c:pt>
                <c:pt idx="32">
                  <c:v>69000</c:v>
                </c:pt>
                <c:pt idx="33">
                  <c:v>71000</c:v>
                </c:pt>
                <c:pt idx="34">
                  <c:v>73000</c:v>
                </c:pt>
                <c:pt idx="35">
                  <c:v>75000</c:v>
                </c:pt>
                <c:pt idx="36">
                  <c:v>77000</c:v>
                </c:pt>
                <c:pt idx="37">
                  <c:v>79000</c:v>
                </c:pt>
                <c:pt idx="38">
                  <c:v>81000</c:v>
                </c:pt>
                <c:pt idx="39">
                  <c:v>83000</c:v>
                </c:pt>
                <c:pt idx="40">
                  <c:v>85000</c:v>
                </c:pt>
                <c:pt idx="41">
                  <c:v>87000</c:v>
                </c:pt>
                <c:pt idx="42">
                  <c:v>89000</c:v>
                </c:pt>
                <c:pt idx="43">
                  <c:v>91000</c:v>
                </c:pt>
                <c:pt idx="44">
                  <c:v>93000</c:v>
                </c:pt>
                <c:pt idx="45">
                  <c:v>95000</c:v>
                </c:pt>
                <c:pt idx="46">
                  <c:v>97000</c:v>
                </c:pt>
                <c:pt idx="47">
                  <c:v>99000</c:v>
                </c:pt>
                <c:pt idx="48">
                  <c:v>101000</c:v>
                </c:pt>
                <c:pt idx="49">
                  <c:v>103000</c:v>
                </c:pt>
                <c:pt idx="50">
                  <c:v>105000</c:v>
                </c:pt>
                <c:pt idx="51">
                  <c:v>107000</c:v>
                </c:pt>
                <c:pt idx="52">
                  <c:v>109000</c:v>
                </c:pt>
                <c:pt idx="53">
                  <c:v>111000</c:v>
                </c:pt>
                <c:pt idx="54">
                  <c:v>113000</c:v>
                </c:pt>
                <c:pt idx="55">
                  <c:v>115000</c:v>
                </c:pt>
                <c:pt idx="56">
                  <c:v>117000</c:v>
                </c:pt>
                <c:pt idx="57">
                  <c:v>119000</c:v>
                </c:pt>
                <c:pt idx="58">
                  <c:v>121000</c:v>
                </c:pt>
                <c:pt idx="59">
                  <c:v>123000</c:v>
                </c:pt>
                <c:pt idx="60">
                  <c:v>126000</c:v>
                </c:pt>
                <c:pt idx="61">
                  <c:v>128000</c:v>
                </c:pt>
                <c:pt idx="62">
                  <c:v>130000</c:v>
                </c:pt>
                <c:pt idx="63">
                  <c:v>132000</c:v>
                </c:pt>
                <c:pt idx="64">
                  <c:v>134000</c:v>
                </c:pt>
                <c:pt idx="65">
                  <c:v>137000</c:v>
                </c:pt>
                <c:pt idx="66">
                  <c:v>139000</c:v>
                </c:pt>
                <c:pt idx="67">
                  <c:v>141000</c:v>
                </c:pt>
                <c:pt idx="68">
                  <c:v>143000</c:v>
                </c:pt>
                <c:pt idx="69">
                  <c:v>145000</c:v>
                </c:pt>
                <c:pt idx="70">
                  <c:v>147000</c:v>
                </c:pt>
                <c:pt idx="71">
                  <c:v>149000</c:v>
                </c:pt>
                <c:pt idx="72">
                  <c:v>151000</c:v>
                </c:pt>
                <c:pt idx="73">
                  <c:v>153000</c:v>
                </c:pt>
                <c:pt idx="74">
                  <c:v>155000</c:v>
                </c:pt>
                <c:pt idx="75">
                  <c:v>157000</c:v>
                </c:pt>
                <c:pt idx="76">
                  <c:v>159000</c:v>
                </c:pt>
                <c:pt idx="77">
                  <c:v>161000</c:v>
                </c:pt>
                <c:pt idx="78">
                  <c:v>163000</c:v>
                </c:pt>
                <c:pt idx="79">
                  <c:v>165000</c:v>
                </c:pt>
                <c:pt idx="80">
                  <c:v>168000</c:v>
                </c:pt>
                <c:pt idx="81">
                  <c:v>171000</c:v>
                </c:pt>
                <c:pt idx="82">
                  <c:v>173000</c:v>
                </c:pt>
                <c:pt idx="83">
                  <c:v>175000</c:v>
                </c:pt>
                <c:pt idx="84">
                  <c:v>177000</c:v>
                </c:pt>
                <c:pt idx="85">
                  <c:v>179000</c:v>
                </c:pt>
                <c:pt idx="86">
                  <c:v>181000</c:v>
                </c:pt>
                <c:pt idx="87">
                  <c:v>183000</c:v>
                </c:pt>
                <c:pt idx="88">
                  <c:v>185000</c:v>
                </c:pt>
                <c:pt idx="89">
                  <c:v>187000</c:v>
                </c:pt>
                <c:pt idx="90">
                  <c:v>189000</c:v>
                </c:pt>
                <c:pt idx="91">
                  <c:v>191000</c:v>
                </c:pt>
                <c:pt idx="92">
                  <c:v>193000</c:v>
                </c:pt>
                <c:pt idx="93">
                  <c:v>195000</c:v>
                </c:pt>
                <c:pt idx="94">
                  <c:v>197000</c:v>
                </c:pt>
                <c:pt idx="95">
                  <c:v>199000</c:v>
                </c:pt>
                <c:pt idx="96">
                  <c:v>201000</c:v>
                </c:pt>
                <c:pt idx="97">
                  <c:v>203000</c:v>
                </c:pt>
                <c:pt idx="98">
                  <c:v>205000</c:v>
                </c:pt>
                <c:pt idx="99">
                  <c:v>207000</c:v>
                </c:pt>
                <c:pt idx="100">
                  <c:v>209000</c:v>
                </c:pt>
                <c:pt idx="101">
                  <c:v>211000</c:v>
                </c:pt>
                <c:pt idx="102">
                  <c:v>213000</c:v>
                </c:pt>
                <c:pt idx="103">
                  <c:v>215000</c:v>
                </c:pt>
                <c:pt idx="104">
                  <c:v>217000</c:v>
                </c:pt>
                <c:pt idx="105">
                  <c:v>219000</c:v>
                </c:pt>
                <c:pt idx="106">
                  <c:v>221000</c:v>
                </c:pt>
                <c:pt idx="107">
                  <c:v>223000</c:v>
                </c:pt>
                <c:pt idx="108">
                  <c:v>225000</c:v>
                </c:pt>
                <c:pt idx="109">
                  <c:v>227000</c:v>
                </c:pt>
                <c:pt idx="110">
                  <c:v>229000</c:v>
                </c:pt>
                <c:pt idx="111">
                  <c:v>231000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44E-4797-A800-72A0962177BD}"/>
            </c:ext>
          </c:extLst>
        </c:ser>
        <c:ser>
          <c:idx val="6"/>
          <c:order val="1"/>
          <c:tx>
            <c:strRef>
              <c:f>模型一计算KDJ!$H$1</c:f>
              <c:strCache>
                <c:ptCount val="1"/>
                <c:pt idx="0">
                  <c:v>总资产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模型一计算KDJ!资产</c:f>
              <c:numCache>
                <c:formatCode>0.00_ </c:formatCode>
                <c:ptCount val="112"/>
                <c:pt idx="0">
                  <c:v>2000</c:v>
                </c:pt>
                <c:pt idx="1">
                  <c:v>3943.8877755511021</c:v>
                </c:pt>
                <c:pt idx="2">
                  <c:v>6248.8275520112384</c:v>
                </c:pt>
                <c:pt idx="3">
                  <c:v>8212.9491163059101</c:v>
                </c:pt>
                <c:pt idx="4">
                  <c:v>10505.421798984757</c:v>
                </c:pt>
                <c:pt idx="5">
                  <c:v>12544.475411620388</c:v>
                </c:pt>
                <c:pt idx="6">
                  <c:v>14602.551686674185</c:v>
                </c:pt>
                <c:pt idx="7">
                  <c:v>16346.838799995101</c:v>
                </c:pt>
                <c:pt idx="8">
                  <c:v>17871.461686674415</c:v>
                </c:pt>
                <c:pt idx="9">
                  <c:v>19215.311402525982</c:v>
                </c:pt>
                <c:pt idx="10">
                  <c:v>21311.677056500535</c:v>
                </c:pt>
                <c:pt idx="11">
                  <c:v>25162.092130268546</c:v>
                </c:pt>
                <c:pt idx="12">
                  <c:v>26584.449978517663</c:v>
                </c:pt>
                <c:pt idx="13">
                  <c:v>27060.341474110162</c:v>
                </c:pt>
                <c:pt idx="14">
                  <c:v>26901.989212964789</c:v>
                </c:pt>
                <c:pt idx="15">
                  <c:v>28727.111709955268</c:v>
                </c:pt>
                <c:pt idx="16">
                  <c:v>30098.093379619742</c:v>
                </c:pt>
                <c:pt idx="17">
                  <c:v>32054.228869343911</c:v>
                </c:pt>
                <c:pt idx="18">
                  <c:v>30793.127786113761</c:v>
                </c:pt>
                <c:pt idx="19">
                  <c:v>34451.873619896127</c:v>
                </c:pt>
                <c:pt idx="20">
                  <c:v>34781.206091801556</c:v>
                </c:pt>
                <c:pt idx="21">
                  <c:v>37499.826052375967</c:v>
                </c:pt>
                <c:pt idx="22">
                  <c:v>48912.737854996667</c:v>
                </c:pt>
                <c:pt idx="23">
                  <c:v>56083.663755524889</c:v>
                </c:pt>
                <c:pt idx="24">
                  <c:v>55676.16989675114</c:v>
                </c:pt>
                <c:pt idx="25">
                  <c:v>54100.636050170797</c:v>
                </c:pt>
                <c:pt idx="26">
                  <c:v>57102.49968072951</c:v>
                </c:pt>
                <c:pt idx="27">
                  <c:v>62400.398058012288</c:v>
                </c:pt>
                <c:pt idx="28">
                  <c:v>66797.986658825699</c:v>
                </c:pt>
                <c:pt idx="29">
                  <c:v>72440.330624642884</c:v>
                </c:pt>
                <c:pt idx="30">
                  <c:v>73570.779102832777</c:v>
                </c:pt>
                <c:pt idx="31">
                  <c:v>75226.990415436347</c:v>
                </c:pt>
                <c:pt idx="32">
                  <c:v>83231.022514320939</c:v>
                </c:pt>
                <c:pt idx="33">
                  <c:v>95797.743633530394</c:v>
                </c:pt>
                <c:pt idx="34">
                  <c:v>106741.8230931424</c:v>
                </c:pt>
                <c:pt idx="35">
                  <c:v>93223.957491739915</c:v>
                </c:pt>
                <c:pt idx="36">
                  <c:v>103691.86444804991</c:v>
                </c:pt>
                <c:pt idx="37">
                  <c:v>104592.93477184045</c:v>
                </c:pt>
                <c:pt idx="38">
                  <c:v>117556.38700117644</c:v>
                </c:pt>
                <c:pt idx="39">
                  <c:v>133396.12785311553</c:v>
                </c:pt>
                <c:pt idx="40">
                  <c:v>133908.43869490232</c:v>
                </c:pt>
                <c:pt idx="41">
                  <c:v>125672.32997261029</c:v>
                </c:pt>
                <c:pt idx="42">
                  <c:v>128269.14565090627</c:v>
                </c:pt>
                <c:pt idx="43">
                  <c:v>130962.02422295707</c:v>
                </c:pt>
                <c:pt idx="44">
                  <c:v>129619.81003862371</c:v>
                </c:pt>
                <c:pt idx="45">
                  <c:v>132066.46686163757</c:v>
                </c:pt>
                <c:pt idx="46">
                  <c:v>131163.9071503928</c:v>
                </c:pt>
                <c:pt idx="47">
                  <c:v>128282.10442639644</c:v>
                </c:pt>
                <c:pt idx="48">
                  <c:v>132153.46991766407</c:v>
                </c:pt>
                <c:pt idx="49">
                  <c:v>142894.03391891689</c:v>
                </c:pt>
                <c:pt idx="50">
                  <c:v>152120.63003077434</c:v>
                </c:pt>
                <c:pt idx="51">
                  <c:v>156756.87373049516</c:v>
                </c:pt>
                <c:pt idx="52">
                  <c:v>149262.44387178912</c:v>
                </c:pt>
                <c:pt idx="53">
                  <c:v>147052.22677178431</c:v>
                </c:pt>
                <c:pt idx="54">
                  <c:v>150271.73022708471</c:v>
                </c:pt>
                <c:pt idx="55">
                  <c:v>164425.30723670791</c:v>
                </c:pt>
                <c:pt idx="56">
                  <c:v>168197.80159194008</c:v>
                </c:pt>
                <c:pt idx="57">
                  <c:v>157641.00638547397</c:v>
                </c:pt>
                <c:pt idx="58">
                  <c:v>160816.62544522167</c:v>
                </c:pt>
                <c:pt idx="59">
                  <c:v>143012.15805122256</c:v>
                </c:pt>
                <c:pt idx="60">
                  <c:v>126256.0709633651</c:v>
                </c:pt>
                <c:pt idx="61">
                  <c:v>133427.73580110082</c:v>
                </c:pt>
                <c:pt idx="62">
                  <c:v>145243.6300763966</c:v>
                </c:pt>
                <c:pt idx="63">
                  <c:v>141109.83840717439</c:v>
                </c:pt>
                <c:pt idx="64">
                  <c:v>133952.9524802597</c:v>
                </c:pt>
                <c:pt idx="65">
                  <c:v>124797.07929028108</c:v>
                </c:pt>
                <c:pt idx="66">
                  <c:v>132536.28603365258</c:v>
                </c:pt>
                <c:pt idx="67">
                  <c:v>138875.6364195011</c:v>
                </c:pt>
                <c:pt idx="68">
                  <c:v>139743.50512873946</c:v>
                </c:pt>
                <c:pt idx="69">
                  <c:v>157440.72364930413</c:v>
                </c:pt>
                <c:pt idx="70">
                  <c:v>167325.68429164126</c:v>
                </c:pt>
                <c:pt idx="71">
                  <c:v>194444.14840520313</c:v>
                </c:pt>
                <c:pt idx="72">
                  <c:v>189173.97962055329</c:v>
                </c:pt>
                <c:pt idx="73">
                  <c:v>193177.93934580238</c:v>
                </c:pt>
                <c:pt idx="74">
                  <c:v>196932.87675480539</c:v>
                </c:pt>
                <c:pt idx="75">
                  <c:v>191159.20500524505</c:v>
                </c:pt>
                <c:pt idx="76">
                  <c:v>181306.51179273304</c:v>
                </c:pt>
                <c:pt idx="77">
                  <c:v>174944.95887874661</c:v>
                </c:pt>
                <c:pt idx="78">
                  <c:v>167781.8389577393</c:v>
                </c:pt>
                <c:pt idx="79">
                  <c:v>174061.98383234572</c:v>
                </c:pt>
                <c:pt idx="80">
                  <c:v>176773.3275352972</c:v>
                </c:pt>
                <c:pt idx="81">
                  <c:v>146151.16204949972</c:v>
                </c:pt>
                <c:pt idx="82">
                  <c:v>180529.25898912328</c:v>
                </c:pt>
                <c:pt idx="83">
                  <c:v>182680.84395758834</c:v>
                </c:pt>
                <c:pt idx="84">
                  <c:v>188972.0041699291</c:v>
                </c:pt>
                <c:pt idx="85">
                  <c:v>180284.24264267314</c:v>
                </c:pt>
                <c:pt idx="86">
                  <c:v>183067.40540168784</c:v>
                </c:pt>
                <c:pt idx="87">
                  <c:v>183642.13018930849</c:v>
                </c:pt>
                <c:pt idx="88">
                  <c:v>168991.06026156206</c:v>
                </c:pt>
                <c:pt idx="89">
                  <c:v>212307.18707855581</c:v>
                </c:pt>
                <c:pt idx="90">
                  <c:v>232626.4497326077</c:v>
                </c:pt>
                <c:pt idx="91">
                  <c:v>241060.80415880398</c:v>
                </c:pt>
                <c:pt idx="92">
                  <c:v>244058.99252272033</c:v>
                </c:pt>
                <c:pt idx="93">
                  <c:v>244549.33875667118</c:v>
                </c:pt>
                <c:pt idx="94">
                  <c:v>276145.57137539709</c:v>
                </c:pt>
                <c:pt idx="95">
                  <c:v>261791.47216829649</c:v>
                </c:pt>
                <c:pt idx="96">
                  <c:v>252976.48625536042</c:v>
                </c:pt>
                <c:pt idx="97">
                  <c:v>250477.58449268236</c:v>
                </c:pt>
                <c:pt idx="98">
                  <c:v>271839.02416520036</c:v>
                </c:pt>
                <c:pt idx="99">
                  <c:v>300021.30864680465</c:v>
                </c:pt>
                <c:pt idx="100">
                  <c:v>496610.60732700618</c:v>
                </c:pt>
                <c:pt idx="101">
                  <c:v>428275.21577939275</c:v>
                </c:pt>
                <c:pt idx="102">
                  <c:v>418497.65053635836</c:v>
                </c:pt>
                <c:pt idx="103">
                  <c:v>405615.31121444347</c:v>
                </c:pt>
                <c:pt idx="104">
                  <c:v>434464.15679335035</c:v>
                </c:pt>
                <c:pt idx="105">
                  <c:v>473031.53759439802</c:v>
                </c:pt>
                <c:pt idx="106">
                  <c:v>460851.48669512541</c:v>
                </c:pt>
                <c:pt idx="107">
                  <c:v>415926.43862532912</c:v>
                </c:pt>
                <c:pt idx="108">
                  <c:v>513881.23881843378</c:v>
                </c:pt>
                <c:pt idx="109">
                  <c:v>565611.67845160083</c:v>
                </c:pt>
                <c:pt idx="110">
                  <c:v>639144.93698818795</c:v>
                </c:pt>
                <c:pt idx="111">
                  <c:v>521734.03754931345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44E-4797-A800-72A0962177BD}"/>
            </c:ext>
          </c:extLst>
        </c:ser>
        <c:ser>
          <c:idx val="7"/>
          <c:order val="2"/>
          <c:tx>
            <c:strRef>
              <c:f>模型一计算KDJ!$I$1</c:f>
              <c:strCache>
                <c:ptCount val="1"/>
                <c:pt idx="0">
                  <c:v>利润</c:v>
                </c:pt>
              </c:strCache>
            </c:strRef>
          </c:tx>
          <c:marker>
            <c:symbol val="none"/>
          </c:marker>
          <c:cat>
            <c:numRef>
              <c:f>模型一计算KDJ!时间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模型一计算KDJ!金额</c:f>
              <c:numCache>
                <c:formatCode>0.00_ </c:formatCode>
                <c:ptCount val="112"/>
                <c:pt idx="0">
                  <c:v>0</c:v>
                </c:pt>
                <c:pt idx="1">
                  <c:v>-56.112224448897905</c:v>
                </c:pt>
                <c:pt idx="2">
                  <c:v>248.82755201123837</c:v>
                </c:pt>
                <c:pt idx="3">
                  <c:v>212.94911630591014</c:v>
                </c:pt>
                <c:pt idx="4">
                  <c:v>505.42179898475661</c:v>
                </c:pt>
                <c:pt idx="5">
                  <c:v>544.4754116203876</c:v>
                </c:pt>
                <c:pt idx="6">
                  <c:v>602.55168667418548</c:v>
                </c:pt>
                <c:pt idx="7">
                  <c:v>346.838799995101</c:v>
                </c:pt>
                <c:pt idx="8">
                  <c:v>-128.53831332558548</c:v>
                </c:pt>
                <c:pt idx="9">
                  <c:v>-784.68859747401802</c:v>
                </c:pt>
                <c:pt idx="10">
                  <c:v>-688.3229434994646</c:v>
                </c:pt>
                <c:pt idx="11">
                  <c:v>1162.0921302685456</c:v>
                </c:pt>
                <c:pt idx="12">
                  <c:v>584.44997851766311</c:v>
                </c:pt>
                <c:pt idx="13">
                  <c:v>-939.65852588983762</c:v>
                </c:pt>
                <c:pt idx="14">
                  <c:v>-3098.0107870352113</c:v>
                </c:pt>
                <c:pt idx="15">
                  <c:v>-3272.8882900447315</c:v>
                </c:pt>
                <c:pt idx="16">
                  <c:v>-4901.9066203802577</c:v>
                </c:pt>
                <c:pt idx="17">
                  <c:v>-5945.7711306560886</c:v>
                </c:pt>
                <c:pt idx="18">
                  <c:v>-10206.872213886239</c:v>
                </c:pt>
                <c:pt idx="19">
                  <c:v>-8548.1263801038731</c:v>
                </c:pt>
                <c:pt idx="20">
                  <c:v>-10218.793908198444</c:v>
                </c:pt>
                <c:pt idx="21">
                  <c:v>-9500.1739476240327</c:v>
                </c:pt>
                <c:pt idx="22">
                  <c:v>-87.262145003332989</c:v>
                </c:pt>
                <c:pt idx="23">
                  <c:v>5083.663755524889</c:v>
                </c:pt>
                <c:pt idx="24">
                  <c:v>2676.1698967511402</c:v>
                </c:pt>
                <c:pt idx="25">
                  <c:v>-899.36394982920319</c:v>
                </c:pt>
                <c:pt idx="26">
                  <c:v>102.49968072951015</c:v>
                </c:pt>
                <c:pt idx="27">
                  <c:v>3400.3980580122879</c:v>
                </c:pt>
                <c:pt idx="28">
                  <c:v>5797.9866588256991</c:v>
                </c:pt>
                <c:pt idx="29">
                  <c:v>9440.3306246428838</c:v>
                </c:pt>
                <c:pt idx="30">
                  <c:v>8570.7791028327774</c:v>
                </c:pt>
                <c:pt idx="31">
                  <c:v>8226.9904154363467</c:v>
                </c:pt>
                <c:pt idx="32">
                  <c:v>14231.022514320939</c:v>
                </c:pt>
                <c:pt idx="33">
                  <c:v>24797.743633530394</c:v>
                </c:pt>
                <c:pt idx="34">
                  <c:v>33741.823093142404</c:v>
                </c:pt>
                <c:pt idx="35">
                  <c:v>18223.957491739915</c:v>
                </c:pt>
                <c:pt idx="36">
                  <c:v>26691.864448049906</c:v>
                </c:pt>
                <c:pt idx="37">
                  <c:v>25592.934771840446</c:v>
                </c:pt>
                <c:pt idx="38">
                  <c:v>36556.387001176437</c:v>
                </c:pt>
                <c:pt idx="39">
                  <c:v>50396.127853115526</c:v>
                </c:pt>
                <c:pt idx="40">
                  <c:v>48908.438694902317</c:v>
                </c:pt>
                <c:pt idx="41">
                  <c:v>38672.329972610285</c:v>
                </c:pt>
                <c:pt idx="42">
                  <c:v>39269.14565090627</c:v>
                </c:pt>
                <c:pt idx="43">
                  <c:v>39962.024222957072</c:v>
                </c:pt>
                <c:pt idx="44">
                  <c:v>36619.810038623706</c:v>
                </c:pt>
                <c:pt idx="45">
                  <c:v>37066.466861637571</c:v>
                </c:pt>
                <c:pt idx="46">
                  <c:v>34163.907150392799</c:v>
                </c:pt>
                <c:pt idx="47">
                  <c:v>29282.104426396443</c:v>
                </c:pt>
                <c:pt idx="48">
                  <c:v>31153.469917664072</c:v>
                </c:pt>
                <c:pt idx="49">
                  <c:v>39894.033918916888</c:v>
                </c:pt>
                <c:pt idx="50">
                  <c:v>47120.630030774337</c:v>
                </c:pt>
                <c:pt idx="51">
                  <c:v>49756.873730495165</c:v>
                </c:pt>
                <c:pt idx="52">
                  <c:v>40262.443871789117</c:v>
                </c:pt>
                <c:pt idx="53">
                  <c:v>36052.226771784306</c:v>
                </c:pt>
                <c:pt idx="54">
                  <c:v>37271.730227084714</c:v>
                </c:pt>
                <c:pt idx="55">
                  <c:v>49425.307236707915</c:v>
                </c:pt>
                <c:pt idx="56">
                  <c:v>51197.801591940079</c:v>
                </c:pt>
                <c:pt idx="57">
                  <c:v>38641.006385473971</c:v>
                </c:pt>
                <c:pt idx="58">
                  <c:v>39816.625445221667</c:v>
                </c:pt>
                <c:pt idx="59">
                  <c:v>20012.158051222563</c:v>
                </c:pt>
                <c:pt idx="60">
                  <c:v>256.07096336509858</c:v>
                </c:pt>
                <c:pt idx="61">
                  <c:v>5427.7358011008182</c:v>
                </c:pt>
                <c:pt idx="62">
                  <c:v>15243.630076396599</c:v>
                </c:pt>
                <c:pt idx="63">
                  <c:v>9109.8384071743931</c:v>
                </c:pt>
                <c:pt idx="64">
                  <c:v>-47.047519740299322</c:v>
                </c:pt>
                <c:pt idx="65">
                  <c:v>-12202.920709718921</c:v>
                </c:pt>
                <c:pt idx="66">
                  <c:v>-6463.7139663474227</c:v>
                </c:pt>
                <c:pt idx="67">
                  <c:v>-2124.3635804989026</c:v>
                </c:pt>
                <c:pt idx="68">
                  <c:v>-3256.4948712605401</c:v>
                </c:pt>
                <c:pt idx="69">
                  <c:v>12440.723649304127</c:v>
                </c:pt>
                <c:pt idx="70">
                  <c:v>20325.684291641257</c:v>
                </c:pt>
                <c:pt idx="71">
                  <c:v>45444.14840520313</c:v>
                </c:pt>
                <c:pt idx="72">
                  <c:v>38173.979620553291</c:v>
                </c:pt>
                <c:pt idx="73">
                  <c:v>40177.939345802384</c:v>
                </c:pt>
                <c:pt idx="74">
                  <c:v>41932.876754805387</c:v>
                </c:pt>
                <c:pt idx="75">
                  <c:v>34159.20500524505</c:v>
                </c:pt>
                <c:pt idx="76">
                  <c:v>22306.511792733043</c:v>
                </c:pt>
                <c:pt idx="77">
                  <c:v>13944.958878746605</c:v>
                </c:pt>
                <c:pt idx="78">
                  <c:v>4781.8389577392954</c:v>
                </c:pt>
                <c:pt idx="79">
                  <c:v>9061.9838323457225</c:v>
                </c:pt>
                <c:pt idx="80">
                  <c:v>8773.3275352971978</c:v>
                </c:pt>
                <c:pt idx="81">
                  <c:v>-24848.837950500281</c:v>
                </c:pt>
                <c:pt idx="82">
                  <c:v>7529.2589891232783</c:v>
                </c:pt>
                <c:pt idx="83">
                  <c:v>7680.8439575883385</c:v>
                </c:pt>
                <c:pt idx="84">
                  <c:v>11972.004169929103</c:v>
                </c:pt>
                <c:pt idx="85">
                  <c:v>1284.2426426731399</c:v>
                </c:pt>
                <c:pt idx="86">
                  <c:v>2067.4054016878363</c:v>
                </c:pt>
                <c:pt idx="87">
                  <c:v>642.13018930848921</c:v>
                </c:pt>
                <c:pt idx="88">
                  <c:v>-16008.939738437941</c:v>
                </c:pt>
                <c:pt idx="89">
                  <c:v>25307.187078555813</c:v>
                </c:pt>
                <c:pt idx="90">
                  <c:v>43626.449732607696</c:v>
                </c:pt>
                <c:pt idx="91">
                  <c:v>50060.804158803978</c:v>
                </c:pt>
                <c:pt idx="92">
                  <c:v>51058.992522720335</c:v>
                </c:pt>
                <c:pt idx="93">
                  <c:v>49549.338756671175</c:v>
                </c:pt>
                <c:pt idx="94">
                  <c:v>79145.571375397092</c:v>
                </c:pt>
                <c:pt idx="95">
                  <c:v>62791.472168296488</c:v>
                </c:pt>
                <c:pt idx="96">
                  <c:v>51976.486255360418</c:v>
                </c:pt>
                <c:pt idx="97">
                  <c:v>47477.584492682363</c:v>
                </c:pt>
                <c:pt idx="98">
                  <c:v>66839.024165200361</c:v>
                </c:pt>
                <c:pt idx="99">
                  <c:v>93021.308646804653</c:v>
                </c:pt>
                <c:pt idx="100">
                  <c:v>287610.60732700618</c:v>
                </c:pt>
                <c:pt idx="101">
                  <c:v>217275.21577939275</c:v>
                </c:pt>
                <c:pt idx="102">
                  <c:v>205497.65053635836</c:v>
                </c:pt>
                <c:pt idx="103">
                  <c:v>190615.31121444347</c:v>
                </c:pt>
                <c:pt idx="104">
                  <c:v>217464.15679335035</c:v>
                </c:pt>
                <c:pt idx="105">
                  <c:v>254031.53759439802</c:v>
                </c:pt>
                <c:pt idx="106">
                  <c:v>239851.48669512541</c:v>
                </c:pt>
                <c:pt idx="107">
                  <c:v>192926.43862532912</c:v>
                </c:pt>
                <c:pt idx="108">
                  <c:v>288881.23881843378</c:v>
                </c:pt>
                <c:pt idx="109">
                  <c:v>338611.67845160083</c:v>
                </c:pt>
                <c:pt idx="110">
                  <c:v>410144.93698818795</c:v>
                </c:pt>
                <c:pt idx="111">
                  <c:v>290734.03754931345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44E-4797-A800-72A096217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14592"/>
        <c:axId val="522816128"/>
      </c:lineChart>
      <c:dateAx>
        <c:axId val="5228145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crossAx val="522816128"/>
        <c:crosses val="autoZero"/>
        <c:auto val="1"/>
        <c:lblOffset val="100"/>
        <c:baseTimeUnit val="days"/>
      </c:dateAx>
      <c:valAx>
        <c:axId val="522816128"/>
        <c:scaling>
          <c:orientation val="minMax"/>
        </c:scaling>
        <c:delete val="0"/>
        <c:axPos val="l"/>
        <c:majorGridlines/>
        <c:numFmt formatCode="0.00_ " sourceLinked="1"/>
        <c:majorTickMark val="out"/>
        <c:minorTickMark val="none"/>
        <c:tickLblPos val="nextTo"/>
        <c:crossAx val="52281459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1085850</xdr:colOff>
      <xdr:row>37</xdr:row>
      <xdr:rowOff>66675</xdr:rowOff>
    </xdr:from>
    <xdr:to>
      <xdr:col>22</xdr:col>
      <xdr:colOff>95250</xdr:colOff>
      <xdr:row>75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1114424</xdr:colOff>
      <xdr:row>19</xdr:row>
      <xdr:rowOff>157161</xdr:rowOff>
    </xdr:from>
    <xdr:to>
      <xdr:col>16</xdr:col>
      <xdr:colOff>104774</xdr:colOff>
      <xdr:row>36</xdr:row>
      <xdr:rowOff>142874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40</xdr:row>
      <xdr:rowOff>142875</xdr:rowOff>
    </xdr:from>
    <xdr:to>
      <xdr:col>29</xdr:col>
      <xdr:colOff>466725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619126</xdr:colOff>
      <xdr:row>14</xdr:row>
      <xdr:rowOff>33335</xdr:rowOff>
    </xdr:from>
    <xdr:to>
      <xdr:col>24</xdr:col>
      <xdr:colOff>104775</xdr:colOff>
      <xdr:row>40</xdr:row>
      <xdr:rowOff>28574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359833</xdr:colOff>
      <xdr:row>36</xdr:row>
      <xdr:rowOff>21167</xdr:rowOff>
    </xdr:from>
    <xdr:to>
      <xdr:col>32</xdr:col>
      <xdr:colOff>468842</xdr:colOff>
      <xdr:row>75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390524</xdr:colOff>
      <xdr:row>13</xdr:row>
      <xdr:rowOff>138111</xdr:rowOff>
    </xdr:from>
    <xdr:to>
      <xdr:col>24</xdr:col>
      <xdr:colOff>529167</xdr:colOff>
      <xdr:row>35</xdr:row>
      <xdr:rowOff>127000</xdr:rowOff>
    </xdr:to>
    <xdr:graphicFrame macro="">
      <xdr:nvGraphicFramePr>
        <xdr:cNvPr id="3" name="图表 2">
          <a:extLst>
            <a:ext uri="{FF2B5EF4-FFF2-40B4-BE49-F238E27FC236}">
              <a16:creationId xmlns=""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14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0" width="16.375" style="2" customWidth="1"/>
    <col min="11" max="11" width="9" style="2"/>
    <col min="12" max="12" width="9.75" style="2" bestFit="1" customWidth="1"/>
    <col min="13" max="14" width="11.375" style="2" customWidth="1"/>
    <col min="15" max="16" width="11.125" style="2" customWidth="1"/>
    <col min="17" max="17" width="10.25" style="2" customWidth="1"/>
    <col min="18" max="18" width="10.125" style="2" customWidth="1"/>
    <col min="19" max="19" width="9" style="2"/>
    <col min="20" max="20" width="9.75" style="2" bestFit="1" customWidth="1"/>
    <col min="21" max="22" width="9" style="2"/>
    <col min="23" max="23" width="9.75" style="2" bestFit="1" customWidth="1"/>
    <col min="24" max="25" width="9" style="2"/>
    <col min="26" max="26" width="10.25" style="2" bestFit="1" customWidth="1"/>
    <col min="27" max="16384" width="9" style="2"/>
  </cols>
  <sheetData>
    <row r="1" spans="1:28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3"/>
    </row>
    <row r="2" spans="1:28" ht="14.1" customHeight="1">
      <c r="A2" s="4"/>
      <c r="B2" s="4"/>
      <c r="C2" s="9">
        <v>2000</v>
      </c>
      <c r="D2" s="27" t="s">
        <v>16</v>
      </c>
      <c r="E2" s="9"/>
      <c r="F2" s="9"/>
      <c r="G2" s="9"/>
      <c r="H2" s="4"/>
      <c r="I2" s="4"/>
      <c r="J2" s="3"/>
    </row>
    <row r="3" spans="1:28" ht="14.1" customHeight="1">
      <c r="A3" s="13">
        <v>42853</v>
      </c>
      <c r="B3" s="18">
        <v>0.998</v>
      </c>
      <c r="C3" s="14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3"/>
      <c r="L3" s="25" t="s">
        <v>9</v>
      </c>
      <c r="M3" s="26" t="s">
        <v>10</v>
      </c>
      <c r="N3" s="26" t="s">
        <v>11</v>
      </c>
      <c r="O3" s="26" t="s">
        <v>12</v>
      </c>
      <c r="P3" s="26" t="s">
        <v>13</v>
      </c>
      <c r="Q3" s="26" t="s">
        <v>14</v>
      </c>
      <c r="R3" s="26" t="s">
        <v>15</v>
      </c>
      <c r="T3" s="8">
        <v>43098</v>
      </c>
      <c r="U3" s="3">
        <f>VLOOKUP(T3,L:M,2,)</f>
        <v>18000</v>
      </c>
      <c r="V3" s="3">
        <f t="shared" ref="V3:V4" si="0">0-U3</f>
        <v>-18000</v>
      </c>
      <c r="W3" s="8">
        <v>43098</v>
      </c>
      <c r="X3" s="2">
        <f>VLOOKUP(W3,L:M,2,)</f>
        <v>18000</v>
      </c>
      <c r="Y3" s="2">
        <f t="shared" ref="Y3" si="1">0-X3</f>
        <v>-18000</v>
      </c>
      <c r="Z3" s="8">
        <v>43098</v>
      </c>
      <c r="AA3" s="3">
        <f>VLOOKUP(Z3,L:M,2,)</f>
        <v>18000</v>
      </c>
      <c r="AB3" s="3">
        <f t="shared" ref="AB3" si="2">0-AA3</f>
        <v>-18000</v>
      </c>
    </row>
    <row r="4" spans="1:28" ht="14.1" customHeight="1">
      <c r="A4" s="13">
        <v>42886</v>
      </c>
      <c r="B4" s="18">
        <v>0.97</v>
      </c>
      <c r="C4" s="14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3"/>
      <c r="L4" s="8">
        <v>43098</v>
      </c>
      <c r="M4" s="5">
        <v>18000</v>
      </c>
      <c r="N4" s="9">
        <v>18000</v>
      </c>
      <c r="O4" s="9">
        <v>17871.461686674415</v>
      </c>
      <c r="P4" s="9">
        <v>-128.53831332558548</v>
      </c>
      <c r="Q4" s="11">
        <v>-7.1410174069769707E-3</v>
      </c>
      <c r="R4" s="11">
        <v>-7.1410174069769707E-3</v>
      </c>
      <c r="T4" s="8">
        <v>43462</v>
      </c>
      <c r="U4" s="3">
        <f>VLOOKUP(T4,L:M,2,)</f>
        <v>24000</v>
      </c>
      <c r="V4" s="3">
        <f t="shared" si="0"/>
        <v>-24000</v>
      </c>
      <c r="W4" s="8">
        <v>43462</v>
      </c>
      <c r="X4" s="2">
        <f>VLOOKUP(W4,L:M,2,)</f>
        <v>24000</v>
      </c>
      <c r="Y4" s="2">
        <f t="shared" ref="Y4" si="3">0-X4</f>
        <v>-24000</v>
      </c>
      <c r="Z4" s="8">
        <v>43462</v>
      </c>
      <c r="AA4" s="3">
        <f>VLOOKUP(Z4,L:M,2,)</f>
        <v>24000</v>
      </c>
      <c r="AB4" s="3">
        <f t="shared" ref="AB4:AB6" si="4">0-AA4</f>
        <v>-24000</v>
      </c>
    </row>
    <row r="5" spans="1:28" ht="14.1" customHeight="1">
      <c r="A5" s="13">
        <v>42916</v>
      </c>
      <c r="B5" s="18">
        <v>1.0449999999999999</v>
      </c>
      <c r="C5" s="14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3"/>
      <c r="L5" s="8">
        <v>43462</v>
      </c>
      <c r="M5" s="5">
        <v>24000</v>
      </c>
      <c r="N5" s="9">
        <v>42000</v>
      </c>
      <c r="O5" s="9">
        <v>32069.676224636522</v>
      </c>
      <c r="P5" s="9">
        <v>-9930.3237753634785</v>
      </c>
      <c r="Q5" s="11">
        <v>-0.23643628036579711</v>
      </c>
      <c r="R5" s="11">
        <v>-0.17465690678204182</v>
      </c>
      <c r="T5" s="8">
        <v>43462</v>
      </c>
      <c r="V5" s="16">
        <f>VLOOKUP(T5,L:O,4,)</f>
        <v>32069.676224636522</v>
      </c>
      <c r="W5" s="8">
        <v>43830</v>
      </c>
      <c r="X5" s="2">
        <f>VLOOKUP(W5,L:M,2,)</f>
        <v>24000</v>
      </c>
      <c r="Y5" s="2">
        <f t="shared" ref="Y5" si="5">0-X5</f>
        <v>-24000</v>
      </c>
      <c r="Z5" s="8">
        <v>43830</v>
      </c>
      <c r="AA5" s="3">
        <f>VLOOKUP(Z5,L:M,2,)</f>
        <v>24000</v>
      </c>
      <c r="AB5" s="3">
        <f t="shared" si="4"/>
        <v>-24000</v>
      </c>
    </row>
    <row r="6" spans="1:28" ht="14.1" customHeight="1">
      <c r="A6" s="13">
        <v>42947</v>
      </c>
      <c r="B6" s="18">
        <v>1.0389999999999999</v>
      </c>
      <c r="C6" s="14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3"/>
      <c r="L6" s="8">
        <v>43830</v>
      </c>
      <c r="M6" s="5">
        <v>24000</v>
      </c>
      <c r="N6" s="9">
        <v>66000</v>
      </c>
      <c r="O6" s="9">
        <v>78935.899446497526</v>
      </c>
      <c r="P6" s="9">
        <v>12935.899446497526</v>
      </c>
      <c r="Q6" s="11">
        <v>0.19599847646208374</v>
      </c>
      <c r="R6" s="11">
        <v>9.6742755200944552E-2</v>
      </c>
      <c r="V6" s="17">
        <v>-0.17465690678204182</v>
      </c>
      <c r="W6" s="8">
        <v>43830</v>
      </c>
      <c r="Y6" s="2">
        <f>VLOOKUP(W5,L:O,4,)</f>
        <v>78935.899446497526</v>
      </c>
      <c r="Z6" s="8">
        <v>44196</v>
      </c>
      <c r="AA6" s="3">
        <f>VLOOKUP(Z6,L:M,2,)</f>
        <v>24000</v>
      </c>
      <c r="AB6" s="3">
        <f t="shared" si="4"/>
        <v>-24000</v>
      </c>
    </row>
    <row r="7" spans="1:28" ht="14.1" customHeight="1">
      <c r="A7" s="13">
        <v>42978</v>
      </c>
      <c r="B7" s="18">
        <v>1.0760000000000001</v>
      </c>
      <c r="C7" s="14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3"/>
      <c r="L7" s="8">
        <v>44196</v>
      </c>
      <c r="M7" s="5">
        <v>24000</v>
      </c>
      <c r="N7" s="9">
        <v>90000</v>
      </c>
      <c r="O7" s="9">
        <v>124200.48519391782</v>
      </c>
      <c r="P7" s="9">
        <v>34200.485193917819</v>
      </c>
      <c r="Q7" s="11">
        <v>0.38000539104353132</v>
      </c>
      <c r="R7" s="11">
        <v>0.13889391877686719</v>
      </c>
      <c r="Y7" s="24">
        <v>9.6742755200944552E-2</v>
      </c>
      <c r="Z7" s="8">
        <v>44196</v>
      </c>
      <c r="AB7" s="16">
        <f>VLOOKUP(Z6,L:O,4,)</f>
        <v>124200.48519391782</v>
      </c>
    </row>
    <row r="8" spans="1:28" ht="14.1" customHeight="1">
      <c r="A8" s="13">
        <v>43007</v>
      </c>
      <c r="B8" s="18">
        <v>1.08</v>
      </c>
      <c r="C8" s="14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3"/>
      <c r="L8" s="8">
        <v>44561</v>
      </c>
      <c r="M8" s="5">
        <v>24000</v>
      </c>
      <c r="N8" s="9">
        <v>114000</v>
      </c>
      <c r="O8" s="9">
        <v>162244.38759864992</v>
      </c>
      <c r="P8" s="9">
        <v>48244.387598649919</v>
      </c>
      <c r="Q8" s="11">
        <v>0.42319638244429753</v>
      </c>
      <c r="R8" s="11">
        <v>0.12459437610028656</v>
      </c>
      <c r="AB8" s="24">
        <v>0.13889391877686719</v>
      </c>
    </row>
    <row r="9" spans="1:28" ht="14.1" customHeight="1">
      <c r="A9" s="13">
        <v>43039</v>
      </c>
      <c r="B9" s="18">
        <v>1.085</v>
      </c>
      <c r="C9" s="14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3"/>
      <c r="L9" s="8">
        <v>44925</v>
      </c>
      <c r="M9" s="5">
        <v>24000</v>
      </c>
      <c r="N9" s="9">
        <v>138000</v>
      </c>
      <c r="O9" s="9">
        <v>133607.30544846162</v>
      </c>
      <c r="P9" s="9">
        <v>-4392.694551538385</v>
      </c>
      <c r="Q9" s="11">
        <v>-3.1831119938683948E-2</v>
      </c>
      <c r="R9" s="11">
        <v>-9.5303314706246534E-3</v>
      </c>
      <c r="T9" s="8">
        <v>43098</v>
      </c>
      <c r="U9" s="2">
        <v>18000</v>
      </c>
      <c r="V9" s="2">
        <f>-U9</f>
        <v>-18000</v>
      </c>
      <c r="W9" s="8">
        <v>43098</v>
      </c>
      <c r="X9" s="2">
        <v>18000</v>
      </c>
      <c r="Y9" s="2">
        <f t="shared" ref="Y9:Y14" si="6">-X9</f>
        <v>-18000</v>
      </c>
      <c r="Z9" s="8">
        <v>43098</v>
      </c>
      <c r="AA9" s="2">
        <v>18000</v>
      </c>
      <c r="AB9" s="2">
        <f t="shared" ref="AB9:AB15" si="7">-AA9</f>
        <v>-18000</v>
      </c>
    </row>
    <row r="10" spans="1:28" ht="14.1" customHeight="1">
      <c r="A10" s="13">
        <v>43069</v>
      </c>
      <c r="B10" s="18">
        <v>1.0660000000000001</v>
      </c>
      <c r="C10" s="14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3"/>
      <c r="L10" s="8">
        <v>45289</v>
      </c>
      <c r="M10" s="5">
        <v>24000</v>
      </c>
      <c r="N10" s="9">
        <v>162000</v>
      </c>
      <c r="O10" s="9">
        <v>169026.31000231727</v>
      </c>
      <c r="P10" s="9">
        <v>7026.3100023172738</v>
      </c>
      <c r="Q10" s="11">
        <v>4.3372283964921446E-2</v>
      </c>
      <c r="R10" s="11">
        <v>1.091929616280618E-2</v>
      </c>
      <c r="T10" s="8">
        <v>43462</v>
      </c>
      <c r="U10" s="2">
        <v>24000</v>
      </c>
      <c r="V10" s="2">
        <f>-U10</f>
        <v>-24000</v>
      </c>
      <c r="W10" s="8">
        <v>43462</v>
      </c>
      <c r="X10" s="2">
        <v>24000</v>
      </c>
      <c r="Y10" s="2">
        <f t="shared" si="6"/>
        <v>-24000</v>
      </c>
      <c r="Z10" s="8">
        <v>43462</v>
      </c>
      <c r="AA10" s="2">
        <v>24000</v>
      </c>
      <c r="AB10" s="2">
        <f t="shared" si="7"/>
        <v>-24000</v>
      </c>
    </row>
    <row r="11" spans="1:28" ht="14.1" customHeight="1">
      <c r="A11" s="13">
        <v>43098</v>
      </c>
      <c r="B11" s="18">
        <v>1.0349999999999999</v>
      </c>
      <c r="C11" s="14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3"/>
      <c r="L11" s="8">
        <v>45657</v>
      </c>
      <c r="M11" s="5">
        <v>24000</v>
      </c>
      <c r="N11" s="9">
        <v>186000</v>
      </c>
      <c r="O11" s="9">
        <v>233204.63259808367</v>
      </c>
      <c r="P11" s="9">
        <v>47204.63259808367</v>
      </c>
      <c r="Q11" s="11">
        <v>0.25378834730152511</v>
      </c>
      <c r="R11" s="11">
        <v>5.1396186951795375E-2</v>
      </c>
      <c r="T11" s="8">
        <v>43830</v>
      </c>
      <c r="U11" s="2">
        <v>24000</v>
      </c>
      <c r="V11" s="2">
        <f>-U11</f>
        <v>-24000</v>
      </c>
      <c r="W11" s="8">
        <v>43830</v>
      </c>
      <c r="X11" s="2">
        <v>24000</v>
      </c>
      <c r="Y11" s="2">
        <f t="shared" si="6"/>
        <v>-24000</v>
      </c>
      <c r="Z11" s="8">
        <v>43830</v>
      </c>
      <c r="AA11" s="2">
        <v>24000</v>
      </c>
      <c r="AB11" s="2">
        <f t="shared" si="7"/>
        <v>-24000</v>
      </c>
    </row>
    <row r="12" spans="1:28" ht="14.1" customHeight="1">
      <c r="A12" s="13">
        <v>43131</v>
      </c>
      <c r="B12" s="18">
        <v>0.997</v>
      </c>
      <c r="C12" s="14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3"/>
      <c r="T12" s="8">
        <v>44196</v>
      </c>
      <c r="U12" s="2">
        <v>24000</v>
      </c>
      <c r="V12" s="2">
        <f>-U12</f>
        <v>-24000</v>
      </c>
      <c r="W12" s="8">
        <v>44196</v>
      </c>
      <c r="X12" s="2">
        <v>24000</v>
      </c>
      <c r="Y12" s="2">
        <f t="shared" si="6"/>
        <v>-24000</v>
      </c>
      <c r="Z12" s="8">
        <v>44196</v>
      </c>
      <c r="AA12" s="2">
        <v>24000</v>
      </c>
      <c r="AB12" s="2">
        <f t="shared" si="7"/>
        <v>-24000</v>
      </c>
    </row>
    <row r="13" spans="1:28" ht="14.1" customHeight="1">
      <c r="A13" s="13">
        <v>43159</v>
      </c>
      <c r="B13" s="18">
        <v>1.002</v>
      </c>
      <c r="C13" s="14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3"/>
      <c r="T13" s="8">
        <v>44561</v>
      </c>
      <c r="U13" s="2">
        <v>24000</v>
      </c>
      <c r="V13" s="2">
        <f>-U13</f>
        <v>-24000</v>
      </c>
      <c r="W13" s="8">
        <v>44561</v>
      </c>
      <c r="X13" s="2">
        <v>24000</v>
      </c>
      <c r="Y13" s="2">
        <f t="shared" si="6"/>
        <v>-24000</v>
      </c>
      <c r="Z13" s="8">
        <v>44561</v>
      </c>
      <c r="AA13" s="2">
        <v>24000</v>
      </c>
      <c r="AB13" s="2">
        <f t="shared" si="7"/>
        <v>-24000</v>
      </c>
    </row>
    <row r="14" spans="1:28" ht="14.1" customHeight="1">
      <c r="A14" s="13">
        <v>43189</v>
      </c>
      <c r="B14" s="18">
        <v>1.089</v>
      </c>
      <c r="C14" s="14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3"/>
      <c r="T14" s="8">
        <v>44561</v>
      </c>
      <c r="V14" s="2">
        <v>162244.38759864992</v>
      </c>
      <c r="W14" s="8">
        <v>44925</v>
      </c>
      <c r="X14" s="2">
        <v>24000</v>
      </c>
      <c r="Y14" s="2">
        <f t="shared" si="6"/>
        <v>-24000</v>
      </c>
      <c r="Z14" s="8">
        <v>44925</v>
      </c>
      <c r="AA14" s="2">
        <v>24000</v>
      </c>
      <c r="AB14" s="2">
        <f t="shared" si="7"/>
        <v>-24000</v>
      </c>
    </row>
    <row r="15" spans="1:28" ht="14.1" customHeight="1">
      <c r="A15" s="13">
        <v>43217</v>
      </c>
      <c r="B15" s="18">
        <v>1.0640000000000001</v>
      </c>
      <c r="C15" s="14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3"/>
      <c r="V15" s="24">
        <v>0.12459437610028656</v>
      </c>
      <c r="W15" s="8">
        <v>44925</v>
      </c>
      <c r="Y15" s="2">
        <v>133607.30544846162</v>
      </c>
      <c r="Z15" s="8">
        <v>45289</v>
      </c>
      <c r="AA15" s="2">
        <v>24000</v>
      </c>
      <c r="AB15" s="2">
        <f t="shared" si="7"/>
        <v>-24000</v>
      </c>
    </row>
    <row r="16" spans="1:28" ht="14.1" customHeight="1">
      <c r="A16" s="13">
        <v>43251</v>
      </c>
      <c r="B16" s="18">
        <v>1.0029999999999999</v>
      </c>
      <c r="C16" s="14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3"/>
      <c r="Y16" s="24">
        <v>-9.5303314706246534E-3</v>
      </c>
      <c r="Z16" s="8">
        <v>45289</v>
      </c>
      <c r="AB16" s="2">
        <v>169026.31000231727</v>
      </c>
    </row>
    <row r="17" spans="1:28" ht="14.1" customHeight="1">
      <c r="A17" s="13">
        <v>43280</v>
      </c>
      <c r="B17" s="18">
        <v>0.92300000000000004</v>
      </c>
      <c r="C17" s="14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3"/>
      <c r="AB17" s="24">
        <v>1.091929616280618E-2</v>
      </c>
    </row>
    <row r="18" spans="1:28" ht="14.1" customHeight="1">
      <c r="A18" s="13">
        <v>43312</v>
      </c>
      <c r="B18" s="18">
        <v>0.91700000000000004</v>
      </c>
      <c r="C18" s="14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3"/>
      <c r="T18" s="8">
        <v>43098</v>
      </c>
      <c r="U18" s="2">
        <v>18000</v>
      </c>
      <c r="V18" s="2">
        <f t="shared" ref="V18:V25" si="8">-U18</f>
        <v>-18000</v>
      </c>
    </row>
    <row r="19" spans="1:28" ht="14.1" customHeight="1">
      <c r="A19" s="13">
        <v>43343</v>
      </c>
      <c r="B19" s="18">
        <v>0.86499999999999999</v>
      </c>
      <c r="C19" s="14">
        <v>2000</v>
      </c>
      <c r="D19" s="15">
        <v>2312.1387283236995</v>
      </c>
      <c r="E19" s="15">
        <v>33639.414311699125</v>
      </c>
      <c r="F19" s="15">
        <v>29098.093379619742</v>
      </c>
      <c r="G19" s="15">
        <v>34000</v>
      </c>
      <c r="H19" s="15">
        <v>29098.093379619742</v>
      </c>
      <c r="I19" s="15">
        <v>-4901.9066203802577</v>
      </c>
      <c r="J19" s="12"/>
      <c r="T19" s="8">
        <v>43462</v>
      </c>
      <c r="U19" s="2">
        <v>24000</v>
      </c>
      <c r="V19" s="2">
        <f t="shared" si="8"/>
        <v>-24000</v>
      </c>
    </row>
    <row r="20" spans="1:28" ht="14.1" customHeight="1">
      <c r="A20" s="13">
        <v>43371</v>
      </c>
      <c r="B20" s="18">
        <v>0.83499999999999996</v>
      </c>
      <c r="C20" s="14">
        <v>2000</v>
      </c>
      <c r="D20" s="15">
        <v>2395.2095808383233</v>
      </c>
      <c r="E20" s="15">
        <v>36034.623892537449</v>
      </c>
      <c r="F20" s="15">
        <v>30088.910950268768</v>
      </c>
      <c r="G20" s="15">
        <v>36000</v>
      </c>
      <c r="H20" s="15">
        <v>30088.910950268768</v>
      </c>
      <c r="I20" s="15">
        <v>-5911.0890497312321</v>
      </c>
      <c r="J20" s="3"/>
      <c r="T20" s="8">
        <v>43830</v>
      </c>
      <c r="U20" s="2">
        <v>24000</v>
      </c>
      <c r="V20" s="2">
        <f t="shared" si="8"/>
        <v>-24000</v>
      </c>
    </row>
    <row r="21" spans="1:28" ht="14.1" customHeight="1">
      <c r="A21" s="13">
        <v>43404</v>
      </c>
      <c r="B21" s="18">
        <v>0.72399999999999998</v>
      </c>
      <c r="C21" s="14">
        <v>2000</v>
      </c>
      <c r="D21" s="15">
        <v>2762.4309392265195</v>
      </c>
      <c r="E21" s="15">
        <v>38797.05483176397</v>
      </c>
      <c r="F21" s="15">
        <v>28089.067698197112</v>
      </c>
      <c r="G21" s="15">
        <v>38000</v>
      </c>
      <c r="H21" s="15">
        <v>28089.067698197112</v>
      </c>
      <c r="I21" s="15">
        <v>-9910.9323018028881</v>
      </c>
      <c r="J21" s="3"/>
      <c r="T21" s="8">
        <v>44196</v>
      </c>
      <c r="U21" s="2">
        <v>24000</v>
      </c>
      <c r="V21" s="2">
        <f t="shared" si="8"/>
        <v>-24000</v>
      </c>
    </row>
    <row r="22" spans="1:28" ht="14.1" customHeight="1">
      <c r="A22" s="13">
        <v>43434</v>
      </c>
      <c r="B22" s="18">
        <v>0.76300000000000001</v>
      </c>
      <c r="C22" s="14">
        <v>2000</v>
      </c>
      <c r="D22" s="15">
        <v>2621.231979030144</v>
      </c>
      <c r="E22" s="15">
        <v>41418.28681079411</v>
      </c>
      <c r="F22" s="15">
        <v>31602.152836635905</v>
      </c>
      <c r="G22" s="15">
        <v>40000</v>
      </c>
      <c r="H22" s="15">
        <v>31602.152836635905</v>
      </c>
      <c r="I22" s="15">
        <v>-8397.8471633640947</v>
      </c>
      <c r="J22" s="3"/>
      <c r="T22" s="8">
        <v>44561</v>
      </c>
      <c r="U22" s="2">
        <v>24000</v>
      </c>
      <c r="V22" s="2">
        <f t="shared" si="8"/>
        <v>-24000</v>
      </c>
    </row>
    <row r="23" spans="1:28" ht="14.1" customHeight="1">
      <c r="A23" s="13">
        <v>43462</v>
      </c>
      <c r="B23" s="18">
        <v>0.72599999999999998</v>
      </c>
      <c r="C23" s="15">
        <v>2000</v>
      </c>
      <c r="D23" s="15">
        <v>2754.8209366391184</v>
      </c>
      <c r="E23" s="15">
        <v>44173.107747433227</v>
      </c>
      <c r="F23" s="15">
        <v>32069.676224636522</v>
      </c>
      <c r="G23" s="15">
        <v>42000</v>
      </c>
      <c r="H23" s="15">
        <v>32069.676224636522</v>
      </c>
      <c r="I23" s="15">
        <v>-9930.3237753634785</v>
      </c>
      <c r="J23" s="3"/>
      <c r="L23" s="10"/>
      <c r="T23" s="8">
        <v>44925</v>
      </c>
      <c r="U23" s="2">
        <v>24000</v>
      </c>
      <c r="V23" s="2">
        <f t="shared" si="8"/>
        <v>-24000</v>
      </c>
    </row>
    <row r="24" spans="1:28" ht="14.1" customHeight="1">
      <c r="A24" s="13">
        <v>43496</v>
      </c>
      <c r="B24" s="18">
        <v>0.74099999999999999</v>
      </c>
      <c r="C24" s="14">
        <v>2000</v>
      </c>
      <c r="D24" s="15">
        <v>2699.0553306342781</v>
      </c>
      <c r="E24" s="15">
        <v>46872.163078067504</v>
      </c>
      <c r="F24" s="15">
        <v>34732.272840848018</v>
      </c>
      <c r="G24" s="15">
        <v>44000</v>
      </c>
      <c r="H24" s="15">
        <v>34732.272840848018</v>
      </c>
      <c r="I24" s="15">
        <v>-9267.7271591519821</v>
      </c>
      <c r="J24" s="3"/>
      <c r="T24" s="8">
        <v>45289</v>
      </c>
      <c r="U24" s="2">
        <v>24000</v>
      </c>
      <c r="V24" s="2">
        <f t="shared" si="8"/>
        <v>-24000</v>
      </c>
    </row>
    <row r="25" spans="1:28" ht="14.1" customHeight="1">
      <c r="A25" s="13">
        <v>43524</v>
      </c>
      <c r="B25" s="18">
        <v>0.92700000000000005</v>
      </c>
      <c r="C25" s="14">
        <v>2000</v>
      </c>
      <c r="D25" s="15">
        <v>2157.4973031283712</v>
      </c>
      <c r="E25" s="15">
        <v>49029.660381195878</v>
      </c>
      <c r="F25" s="15">
        <v>45450.495173368581</v>
      </c>
      <c r="G25" s="15">
        <v>46000</v>
      </c>
      <c r="H25" s="15">
        <v>45450.495173368581</v>
      </c>
      <c r="I25" s="15">
        <v>-549.50482663141884</v>
      </c>
      <c r="J25" s="3"/>
      <c r="T25" s="8">
        <v>45657</v>
      </c>
      <c r="U25" s="2">
        <v>24000</v>
      </c>
      <c r="V25" s="2">
        <f t="shared" si="8"/>
        <v>-24000</v>
      </c>
    </row>
    <row r="26" spans="1:28" ht="14.1" customHeight="1">
      <c r="A26" s="13">
        <v>43553</v>
      </c>
      <c r="B26" s="18">
        <v>1.0249999999999999</v>
      </c>
      <c r="C26" s="14">
        <v>2000</v>
      </c>
      <c r="D26" s="15">
        <v>1951.2195121951222</v>
      </c>
      <c r="E26" s="15">
        <v>50980.879893391</v>
      </c>
      <c r="F26" s="15">
        <v>52255.40189072577</v>
      </c>
      <c r="G26" s="15">
        <v>48000</v>
      </c>
      <c r="H26" s="15">
        <v>52255.40189072577</v>
      </c>
      <c r="I26" s="15">
        <v>4255.4018907257705</v>
      </c>
      <c r="J26" s="3"/>
      <c r="T26" s="8">
        <v>45657</v>
      </c>
      <c r="V26" s="2">
        <v>233204.63259808367</v>
      </c>
    </row>
    <row r="27" spans="1:28" ht="14.1" customHeight="1">
      <c r="A27" s="13">
        <v>43585</v>
      </c>
      <c r="B27" s="18">
        <v>0.98099999999999998</v>
      </c>
      <c r="C27" s="14">
        <v>2000</v>
      </c>
      <c r="D27" s="15">
        <v>2038.7359836901121</v>
      </c>
      <c r="E27" s="15">
        <v>53019.615877081109</v>
      </c>
      <c r="F27" s="15">
        <v>52012.243175416566</v>
      </c>
      <c r="G27" s="15">
        <v>50000</v>
      </c>
      <c r="H27" s="15">
        <v>52012.243175416566</v>
      </c>
      <c r="I27" s="15">
        <v>2012.2431754165664</v>
      </c>
      <c r="J27" s="3"/>
      <c r="V27" s="24">
        <v>5.1396186951795375E-2</v>
      </c>
    </row>
    <row r="28" spans="1:28" ht="14.1" customHeight="1">
      <c r="A28" s="13">
        <v>43616</v>
      </c>
      <c r="B28" s="18">
        <v>0.91800000000000004</v>
      </c>
      <c r="C28" s="14">
        <v>2000</v>
      </c>
      <c r="D28" s="15">
        <v>2178.6492374727668</v>
      </c>
      <c r="E28" s="15">
        <v>55198.265114553877</v>
      </c>
      <c r="F28" s="15">
        <v>50672.007375160458</v>
      </c>
      <c r="G28" s="15">
        <v>52000</v>
      </c>
      <c r="H28" s="15">
        <v>50672.007375160458</v>
      </c>
      <c r="I28" s="15">
        <v>-1327.9926248395423</v>
      </c>
      <c r="J28" s="3"/>
    </row>
    <row r="29" spans="1:28" ht="14.1" customHeight="1">
      <c r="A29" s="13">
        <v>43644</v>
      </c>
      <c r="B29" s="18">
        <v>0.93500000000000005</v>
      </c>
      <c r="C29" s="14">
        <v>2000</v>
      </c>
      <c r="D29" s="15">
        <v>2139.0374331550802</v>
      </c>
      <c r="E29" s="15">
        <v>57337.302547708954</v>
      </c>
      <c r="F29" s="15">
        <v>53610.377882107874</v>
      </c>
      <c r="G29" s="15">
        <v>54000</v>
      </c>
      <c r="H29" s="15">
        <v>53610.377882107874</v>
      </c>
      <c r="I29" s="15">
        <v>-389.62211789212597</v>
      </c>
      <c r="J29" s="3"/>
    </row>
    <row r="30" spans="1:28" ht="14.1" customHeight="1">
      <c r="A30" s="13">
        <v>43677</v>
      </c>
      <c r="B30" s="18">
        <v>0.98899999999999999</v>
      </c>
      <c r="C30" s="14">
        <v>2000</v>
      </c>
      <c r="D30" s="15">
        <v>2022.2446916076844</v>
      </c>
      <c r="E30" s="15">
        <v>59359.547239316642</v>
      </c>
      <c r="F30" s="15">
        <v>58706.592219684157</v>
      </c>
      <c r="G30" s="15">
        <v>56000</v>
      </c>
      <c r="H30" s="15">
        <v>58706.592219684157</v>
      </c>
      <c r="I30" s="15">
        <v>2706.5922196841566</v>
      </c>
      <c r="J30" s="3"/>
    </row>
    <row r="31" spans="1:28" ht="14.1" customHeight="1">
      <c r="A31" s="13">
        <v>43707</v>
      </c>
      <c r="B31" s="18">
        <v>1.0269999999999999</v>
      </c>
      <c r="C31" s="14">
        <v>2000</v>
      </c>
      <c r="D31" s="15">
        <v>1947.4196689386565</v>
      </c>
      <c r="E31" s="15">
        <v>61306.966908255301</v>
      </c>
      <c r="F31" s="15">
        <v>62962.255014778188</v>
      </c>
      <c r="G31" s="15">
        <v>58000</v>
      </c>
      <c r="H31" s="15">
        <v>62962.255014778188</v>
      </c>
      <c r="I31" s="15">
        <v>4962.2550147781876</v>
      </c>
      <c r="J31" s="3"/>
    </row>
    <row r="32" spans="1:28" ht="14.1" customHeight="1">
      <c r="A32" s="13">
        <v>43738</v>
      </c>
      <c r="B32" s="18">
        <v>1.083</v>
      </c>
      <c r="C32" s="14">
        <v>2000</v>
      </c>
      <c r="D32" s="15">
        <v>1846.7220683287167</v>
      </c>
      <c r="E32" s="15">
        <v>63153.688976584017</v>
      </c>
      <c r="F32" s="15">
        <v>68395.445161640484</v>
      </c>
      <c r="G32" s="15">
        <v>60000</v>
      </c>
      <c r="H32" s="15">
        <v>68395.445161640484</v>
      </c>
      <c r="I32" s="15">
        <v>8395.445161640484</v>
      </c>
      <c r="J32" s="3"/>
    </row>
    <row r="33" spans="1:12" ht="14.1" customHeight="1">
      <c r="A33" s="13">
        <v>43769</v>
      </c>
      <c r="B33" s="18">
        <v>1.07</v>
      </c>
      <c r="C33" s="14">
        <v>2000</v>
      </c>
      <c r="D33" s="15">
        <v>1869.1588785046729</v>
      </c>
      <c r="E33" s="15">
        <v>65022.847855088687</v>
      </c>
      <c r="F33" s="15">
        <v>69574.447204944896</v>
      </c>
      <c r="G33" s="15">
        <v>62000</v>
      </c>
      <c r="H33" s="15">
        <v>69574.447204944896</v>
      </c>
      <c r="I33" s="15">
        <v>7574.4472049448959</v>
      </c>
      <c r="J33" s="3"/>
    </row>
    <row r="34" spans="1:12" ht="14.1" customHeight="1">
      <c r="A34" s="13">
        <v>43798</v>
      </c>
      <c r="B34" s="18">
        <v>1.0649999999999999</v>
      </c>
      <c r="C34" s="14">
        <v>2000</v>
      </c>
      <c r="D34" s="15">
        <v>1877.9342723004695</v>
      </c>
      <c r="E34" s="15">
        <v>66900.78212738916</v>
      </c>
      <c r="F34" s="15">
        <v>71249.332965669455</v>
      </c>
      <c r="G34" s="15">
        <v>64000</v>
      </c>
      <c r="H34" s="15">
        <v>71249.332965669455</v>
      </c>
      <c r="I34" s="15">
        <v>7249.332965669455</v>
      </c>
      <c r="J34" s="3"/>
    </row>
    <row r="35" spans="1:12" ht="14.1" customHeight="1">
      <c r="A35" s="13">
        <v>43830</v>
      </c>
      <c r="B35" s="18">
        <v>1.1499999999999999</v>
      </c>
      <c r="C35" s="14">
        <v>2000</v>
      </c>
      <c r="D35" s="15">
        <v>1739.1304347826087</v>
      </c>
      <c r="E35" s="15">
        <v>68639.912562171769</v>
      </c>
      <c r="F35" s="15">
        <v>78935.899446497526</v>
      </c>
      <c r="G35" s="15">
        <v>66000</v>
      </c>
      <c r="H35" s="15">
        <v>78935.899446497526</v>
      </c>
      <c r="I35" s="15">
        <v>12935.899446497526</v>
      </c>
      <c r="J35" s="3"/>
      <c r="L35" s="10"/>
    </row>
    <row r="36" spans="1:12" ht="14.1" customHeight="1">
      <c r="A36" s="13">
        <v>43853</v>
      </c>
      <c r="B36" s="18">
        <v>1.296</v>
      </c>
      <c r="C36" s="14">
        <v>2000</v>
      </c>
      <c r="D36" s="15">
        <v>1543.2098765432099</v>
      </c>
      <c r="E36" s="15">
        <v>70183.122438714985</v>
      </c>
      <c r="F36" s="15">
        <v>90957.326680574624</v>
      </c>
      <c r="G36" s="15">
        <v>68000</v>
      </c>
      <c r="H36" s="15">
        <v>90957.326680574624</v>
      </c>
      <c r="I36" s="15">
        <v>22957.326680574624</v>
      </c>
      <c r="J36" s="3"/>
    </row>
    <row r="37" spans="1:12" ht="14.1" customHeight="1">
      <c r="A37" s="13">
        <v>43889</v>
      </c>
      <c r="B37" s="18">
        <v>1.417</v>
      </c>
      <c r="C37" s="14">
        <v>2000</v>
      </c>
      <c r="D37" s="15">
        <v>1411.4326040931546</v>
      </c>
      <c r="E37" s="15">
        <v>71594.555042808133</v>
      </c>
      <c r="F37" s="15">
        <v>101449.48449565913</v>
      </c>
      <c r="G37" s="15">
        <v>70000</v>
      </c>
      <c r="H37" s="15">
        <v>101449.48449565913</v>
      </c>
      <c r="I37" s="15">
        <v>31449.484495659126</v>
      </c>
      <c r="J37" s="3"/>
    </row>
    <row r="38" spans="1:12" ht="14.1" customHeight="1">
      <c r="A38" s="13">
        <v>43921</v>
      </c>
      <c r="B38" s="18">
        <v>1.2110000000000001</v>
      </c>
      <c r="C38" s="14">
        <v>2000</v>
      </c>
      <c r="D38" s="15">
        <v>1651.5276630883566</v>
      </c>
      <c r="E38" s="15">
        <v>73246.082705896493</v>
      </c>
      <c r="F38" s="15">
        <v>88701.006156840653</v>
      </c>
      <c r="G38" s="15">
        <v>72000</v>
      </c>
      <c r="H38" s="15">
        <v>88701.006156840653</v>
      </c>
      <c r="I38" s="15">
        <v>16701.006156840653</v>
      </c>
      <c r="J38" s="3"/>
    </row>
    <row r="39" spans="1:12" ht="14.1" customHeight="1">
      <c r="A39" s="13">
        <v>43951</v>
      </c>
      <c r="B39" s="18">
        <v>1.321</v>
      </c>
      <c r="C39" s="14">
        <v>2000</v>
      </c>
      <c r="D39" s="15">
        <v>1514.0045420136262</v>
      </c>
      <c r="E39" s="15">
        <v>74760.087247910124</v>
      </c>
      <c r="F39" s="15">
        <v>98758.075254489275</v>
      </c>
      <c r="G39" s="15">
        <v>74000</v>
      </c>
      <c r="H39" s="15">
        <v>98758.075254489275</v>
      </c>
      <c r="I39" s="15">
        <v>24758.075254489275</v>
      </c>
      <c r="J39" s="3"/>
    </row>
    <row r="40" spans="1:12" ht="14.1" customHeight="1">
      <c r="A40" s="13">
        <v>43980</v>
      </c>
      <c r="B40" s="18">
        <v>1.3069999999999999</v>
      </c>
      <c r="C40" s="14">
        <v>2000</v>
      </c>
      <c r="D40" s="15">
        <v>1530.2218821729152</v>
      </c>
      <c r="E40" s="15">
        <v>76290.309130083042</v>
      </c>
      <c r="F40" s="15">
        <v>99711.434033018537</v>
      </c>
      <c r="G40" s="15">
        <v>76000</v>
      </c>
      <c r="H40" s="15">
        <v>99711.434033018537</v>
      </c>
      <c r="I40" s="15">
        <v>23711.434033018537</v>
      </c>
      <c r="J40" s="3"/>
    </row>
    <row r="41" spans="1:12" ht="14.1" customHeight="1">
      <c r="A41" s="13">
        <v>44012</v>
      </c>
      <c r="B41" s="18">
        <v>1.444</v>
      </c>
      <c r="C41" s="14">
        <v>2000</v>
      </c>
      <c r="D41" s="15">
        <v>1385.0415512465374</v>
      </c>
      <c r="E41" s="15">
        <v>77675.350681329583</v>
      </c>
      <c r="F41" s="15">
        <v>112163.20638383992</v>
      </c>
      <c r="G41" s="15">
        <v>78000</v>
      </c>
      <c r="H41" s="15">
        <v>112163.20638383992</v>
      </c>
      <c r="I41" s="15">
        <v>34163.206383839919</v>
      </c>
      <c r="J41" s="3"/>
    </row>
    <row r="42" spans="1:12" ht="14.1" customHeight="1">
      <c r="A42" s="13">
        <v>44043</v>
      </c>
      <c r="B42" s="18">
        <v>1.6140000000000001</v>
      </c>
      <c r="C42" s="14">
        <v>2000</v>
      </c>
      <c r="D42" s="15">
        <v>1239.1573729863692</v>
      </c>
      <c r="E42" s="15">
        <v>78914.508054315957</v>
      </c>
      <c r="F42" s="15">
        <v>127368.01599966596</v>
      </c>
      <c r="G42" s="15">
        <v>80000</v>
      </c>
      <c r="H42" s="15">
        <v>127368.01599966596</v>
      </c>
      <c r="I42" s="15">
        <v>47368.015999665964</v>
      </c>
      <c r="J42" s="3"/>
    </row>
    <row r="43" spans="1:12" ht="14.1" customHeight="1">
      <c r="A43" s="13">
        <v>44074</v>
      </c>
      <c r="B43" s="18">
        <v>1.5960000000000001</v>
      </c>
      <c r="C43" s="14">
        <v>2000</v>
      </c>
      <c r="D43" s="15">
        <v>1253.1328320802004</v>
      </c>
      <c r="E43" s="15">
        <v>80167.640886396155</v>
      </c>
      <c r="F43" s="15">
        <v>127947.55485468826</v>
      </c>
      <c r="G43" s="15">
        <v>82000</v>
      </c>
      <c r="H43" s="15">
        <v>127947.55485468826</v>
      </c>
      <c r="I43" s="15">
        <v>45947.554854688264</v>
      </c>
      <c r="J43" s="3"/>
    </row>
    <row r="44" spans="1:12" ht="14.1" customHeight="1">
      <c r="A44" s="13">
        <v>44104</v>
      </c>
      <c r="B44" s="18">
        <v>1.474</v>
      </c>
      <c r="C44" s="14">
        <v>2000</v>
      </c>
      <c r="D44" s="15">
        <v>1356.8521031207599</v>
      </c>
      <c r="E44" s="15">
        <v>81524.492989516919</v>
      </c>
      <c r="F44" s="15">
        <v>120167.10266654793</v>
      </c>
      <c r="G44" s="15">
        <v>84000</v>
      </c>
      <c r="H44" s="15">
        <v>120167.10266654793</v>
      </c>
      <c r="I44" s="15">
        <v>36167.102666547929</v>
      </c>
      <c r="J44" s="3"/>
    </row>
    <row r="45" spans="1:12" ht="14.1" customHeight="1">
      <c r="A45" s="13">
        <v>44134</v>
      </c>
      <c r="B45" s="18">
        <v>1.4810000000000001</v>
      </c>
      <c r="C45" s="14">
        <v>2000</v>
      </c>
      <c r="D45" s="15">
        <v>1350.438892640108</v>
      </c>
      <c r="E45" s="15">
        <v>82874.93188215702</v>
      </c>
      <c r="F45" s="15">
        <v>122737.77411747456</v>
      </c>
      <c r="G45" s="15">
        <v>86000</v>
      </c>
      <c r="H45" s="15">
        <v>122737.77411747456</v>
      </c>
      <c r="I45" s="15">
        <v>36737.774117474561</v>
      </c>
      <c r="J45" s="3"/>
    </row>
    <row r="46" spans="1:12" ht="14.1" customHeight="1">
      <c r="A46" s="13">
        <v>44165</v>
      </c>
      <c r="B46" s="18">
        <v>1.4890000000000001</v>
      </c>
      <c r="C46" s="14">
        <v>2000</v>
      </c>
      <c r="D46" s="15">
        <v>1343.1833445265279</v>
      </c>
      <c r="E46" s="15">
        <v>84218.115226683542</v>
      </c>
      <c r="F46" s="15">
        <v>125400.77357253181</v>
      </c>
      <c r="G46" s="15">
        <v>88000</v>
      </c>
      <c r="H46" s="15">
        <v>125400.77357253181</v>
      </c>
      <c r="I46" s="15">
        <v>37400.773572531805</v>
      </c>
      <c r="J46" s="3"/>
      <c r="L46" s="10"/>
    </row>
    <row r="47" spans="1:12" ht="14.1" customHeight="1">
      <c r="A47" s="13">
        <v>44196</v>
      </c>
      <c r="B47" s="18">
        <v>1.4510000000000001</v>
      </c>
      <c r="C47" s="14">
        <v>2000</v>
      </c>
      <c r="D47" s="15">
        <v>1378.3597518952447</v>
      </c>
      <c r="E47" s="15">
        <v>85596.474978578786</v>
      </c>
      <c r="F47" s="15">
        <v>124200.48519391782</v>
      </c>
      <c r="G47" s="15">
        <v>90000</v>
      </c>
      <c r="H47" s="15">
        <v>124200.48519391782</v>
      </c>
      <c r="I47" s="15">
        <v>34200.485193917819</v>
      </c>
      <c r="J47" s="3"/>
    </row>
    <row r="48" spans="1:12" ht="14.1" customHeight="1">
      <c r="A48" s="13">
        <v>44225</v>
      </c>
      <c r="B48" s="18">
        <v>1.456</v>
      </c>
      <c r="C48" s="14">
        <v>2000</v>
      </c>
      <c r="D48" s="15">
        <v>1373.6263736263736</v>
      </c>
      <c r="E48" s="15">
        <v>86970.101352205165</v>
      </c>
      <c r="F48" s="15">
        <v>126628.46756881072</v>
      </c>
      <c r="G48" s="15">
        <v>92000</v>
      </c>
      <c r="H48" s="15">
        <v>126628.46756881072</v>
      </c>
      <c r="I48" s="15">
        <v>34628.467568810724</v>
      </c>
      <c r="J48" s="3"/>
    </row>
    <row r="49" spans="1:12" ht="14.1" customHeight="1">
      <c r="A49" s="13">
        <v>44253</v>
      </c>
      <c r="B49" s="18">
        <v>1.4239999999999999</v>
      </c>
      <c r="C49" s="14">
        <v>2000</v>
      </c>
      <c r="D49" s="15">
        <v>1404.4943820224719</v>
      </c>
      <c r="E49" s="15">
        <v>88374.595734227638</v>
      </c>
      <c r="F49" s="15">
        <v>125845.42432554015</v>
      </c>
      <c r="G49" s="15">
        <v>94000</v>
      </c>
      <c r="H49" s="15">
        <v>125845.42432554015</v>
      </c>
      <c r="I49" s="15">
        <v>31845.424325540152</v>
      </c>
      <c r="J49" s="3"/>
    </row>
    <row r="50" spans="1:12" ht="14.1" customHeight="1">
      <c r="A50" s="13">
        <v>44286</v>
      </c>
      <c r="B50" s="18">
        <v>1.371</v>
      </c>
      <c r="C50" s="14">
        <v>2000</v>
      </c>
      <c r="D50" s="15">
        <v>1458.7892049598834</v>
      </c>
      <c r="E50" s="15">
        <v>89833.384939187526</v>
      </c>
      <c r="F50" s="15">
        <v>123161.5707516261</v>
      </c>
      <c r="G50" s="15">
        <v>96000</v>
      </c>
      <c r="H50" s="15">
        <v>123161.5707516261</v>
      </c>
      <c r="I50" s="15">
        <v>27161.570751626103</v>
      </c>
      <c r="J50" s="3"/>
    </row>
    <row r="51" spans="1:12" ht="14.1" customHeight="1">
      <c r="A51" s="13">
        <v>44316</v>
      </c>
      <c r="B51" s="18">
        <v>1.391</v>
      </c>
      <c r="C51" s="14">
        <v>2000</v>
      </c>
      <c r="D51" s="15">
        <v>1437.8145219266714</v>
      </c>
      <c r="E51" s="15">
        <v>91271.1994611142</v>
      </c>
      <c r="F51" s="15">
        <v>126958.23845040986</v>
      </c>
      <c r="G51" s="15">
        <v>98000</v>
      </c>
      <c r="H51" s="15">
        <v>126958.23845040986</v>
      </c>
      <c r="I51" s="15">
        <v>28958.238450409859</v>
      </c>
      <c r="J51" s="3"/>
    </row>
    <row r="52" spans="1:12" ht="14.1" customHeight="1">
      <c r="A52" s="13">
        <v>44347</v>
      </c>
      <c r="B52" s="18">
        <v>1.4830000400543213</v>
      </c>
      <c r="C52" s="14">
        <v>2000</v>
      </c>
      <c r="D52" s="15">
        <v>1348.617630466646</v>
      </c>
      <c r="E52" s="15">
        <v>92619.817091580844</v>
      </c>
      <c r="F52" s="15">
        <v>137355.19245663829</v>
      </c>
      <c r="G52" s="15">
        <v>100000</v>
      </c>
      <c r="H52" s="15">
        <v>137355.19245663829</v>
      </c>
      <c r="I52" s="15">
        <v>37355.192456638295</v>
      </c>
      <c r="J52" s="3"/>
    </row>
    <row r="53" spans="1:12" ht="14.1" customHeight="1">
      <c r="A53" s="13">
        <v>44377</v>
      </c>
      <c r="B53" s="18">
        <v>1.5579999685287476</v>
      </c>
      <c r="C53" s="14">
        <v>2000</v>
      </c>
      <c r="D53" s="15">
        <v>1283.6970734271854</v>
      </c>
      <c r="E53" s="15">
        <v>93903.514165008033</v>
      </c>
      <c r="F53" s="15">
        <v>146301.67211382132</v>
      </c>
      <c r="G53" s="15">
        <v>102000</v>
      </c>
      <c r="H53" s="15">
        <v>146301.67211382132</v>
      </c>
      <c r="I53" s="15">
        <v>44301.672113821318</v>
      </c>
      <c r="J53" s="3"/>
    </row>
    <row r="54" spans="1:12" ht="14.1" customHeight="1">
      <c r="A54" s="13">
        <v>44407</v>
      </c>
      <c r="B54" s="18">
        <v>1.5850000381469727</v>
      </c>
      <c r="C54" s="14">
        <v>2000</v>
      </c>
      <c r="D54" s="15">
        <v>1261.8296226277728</v>
      </c>
      <c r="E54" s="15">
        <v>95165.343787635808</v>
      </c>
      <c r="F54" s="15">
        <v>150837.07353367252</v>
      </c>
      <c r="G54" s="15">
        <v>104000</v>
      </c>
      <c r="H54" s="15">
        <v>150837.07353367252</v>
      </c>
      <c r="I54" s="15">
        <v>46837.073533672519</v>
      </c>
      <c r="J54" s="3"/>
    </row>
    <row r="55" spans="1:12" ht="14.1" customHeight="1">
      <c r="A55" s="13">
        <v>44439</v>
      </c>
      <c r="B55" s="18">
        <v>1.4889999628067017</v>
      </c>
      <c r="C55" s="14">
        <v>2000</v>
      </c>
      <c r="D55" s="15">
        <v>1343.1833780775153</v>
      </c>
      <c r="E55" s="15">
        <v>96508.527165713327</v>
      </c>
      <c r="F55" s="15">
        <v>143701.19336027669</v>
      </c>
      <c r="G55" s="15">
        <v>106000</v>
      </c>
      <c r="H55" s="15">
        <v>143701.19336027669</v>
      </c>
      <c r="I55" s="15">
        <v>37701.193360276695</v>
      </c>
      <c r="J55" s="3"/>
    </row>
    <row r="56" spans="1:12" ht="14.1" customHeight="1">
      <c r="A56" s="13">
        <v>44469</v>
      </c>
      <c r="B56" s="18">
        <v>1.4470000267028809</v>
      </c>
      <c r="C56" s="14">
        <v>2000</v>
      </c>
      <c r="D56" s="15">
        <v>1382.1699814043398</v>
      </c>
      <c r="E56" s="15">
        <v>97890.697147117666</v>
      </c>
      <c r="F56" s="15">
        <v>141647.84138584288</v>
      </c>
      <c r="G56" s="15">
        <v>108000</v>
      </c>
      <c r="H56" s="15">
        <v>141647.84138584288</v>
      </c>
      <c r="I56" s="15">
        <v>33647.841385842883</v>
      </c>
      <c r="J56" s="3"/>
    </row>
    <row r="57" spans="1:12" ht="14.1" customHeight="1">
      <c r="A57" s="13">
        <v>44498</v>
      </c>
      <c r="B57" s="18">
        <v>1.4589999914169312</v>
      </c>
      <c r="C57" s="14">
        <v>2000</v>
      </c>
      <c r="D57" s="15">
        <v>1370.8019271869002</v>
      </c>
      <c r="E57" s="15">
        <v>99261.499074304564</v>
      </c>
      <c r="F57" s="15">
        <v>144822.52629744209</v>
      </c>
      <c r="G57" s="15">
        <v>110000</v>
      </c>
      <c r="H57" s="15">
        <v>144822.52629744209</v>
      </c>
      <c r="I57" s="15">
        <v>34822.526297442091</v>
      </c>
      <c r="J57" s="3"/>
      <c r="L57" s="10"/>
    </row>
    <row r="58" spans="1:12" ht="14.1" customHeight="1">
      <c r="A58" s="13">
        <v>44530</v>
      </c>
      <c r="B58" s="18">
        <v>1.5770000219345093</v>
      </c>
      <c r="C58" s="14">
        <v>2000</v>
      </c>
      <c r="D58" s="15">
        <v>1268.2308003690423</v>
      </c>
      <c r="E58" s="15">
        <v>100529.72987467361</v>
      </c>
      <c r="F58" s="15">
        <v>158535.38621743055</v>
      </c>
      <c r="G58" s="15">
        <v>112000</v>
      </c>
      <c r="H58" s="15">
        <v>158535.38621743055</v>
      </c>
      <c r="I58" s="15">
        <v>46535.386217430554</v>
      </c>
      <c r="J58" s="3"/>
    </row>
    <row r="59" spans="1:12" ht="14.1" customHeight="1">
      <c r="A59" s="13">
        <v>44561</v>
      </c>
      <c r="B59" s="18">
        <v>1.593999981880188</v>
      </c>
      <c r="C59" s="14">
        <v>2000</v>
      </c>
      <c r="D59" s="15">
        <v>1254.7051585539659</v>
      </c>
      <c r="E59" s="15">
        <v>101784.43503322756</v>
      </c>
      <c r="F59" s="15">
        <v>162244.38759864992</v>
      </c>
      <c r="G59" s="15">
        <v>114000</v>
      </c>
      <c r="H59" s="15">
        <v>162244.38759864992</v>
      </c>
      <c r="I59" s="15">
        <v>48244.387598649919</v>
      </c>
      <c r="J59" s="3"/>
    </row>
    <row r="60" spans="1:12" ht="14.1" customHeight="1">
      <c r="A60" s="13">
        <v>44589</v>
      </c>
      <c r="B60" s="18">
        <v>1.4750000238418579</v>
      </c>
      <c r="C60" s="14">
        <v>2000</v>
      </c>
      <c r="D60" s="15">
        <v>1355.9321814725815</v>
      </c>
      <c r="E60" s="15">
        <v>103140.36721470015</v>
      </c>
      <c r="F60" s="15">
        <v>152132.04410074069</v>
      </c>
      <c r="G60" s="15">
        <v>116000</v>
      </c>
      <c r="H60" s="15">
        <v>152132.04410074069</v>
      </c>
      <c r="I60" s="15">
        <v>36132.044100740692</v>
      </c>
      <c r="J60" s="3"/>
    </row>
    <row r="61" spans="1:12" ht="14.1" customHeight="1">
      <c r="A61" s="13">
        <v>44620</v>
      </c>
      <c r="B61" s="18">
        <v>1.4859999418258667</v>
      </c>
      <c r="C61" s="14">
        <v>2000</v>
      </c>
      <c r="D61" s="15">
        <v>1345.8950728777115</v>
      </c>
      <c r="E61" s="15">
        <v>104486.26228757786</v>
      </c>
      <c r="F61" s="15">
        <v>155266.57968094296</v>
      </c>
      <c r="G61" s="15">
        <v>118000</v>
      </c>
      <c r="H61" s="15">
        <v>155266.57968094296</v>
      </c>
      <c r="I61" s="15">
        <v>37266.579680942959</v>
      </c>
      <c r="J61" s="3"/>
    </row>
    <row r="62" spans="1:12" ht="14.1" customHeight="1">
      <c r="A62" s="13">
        <v>44651</v>
      </c>
      <c r="B62" s="18">
        <v>1.3029999732971191</v>
      </c>
      <c r="C62" s="14">
        <v>2000</v>
      </c>
      <c r="D62" s="15">
        <v>1534.9194481863171</v>
      </c>
      <c r="E62" s="15">
        <v>106021.18173576418</v>
      </c>
      <c r="F62" s="15">
        <v>138145.59697062976</v>
      </c>
      <c r="G62" s="15">
        <v>120000</v>
      </c>
      <c r="H62" s="15">
        <v>138145.59697062976</v>
      </c>
      <c r="I62" s="15">
        <v>18145.596970629762</v>
      </c>
      <c r="J62" s="3"/>
    </row>
    <row r="63" spans="1:12" ht="14.1" customHeight="1">
      <c r="A63" s="13">
        <v>44680</v>
      </c>
      <c r="B63" s="18">
        <v>1.1230000257492065</v>
      </c>
      <c r="C63" s="14">
        <v>2000</v>
      </c>
      <c r="D63" s="15">
        <v>1780.9438594319756</v>
      </c>
      <c r="E63" s="15">
        <v>107802.12559519616</v>
      </c>
      <c r="F63" s="15">
        <v>121061.78981922449</v>
      </c>
      <c r="G63" s="15">
        <v>122000</v>
      </c>
      <c r="H63" s="15">
        <v>121061.78981922449</v>
      </c>
      <c r="I63" s="15">
        <v>-938.2101807755098</v>
      </c>
      <c r="J63" s="3"/>
    </row>
    <row r="64" spans="1:12" ht="14.1" customHeight="1">
      <c r="A64" s="13">
        <v>44712</v>
      </c>
      <c r="B64" s="18">
        <v>1.1690000295639038</v>
      </c>
      <c r="C64" s="14">
        <v>2000</v>
      </c>
      <c r="D64" s="15">
        <v>1710.8639430454944</v>
      </c>
      <c r="E64" s="15">
        <v>109512.98953824166</v>
      </c>
      <c r="F64" s="15">
        <v>128020.68800783598</v>
      </c>
      <c r="G64" s="15">
        <v>124000</v>
      </c>
      <c r="H64" s="15">
        <v>128020.68800783598</v>
      </c>
      <c r="I64" s="15">
        <v>4020.6880078359827</v>
      </c>
      <c r="J64" s="3"/>
    </row>
    <row r="65" spans="1:12" ht="14.1" customHeight="1">
      <c r="A65" s="13">
        <v>44742</v>
      </c>
      <c r="B65" s="18">
        <v>1.2549999952316284</v>
      </c>
      <c r="C65" s="14">
        <v>2000</v>
      </c>
      <c r="D65" s="15">
        <v>1593.6255040629471</v>
      </c>
      <c r="E65" s="15">
        <v>111106.61504230461</v>
      </c>
      <c r="F65" s="15">
        <v>139438.80134829466</v>
      </c>
      <c r="G65" s="15">
        <v>126000</v>
      </c>
      <c r="H65" s="15">
        <v>139438.80134829466</v>
      </c>
      <c r="I65" s="15">
        <v>13438.801348294655</v>
      </c>
      <c r="J65" s="3"/>
    </row>
    <row r="66" spans="1:12" ht="14.1" customHeight="1">
      <c r="A66" s="13">
        <v>44771</v>
      </c>
      <c r="B66" s="18">
        <v>1.2020000219345093</v>
      </c>
      <c r="C66" s="14">
        <v>2000</v>
      </c>
      <c r="D66" s="15">
        <v>1663.8934804520075</v>
      </c>
      <c r="E66" s="15">
        <v>112770.50852275662</v>
      </c>
      <c r="F66" s="15">
        <v>135550.15371791922</v>
      </c>
      <c r="G66" s="15">
        <v>128000</v>
      </c>
      <c r="H66" s="15">
        <v>135550.15371791922</v>
      </c>
      <c r="I66" s="15">
        <v>7550.1537179192237</v>
      </c>
      <c r="J66" s="3"/>
    </row>
    <row r="67" spans="1:12" ht="14.1" customHeight="1">
      <c r="A67" s="13">
        <v>44804</v>
      </c>
      <c r="B67" s="18">
        <v>1.1239999532699585</v>
      </c>
      <c r="C67" s="14">
        <v>2000</v>
      </c>
      <c r="D67" s="15">
        <v>1779.3595045814443</v>
      </c>
      <c r="E67" s="15">
        <v>114549.86802733806</v>
      </c>
      <c r="F67" s="15">
        <v>128754.04630980789</v>
      </c>
      <c r="G67" s="15">
        <v>130000</v>
      </c>
      <c r="H67" s="15">
        <v>128754.04630980789</v>
      </c>
      <c r="I67" s="15">
        <v>-1245.9536901921092</v>
      </c>
      <c r="J67" s="3"/>
    </row>
    <row r="68" spans="1:12" ht="14.1" customHeight="1">
      <c r="A68" s="13">
        <v>44834</v>
      </c>
      <c r="B68" s="18">
        <v>1.0219999551773071</v>
      </c>
      <c r="C68" s="14">
        <v>2000</v>
      </c>
      <c r="D68" s="15">
        <v>1956.9472482540561</v>
      </c>
      <c r="E68" s="15">
        <v>116506.81527559212</v>
      </c>
      <c r="F68" s="15">
        <v>119069.95998950595</v>
      </c>
      <c r="G68" s="15">
        <v>132000</v>
      </c>
      <c r="H68" s="15">
        <v>119069.95998950595</v>
      </c>
      <c r="I68" s="15">
        <v>-12930.040010494049</v>
      </c>
      <c r="J68" s="3"/>
    </row>
    <row r="69" spans="1:12" ht="14.1" customHeight="1">
      <c r="A69" s="13">
        <v>44865</v>
      </c>
      <c r="B69" s="18">
        <v>1.0690000057220459</v>
      </c>
      <c r="C69" s="14">
        <v>2000</v>
      </c>
      <c r="D69" s="15">
        <v>1870.9073800697681</v>
      </c>
      <c r="E69" s="15">
        <v>118377.72265566188</v>
      </c>
      <c r="F69" s="15">
        <v>126545.78619626531</v>
      </c>
      <c r="G69" s="15">
        <v>134000</v>
      </c>
      <c r="H69" s="15">
        <v>126545.78619626531</v>
      </c>
      <c r="I69" s="15">
        <v>-7454.2138037346886</v>
      </c>
      <c r="J69" s="3"/>
      <c r="L69" s="10"/>
    </row>
    <row r="70" spans="1:12" ht="14.1" customHeight="1">
      <c r="A70" s="13">
        <v>44895</v>
      </c>
      <c r="B70" s="18">
        <v>1.1039999723434448</v>
      </c>
      <c r="C70" s="14">
        <v>2000</v>
      </c>
      <c r="D70" s="15">
        <v>1811.5942482812104</v>
      </c>
      <c r="E70" s="15">
        <v>120189.31690394309</v>
      </c>
      <c r="F70" s="15">
        <v>132689.0025379307</v>
      </c>
      <c r="G70" s="15">
        <v>136000</v>
      </c>
      <c r="H70" s="15">
        <v>132689.0025379307</v>
      </c>
      <c r="I70" s="15">
        <v>-3310.9974620692956</v>
      </c>
      <c r="J70" s="3"/>
    </row>
    <row r="71" spans="1:12" ht="14.1" customHeight="1">
      <c r="A71" s="13">
        <v>44925</v>
      </c>
      <c r="B71" s="18">
        <v>1.0950000286102295</v>
      </c>
      <c r="C71" s="14">
        <v>2000</v>
      </c>
      <c r="D71" s="15">
        <v>1826.483970542351</v>
      </c>
      <c r="E71" s="15">
        <v>122015.80087448545</v>
      </c>
      <c r="F71" s="15">
        <v>133607.30544846162</v>
      </c>
      <c r="G71" s="15">
        <v>138000</v>
      </c>
      <c r="H71" s="15">
        <v>133607.30544846162</v>
      </c>
      <c r="I71" s="15">
        <v>-4392.694551538385</v>
      </c>
      <c r="J71" s="3"/>
    </row>
    <row r="72" spans="1:12" ht="14.1" customHeight="1">
      <c r="A72" s="13">
        <v>44957</v>
      </c>
      <c r="B72" s="18">
        <v>1.218000054359436</v>
      </c>
      <c r="C72" s="14">
        <v>2000</v>
      </c>
      <c r="D72" s="15">
        <v>1642.0360515105469</v>
      </c>
      <c r="E72" s="15">
        <v>123657.83692599599</v>
      </c>
      <c r="F72" s="15">
        <v>150615.25209783338</v>
      </c>
      <c r="G72" s="15">
        <v>140000</v>
      </c>
      <c r="H72" s="15">
        <v>150615.25209783338</v>
      </c>
      <c r="I72" s="15">
        <v>10615.252097833378</v>
      </c>
      <c r="J72" s="3"/>
    </row>
    <row r="73" spans="1:12" ht="14.1" customHeight="1">
      <c r="A73" s="13">
        <v>44985</v>
      </c>
      <c r="B73" s="18">
        <v>1.2790000438690186</v>
      </c>
      <c r="C73" s="14">
        <v>2000</v>
      </c>
      <c r="D73" s="15">
        <v>1563.721603910139</v>
      </c>
      <c r="E73" s="15">
        <v>125221.55852990612</v>
      </c>
      <c r="F73" s="15">
        <v>160158.3788530968</v>
      </c>
      <c r="G73" s="15">
        <v>142000</v>
      </c>
      <c r="H73" s="15">
        <v>160158.3788530968</v>
      </c>
      <c r="I73" s="15">
        <v>18158.378853096801</v>
      </c>
      <c r="J73" s="3"/>
    </row>
    <row r="74" spans="1:12" ht="14.1" customHeight="1">
      <c r="A74" s="13">
        <v>45016</v>
      </c>
      <c r="B74" s="18">
        <v>1.4709999561309814</v>
      </c>
      <c r="C74" s="14">
        <v>2000</v>
      </c>
      <c r="D74" s="15">
        <v>1359.6193471415136</v>
      </c>
      <c r="E74" s="15">
        <v>126581.17787704764</v>
      </c>
      <c r="F74" s="15">
        <v>186200.90710414504</v>
      </c>
      <c r="G74" s="15">
        <v>144000</v>
      </c>
      <c r="H74" s="15">
        <v>186200.90710414504</v>
      </c>
      <c r="I74" s="15">
        <v>42200.907104145037</v>
      </c>
      <c r="J74" s="3"/>
    </row>
    <row r="75" spans="1:12" ht="14.1" customHeight="1">
      <c r="A75" s="13">
        <v>45044</v>
      </c>
      <c r="B75" s="18">
        <v>1.4160000085830688</v>
      </c>
      <c r="C75" s="14">
        <v>2000</v>
      </c>
      <c r="D75" s="15">
        <v>1412.429369969648</v>
      </c>
      <c r="E75" s="15">
        <v>127993.60724701728</v>
      </c>
      <c r="F75" s="15">
        <v>181238.94896035441</v>
      </c>
      <c r="G75" s="15">
        <v>146000</v>
      </c>
      <c r="H75" s="15">
        <v>181238.94896035441</v>
      </c>
      <c r="I75" s="15">
        <v>35238.948960354406</v>
      </c>
    </row>
    <row r="76" spans="1:12" ht="12.75">
      <c r="A76" s="13">
        <v>45077</v>
      </c>
      <c r="B76" s="18">
        <v>1.4309999942779541</v>
      </c>
      <c r="C76" s="14">
        <v>2000</v>
      </c>
      <c r="D76" s="15">
        <v>1397.6240447220607</v>
      </c>
      <c r="E76" s="15">
        <v>129391.23129173934</v>
      </c>
      <c r="F76" s="15">
        <v>185158.85123809642</v>
      </c>
      <c r="G76" s="15">
        <v>148000</v>
      </c>
      <c r="H76" s="15">
        <v>185158.85123809642</v>
      </c>
      <c r="I76" s="15">
        <v>37158.851238096424</v>
      </c>
    </row>
    <row r="77" spans="1:12" ht="12.75">
      <c r="A77" s="13">
        <v>45107</v>
      </c>
      <c r="B77" s="18">
        <v>1.4440000057220459</v>
      </c>
      <c r="C77" s="14">
        <v>2000</v>
      </c>
      <c r="D77" s="15">
        <v>1385.0415457581223</v>
      </c>
      <c r="E77" s="15">
        <v>130776.27283749747</v>
      </c>
      <c r="F77" s="15">
        <v>188840.93872565418</v>
      </c>
      <c r="G77" s="15">
        <v>150000</v>
      </c>
      <c r="H77" s="15">
        <v>188840.93872565418</v>
      </c>
      <c r="I77" s="15">
        <v>38840.938725654181</v>
      </c>
    </row>
    <row r="78" spans="1:12" ht="12.75">
      <c r="A78" s="13">
        <v>45138</v>
      </c>
      <c r="B78" s="18">
        <v>1.3869999647140503</v>
      </c>
      <c r="C78" s="14">
        <v>2000</v>
      </c>
      <c r="D78" s="15">
        <v>1441.9611037353764</v>
      </c>
      <c r="E78" s="15">
        <v>132218.23394123284</v>
      </c>
      <c r="F78" s="15">
        <v>183386.68581104401</v>
      </c>
      <c r="G78" s="15">
        <v>152000</v>
      </c>
      <c r="H78" s="15">
        <v>183386.68581104401</v>
      </c>
      <c r="I78" s="15">
        <v>31386.685811044008</v>
      </c>
    </row>
    <row r="79" spans="1:12" ht="12.75">
      <c r="A79" s="13">
        <v>45169</v>
      </c>
      <c r="B79" s="18">
        <v>1.3009999990463257</v>
      </c>
      <c r="C79" s="14">
        <v>2000</v>
      </c>
      <c r="D79" s="15">
        <v>1537.279017268304</v>
      </c>
      <c r="E79" s="15">
        <v>133755.51295850115</v>
      </c>
      <c r="F79" s="15">
        <v>174015.92223145079</v>
      </c>
      <c r="G79" s="15">
        <v>154000</v>
      </c>
      <c r="H79" s="15">
        <v>174015.92223145079</v>
      </c>
      <c r="I79" s="15">
        <v>20015.922231450793</v>
      </c>
    </row>
    <row r="80" spans="1:12" ht="12.75">
      <c r="A80" s="13">
        <v>45197</v>
      </c>
      <c r="B80" s="18">
        <v>1.2410000562667847</v>
      </c>
      <c r="C80" s="14">
        <v>2000</v>
      </c>
      <c r="D80" s="15">
        <v>1611.6034724579004</v>
      </c>
      <c r="E80" s="15">
        <v>135367.11643095905</v>
      </c>
      <c r="F80" s="15">
        <v>167990.59910749257</v>
      </c>
      <c r="G80" s="15">
        <v>156000</v>
      </c>
      <c r="H80" s="15">
        <v>167990.59910749257</v>
      </c>
      <c r="I80" s="15">
        <v>11990.59910749257</v>
      </c>
    </row>
    <row r="81" spans="1:9" ht="12.75">
      <c r="A81" s="13">
        <v>45230</v>
      </c>
      <c r="B81" s="18">
        <v>1.1759999990463257</v>
      </c>
      <c r="C81" s="14">
        <v>2000</v>
      </c>
      <c r="D81" s="15">
        <v>1700.6802734880059</v>
      </c>
      <c r="E81" s="15">
        <v>137067.79670444707</v>
      </c>
      <c r="F81" s="15">
        <v>161191.72879371172</v>
      </c>
      <c r="G81" s="15">
        <v>158000</v>
      </c>
      <c r="H81" s="15">
        <v>161191.72879371172</v>
      </c>
      <c r="I81" s="15">
        <v>3191.7287937117217</v>
      </c>
    </row>
    <row r="82" spans="1:9" ht="12.75">
      <c r="A82" s="13">
        <v>45260</v>
      </c>
      <c r="B82" s="18">
        <v>1.2059999704360962</v>
      </c>
      <c r="C82" s="14">
        <v>2000</v>
      </c>
      <c r="D82" s="15">
        <v>1658.3748333565788</v>
      </c>
      <c r="E82" s="15">
        <v>138726.17153780366</v>
      </c>
      <c r="F82" s="15">
        <v>167303.75877330403</v>
      </c>
      <c r="G82" s="15">
        <v>160000</v>
      </c>
      <c r="H82" s="15">
        <v>167303.75877330403</v>
      </c>
      <c r="I82" s="15">
        <v>7303.7587733040273</v>
      </c>
    </row>
    <row r="83" spans="1:9" ht="12.75">
      <c r="A83" s="13">
        <v>45289</v>
      </c>
      <c r="B83" s="18">
        <v>1.2039999961853027</v>
      </c>
      <c r="C83" s="14">
        <v>2000</v>
      </c>
      <c r="D83" s="15">
        <v>1661.1295733693576</v>
      </c>
      <c r="E83" s="15">
        <v>140387.30111117303</v>
      </c>
      <c r="F83" s="15">
        <v>169026.31000231727</v>
      </c>
      <c r="G83" s="15">
        <v>162000</v>
      </c>
      <c r="H83" s="15">
        <v>169026.31000231727</v>
      </c>
      <c r="I83" s="15">
        <v>7026.3100023172738</v>
      </c>
    </row>
    <row r="84" spans="1:9" ht="12.75">
      <c r="A84" s="13">
        <v>45322</v>
      </c>
      <c r="B84" s="18">
        <v>0.97500002384185791</v>
      </c>
      <c r="C84" s="14">
        <v>2000</v>
      </c>
      <c r="D84" s="15">
        <v>2051.2820011216677</v>
      </c>
      <c r="E84" s="15">
        <v>142438.5831122947</v>
      </c>
      <c r="F84" s="15">
        <v>138877.6219304878</v>
      </c>
      <c r="G84" s="15">
        <v>164000</v>
      </c>
      <c r="H84" s="15">
        <v>138877.6219304878</v>
      </c>
      <c r="I84" s="15">
        <v>-25122.378069512197</v>
      </c>
    </row>
    <row r="85" spans="1:9" ht="12.75">
      <c r="A85" s="13">
        <v>45351</v>
      </c>
      <c r="B85" s="18">
        <v>1.1909999847412109</v>
      </c>
      <c r="C85" s="14">
        <v>2000</v>
      </c>
      <c r="D85" s="15">
        <v>1679.2611466192204</v>
      </c>
      <c r="E85" s="15">
        <v>144117.84425891392</v>
      </c>
      <c r="F85" s="15">
        <v>171644.35031330268</v>
      </c>
      <c r="G85" s="15">
        <v>166000</v>
      </c>
      <c r="H85" s="15">
        <v>171644.35031330268</v>
      </c>
      <c r="I85" s="15">
        <v>5644.3503133026825</v>
      </c>
    </row>
    <row r="86" spans="1:9" ht="12.75">
      <c r="A86" s="13">
        <v>45380</v>
      </c>
      <c r="B86" s="18">
        <v>1.1920000314712524</v>
      </c>
      <c r="C86" s="14">
        <v>2000</v>
      </c>
      <c r="D86" s="15">
        <v>1677.8523046945356</v>
      </c>
      <c r="E86" s="15">
        <v>145795.69656360845</v>
      </c>
      <c r="F86" s="15">
        <v>173788.47489219444</v>
      </c>
      <c r="G86" s="15">
        <v>168000</v>
      </c>
      <c r="H86" s="15">
        <v>173788.47489219444</v>
      </c>
      <c r="I86" s="15">
        <v>5788.4748921944411</v>
      </c>
    </row>
    <row r="87" spans="1:9" ht="12.75">
      <c r="A87" s="13">
        <v>45412</v>
      </c>
      <c r="B87" s="18">
        <v>1.2200000286102295</v>
      </c>
      <c r="C87" s="14">
        <v>2000</v>
      </c>
      <c r="D87" s="15">
        <v>1639.3442238508078</v>
      </c>
      <c r="E87" s="15">
        <v>147435.04078745926</v>
      </c>
      <c r="F87" s="15">
        <v>179870.75397885064</v>
      </c>
      <c r="G87" s="15">
        <v>170000</v>
      </c>
      <c r="H87" s="15">
        <v>179870.75397885064</v>
      </c>
      <c r="I87" s="15">
        <v>9870.7539788506401</v>
      </c>
    </row>
    <row r="88" spans="1:9" ht="12.75">
      <c r="A88" s="13">
        <v>45443</v>
      </c>
      <c r="B88" s="18">
        <v>1.1510000228881836</v>
      </c>
      <c r="C88" s="14">
        <v>2000</v>
      </c>
      <c r="D88" s="15">
        <v>1737.6194267845765</v>
      </c>
      <c r="E88" s="15">
        <v>149172.66021424384</v>
      </c>
      <c r="F88" s="15">
        <v>171697.7353208859</v>
      </c>
      <c r="G88" s="15">
        <v>172000</v>
      </c>
      <c r="H88" s="15">
        <v>171697.7353208859</v>
      </c>
      <c r="I88" s="15">
        <v>-302.26467911410145</v>
      </c>
    </row>
    <row r="89" spans="1:9" ht="12.75">
      <c r="A89" s="13">
        <v>45471</v>
      </c>
      <c r="B89" s="18">
        <v>1.156000018119812</v>
      </c>
      <c r="C89" s="14">
        <v>2000</v>
      </c>
      <c r="D89" s="15">
        <v>1730.1037791097274</v>
      </c>
      <c r="E89" s="15">
        <v>150902.76399335355</v>
      </c>
      <c r="F89" s="15">
        <v>174443.59791064644</v>
      </c>
      <c r="G89" s="15">
        <v>174000</v>
      </c>
      <c r="H89" s="15">
        <v>174443.59791064644</v>
      </c>
      <c r="I89" s="15">
        <v>443.5979106464365</v>
      </c>
    </row>
    <row r="90" spans="1:9" ht="12.75">
      <c r="A90" s="13">
        <v>45504</v>
      </c>
      <c r="B90" s="18">
        <v>1.1469999551773071</v>
      </c>
      <c r="C90" s="14">
        <v>2000</v>
      </c>
      <c r="D90" s="15">
        <v>1743.6792311738436</v>
      </c>
      <c r="E90" s="15">
        <v>152646.44322452741</v>
      </c>
      <c r="F90" s="15">
        <v>175085.46353650829</v>
      </c>
      <c r="G90" s="15">
        <v>176000</v>
      </c>
      <c r="H90" s="15">
        <v>175085.46353650829</v>
      </c>
      <c r="I90" s="15">
        <v>-914.53646349170594</v>
      </c>
    </row>
    <row r="91" spans="1:9" ht="12.75">
      <c r="A91" s="13">
        <v>45534</v>
      </c>
      <c r="B91" s="18">
        <v>1.0429999828338623</v>
      </c>
      <c r="C91" s="14">
        <v>2000</v>
      </c>
      <c r="D91" s="15">
        <v>1917.5455732663963</v>
      </c>
      <c r="E91" s="15">
        <v>154563.98879779381</v>
      </c>
      <c r="F91" s="15">
        <v>161210.23766283222</v>
      </c>
      <c r="G91" s="15">
        <v>178000</v>
      </c>
      <c r="H91" s="15">
        <v>161210.23766283222</v>
      </c>
      <c r="I91" s="15">
        <v>-16789.762337167776</v>
      </c>
    </row>
    <row r="92" spans="1:9" ht="12.75">
      <c r="A92" s="13">
        <v>45565</v>
      </c>
      <c r="B92" s="18">
        <v>1.2979999780654907</v>
      </c>
      <c r="C92" s="14">
        <v>2000</v>
      </c>
      <c r="D92" s="15">
        <v>1540.8320753446806</v>
      </c>
      <c r="E92" s="15">
        <v>156104.82087313849</v>
      </c>
      <c r="F92" s="15">
        <v>202624.05406925111</v>
      </c>
      <c r="G92" s="15">
        <v>180000</v>
      </c>
      <c r="H92" s="15">
        <v>202624.05406925111</v>
      </c>
      <c r="I92" s="15">
        <v>22624.054069251113</v>
      </c>
    </row>
    <row r="93" spans="1:9" ht="12.75">
      <c r="A93" s="13">
        <v>45596</v>
      </c>
      <c r="B93" s="18">
        <v>1.4099999666213989</v>
      </c>
      <c r="C93" s="14">
        <v>2000</v>
      </c>
      <c r="D93" s="15">
        <v>1418.43974989045</v>
      </c>
      <c r="E93" s="15">
        <v>157523.26062302894</v>
      </c>
      <c r="F93" s="15">
        <v>222107.79222056473</v>
      </c>
      <c r="G93" s="15">
        <v>182000</v>
      </c>
      <c r="H93" s="15">
        <v>222107.79222056473</v>
      </c>
      <c r="I93" s="15">
        <v>40107.792220564734</v>
      </c>
    </row>
    <row r="94" spans="1:9" ht="12.75">
      <c r="A94" s="13">
        <v>45625</v>
      </c>
      <c r="B94" s="18">
        <v>1.4490000009536743</v>
      </c>
      <c r="C94" s="14">
        <v>2000</v>
      </c>
      <c r="D94" s="15">
        <v>1380.2622489190333</v>
      </c>
      <c r="E94" s="15">
        <v>158903.52287194796</v>
      </c>
      <c r="F94" s="15">
        <v>230251.2047929948</v>
      </c>
      <c r="G94" s="15">
        <v>184000</v>
      </c>
      <c r="H94" s="15">
        <v>230251.2047929948</v>
      </c>
      <c r="I94" s="15">
        <v>46251.204792994802</v>
      </c>
    </row>
    <row r="95" spans="1:9" ht="12.75">
      <c r="A95" s="13">
        <v>45657</v>
      </c>
      <c r="B95" s="18">
        <v>1.4550000429153442</v>
      </c>
      <c r="C95" s="14">
        <v>2000</v>
      </c>
      <c r="D95" s="15">
        <v>1374.5704061923284</v>
      </c>
      <c r="E95" s="15">
        <v>160278.0932781403</v>
      </c>
      <c r="F95" s="15">
        <v>233204.63259808367</v>
      </c>
      <c r="G95" s="15">
        <v>186000</v>
      </c>
      <c r="H95" s="15">
        <v>233204.63259808367</v>
      </c>
      <c r="I95" s="15">
        <v>47204.63259808367</v>
      </c>
    </row>
    <row r="96" spans="1:9" ht="12.75">
      <c r="A96" s="13">
        <v>45684</v>
      </c>
      <c r="B96" s="18">
        <v>1.4459999799728394</v>
      </c>
      <c r="C96" s="14">
        <v>2000</v>
      </c>
      <c r="D96" s="15">
        <v>1383.1258836100167</v>
      </c>
      <c r="E96" s="15">
        <v>161661.21916175031</v>
      </c>
      <c r="F96" s="15">
        <v>233762.11967027574</v>
      </c>
      <c r="G96" s="15">
        <v>188000</v>
      </c>
      <c r="H96" s="15">
        <v>233762.11967027574</v>
      </c>
      <c r="I96" s="15">
        <v>45762.119670275744</v>
      </c>
    </row>
    <row r="97" spans="1:9" ht="12.75">
      <c r="A97" s="13">
        <v>45716</v>
      </c>
      <c r="B97" s="18">
        <v>1.6210000514984131</v>
      </c>
      <c r="C97" s="14">
        <v>2000</v>
      </c>
      <c r="D97" s="15">
        <v>1233.8062532146428</v>
      </c>
      <c r="E97" s="15">
        <v>162895.02541496494</v>
      </c>
      <c r="F97" s="15">
        <v>264052.84458649351</v>
      </c>
      <c r="G97" s="15">
        <v>190000</v>
      </c>
      <c r="H97" s="15">
        <v>264052.84458649351</v>
      </c>
      <c r="I97" s="15">
        <v>74052.844586493506</v>
      </c>
    </row>
    <row r="98" spans="1:9" ht="12.75">
      <c r="A98" s="13">
        <v>45747</v>
      </c>
      <c r="B98" s="18">
        <v>1.5249999761581421</v>
      </c>
      <c r="C98" s="14">
        <v>2000</v>
      </c>
      <c r="D98" s="15">
        <v>1311.4754303396792</v>
      </c>
      <c r="E98" s="15">
        <v>164206.50084530463</v>
      </c>
      <c r="F98" s="15">
        <v>250414.90987410149</v>
      </c>
      <c r="G98" s="15">
        <v>192000</v>
      </c>
      <c r="H98" s="15">
        <v>250414.90987410149</v>
      </c>
      <c r="I98" s="15">
        <v>58414.90987410149</v>
      </c>
    </row>
    <row r="99" spans="1:9" ht="12.75">
      <c r="A99" s="13">
        <v>45777</v>
      </c>
      <c r="B99" s="18">
        <v>1.4620000123977661</v>
      </c>
      <c r="C99" s="14">
        <v>2000</v>
      </c>
      <c r="D99" s="15">
        <v>1367.9890444869984</v>
      </c>
      <c r="E99" s="15">
        <v>165574.48988979164</v>
      </c>
      <c r="F99" s="15">
        <v>242069.90627162918</v>
      </c>
      <c r="G99" s="15">
        <v>194000</v>
      </c>
      <c r="H99" s="15">
        <v>242069.90627162918</v>
      </c>
      <c r="I99" s="15">
        <v>48069.906271629181</v>
      </c>
    </row>
    <row r="100" spans="1:9" ht="12.75">
      <c r="A100" s="13">
        <v>45807</v>
      </c>
      <c r="B100" s="18">
        <v>1.4359999895095825</v>
      </c>
      <c r="C100" s="14">
        <v>2000</v>
      </c>
      <c r="D100" s="15">
        <v>1392.7576703416501</v>
      </c>
      <c r="E100" s="15">
        <v>166967.24756013328</v>
      </c>
      <c r="F100" s="15">
        <v>239764.96574479528</v>
      </c>
      <c r="G100" s="15">
        <v>196000</v>
      </c>
      <c r="H100" s="15">
        <v>239764.96574479528</v>
      </c>
      <c r="I100" s="15">
        <v>43764.965744795278</v>
      </c>
    </row>
    <row r="101" spans="1:9" ht="12.75">
      <c r="A101" s="13">
        <v>45838</v>
      </c>
      <c r="B101" s="18">
        <v>1.5470000505447388</v>
      </c>
      <c r="C101" s="14">
        <v>2000</v>
      </c>
      <c r="D101" s="15">
        <v>1292.8247799964506</v>
      </c>
      <c r="E101" s="15">
        <v>168260.07234012973</v>
      </c>
      <c r="F101" s="15">
        <v>260298.3404148421</v>
      </c>
      <c r="G101" s="15">
        <v>198000</v>
      </c>
      <c r="H101" s="15">
        <v>260298.3404148421</v>
      </c>
      <c r="I101" s="15">
        <v>62298.340414842096</v>
      </c>
    </row>
    <row r="102" spans="1:9" ht="12.75">
      <c r="A102" s="13">
        <v>45869</v>
      </c>
      <c r="B102" s="18">
        <v>1.6959999799728394</v>
      </c>
      <c r="C102" s="14">
        <v>2000</v>
      </c>
      <c r="D102" s="15">
        <v>1179.2452969439476</v>
      </c>
      <c r="E102" s="15">
        <v>169439.31763707369</v>
      </c>
      <c r="F102" s="15">
        <v>287369.07931908855</v>
      </c>
      <c r="G102" s="15">
        <v>200000</v>
      </c>
      <c r="H102" s="15">
        <v>287369.07931908855</v>
      </c>
      <c r="I102" s="15">
        <v>87369.079319088545</v>
      </c>
    </row>
    <row r="103" spans="1:9" ht="12.75">
      <c r="A103" s="13">
        <v>45898</v>
      </c>
      <c r="B103" s="18">
        <v>2.7960000038146973</v>
      </c>
      <c r="C103" s="14">
        <v>2000</v>
      </c>
      <c r="D103" s="15">
        <v>715.30758128444859</v>
      </c>
      <c r="E103" s="15">
        <v>170154.62521835815</v>
      </c>
      <c r="F103" s="15">
        <v>475752.33275961777</v>
      </c>
      <c r="G103" s="15">
        <v>202000</v>
      </c>
      <c r="H103" s="15">
        <v>475752.33275961777</v>
      </c>
      <c r="I103" s="15">
        <v>273752.33275961777</v>
      </c>
    </row>
    <row r="104" spans="1:9" ht="12.75">
      <c r="A104" s="13">
        <v>45930</v>
      </c>
      <c r="B104" s="18">
        <v>2.4000000953674316</v>
      </c>
      <c r="C104" s="14">
        <v>2000</v>
      </c>
      <c r="D104" s="15">
        <v>833.33330021964309</v>
      </c>
      <c r="E104" s="15">
        <v>170987.9585185778</v>
      </c>
      <c r="F104" s="15">
        <v>410371.11675126915</v>
      </c>
      <c r="G104" s="15">
        <v>204000</v>
      </c>
      <c r="H104" s="15">
        <v>410371.11675126915</v>
      </c>
      <c r="I104" s="15">
        <v>206371.11675126915</v>
      </c>
    </row>
    <row r="105" spans="1:9" ht="12.75">
      <c r="A105" s="13">
        <v>45961</v>
      </c>
      <c r="B105" s="18">
        <v>2.3340001106262207</v>
      </c>
      <c r="C105" s="14">
        <v>2000</v>
      </c>
      <c r="D105" s="15">
        <v>856.89798851954322</v>
      </c>
      <c r="E105" s="15">
        <v>171844.85650709734</v>
      </c>
      <c r="F105" s="15">
        <v>401085.9140981122</v>
      </c>
      <c r="G105" s="15">
        <v>206000</v>
      </c>
      <c r="H105" s="15">
        <v>401085.9140981122</v>
      </c>
      <c r="I105" s="15">
        <v>195085.9140981122</v>
      </c>
    </row>
    <row r="106" spans="1:9" ht="12.75">
      <c r="A106" s="13">
        <v>45989</v>
      </c>
      <c r="B106" s="18">
        <v>2.250999927520752</v>
      </c>
      <c r="C106" s="14">
        <v>2000</v>
      </c>
      <c r="D106" s="15">
        <v>888.4940312738247</v>
      </c>
      <c r="E106" s="15">
        <v>172733.35053837116</v>
      </c>
      <c r="F106" s="15">
        <v>388822.75954229012</v>
      </c>
      <c r="G106" s="15">
        <v>208000</v>
      </c>
      <c r="H106" s="15">
        <v>388822.75954229012</v>
      </c>
      <c r="I106" s="15">
        <v>180822.75954229012</v>
      </c>
    </row>
    <row r="107" spans="1:9" ht="12.75">
      <c r="A107" s="13">
        <v>46022</v>
      </c>
      <c r="B107" s="18">
        <v>2.4000000953674316</v>
      </c>
      <c r="C107" s="14">
        <v>2000</v>
      </c>
      <c r="D107" s="15">
        <v>833.33330021964309</v>
      </c>
      <c r="E107" s="15">
        <v>173566.6838385908</v>
      </c>
      <c r="F107" s="15">
        <v>416560.05776522681</v>
      </c>
      <c r="G107" s="15">
        <v>210000</v>
      </c>
      <c r="H107" s="15">
        <v>416560.05776522681</v>
      </c>
      <c r="I107" s="15">
        <v>206560.05776522681</v>
      </c>
    </row>
    <row r="108" spans="1:9" ht="12.75">
      <c r="A108" s="13">
        <v>46052</v>
      </c>
      <c r="B108" s="18">
        <v>2.6019999980926514</v>
      </c>
      <c r="C108" s="14">
        <v>2000</v>
      </c>
      <c r="D108" s="15">
        <v>768.63950863415198</v>
      </c>
      <c r="E108" s="15">
        <v>174335.32334722497</v>
      </c>
      <c r="F108" s="15">
        <v>453620.51101696113</v>
      </c>
      <c r="G108" s="15">
        <v>212000</v>
      </c>
      <c r="H108" s="15">
        <v>453620.51101696113</v>
      </c>
      <c r="I108" s="15">
        <v>241620.51101696113</v>
      </c>
    </row>
    <row r="109" spans="1:9" ht="12.75">
      <c r="A109" s="13">
        <v>46080</v>
      </c>
      <c r="B109" s="18">
        <v>2.5239999294281006</v>
      </c>
      <c r="C109" s="14">
        <v>2000</v>
      </c>
      <c r="D109" s="15">
        <v>792.39304909694238</v>
      </c>
      <c r="E109" s="15">
        <v>175127.71639632192</v>
      </c>
      <c r="F109" s="15">
        <v>442022.34382522095</v>
      </c>
      <c r="G109" s="15">
        <v>214000</v>
      </c>
      <c r="H109" s="15">
        <v>442022.34382522095</v>
      </c>
      <c r="I109" s="15">
        <v>228022.34382522095</v>
      </c>
    </row>
    <row r="110" spans="1:9" ht="12.75">
      <c r="A110" s="13">
        <v>46112</v>
      </c>
      <c r="B110" s="18">
        <v>2.2669999599456787</v>
      </c>
      <c r="C110" s="14">
        <v>2000</v>
      </c>
      <c r="D110" s="15">
        <v>882.22321805772049</v>
      </c>
      <c r="E110" s="15">
        <v>176009.93961437963</v>
      </c>
      <c r="F110" s="15">
        <v>399014.52605583996</v>
      </c>
      <c r="G110" s="15">
        <v>216000</v>
      </c>
      <c r="H110" s="15">
        <v>399014.52605583996</v>
      </c>
      <c r="I110" s="15">
        <v>183014.52605583996</v>
      </c>
    </row>
    <row r="111" spans="1:9" ht="12.75">
      <c r="A111" s="13">
        <v>46142</v>
      </c>
      <c r="B111" s="18">
        <v>2.7899999618530273</v>
      </c>
      <c r="C111" s="14">
        <v>2000</v>
      </c>
      <c r="D111" s="15">
        <v>716.84588793745536</v>
      </c>
      <c r="E111" s="15">
        <v>176726.7855023171</v>
      </c>
      <c r="F111" s="15">
        <v>493067.72480987286</v>
      </c>
      <c r="G111" s="15">
        <v>218000</v>
      </c>
      <c r="H111" s="15">
        <v>493067.72480987286</v>
      </c>
      <c r="I111" s="15">
        <v>275067.72480987286</v>
      </c>
    </row>
    <row r="112" spans="1:9" ht="12.75">
      <c r="A112" s="13">
        <v>46171</v>
      </c>
      <c r="B112" s="18">
        <v>3.059999942779541</v>
      </c>
      <c r="C112" s="14">
        <v>2000</v>
      </c>
      <c r="D112" s="15">
        <v>653.59478346372339</v>
      </c>
      <c r="E112" s="15">
        <v>177380.38028578082</v>
      </c>
      <c r="F112" s="15">
        <v>542783.95352470258</v>
      </c>
      <c r="G112" s="15">
        <v>220000</v>
      </c>
      <c r="H112" s="15">
        <v>542783.95352470258</v>
      </c>
      <c r="I112" s="15">
        <v>322783.95352470258</v>
      </c>
    </row>
    <row r="113" spans="1:9" ht="12.75">
      <c r="A113" s="13">
        <v>46203</v>
      </c>
      <c r="B113" s="18">
        <v>3.4470000267028809</v>
      </c>
      <c r="C113" s="14">
        <v>2000</v>
      </c>
      <c r="D113" s="15">
        <v>580.21467493663954</v>
      </c>
      <c r="E113" s="15">
        <v>177960.59496071746</v>
      </c>
      <c r="F113" s="15">
        <v>613430.1755816536</v>
      </c>
      <c r="G113" s="15">
        <v>222000</v>
      </c>
      <c r="H113" s="15">
        <v>613430.1755816536</v>
      </c>
      <c r="I113" s="15">
        <v>391430.1755816536</v>
      </c>
    </row>
    <row r="114" spans="1:9" ht="12.75">
      <c r="A114" s="13">
        <v>46234</v>
      </c>
      <c r="B114" s="18">
        <v>2.8029999732971191</v>
      </c>
      <c r="C114" s="14">
        <v>2000</v>
      </c>
      <c r="D114" s="15">
        <v>713.52123405389671</v>
      </c>
      <c r="E114" s="15">
        <v>178674.11619477134</v>
      </c>
      <c r="F114" s="15">
        <v>500823.54292283044</v>
      </c>
      <c r="G114" s="15">
        <v>224000</v>
      </c>
      <c r="H114" s="15">
        <v>500823.54292283044</v>
      </c>
      <c r="I114" s="15">
        <v>276823.54292283044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14"/>
  <sheetViews>
    <sheetView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12" width="10.75" style="2" customWidth="1"/>
    <col min="13" max="13" width="16.37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20" t="s">
        <v>17</v>
      </c>
      <c r="K1" s="20" t="s">
        <v>18</v>
      </c>
      <c r="L1" s="20" t="s">
        <v>19</v>
      </c>
      <c r="M1" s="20" t="s">
        <v>20</v>
      </c>
      <c r="N1" s="20" t="s">
        <v>21</v>
      </c>
    </row>
    <row r="2" spans="1:34" ht="14.1" customHeight="1">
      <c r="A2" s="4"/>
      <c r="B2" s="4"/>
      <c r="C2" s="9">
        <v>2000</v>
      </c>
      <c r="D2" s="27" t="s">
        <v>22</v>
      </c>
      <c r="E2" s="9"/>
      <c r="F2" s="9"/>
      <c r="G2" s="9"/>
      <c r="H2" s="4"/>
      <c r="I2" s="4"/>
      <c r="J2" s="3"/>
      <c r="K2" s="3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21"/>
      <c r="K3" s="21"/>
      <c r="L3" s="21"/>
      <c r="M3" s="23"/>
      <c r="N3" s="21"/>
      <c r="O3" s="21"/>
      <c r="P3" s="21"/>
      <c r="Q3" s="21"/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19000</v>
      </c>
      <c r="AB3" s="3">
        <f t="shared" ref="AB3:AB4" si="0">0-AA3</f>
        <v>-19000</v>
      </c>
      <c r="AC3" s="8">
        <v>43098</v>
      </c>
      <c r="AD3" s="2">
        <f>VLOOKUP(AC3,R:S,2,)</f>
        <v>19000</v>
      </c>
      <c r="AE3" s="2">
        <f t="shared" ref="AE3:AE5" si="1">0-AD3</f>
        <v>-19000</v>
      </c>
      <c r="AF3" s="8">
        <v>43098</v>
      </c>
      <c r="AG3" s="3">
        <f>VLOOKUP(AF3,R:S,2,)</f>
        <v>19000</v>
      </c>
      <c r="AH3" s="3">
        <f t="shared" ref="AH3:AH6" si="2">0-AG3</f>
        <v>-19000</v>
      </c>
    </row>
    <row r="4" spans="1:34" ht="14.1" customHeight="1">
      <c r="A4" s="13">
        <v>42886</v>
      </c>
      <c r="B4" s="18">
        <v>0.97</v>
      </c>
      <c r="C4" s="22">
        <v>3000</v>
      </c>
      <c r="D4" s="15">
        <v>3092.7835051546394</v>
      </c>
      <c r="E4" s="15">
        <v>5096.7915211867039</v>
      </c>
      <c r="F4" s="15">
        <v>4943.887775551103</v>
      </c>
      <c r="G4" s="15">
        <v>5000</v>
      </c>
      <c r="H4" s="15">
        <v>4943.887775551103</v>
      </c>
      <c r="I4" s="15">
        <v>-56.112224448896995</v>
      </c>
      <c r="J4" s="21">
        <v>0</v>
      </c>
      <c r="K4" s="21">
        <v>0</v>
      </c>
      <c r="L4" s="21">
        <v>2.8000000000000025E-2</v>
      </c>
      <c r="M4" s="23">
        <v>2.8000000000000025E-2</v>
      </c>
      <c r="N4" s="21">
        <v>0</v>
      </c>
      <c r="O4" s="21"/>
      <c r="P4" s="21"/>
      <c r="Q4" s="21"/>
      <c r="R4" s="8">
        <v>43098</v>
      </c>
      <c r="S4" s="5">
        <v>19000</v>
      </c>
      <c r="T4" s="9">
        <v>19000</v>
      </c>
      <c r="U4" s="9">
        <v>18938.471995952765</v>
      </c>
      <c r="V4" s="9">
        <v>-61.528004047235299</v>
      </c>
      <c r="W4" s="11">
        <v>-3.2383160024860684E-3</v>
      </c>
      <c r="X4" s="11">
        <v>-3.2383160024860684E-3</v>
      </c>
      <c r="Z4" s="8">
        <v>43462</v>
      </c>
      <c r="AA4" s="3">
        <f>VLOOKUP(Z4,R:S,2,)</f>
        <v>28000</v>
      </c>
      <c r="AB4" s="3">
        <f t="shared" si="0"/>
        <v>-28000</v>
      </c>
      <c r="AC4" s="8">
        <v>43462</v>
      </c>
      <c r="AD4" s="2">
        <f>VLOOKUP(AC4,R:S,2,)</f>
        <v>28000</v>
      </c>
      <c r="AE4" s="2">
        <f t="shared" si="1"/>
        <v>-28000</v>
      </c>
      <c r="AF4" s="8">
        <v>43462</v>
      </c>
      <c r="AG4" s="3">
        <f>VLOOKUP(AF4,R:S,2,)</f>
        <v>28000</v>
      </c>
      <c r="AH4" s="3">
        <f t="shared" si="2"/>
        <v>-28000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7010.6671192728281</v>
      </c>
      <c r="F5" s="15">
        <v>7326.1471396401048</v>
      </c>
      <c r="G5" s="15">
        <v>7000</v>
      </c>
      <c r="H5" s="15">
        <v>7326.1471396401048</v>
      </c>
      <c r="I5" s="15">
        <v>326.1471396401048</v>
      </c>
      <c r="J5" s="21">
        <v>7.4999999999999956E-2</v>
      </c>
      <c r="K5" s="21">
        <v>1.2499999999999992E-2</v>
      </c>
      <c r="L5" s="21">
        <v>7.4999999999999956E-2</v>
      </c>
      <c r="M5" s="23">
        <v>3.5833333333333349E-2</v>
      </c>
      <c r="N5" s="21">
        <v>34.883720930232521</v>
      </c>
      <c r="O5" s="21"/>
      <c r="P5" s="21"/>
      <c r="Q5" s="21"/>
      <c r="R5" s="8">
        <v>43462</v>
      </c>
      <c r="S5" s="5">
        <v>28000</v>
      </c>
      <c r="T5" s="9">
        <v>47000</v>
      </c>
      <c r="U5" s="9">
        <v>36529.659700048978</v>
      </c>
      <c r="V5" s="9">
        <v>-10470.340299951022</v>
      </c>
      <c r="W5" s="11">
        <v>-0.22277319787129835</v>
      </c>
      <c r="X5" s="11">
        <v>-0.16663512638670575</v>
      </c>
      <c r="Z5" s="8">
        <v>43462</v>
      </c>
      <c r="AB5" s="16">
        <f>VLOOKUP(Z5,R:U,4,)</f>
        <v>36529.659700048978</v>
      </c>
      <c r="AC5" s="8">
        <v>43830</v>
      </c>
      <c r="AD5" s="2">
        <f>VLOOKUP(AC5,R:S,2,)</f>
        <v>24000</v>
      </c>
      <c r="AE5" s="2">
        <f t="shared" si="1"/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8935.5949344797573</v>
      </c>
      <c r="F6" s="15">
        <v>9284.0831369244679</v>
      </c>
      <c r="G6" s="15">
        <v>9000</v>
      </c>
      <c r="H6" s="15">
        <v>9284.0831369244679</v>
      </c>
      <c r="I6" s="15">
        <v>284.08313692446791</v>
      </c>
      <c r="J6" s="21">
        <v>0</v>
      </c>
      <c r="K6" s="21">
        <v>1.0416666666666659E-2</v>
      </c>
      <c r="L6" s="21">
        <v>6.0000000000000053E-3</v>
      </c>
      <c r="M6" s="23">
        <v>3.0861111111111127E-2</v>
      </c>
      <c r="N6" s="21">
        <v>33.753375337533711</v>
      </c>
      <c r="O6" s="21"/>
      <c r="P6" s="21"/>
      <c r="Q6" s="21"/>
      <c r="R6" s="8">
        <v>43830</v>
      </c>
      <c r="S6" s="5">
        <v>24000</v>
      </c>
      <c r="T6" s="9">
        <v>71000</v>
      </c>
      <c r="U6" s="9">
        <v>86000.611563197701</v>
      </c>
      <c r="V6" s="9">
        <v>15000.611563197701</v>
      </c>
      <c r="W6" s="11">
        <v>0.21127621919996761</v>
      </c>
      <c r="X6" s="11">
        <v>0.1027877742104899</v>
      </c>
      <c r="AB6" s="17">
        <v>-0.16663512638670575</v>
      </c>
      <c r="AC6" s="8">
        <v>43830</v>
      </c>
      <c r="AE6" s="2">
        <f>VLOOKUP(AC5,R:U,4,)</f>
        <v>86000.611563197701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10794.330993959311</v>
      </c>
      <c r="F7" s="15">
        <v>11614.700149500219</v>
      </c>
      <c r="G7" s="15">
        <v>11000</v>
      </c>
      <c r="H7" s="15">
        <v>11614.700149500219</v>
      </c>
      <c r="I7" s="15">
        <v>614.70014950021869</v>
      </c>
      <c r="J7" s="21">
        <v>3.7000000000000144E-2</v>
      </c>
      <c r="K7" s="21">
        <v>1.4847222222222239E-2</v>
      </c>
      <c r="L7" s="21">
        <v>3.7000000000000144E-2</v>
      </c>
      <c r="M7" s="23">
        <v>3.18842592592593E-2</v>
      </c>
      <c r="N7" s="21">
        <v>46.565993901553647</v>
      </c>
      <c r="O7" s="21"/>
      <c r="P7" s="21"/>
      <c r="Q7" s="21"/>
      <c r="R7" s="8">
        <v>44196</v>
      </c>
      <c r="S7" s="5">
        <v>24000</v>
      </c>
      <c r="T7" s="9">
        <v>95000</v>
      </c>
      <c r="U7" s="9">
        <v>133114.30891681518</v>
      </c>
      <c r="V7" s="9">
        <v>38114.308916815178</v>
      </c>
      <c r="W7" s="11">
        <v>0.40120325175594923</v>
      </c>
      <c r="X7" s="11">
        <v>0.14328648747721973</v>
      </c>
      <c r="AE7" s="24">
        <v>0.1027877742104899</v>
      </c>
      <c r="AF7" s="8">
        <v>44196</v>
      </c>
      <c r="AH7" s="16">
        <f>VLOOKUP(AF6,R:U,4,)</f>
        <v>133114.30891681518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12646.182845811163</v>
      </c>
      <c r="F8" s="15">
        <v>13657.877473476057</v>
      </c>
      <c r="G8" s="15">
        <v>13000</v>
      </c>
      <c r="H8" s="15">
        <v>13657.877473476057</v>
      </c>
      <c r="I8" s="15">
        <v>657.87747347605728</v>
      </c>
      <c r="J8" s="21">
        <v>4.0000000000000036E-3</v>
      </c>
      <c r="K8" s="21">
        <v>1.3039351851851866E-2</v>
      </c>
      <c r="L8" s="21">
        <v>4.0000000000000036E-3</v>
      </c>
      <c r="M8" s="23">
        <v>2.7236882716049418E-2</v>
      </c>
      <c r="N8" s="21">
        <v>47.873877446953159</v>
      </c>
      <c r="O8" s="21"/>
      <c r="P8" s="21"/>
      <c r="Q8" s="21"/>
      <c r="R8" s="8">
        <v>44561</v>
      </c>
      <c r="S8" s="5">
        <v>24000</v>
      </c>
      <c r="T8" s="9">
        <v>119000</v>
      </c>
      <c r="U8" s="9">
        <v>172036.69280387496</v>
      </c>
      <c r="V8" s="9">
        <v>53036.692803874961</v>
      </c>
      <c r="W8" s="11">
        <v>0.44568649415020978</v>
      </c>
      <c r="X8" s="11">
        <v>0.12790297286130836</v>
      </c>
      <c r="AH8" s="24">
        <v>0.14328648747721973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14489.500818161394</v>
      </c>
      <c r="F9" s="15">
        <v>15721.108387705111</v>
      </c>
      <c r="G9" s="15">
        <v>15000</v>
      </c>
      <c r="H9" s="15">
        <v>15721.108387705111</v>
      </c>
      <c r="I9" s="15">
        <v>721.10838770511145</v>
      </c>
      <c r="J9" s="21">
        <v>4.9999999999998934E-3</v>
      </c>
      <c r="K9" s="21">
        <v>1.1699459876543203E-2</v>
      </c>
      <c r="L9" s="21">
        <v>4.9999999999998934E-3</v>
      </c>
      <c r="M9" s="23">
        <v>2.353073559670783E-2</v>
      </c>
      <c r="N9" s="21">
        <v>49.719907091132619</v>
      </c>
      <c r="O9" s="21"/>
      <c r="P9" s="21"/>
      <c r="Q9" s="21"/>
      <c r="R9" s="8">
        <v>44925</v>
      </c>
      <c r="S9" s="5">
        <v>25000</v>
      </c>
      <c r="T9" s="9">
        <v>144000</v>
      </c>
      <c r="U9" s="9">
        <v>141309.20699342049</v>
      </c>
      <c r="V9" s="9">
        <v>-2690.7930065795081</v>
      </c>
      <c r="W9" s="11">
        <v>-1.8686062545691027E-2</v>
      </c>
      <c r="X9" s="11">
        <v>-5.4846057597317532E-3</v>
      </c>
      <c r="Z9" s="8">
        <v>43098</v>
      </c>
      <c r="AA9" s="2">
        <v>19000</v>
      </c>
      <c r="AB9" s="2">
        <f>-AA9</f>
        <v>-19000</v>
      </c>
      <c r="AC9" s="8">
        <v>43098</v>
      </c>
      <c r="AD9" s="2">
        <v>19000</v>
      </c>
      <c r="AE9" s="2">
        <f t="shared" ref="AE9:AE14" si="3">-AD9</f>
        <v>-19000</v>
      </c>
      <c r="AF9" s="8">
        <v>43098</v>
      </c>
      <c r="AG9" s="2">
        <v>19000</v>
      </c>
      <c r="AH9" s="2">
        <f t="shared" ref="AH9:AH15" si="4">-AG9</f>
        <v>-19000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16365.67342604132</v>
      </c>
      <c r="F10" s="15">
        <v>17445.807872160047</v>
      </c>
      <c r="G10" s="15">
        <v>17000</v>
      </c>
      <c r="H10" s="15">
        <v>17445.807872160047</v>
      </c>
      <c r="I10" s="15">
        <v>445.80787216004683</v>
      </c>
      <c r="J10" s="21">
        <v>0</v>
      </c>
      <c r="K10" s="21">
        <v>9.7495498971193351E-3</v>
      </c>
      <c r="L10" s="21">
        <v>1.8999999999999906E-2</v>
      </c>
      <c r="M10" s="23">
        <v>2.2775612997256511E-2</v>
      </c>
      <c r="N10" s="21">
        <v>42.80697032520591</v>
      </c>
      <c r="O10" s="21"/>
      <c r="P10" s="21"/>
      <c r="Q10" s="21"/>
      <c r="R10" s="8">
        <v>45289</v>
      </c>
      <c r="S10" s="5">
        <v>24000</v>
      </c>
      <c r="T10" s="9">
        <v>168000</v>
      </c>
      <c r="U10" s="9">
        <v>177494.88460365258</v>
      </c>
      <c r="V10" s="9">
        <v>9494.8846036525792</v>
      </c>
      <c r="W10" s="11">
        <v>5.6517170259836783E-2</v>
      </c>
      <c r="X10" s="11">
        <v>1.3933863862292117E-2</v>
      </c>
      <c r="Z10" s="8">
        <v>43462</v>
      </c>
      <c r="AA10" s="2">
        <v>28000</v>
      </c>
      <c r="AB10" s="2">
        <f>-AA10</f>
        <v>-28000</v>
      </c>
      <c r="AC10" s="8">
        <v>43462</v>
      </c>
      <c r="AD10" s="2">
        <v>28000</v>
      </c>
      <c r="AE10" s="2">
        <f t="shared" si="3"/>
        <v>-28000</v>
      </c>
      <c r="AF10" s="8">
        <v>43462</v>
      </c>
      <c r="AG10" s="2">
        <v>28000</v>
      </c>
      <c r="AH10" s="2">
        <f t="shared" si="4"/>
        <v>-28000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18298.040575799772</v>
      </c>
      <c r="F11" s="15">
        <v>18938.471995952765</v>
      </c>
      <c r="G11" s="15">
        <v>19000</v>
      </c>
      <c r="H11" s="15">
        <v>18938.471995952765</v>
      </c>
      <c r="I11" s="15">
        <v>-61.528004047235299</v>
      </c>
      <c r="J11" s="21">
        <v>0</v>
      </c>
      <c r="K11" s="21">
        <v>8.1246249142661129E-3</v>
      </c>
      <c r="L11" s="21">
        <v>3.1000000000000139E-2</v>
      </c>
      <c r="M11" s="23">
        <v>2.414634416438045E-2</v>
      </c>
      <c r="N11" s="21">
        <v>33.64743274988674</v>
      </c>
      <c r="O11" s="21"/>
      <c r="P11" s="21"/>
      <c r="Q11" s="21"/>
      <c r="R11" s="8">
        <v>45657</v>
      </c>
      <c r="S11" s="5">
        <v>25000</v>
      </c>
      <c r="T11" s="9">
        <v>193000</v>
      </c>
      <c r="U11" s="9">
        <v>244930.97389211343</v>
      </c>
      <c r="V11" s="9">
        <v>51930.973892113427</v>
      </c>
      <c r="W11" s="11">
        <v>0.26907240358607992</v>
      </c>
      <c r="X11" s="11">
        <v>5.3546422145481998E-2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3"/>
        <v>-24000</v>
      </c>
      <c r="AF11" s="8">
        <v>43830</v>
      </c>
      <c r="AG11" s="2">
        <v>24000</v>
      </c>
      <c r="AH11" s="2">
        <f t="shared" si="4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20304.058629962259</v>
      </c>
      <c r="F12" s="15">
        <v>20243.146454072372</v>
      </c>
      <c r="G12" s="15">
        <v>21000</v>
      </c>
      <c r="H12" s="15">
        <v>20243.146454072372</v>
      </c>
      <c r="I12" s="15">
        <v>-756.85354592762815</v>
      </c>
      <c r="J12" s="21">
        <v>0</v>
      </c>
      <c r="K12" s="21">
        <v>6.7705207618884268E-3</v>
      </c>
      <c r="L12" s="21">
        <v>3.7999999999999923E-2</v>
      </c>
      <c r="M12" s="23">
        <v>2.6455286803650363E-2</v>
      </c>
      <c r="N12" s="21">
        <v>25.592316621395366</v>
      </c>
      <c r="O12" s="21"/>
      <c r="P12" s="21"/>
      <c r="Q12" s="21"/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3"/>
        <v>-24000</v>
      </c>
      <c r="AF12" s="8">
        <v>44196</v>
      </c>
      <c r="AG12" s="2">
        <v>24000</v>
      </c>
      <c r="AH12" s="2">
        <f t="shared" si="4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22300.066613994197</v>
      </c>
      <c r="F13" s="15">
        <v>22344.666747222185</v>
      </c>
      <c r="G13" s="15">
        <v>23000</v>
      </c>
      <c r="H13" s="15">
        <v>22344.666747222185</v>
      </c>
      <c r="I13" s="15">
        <v>-655.33325277781478</v>
      </c>
      <c r="J13" s="21">
        <v>5.0000000000000044E-3</v>
      </c>
      <c r="K13" s="21">
        <v>6.475433968240356E-3</v>
      </c>
      <c r="L13" s="21">
        <v>5.0000000000000044E-3</v>
      </c>
      <c r="M13" s="23">
        <v>2.2879405669708638E-2</v>
      </c>
      <c r="N13" s="21">
        <v>28.302457073059184</v>
      </c>
      <c r="O13" s="21"/>
      <c r="P13" s="21"/>
      <c r="Q13" s="21"/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3"/>
        <v>-24000</v>
      </c>
      <c r="AF13" s="8">
        <v>44561</v>
      </c>
      <c r="AG13" s="2">
        <v>24000</v>
      </c>
      <c r="AH13" s="2">
        <f t="shared" si="4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24136.613905086942</v>
      </c>
      <c r="F14" s="15">
        <v>26284.772542639679</v>
      </c>
      <c r="G14" s="15">
        <v>25000</v>
      </c>
      <c r="H14" s="15">
        <v>26284.772542639679</v>
      </c>
      <c r="I14" s="15">
        <v>1284.7725426396792</v>
      </c>
      <c r="J14" s="21">
        <v>8.6999999999999966E-2</v>
      </c>
      <c r="K14" s="21">
        <v>1.9896194973533624E-2</v>
      </c>
      <c r="L14" s="21">
        <v>8.6999999999999966E-2</v>
      </c>
      <c r="M14" s="23">
        <v>3.3566171391423864E-2</v>
      </c>
      <c r="N14" s="21">
        <v>59.274543830212018</v>
      </c>
      <c r="O14" s="21"/>
      <c r="P14" s="21"/>
      <c r="Q14" s="21"/>
      <c r="Z14" s="8">
        <v>44561</v>
      </c>
      <c r="AB14" s="2">
        <v>172036.69280387496</v>
      </c>
      <c r="AC14" s="8">
        <v>44925</v>
      </c>
      <c r="AD14" s="2">
        <v>25000</v>
      </c>
      <c r="AE14" s="2">
        <f t="shared" si="3"/>
        <v>-25000</v>
      </c>
      <c r="AF14" s="8">
        <v>44925</v>
      </c>
      <c r="AG14" s="2">
        <v>25000</v>
      </c>
      <c r="AH14" s="2">
        <f t="shared" si="4"/>
        <v>-25000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26016.313153207244</v>
      </c>
      <c r="F15" s="15">
        <v>27681.357195012508</v>
      </c>
      <c r="G15" s="15">
        <v>27000</v>
      </c>
      <c r="H15" s="15">
        <v>27681.357195012508</v>
      </c>
      <c r="I15" s="15">
        <v>681.35719501250787</v>
      </c>
      <c r="J15" s="21">
        <v>0</v>
      </c>
      <c r="K15" s="21">
        <v>1.6580162477944686E-2</v>
      </c>
      <c r="L15" s="21">
        <v>2.4999999999999911E-2</v>
      </c>
      <c r="M15" s="23">
        <v>3.2138476159519876E-2</v>
      </c>
      <c r="N15" s="21">
        <v>51.58975925195945</v>
      </c>
      <c r="O15" s="21"/>
      <c r="P15" s="21"/>
      <c r="Q15" s="21"/>
      <c r="AB15" s="24">
        <v>0.12790297286130836</v>
      </c>
      <c r="AC15" s="8">
        <v>44925</v>
      </c>
      <c r="AE15" s="2">
        <v>141309.20699342049</v>
      </c>
      <c r="AF15" s="8">
        <v>45289</v>
      </c>
      <c r="AG15" s="2">
        <v>24000</v>
      </c>
      <c r="AH15" s="2">
        <f t="shared" si="4"/>
        <v>-24000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28010.331099368759</v>
      </c>
      <c r="F16" s="15">
        <v>28094.362092666863</v>
      </c>
      <c r="G16" s="15">
        <v>29000</v>
      </c>
      <c r="H16" s="15">
        <v>28094.362092666863</v>
      </c>
      <c r="I16" s="15">
        <v>-905.63790733313726</v>
      </c>
      <c r="J16" s="21">
        <v>0</v>
      </c>
      <c r="K16" s="21">
        <v>1.3816802064953906E-2</v>
      </c>
      <c r="L16" s="21">
        <v>6.1000000000000165E-2</v>
      </c>
      <c r="M16" s="23">
        <v>3.6948730132933254E-2</v>
      </c>
      <c r="N16" s="21">
        <v>37.394524832772731</v>
      </c>
      <c r="O16" s="21"/>
      <c r="P16" s="21"/>
      <c r="Q16" s="21"/>
      <c r="AE16" s="24">
        <v>-5.4846057597317532E-3</v>
      </c>
      <c r="AF16" s="8">
        <v>45289</v>
      </c>
      <c r="AH16" s="2">
        <v>177494.88460365258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30177.178336638532</v>
      </c>
      <c r="F17" s="15">
        <v>27853.535604717366</v>
      </c>
      <c r="G17" s="15">
        <v>31000</v>
      </c>
      <c r="H17" s="15">
        <v>27853.535604717366</v>
      </c>
      <c r="I17" s="15">
        <v>-3146.4643952826336</v>
      </c>
      <c r="J17" s="21">
        <v>0</v>
      </c>
      <c r="K17" s="21">
        <v>1.1514001720794921E-2</v>
      </c>
      <c r="L17" s="21">
        <v>7.9999999999999849E-2</v>
      </c>
      <c r="M17" s="23">
        <v>4.4123941777444352E-2</v>
      </c>
      <c r="N17" s="21">
        <v>26.094680703891115</v>
      </c>
      <c r="O17" s="21"/>
      <c r="P17" s="21"/>
      <c r="Q17" s="21"/>
      <c r="AH17" s="24">
        <v>1.3933863862292117E-2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32358.203418426972</v>
      </c>
      <c r="F18" s="15">
        <v>29672.472534697536</v>
      </c>
      <c r="G18" s="15">
        <v>33000</v>
      </c>
      <c r="H18" s="15">
        <v>29672.472534697536</v>
      </c>
      <c r="I18" s="15">
        <v>-3327.5274653024644</v>
      </c>
      <c r="J18" s="21">
        <v>0</v>
      </c>
      <c r="K18" s="21">
        <v>9.595001433995767E-3</v>
      </c>
      <c r="L18" s="21">
        <v>6.0000000000000053E-3</v>
      </c>
      <c r="M18" s="23">
        <v>3.7769951481203629E-2</v>
      </c>
      <c r="N18" s="21">
        <v>25.403796027566408</v>
      </c>
      <c r="O18" s="21"/>
      <c r="P18" s="21"/>
      <c r="Q18" s="21"/>
      <c r="Z18" s="8">
        <v>43098</v>
      </c>
      <c r="AA18" s="2">
        <v>19000</v>
      </c>
      <c r="AB18" s="2">
        <f t="shared" ref="AB18:AB25" si="5">-AA18</f>
        <v>-19000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35826.41151091252</v>
      </c>
      <c r="F19" s="15">
        <v>30989.845956939331</v>
      </c>
      <c r="G19" s="15">
        <v>36000</v>
      </c>
      <c r="H19" s="15">
        <v>30989.845956939331</v>
      </c>
      <c r="I19" s="15">
        <v>-5010.1540430606692</v>
      </c>
      <c r="J19" s="21">
        <v>0</v>
      </c>
      <c r="K19" s="21">
        <v>7.9958345283298055E-3</v>
      </c>
      <c r="L19" s="21">
        <v>5.2000000000000046E-2</v>
      </c>
      <c r="M19" s="23">
        <v>4.0141626234336363E-2</v>
      </c>
      <c r="N19" s="21">
        <v>19.919059785102391</v>
      </c>
      <c r="O19" s="21"/>
      <c r="P19" s="21"/>
      <c r="Q19" s="21"/>
      <c r="Z19" s="8">
        <v>43462</v>
      </c>
      <c r="AA19" s="2">
        <v>28000</v>
      </c>
      <c r="AB19" s="2">
        <f t="shared" si="5"/>
        <v>-28000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39419.225882170002</v>
      </c>
      <c r="F20" s="15">
        <v>32915.053611611947</v>
      </c>
      <c r="G20" s="15">
        <v>39000</v>
      </c>
      <c r="H20" s="15">
        <v>32915.053611611947</v>
      </c>
      <c r="I20" s="15">
        <v>-6084.9463883880526</v>
      </c>
      <c r="J20" s="21">
        <v>0</v>
      </c>
      <c r="K20" s="21">
        <v>6.6631954402748376E-3</v>
      </c>
      <c r="L20" s="21">
        <v>3.0000000000000027E-2</v>
      </c>
      <c r="M20" s="23">
        <v>3.8451355195280305E-2</v>
      </c>
      <c r="N20" s="21">
        <v>17.328896228585222</v>
      </c>
      <c r="O20" s="21"/>
      <c r="P20" s="21"/>
      <c r="Q20" s="21"/>
      <c r="Z20" s="8">
        <v>43830</v>
      </c>
      <c r="AA20" s="2">
        <v>24000</v>
      </c>
      <c r="AB20" s="2">
        <f t="shared" si="5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43562.872291009779</v>
      </c>
      <c r="F21" s="15">
        <v>31539.519538691078</v>
      </c>
      <c r="G21" s="15">
        <v>42000</v>
      </c>
      <c r="H21" s="15">
        <v>31539.519538691078</v>
      </c>
      <c r="I21" s="15">
        <v>-10460.480461308922</v>
      </c>
      <c r="J21" s="21">
        <v>0</v>
      </c>
      <c r="K21" s="21">
        <v>5.5526628668956983E-3</v>
      </c>
      <c r="L21" s="21">
        <v>0.11099999999999999</v>
      </c>
      <c r="M21" s="23">
        <v>5.0542795996066925E-2</v>
      </c>
      <c r="N21" s="21">
        <v>10.986061925279694</v>
      </c>
      <c r="O21" s="21"/>
      <c r="P21" s="21"/>
      <c r="Q21" s="21"/>
      <c r="Z21" s="8">
        <v>44196</v>
      </c>
      <c r="AA21" s="2">
        <v>24000</v>
      </c>
      <c r="AB21" s="2">
        <f t="shared" si="5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46184.104270039919</v>
      </c>
      <c r="F22" s="15">
        <v>35238.471558040459</v>
      </c>
      <c r="G22" s="15">
        <v>44000</v>
      </c>
      <c r="H22" s="15">
        <v>35238.471558040459</v>
      </c>
      <c r="I22" s="15">
        <v>-8761.5284419595409</v>
      </c>
      <c r="J22" s="21">
        <v>3.9000000000000035E-2</v>
      </c>
      <c r="K22" s="21">
        <v>1.112721905574642E-2</v>
      </c>
      <c r="L22" s="21">
        <v>3.9000000000000035E-2</v>
      </c>
      <c r="M22" s="23">
        <v>4.8618996663389112E-2</v>
      </c>
      <c r="N22" s="21">
        <v>22.8865666084907</v>
      </c>
      <c r="O22" s="21"/>
      <c r="P22" s="21"/>
      <c r="Q22" s="21"/>
      <c r="Z22" s="8">
        <v>44561</v>
      </c>
      <c r="AA22" s="2">
        <v>24000</v>
      </c>
      <c r="AB22" s="2">
        <f t="shared" si="5"/>
        <v>-24000</v>
      </c>
    </row>
    <row r="23" spans="1:34" ht="14.1" customHeight="1">
      <c r="A23" s="13">
        <v>43462</v>
      </c>
      <c r="B23" s="18">
        <v>0.72599999999999998</v>
      </c>
      <c r="C23" s="22">
        <v>3000</v>
      </c>
      <c r="D23" s="15">
        <v>4132.2314049586776</v>
      </c>
      <c r="E23" s="15">
        <v>50316.335674998598</v>
      </c>
      <c r="F23" s="15">
        <v>36529.659700048978</v>
      </c>
      <c r="G23" s="15">
        <v>47000</v>
      </c>
      <c r="H23" s="15">
        <v>36529.659700048978</v>
      </c>
      <c r="I23" s="15">
        <v>-10470.340299951022</v>
      </c>
      <c r="J23" s="21">
        <v>0</v>
      </c>
      <c r="K23" s="21">
        <v>9.2726825464553506E-3</v>
      </c>
      <c r="L23" s="21">
        <v>3.7000000000000033E-2</v>
      </c>
      <c r="M23" s="23">
        <v>4.6682497219490936E-2</v>
      </c>
      <c r="N23" s="21">
        <v>19.863295879089794</v>
      </c>
      <c r="O23" s="21"/>
      <c r="P23" s="21"/>
      <c r="Q23" s="21"/>
      <c r="R23" s="10"/>
      <c r="Z23" s="8">
        <v>44925</v>
      </c>
      <c r="AA23" s="2">
        <v>25000</v>
      </c>
      <c r="AB23" s="2">
        <f t="shared" si="5"/>
        <v>-25000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53015.391005632875</v>
      </c>
      <c r="F24" s="15">
        <v>39284.404735173957</v>
      </c>
      <c r="G24" s="15">
        <v>49000</v>
      </c>
      <c r="H24" s="15">
        <v>39284.404735173957</v>
      </c>
      <c r="I24" s="15">
        <v>-9715.5952648260427</v>
      </c>
      <c r="J24" s="21">
        <v>1.5000000000000013E-2</v>
      </c>
      <c r="K24" s="21">
        <v>1.0227235455379461E-2</v>
      </c>
      <c r="L24" s="21">
        <v>1.5000000000000013E-2</v>
      </c>
      <c r="M24" s="23">
        <v>4.1402081016242452E-2</v>
      </c>
      <c r="N24" s="21">
        <v>24.70222559916062</v>
      </c>
      <c r="O24" s="21"/>
      <c r="P24" s="21"/>
      <c r="Q24" s="21"/>
      <c r="Z24" s="8">
        <v>45289</v>
      </c>
      <c r="AA24" s="2">
        <v>24000</v>
      </c>
      <c r="AB24" s="2">
        <f t="shared" si="5"/>
        <v>-24000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55172.888308761248</v>
      </c>
      <c r="F25" s="15">
        <v>51145.26746222168</v>
      </c>
      <c r="G25" s="15">
        <v>51000</v>
      </c>
      <c r="H25" s="15">
        <v>51145.26746222168</v>
      </c>
      <c r="I25" s="15">
        <v>145.26746222168003</v>
      </c>
      <c r="J25" s="21">
        <v>0.18600000000000005</v>
      </c>
      <c r="K25" s="21">
        <v>3.9522696212816226E-2</v>
      </c>
      <c r="L25" s="21">
        <v>0.18600000000000005</v>
      </c>
      <c r="M25" s="23">
        <v>6.5501734180202054E-2</v>
      </c>
      <c r="N25" s="21">
        <v>60.33839669662057</v>
      </c>
      <c r="O25" s="21"/>
      <c r="P25" s="21"/>
      <c r="Q25" s="21"/>
      <c r="Z25" s="8">
        <v>45657</v>
      </c>
      <c r="AA25" s="2">
        <v>25000</v>
      </c>
      <c r="AB25" s="2">
        <f t="shared" si="5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57124.107820956371</v>
      </c>
      <c r="F26" s="15">
        <v>58552.210516480278</v>
      </c>
      <c r="G26" s="15">
        <v>53000</v>
      </c>
      <c r="H26" s="15">
        <v>58552.210516480278</v>
      </c>
      <c r="I26" s="15">
        <v>5552.2105164802779</v>
      </c>
      <c r="J26" s="21">
        <v>9.7999999999999865E-2</v>
      </c>
      <c r="K26" s="21">
        <v>4.9268913510680169E-2</v>
      </c>
      <c r="L26" s="21">
        <v>9.7999999999999865E-2</v>
      </c>
      <c r="M26" s="23">
        <v>7.0918111816835022E-2</v>
      </c>
      <c r="N26" s="21">
        <v>69.472962898293602</v>
      </c>
      <c r="O26" s="21"/>
      <c r="P26" s="21"/>
      <c r="Q26" s="21"/>
      <c r="Z26" s="8">
        <v>45657</v>
      </c>
      <c r="AB26" s="2">
        <v>244930.97389211343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59162.84380464648</v>
      </c>
      <c r="F27" s="15">
        <v>58038.749772358198</v>
      </c>
      <c r="G27" s="15">
        <v>55000</v>
      </c>
      <c r="H27" s="15">
        <v>58038.749772358198</v>
      </c>
      <c r="I27" s="15">
        <v>3038.7497723581982</v>
      </c>
      <c r="J27" s="21">
        <v>0</v>
      </c>
      <c r="K27" s="21">
        <v>4.1057427925566804E-2</v>
      </c>
      <c r="L27" s="21">
        <v>4.3999999999999928E-2</v>
      </c>
      <c r="M27" s="23">
        <v>6.6431759847362506E-2</v>
      </c>
      <c r="N27" s="21">
        <v>61.80391430228967</v>
      </c>
      <c r="O27" s="21"/>
      <c r="P27" s="21"/>
      <c r="Q27" s="21"/>
      <c r="AB27" s="24">
        <v>5.3546422145481998E-2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61341.493042119248</v>
      </c>
      <c r="F28" s="15">
        <v>56311.490612665475</v>
      </c>
      <c r="G28" s="15">
        <v>57000</v>
      </c>
      <c r="H28" s="15">
        <v>56311.490612665475</v>
      </c>
      <c r="I28" s="15">
        <v>-688.50938733452494</v>
      </c>
      <c r="J28" s="21">
        <v>0</v>
      </c>
      <c r="K28" s="21">
        <v>3.4214523271305669E-2</v>
      </c>
      <c r="L28" s="21">
        <v>6.2999999999999945E-2</v>
      </c>
      <c r="M28" s="23">
        <v>6.5859799872802077E-2</v>
      </c>
      <c r="N28" s="21">
        <v>51.950542420999881</v>
      </c>
      <c r="O28" s="21"/>
      <c r="P28" s="21"/>
      <c r="Q28" s="21"/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63480.530475274325</v>
      </c>
      <c r="F29" s="15">
        <v>59354.2959943815</v>
      </c>
      <c r="G29" s="15">
        <v>59000</v>
      </c>
      <c r="H29" s="15">
        <v>59354.2959943815</v>
      </c>
      <c r="I29" s="15">
        <v>354.29599438150035</v>
      </c>
      <c r="J29" s="21">
        <v>1.7000000000000015E-2</v>
      </c>
      <c r="K29" s="21">
        <v>3.1345436059421396E-2</v>
      </c>
      <c r="L29" s="21">
        <v>1.7000000000000015E-2</v>
      </c>
      <c r="M29" s="23">
        <v>5.7716499894001738E-2</v>
      </c>
      <c r="N29" s="21">
        <v>54.309315563120293</v>
      </c>
      <c r="O29" s="21"/>
      <c r="P29" s="21"/>
      <c r="Q29" s="21"/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65502.775166882013</v>
      </c>
      <c r="F30" s="15">
        <v>64782.244640046309</v>
      </c>
      <c r="G30" s="15">
        <v>61000</v>
      </c>
      <c r="H30" s="15">
        <v>64782.244640046309</v>
      </c>
      <c r="I30" s="15">
        <v>3782.2446400463086</v>
      </c>
      <c r="J30" s="21">
        <v>5.3999999999999937E-2</v>
      </c>
      <c r="K30" s="21">
        <v>3.5121196716184487E-2</v>
      </c>
      <c r="L30" s="21">
        <v>5.3999999999999937E-2</v>
      </c>
      <c r="M30" s="23">
        <v>5.7097083245001436E-2</v>
      </c>
      <c r="N30" s="21">
        <v>61.511367516762199</v>
      </c>
      <c r="O30" s="21"/>
      <c r="P30" s="21"/>
      <c r="Q30" s="21"/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67450.194835820672</v>
      </c>
      <c r="F31" s="15">
        <v>69271.350096387818</v>
      </c>
      <c r="G31" s="15">
        <v>63000</v>
      </c>
      <c r="H31" s="15">
        <v>69271.350096387818</v>
      </c>
      <c r="I31" s="15">
        <v>6271.3500963878178</v>
      </c>
      <c r="J31" s="21">
        <v>3.7999999999999923E-2</v>
      </c>
      <c r="K31" s="21">
        <v>3.5600997263487061E-2</v>
      </c>
      <c r="L31" s="21">
        <v>3.7999999999999923E-2</v>
      </c>
      <c r="M31" s="23">
        <v>5.391423603750118E-2</v>
      </c>
      <c r="N31" s="21">
        <v>66.03264718195031</v>
      </c>
      <c r="O31" s="21"/>
      <c r="P31" s="21"/>
      <c r="Q31" s="21"/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69296.916904149388</v>
      </c>
      <c r="F32" s="15">
        <v>75048.561007193784</v>
      </c>
      <c r="G32" s="15">
        <v>65000</v>
      </c>
      <c r="H32" s="15">
        <v>75048.561007193784</v>
      </c>
      <c r="I32" s="15">
        <v>10048.561007193784</v>
      </c>
      <c r="J32" s="21">
        <v>5.600000000000005E-2</v>
      </c>
      <c r="K32" s="21">
        <v>3.9000831052905895E-2</v>
      </c>
      <c r="L32" s="21">
        <v>5.600000000000005E-2</v>
      </c>
      <c r="M32" s="23">
        <v>5.4261863364584328E-2</v>
      </c>
      <c r="N32" s="21">
        <v>71.875215178034196</v>
      </c>
      <c r="O32" s="21"/>
      <c r="P32" s="21"/>
      <c r="Q32" s="21"/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71166.075782654065</v>
      </c>
      <c r="F33" s="15">
        <v>76147.701087439855</v>
      </c>
      <c r="G33" s="15">
        <v>67000</v>
      </c>
      <c r="H33" s="15">
        <v>76147.701087439855</v>
      </c>
      <c r="I33" s="15">
        <v>9147.7010874398547</v>
      </c>
      <c r="J33" s="21">
        <v>0</v>
      </c>
      <c r="K33" s="21">
        <v>3.2500692544088244E-2</v>
      </c>
      <c r="L33" s="21">
        <v>1.2999999999999901E-2</v>
      </c>
      <c r="M33" s="23">
        <v>4.7384886137153588E-2</v>
      </c>
      <c r="N33" s="21">
        <v>68.588731964061992</v>
      </c>
      <c r="O33" s="21"/>
      <c r="P33" s="21"/>
      <c r="Q33" s="21"/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73044.010054954531</v>
      </c>
      <c r="F34" s="15">
        <v>77791.870708526578</v>
      </c>
      <c r="G34" s="15">
        <v>69000</v>
      </c>
      <c r="H34" s="15">
        <v>77791.870708526578</v>
      </c>
      <c r="I34" s="15">
        <v>8791.8707085265778</v>
      </c>
      <c r="J34" s="21">
        <v>0</v>
      </c>
      <c r="K34" s="21">
        <v>2.708391045340687E-2</v>
      </c>
      <c r="L34" s="21">
        <v>5.0000000000001155E-3</v>
      </c>
      <c r="M34" s="23">
        <v>4.0320738447628006E-2</v>
      </c>
      <c r="N34" s="21">
        <v>67.171166739879396</v>
      </c>
      <c r="O34" s="21"/>
      <c r="P34" s="21"/>
      <c r="Q34" s="21"/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74783.140489737139</v>
      </c>
      <c r="F35" s="15">
        <v>86000.611563197701</v>
      </c>
      <c r="G35" s="15">
        <v>71000</v>
      </c>
      <c r="H35" s="15">
        <v>86000.611563197701</v>
      </c>
      <c r="I35" s="15">
        <v>15000.611563197701</v>
      </c>
      <c r="J35" s="21">
        <v>8.4999999999999964E-2</v>
      </c>
      <c r="K35" s="21">
        <v>3.6736592044505717E-2</v>
      </c>
      <c r="L35" s="21">
        <v>8.4999999999999964E-2</v>
      </c>
      <c r="M35" s="23">
        <v>4.7767282039689996E-2</v>
      </c>
      <c r="N35" s="21">
        <v>76.907436378693603</v>
      </c>
      <c r="O35" s="21"/>
      <c r="P35" s="21"/>
      <c r="Q35" s="21"/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76326.350366280356</v>
      </c>
      <c r="F36" s="15">
        <v>98918.950074699344</v>
      </c>
      <c r="G36" s="15">
        <v>73000</v>
      </c>
      <c r="H36" s="15">
        <v>98918.950074699344</v>
      </c>
      <c r="I36" s="15">
        <v>25918.950074699344</v>
      </c>
      <c r="J36" s="21">
        <v>0.14600000000000013</v>
      </c>
      <c r="K36" s="21">
        <v>5.4947160037088126E-2</v>
      </c>
      <c r="L36" s="21">
        <v>0.14600000000000013</v>
      </c>
      <c r="M36" s="23">
        <v>6.413940169974168E-2</v>
      </c>
      <c r="N36" s="21">
        <v>85.668338931994469</v>
      </c>
      <c r="O36" s="21"/>
      <c r="P36" s="21"/>
      <c r="Q36" s="21"/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77737.782970373504</v>
      </c>
      <c r="F37" s="15">
        <v>110154.43846901925</v>
      </c>
      <c r="G37" s="15">
        <v>75000</v>
      </c>
      <c r="H37" s="15">
        <v>110154.43846901925</v>
      </c>
      <c r="I37" s="15">
        <v>35154.438469019253</v>
      </c>
      <c r="J37" s="21">
        <v>0.121</v>
      </c>
      <c r="K37" s="21">
        <v>6.5955966697573434E-2</v>
      </c>
      <c r="L37" s="21">
        <v>0.121</v>
      </c>
      <c r="M37" s="23">
        <v>7.3616168083118064E-2</v>
      </c>
      <c r="N37" s="21">
        <v>89.594403532528744</v>
      </c>
      <c r="O37" s="21"/>
      <c r="P37" s="21"/>
      <c r="Q37" s="21"/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79389.310633461864</v>
      </c>
      <c r="F38" s="15">
        <v>96140.45517712232</v>
      </c>
      <c r="G38" s="15">
        <v>77000</v>
      </c>
      <c r="H38" s="15">
        <v>96140.45517712232</v>
      </c>
      <c r="I38" s="15">
        <v>19140.45517712232</v>
      </c>
      <c r="J38" s="21">
        <v>0</v>
      </c>
      <c r="K38" s="21">
        <v>5.4963305581311191E-2</v>
      </c>
      <c r="L38" s="21">
        <v>0.20599999999999996</v>
      </c>
      <c r="M38" s="23">
        <v>9.5680140069265049E-2</v>
      </c>
      <c r="N38" s="21">
        <v>57.444842306378312</v>
      </c>
      <c r="O38" s="21"/>
      <c r="P38" s="21"/>
      <c r="Q38" s="21"/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80903.315175475494</v>
      </c>
      <c r="F39" s="15">
        <v>106873.27934680313</v>
      </c>
      <c r="G39" s="15">
        <v>79000</v>
      </c>
      <c r="H39" s="15">
        <v>106873.27934680313</v>
      </c>
      <c r="I39" s="15">
        <v>27873.27934680313</v>
      </c>
      <c r="J39" s="21">
        <v>0.10999999999999988</v>
      </c>
      <c r="K39" s="21">
        <v>6.413608798442598E-2</v>
      </c>
      <c r="L39" s="21">
        <v>0.10999999999999988</v>
      </c>
      <c r="M39" s="23">
        <v>9.8066783391054194E-2</v>
      </c>
      <c r="N39" s="21">
        <v>65.400419761577069</v>
      </c>
      <c r="O39" s="21"/>
      <c r="P39" s="21"/>
      <c r="Q39" s="21"/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82433.537057648413</v>
      </c>
      <c r="F40" s="15">
        <v>107740.63293434647</v>
      </c>
      <c r="G40" s="15">
        <v>81000</v>
      </c>
      <c r="H40" s="15">
        <v>107740.63293434647</v>
      </c>
      <c r="I40" s="15">
        <v>26740.632934346475</v>
      </c>
      <c r="J40" s="21">
        <v>0</v>
      </c>
      <c r="K40" s="21">
        <v>5.3446739987021652E-2</v>
      </c>
      <c r="L40" s="21">
        <v>1.4000000000000012E-2</v>
      </c>
      <c r="M40" s="23">
        <v>8.4055652825878499E-2</v>
      </c>
      <c r="N40" s="21">
        <v>63.584944248469171</v>
      </c>
      <c r="O40" s="21"/>
      <c r="P40" s="21"/>
      <c r="Q40" s="21"/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83818.578608894954</v>
      </c>
      <c r="F41" s="15">
        <v>121034.02751124431</v>
      </c>
      <c r="G41" s="15">
        <v>83000</v>
      </c>
      <c r="H41" s="15">
        <v>121034.02751124431</v>
      </c>
      <c r="I41" s="15">
        <v>38034.027511244305</v>
      </c>
      <c r="J41" s="21">
        <v>0.13700000000000001</v>
      </c>
      <c r="K41" s="21">
        <v>6.7372283322518045E-2</v>
      </c>
      <c r="L41" s="21">
        <v>0.13700000000000001</v>
      </c>
      <c r="M41" s="23">
        <v>9.2879710688232087E-2</v>
      </c>
      <c r="N41" s="21">
        <v>72.537137361103078</v>
      </c>
      <c r="O41" s="21"/>
      <c r="P41" s="21"/>
      <c r="Q41" s="21"/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85057.735981881327</v>
      </c>
      <c r="F42" s="15">
        <v>137283.18587475648</v>
      </c>
      <c r="G42" s="15">
        <v>85000</v>
      </c>
      <c r="H42" s="15">
        <v>137283.18587475648</v>
      </c>
      <c r="I42" s="15">
        <v>52283.185874756484</v>
      </c>
      <c r="J42" s="21">
        <v>0.17000000000000015</v>
      </c>
      <c r="K42" s="21">
        <v>8.4476902768765072E-2</v>
      </c>
      <c r="L42" s="21">
        <v>0.17000000000000015</v>
      </c>
      <c r="M42" s="23">
        <v>0.10573309224019344</v>
      </c>
      <c r="N42" s="21">
        <v>79.896370170333455</v>
      </c>
      <c r="O42" s="21"/>
      <c r="P42" s="21"/>
      <c r="Q42" s="21"/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86310.868813961526</v>
      </c>
      <c r="F43" s="15">
        <v>137752.14662708261</v>
      </c>
      <c r="G43" s="15">
        <v>87000</v>
      </c>
      <c r="H43" s="15">
        <v>137752.14662708261</v>
      </c>
      <c r="I43" s="15">
        <v>50752.146627082606</v>
      </c>
      <c r="J43" s="21">
        <v>0</v>
      </c>
      <c r="K43" s="21">
        <v>7.0397418973970893E-2</v>
      </c>
      <c r="L43" s="21">
        <v>1.8000000000000016E-2</v>
      </c>
      <c r="M43" s="23">
        <v>9.1110910200161196E-2</v>
      </c>
      <c r="N43" s="21">
        <v>77.265630229480848</v>
      </c>
      <c r="O43" s="21"/>
      <c r="P43" s="21"/>
      <c r="Q43" s="21"/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87667.72091708229</v>
      </c>
      <c r="F44" s="15">
        <v>129222.22063177929</v>
      </c>
      <c r="G44" s="15">
        <v>89000</v>
      </c>
      <c r="H44" s="15">
        <v>129222.22063177929</v>
      </c>
      <c r="I44" s="15">
        <v>40222.220631779288</v>
      </c>
      <c r="J44" s="21">
        <v>0</v>
      </c>
      <c r="K44" s="21">
        <v>5.8664515811642413E-2</v>
      </c>
      <c r="L44" s="21">
        <v>0.12200000000000011</v>
      </c>
      <c r="M44" s="23">
        <v>9.6259091833467689E-2</v>
      </c>
      <c r="N44" s="21">
        <v>60.944389453761438</v>
      </c>
      <c r="O44" s="21"/>
      <c r="P44" s="21"/>
      <c r="Q44" s="21"/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89018.15980972239</v>
      </c>
      <c r="F45" s="15">
        <v>131835.89467819888</v>
      </c>
      <c r="G45" s="15">
        <v>91000</v>
      </c>
      <c r="H45" s="15">
        <v>131835.89467819888</v>
      </c>
      <c r="I45" s="15">
        <v>40835.894678198878</v>
      </c>
      <c r="J45" s="21">
        <v>7.0000000000001172E-3</v>
      </c>
      <c r="K45" s="21">
        <v>5.0053763176368699E-2</v>
      </c>
      <c r="L45" s="21">
        <v>7.0000000000001172E-3</v>
      </c>
      <c r="M45" s="23">
        <v>8.1382576527889758E-2</v>
      </c>
      <c r="N45" s="21">
        <v>61.504274393690771</v>
      </c>
      <c r="O45" s="21"/>
      <c r="P45" s="21"/>
      <c r="Q45" s="21"/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90361.343154248912</v>
      </c>
      <c r="F46" s="15">
        <v>134548.03995667663</v>
      </c>
      <c r="G46" s="15">
        <v>93000</v>
      </c>
      <c r="H46" s="15">
        <v>134548.03995667663</v>
      </c>
      <c r="I46" s="15">
        <v>41548.039956676628</v>
      </c>
      <c r="J46" s="21">
        <v>8.0000000000000071E-3</v>
      </c>
      <c r="K46" s="21">
        <v>4.3044802646973912E-2</v>
      </c>
      <c r="L46" s="21">
        <v>8.0000000000000071E-3</v>
      </c>
      <c r="M46" s="23">
        <v>6.9152147106574802E-2</v>
      </c>
      <c r="N46" s="21">
        <v>62.246516482900823</v>
      </c>
      <c r="O46" s="21"/>
      <c r="P46" s="21"/>
      <c r="Q46" s="21"/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91739.702906144157</v>
      </c>
      <c r="F47" s="15">
        <v>133114.30891681518</v>
      </c>
      <c r="G47" s="15">
        <v>95000</v>
      </c>
      <c r="H47" s="15">
        <v>133114.30891681518</v>
      </c>
      <c r="I47" s="15">
        <v>38114.308916815178</v>
      </c>
      <c r="J47" s="21">
        <v>0</v>
      </c>
      <c r="K47" s="21">
        <v>3.5870668872478258E-2</v>
      </c>
      <c r="L47" s="21">
        <v>3.8000000000000034E-2</v>
      </c>
      <c r="M47" s="23">
        <v>6.396012258881234E-2</v>
      </c>
      <c r="N47" s="21">
        <v>56.082864479613455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93113.329279770536</v>
      </c>
      <c r="F48" s="15">
        <v>135573.0074313459</v>
      </c>
      <c r="G48" s="15">
        <v>97000</v>
      </c>
      <c r="H48" s="15">
        <v>135573.0074313459</v>
      </c>
      <c r="I48" s="15">
        <v>38573.007431345904</v>
      </c>
      <c r="J48" s="21">
        <v>4.9999999999998934E-3</v>
      </c>
      <c r="K48" s="21">
        <v>3.0725557393731864E-2</v>
      </c>
      <c r="L48" s="21">
        <v>4.9999999999998934E-3</v>
      </c>
      <c r="M48" s="23">
        <v>5.413343549067693E-2</v>
      </c>
      <c r="N48" s="21">
        <v>56.758927482116917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94517.823661793009</v>
      </c>
      <c r="F49" s="15">
        <v>134593.38089439325</v>
      </c>
      <c r="G49" s="15">
        <v>99000</v>
      </c>
      <c r="H49" s="15">
        <v>134593.38089439325</v>
      </c>
      <c r="I49" s="15">
        <v>35593.380894393253</v>
      </c>
      <c r="J49" s="21">
        <v>0</v>
      </c>
      <c r="K49" s="21">
        <v>2.5604631161443219E-2</v>
      </c>
      <c r="L49" s="21">
        <v>3.2000000000000028E-2</v>
      </c>
      <c r="M49" s="23">
        <v>5.0444529575564112E-2</v>
      </c>
      <c r="N49" s="21">
        <v>50.757993734659365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95976.612866752897</v>
      </c>
      <c r="F50" s="15">
        <v>131583.93624031823</v>
      </c>
      <c r="G50" s="15">
        <v>101000</v>
      </c>
      <c r="H50" s="15">
        <v>131583.93624031823</v>
      </c>
      <c r="I50" s="15">
        <v>30583.936240318231</v>
      </c>
      <c r="J50" s="21">
        <v>0</v>
      </c>
      <c r="K50" s="21">
        <v>2.1337192634536015E-2</v>
      </c>
      <c r="L50" s="21">
        <v>5.2999999999999936E-2</v>
      </c>
      <c r="M50" s="23">
        <v>5.0870441312970083E-2</v>
      </c>
      <c r="N50" s="21">
        <v>41.944186218600429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97414.427388679571</v>
      </c>
      <c r="F51" s="15">
        <v>135503.46849765329</v>
      </c>
      <c r="G51" s="15">
        <v>103000</v>
      </c>
      <c r="H51" s="15">
        <v>135503.46849765329</v>
      </c>
      <c r="I51" s="15">
        <v>32503.468497653288</v>
      </c>
      <c r="J51" s="21">
        <v>2.0000000000000018E-2</v>
      </c>
      <c r="K51" s="21">
        <v>2.1114327195446685E-2</v>
      </c>
      <c r="L51" s="21">
        <v>2.0000000000000018E-2</v>
      </c>
      <c r="M51" s="23">
        <v>4.5725367760808405E-2</v>
      </c>
      <c r="N51" s="21">
        <v>46.176396668686721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98763.045019146215</v>
      </c>
      <c r="F52" s="15">
        <v>146465.59971928058</v>
      </c>
      <c r="G52" s="15">
        <v>105000</v>
      </c>
      <c r="H52" s="15">
        <v>146465.59971928058</v>
      </c>
      <c r="I52" s="15">
        <v>41465.599719280581</v>
      </c>
      <c r="J52" s="21">
        <v>9.2000040054321275E-2</v>
      </c>
      <c r="K52" s="21">
        <v>3.2928612671925782E-2</v>
      </c>
      <c r="L52" s="21">
        <v>9.2000040054321275E-2</v>
      </c>
      <c r="M52" s="23">
        <v>5.3437813143060543E-2</v>
      </c>
      <c r="N52" s="21">
        <v>61.620434548418466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100046.7420925734</v>
      </c>
      <c r="F53" s="15">
        <v>155872.8210316331</v>
      </c>
      <c r="G53" s="15">
        <v>107000</v>
      </c>
      <c r="H53" s="15">
        <v>155872.8210316331</v>
      </c>
      <c r="I53" s="15">
        <v>48872.821031633095</v>
      </c>
      <c r="J53" s="21">
        <v>7.499992847442627E-2</v>
      </c>
      <c r="K53" s="21">
        <v>3.9940498639009198E-2</v>
      </c>
      <c r="L53" s="21">
        <v>7.499992847442627E-2</v>
      </c>
      <c r="M53" s="23">
        <v>5.7031499031621496E-2</v>
      </c>
      <c r="N53" s="21">
        <v>70.032349345865725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101308.57171520118</v>
      </c>
      <c r="F54" s="15">
        <v>160574.09003320918</v>
      </c>
      <c r="G54" s="15">
        <v>109000</v>
      </c>
      <c r="H54" s="15">
        <v>160574.09003320918</v>
      </c>
      <c r="I54" s="15">
        <v>51574.090033209184</v>
      </c>
      <c r="J54" s="21">
        <v>2.7000069618225098E-2</v>
      </c>
      <c r="K54" s="21">
        <v>3.7783760468878512E-2</v>
      </c>
      <c r="L54" s="21">
        <v>2.7000069618225098E-2</v>
      </c>
      <c r="M54" s="23">
        <v>5.2026260796055435E-2</v>
      </c>
      <c r="N54" s="21">
        <v>72.624401390274869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102651.7550932787</v>
      </c>
      <c r="F55" s="15">
        <v>152848.45951593464</v>
      </c>
      <c r="G55" s="15">
        <v>111000</v>
      </c>
      <c r="H55" s="15">
        <v>152848.45951593464</v>
      </c>
      <c r="I55" s="15">
        <v>41848.459515934635</v>
      </c>
      <c r="J55" s="21">
        <v>0</v>
      </c>
      <c r="K55" s="21">
        <v>3.1486467057398763E-2</v>
      </c>
      <c r="L55" s="21">
        <v>9.6000075340270996E-2</v>
      </c>
      <c r="M55" s="23">
        <v>5.9355229886758031E-2</v>
      </c>
      <c r="N55" s="21">
        <v>53.047502498888129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104033.92507468304</v>
      </c>
      <c r="F56" s="15">
        <v>150537.09236107187</v>
      </c>
      <c r="G56" s="15">
        <v>113000</v>
      </c>
      <c r="H56" s="15">
        <v>150537.09236107187</v>
      </c>
      <c r="I56" s="15">
        <v>37537.092361071875</v>
      </c>
      <c r="J56" s="21">
        <v>0</v>
      </c>
      <c r="K56" s="21">
        <v>2.6238722547832303E-2</v>
      </c>
      <c r="L56" s="21">
        <v>4.1999936103820801E-2</v>
      </c>
      <c r="M56" s="23">
        <v>5.646268092293516E-2</v>
      </c>
      <c r="N56" s="21">
        <v>46.470911616196616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105404.72700186993</v>
      </c>
      <c r="F57" s="15">
        <v>153785.49579103221</v>
      </c>
      <c r="G57" s="15">
        <v>115000</v>
      </c>
      <c r="H57" s="15">
        <v>153785.49579103221</v>
      </c>
      <c r="I57" s="15">
        <v>38785.495791032212</v>
      </c>
      <c r="J57" s="21">
        <v>1.1999964714050293E-2</v>
      </c>
      <c r="K57" s="21">
        <v>2.386559624220197E-2</v>
      </c>
      <c r="L57" s="21">
        <v>1.1999964714050293E-2</v>
      </c>
      <c r="M57" s="23">
        <v>4.9052228221454351E-2</v>
      </c>
      <c r="N57" s="21">
        <v>48.653439624509637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106672.95780223898</v>
      </c>
      <c r="F58" s="15">
        <v>168223.25679394984</v>
      </c>
      <c r="G58" s="15">
        <v>117000</v>
      </c>
      <c r="H58" s="15">
        <v>168223.25679394984</v>
      </c>
      <c r="I58" s="15">
        <v>51223.25679394984</v>
      </c>
      <c r="J58" s="21">
        <v>0.11800003051757813</v>
      </c>
      <c r="K58" s="21">
        <v>3.9554668621431331E-2</v>
      </c>
      <c r="L58" s="21">
        <v>0.11800003051757813</v>
      </c>
      <c r="M58" s="23">
        <v>6.0543528604141646E-2</v>
      </c>
      <c r="N58" s="21">
        <v>65.332611979152944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107927.66296079294</v>
      </c>
      <c r="F59" s="15">
        <v>172036.69280387496</v>
      </c>
      <c r="G59" s="15">
        <v>119000</v>
      </c>
      <c r="H59" s="15">
        <v>172036.69280387496</v>
      </c>
      <c r="I59" s="15">
        <v>53036.692803874961</v>
      </c>
      <c r="J59" s="21">
        <v>1.6999959945678711E-2</v>
      </c>
      <c r="K59" s="21">
        <v>3.5795550508805896E-2</v>
      </c>
      <c r="L59" s="21">
        <v>1.6999959945678711E-2</v>
      </c>
      <c r="M59" s="23">
        <v>5.3286267161064493E-2</v>
      </c>
      <c r="N59" s="21">
        <v>67.17593934776724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109283.59514226552</v>
      </c>
      <c r="F60" s="15">
        <v>161193.3054403656</v>
      </c>
      <c r="G60" s="15">
        <v>121000</v>
      </c>
      <c r="H60" s="15">
        <v>161193.3054403656</v>
      </c>
      <c r="I60" s="15">
        <v>40193.305440365599</v>
      </c>
      <c r="J60" s="21">
        <v>0</v>
      </c>
      <c r="K60" s="21">
        <v>2.9829625424004913E-2</v>
      </c>
      <c r="L60" s="21">
        <v>0.11899995803833008</v>
      </c>
      <c r="M60" s="23">
        <v>6.4238548973942086E-2</v>
      </c>
      <c r="N60" s="21">
        <v>46.435708621166228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110629.49021514323</v>
      </c>
      <c r="F61" s="15">
        <v>164395.41602392812</v>
      </c>
      <c r="G61" s="15">
        <v>123000</v>
      </c>
      <c r="H61" s="15">
        <v>164395.41602392812</v>
      </c>
      <c r="I61" s="15">
        <v>41395.416023928119</v>
      </c>
      <c r="J61" s="21">
        <v>1.0999917984008789E-2</v>
      </c>
      <c r="K61" s="21">
        <v>2.6691340850672225E-2</v>
      </c>
      <c r="L61" s="21">
        <v>1.0999917984008789E-2</v>
      </c>
      <c r="M61" s="23">
        <v>5.5365443808953203E-2</v>
      </c>
      <c r="N61" s="21">
        <v>48.209386603627188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112164.40966332956</v>
      </c>
      <c r="F62" s="15">
        <v>146150.22279620555</v>
      </c>
      <c r="G62" s="15">
        <v>125000</v>
      </c>
      <c r="H62" s="15">
        <v>146150.22279620555</v>
      </c>
      <c r="I62" s="15">
        <v>21150.222796205548</v>
      </c>
      <c r="J62" s="21">
        <v>0</v>
      </c>
      <c r="K62" s="21">
        <v>2.2242784042226852E-2</v>
      </c>
      <c r="L62" s="21">
        <v>0.18299996852874756</v>
      </c>
      <c r="M62" s="23">
        <v>7.6637864595585595E-2</v>
      </c>
      <c r="N62" s="21">
        <v>29.023230435243697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114835.82545247753</v>
      </c>
      <c r="F63" s="15">
        <v>128960.63494006365</v>
      </c>
      <c r="G63" s="15">
        <v>128000</v>
      </c>
      <c r="H63" s="15">
        <v>128960.63494006365</v>
      </c>
      <c r="I63" s="15">
        <v>960.63494006365363</v>
      </c>
      <c r="J63" s="21">
        <v>0</v>
      </c>
      <c r="K63" s="21">
        <v>1.8535653368522375E-2</v>
      </c>
      <c r="L63" s="21">
        <v>0.1799999475479126</v>
      </c>
      <c r="M63" s="23">
        <v>9.3864878420973422E-2</v>
      </c>
      <c r="N63" s="21">
        <v>19.747166011755809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116546.68939552302</v>
      </c>
      <c r="F64" s="15">
        <v>136243.08334894152</v>
      </c>
      <c r="G64" s="15">
        <v>130000</v>
      </c>
      <c r="H64" s="15">
        <v>136243.08334894152</v>
      </c>
      <c r="I64" s="15">
        <v>6243.0833489415236</v>
      </c>
      <c r="J64" s="21">
        <v>4.6000003814697266E-2</v>
      </c>
      <c r="K64" s="21">
        <v>2.3113045109551523E-2</v>
      </c>
      <c r="L64" s="21">
        <v>4.6000003814697266E-2</v>
      </c>
      <c r="M64" s="23">
        <v>8.5887399319927393E-2</v>
      </c>
      <c r="N64" s="21">
        <v>26.910868523863765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118140.31489958597</v>
      </c>
      <c r="F65" s="15">
        <v>148266.09463564347</v>
      </c>
      <c r="G65" s="15">
        <v>132000</v>
      </c>
      <c r="H65" s="15">
        <v>148266.09463564347</v>
      </c>
      <c r="I65" s="15">
        <v>16266.094635643472</v>
      </c>
      <c r="J65" s="21">
        <v>8.5999965667724609E-2</v>
      </c>
      <c r="K65" s="21">
        <v>3.3594198535913701E-2</v>
      </c>
      <c r="L65" s="21">
        <v>8.5999965667724609E-2</v>
      </c>
      <c r="M65" s="23">
        <v>8.5906160377893601E-2</v>
      </c>
      <c r="N65" s="21">
        <v>39.105692057631018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119804.20838003798</v>
      </c>
      <c r="F66" s="15">
        <v>144004.66110065216</v>
      </c>
      <c r="G66" s="15">
        <v>134000</v>
      </c>
      <c r="H66" s="15">
        <v>144004.66110065216</v>
      </c>
      <c r="I66" s="15">
        <v>10004.661100652156</v>
      </c>
      <c r="J66" s="21">
        <v>0</v>
      </c>
      <c r="K66" s="21">
        <v>2.799516544659475E-2</v>
      </c>
      <c r="L66" s="21">
        <v>5.2999973297119141E-2</v>
      </c>
      <c r="M66" s="23">
        <v>8.0421795864431198E-2</v>
      </c>
      <c r="N66" s="21">
        <v>34.810420664799402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121583.56788461942</v>
      </c>
      <c r="F67" s="15">
        <v>136659.92462070705</v>
      </c>
      <c r="G67" s="15">
        <v>136000</v>
      </c>
      <c r="H67" s="15">
        <v>136659.92462070705</v>
      </c>
      <c r="I67" s="15">
        <v>659.92462070705369</v>
      </c>
      <c r="J67" s="21">
        <v>0</v>
      </c>
      <c r="K67" s="21">
        <v>2.3329304538828959E-2</v>
      </c>
      <c r="L67" s="21">
        <v>7.8000068664550781E-2</v>
      </c>
      <c r="M67" s="23">
        <v>8.001817466445113E-2</v>
      </c>
      <c r="N67" s="21">
        <v>29.155007142637601</v>
      </c>
    </row>
    <row r="68" spans="1:18" ht="14.1" customHeight="1">
      <c r="A68" s="13">
        <v>44834</v>
      </c>
      <c r="B68" s="18">
        <v>1.0219999551773071</v>
      </c>
      <c r="C68" s="22">
        <v>2000</v>
      </c>
      <c r="D68" s="15">
        <v>1956.9472482540561</v>
      </c>
      <c r="E68" s="15">
        <v>123540.51513287348</v>
      </c>
      <c r="F68" s="15">
        <v>126258.40092837813</v>
      </c>
      <c r="G68" s="15">
        <v>138000</v>
      </c>
      <c r="H68" s="15">
        <v>126258.40092837813</v>
      </c>
      <c r="I68" s="15">
        <v>-11741.599071621866</v>
      </c>
      <c r="J68" s="21">
        <v>0</v>
      </c>
      <c r="K68" s="21">
        <v>1.94410871156908E-2</v>
      </c>
      <c r="L68" s="21">
        <v>0.10199999809265137</v>
      </c>
      <c r="M68" s="23">
        <v>8.3681811902484513E-2</v>
      </c>
      <c r="N68" s="21">
        <v>23.232153646894918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125411.42251294325</v>
      </c>
      <c r="F69" s="15">
        <v>134064.81138394625</v>
      </c>
      <c r="G69" s="15">
        <v>140000</v>
      </c>
      <c r="H69" s="15">
        <v>134064.81138394625</v>
      </c>
      <c r="I69" s="15">
        <v>-5935.1886160537542</v>
      </c>
      <c r="J69" s="21">
        <v>4.700005054473877E-2</v>
      </c>
      <c r="K69" s="21">
        <v>2.4034247687198796E-2</v>
      </c>
      <c r="L69" s="21">
        <v>4.700005054473877E-2</v>
      </c>
      <c r="M69" s="23">
        <v>7.7568185009526891E-2</v>
      </c>
      <c r="N69" s="21">
        <v>30.984671981492049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127223.01676122445</v>
      </c>
      <c r="F70" s="15">
        <v>140454.20698584142</v>
      </c>
      <c r="G70" s="15">
        <v>142000</v>
      </c>
      <c r="H70" s="15">
        <v>140454.20698584142</v>
      </c>
      <c r="I70" s="15">
        <v>-1545.7930141585821</v>
      </c>
      <c r="J70" s="21">
        <v>3.4999966621398926E-2</v>
      </c>
      <c r="K70" s="21">
        <v>2.5861867509565484E-2</v>
      </c>
      <c r="L70" s="21">
        <v>3.4999966621398926E-2</v>
      </c>
      <c r="M70" s="23">
        <v>7.0473481944838892E-2</v>
      </c>
      <c r="N70" s="21">
        <v>36.69730343366335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129049.50073176681</v>
      </c>
      <c r="F71" s="15">
        <v>141309.20699342049</v>
      </c>
      <c r="G71" s="15">
        <v>144000</v>
      </c>
      <c r="H71" s="15">
        <v>141309.20699342049</v>
      </c>
      <c r="I71" s="15">
        <v>-2690.7930065795081</v>
      </c>
      <c r="J71" s="21">
        <v>0</v>
      </c>
      <c r="K71" s="21">
        <v>2.1551556257971238E-2</v>
      </c>
      <c r="L71" s="21">
        <v>8.999943733215332E-3</v>
      </c>
      <c r="M71" s="23">
        <v>6.0227892242901628E-2</v>
      </c>
      <c r="N71" s="21">
        <v>35.783347972817815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130691.53678327735</v>
      </c>
      <c r="F72" s="15">
        <v>159182.29890635004</v>
      </c>
      <c r="G72" s="15">
        <v>146000</v>
      </c>
      <c r="H72" s="15">
        <v>159182.29890635004</v>
      </c>
      <c r="I72" s="15">
        <v>13182.298906350043</v>
      </c>
      <c r="J72" s="21">
        <v>0.12300002574920654</v>
      </c>
      <c r="K72" s="21">
        <v>3.8459634506510458E-2</v>
      </c>
      <c r="L72" s="21">
        <v>0.12300002574920654</v>
      </c>
      <c r="M72" s="23">
        <v>7.0689914493952441E-2</v>
      </c>
      <c r="N72" s="21">
        <v>54.406112642561901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132255.2583871875</v>
      </c>
      <c r="F73" s="15">
        <v>169154.48127912119</v>
      </c>
      <c r="G73" s="15">
        <v>148000</v>
      </c>
      <c r="H73" s="15">
        <v>169154.48127912119</v>
      </c>
      <c r="I73" s="15">
        <v>21154.481279121188</v>
      </c>
      <c r="J73" s="21">
        <v>6.099998950958252E-2</v>
      </c>
      <c r="K73" s="21">
        <v>4.2216360340355807E-2</v>
      </c>
      <c r="L73" s="21">
        <v>6.099998950958252E-2</v>
      </c>
      <c r="M73" s="23">
        <v>6.9074926996557456E-2</v>
      </c>
      <c r="N73" s="21">
        <v>61.116764325295314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133614.877734329</v>
      </c>
      <c r="F74" s="15">
        <v>196547.4792856444</v>
      </c>
      <c r="G74" s="15">
        <v>150000</v>
      </c>
      <c r="H74" s="15">
        <v>196547.4792856444</v>
      </c>
      <c r="I74" s="15">
        <v>46547.479285644396</v>
      </c>
      <c r="J74" s="21">
        <v>0.19199991226196289</v>
      </c>
      <c r="K74" s="21">
        <v>6.7180285660623659E-2</v>
      </c>
      <c r="L74" s="21">
        <v>0.19199991226196289</v>
      </c>
      <c r="M74" s="23">
        <v>8.9562424540791705E-2</v>
      </c>
      <c r="N74" s="21">
        <v>75.009454026142436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135027.30710429864</v>
      </c>
      <c r="F75" s="15">
        <v>191198.66801863554</v>
      </c>
      <c r="G75" s="15">
        <v>152000</v>
      </c>
      <c r="H75" s="15">
        <v>191198.66801863554</v>
      </c>
      <c r="I75" s="15">
        <v>39198.668018635537</v>
      </c>
      <c r="J75" s="21">
        <v>0</v>
      </c>
      <c r="K75" s="21">
        <v>5.5983571383853049E-2</v>
      </c>
      <c r="L75" s="21">
        <v>5.4999947547912598E-2</v>
      </c>
      <c r="M75" s="23">
        <v>8.3802011708645194E-2</v>
      </c>
      <c r="N75" s="21">
        <v>66.8045673873455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136424.9311490207</v>
      </c>
      <c r="F76" s="15">
        <v>195224.07569361891</v>
      </c>
      <c r="G76" s="15">
        <v>154000</v>
      </c>
      <c r="H76" s="15">
        <v>195224.07569361891</v>
      </c>
      <c r="I76" s="15">
        <v>41224.075693618914</v>
      </c>
      <c r="J76" s="21">
        <v>1.4999985694885254E-2</v>
      </c>
      <c r="K76" s="21">
        <v>4.9152973769025082E-2</v>
      </c>
      <c r="L76" s="21">
        <v>1.4999985694885254E-2</v>
      </c>
      <c r="M76" s="23">
        <v>7.2335007373018539E-2</v>
      </c>
      <c r="N76" s="21">
        <v>67.951847320001079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137809.97269477881</v>
      </c>
      <c r="F77" s="15">
        <v>198997.6013598156</v>
      </c>
      <c r="G77" s="15">
        <v>156000</v>
      </c>
      <c r="H77" s="15">
        <v>198997.6013598156</v>
      </c>
      <c r="I77" s="15">
        <v>42997.601359815599</v>
      </c>
      <c r="J77" s="21">
        <v>1.3000011444091797E-2</v>
      </c>
      <c r="K77" s="21">
        <v>4.3127480048202861E-2</v>
      </c>
      <c r="L77" s="21">
        <v>1.3000011444091797E-2</v>
      </c>
      <c r="M77" s="23">
        <v>6.2445841384864087E-2</v>
      </c>
      <c r="N77" s="21">
        <v>69.063814485901545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139251.93379851419</v>
      </c>
      <c r="F78" s="15">
        <v>193142.42726490245</v>
      </c>
      <c r="G78" s="15">
        <v>158000</v>
      </c>
      <c r="H78" s="15">
        <v>193142.42726490245</v>
      </c>
      <c r="I78" s="15">
        <v>35142.42726490245</v>
      </c>
      <c r="J78" s="21">
        <v>0</v>
      </c>
      <c r="K78" s="21">
        <v>3.5939566706835714E-2</v>
      </c>
      <c r="L78" s="21">
        <v>5.7000041007995605E-2</v>
      </c>
      <c r="M78" s="23">
        <v>6.153820798871934E-2</v>
      </c>
      <c r="N78" s="21">
        <v>58.40203652570424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140789.21281578249</v>
      </c>
      <c r="F79" s="15">
        <v>183166.76573906597</v>
      </c>
      <c r="G79" s="15">
        <v>160000</v>
      </c>
      <c r="H79" s="15">
        <v>183166.76573906597</v>
      </c>
      <c r="I79" s="15">
        <v>23166.765739065973</v>
      </c>
      <c r="J79" s="21">
        <v>0</v>
      </c>
      <c r="K79" s="21">
        <v>2.9949638922363093E-2</v>
      </c>
      <c r="L79" s="21">
        <v>8.5999965667724609E-2</v>
      </c>
      <c r="M79" s="23">
        <v>6.561516760188689E-2</v>
      </c>
      <c r="N79" s="21">
        <v>45.644383786504008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142400.8162882404</v>
      </c>
      <c r="F80" s="15">
        <v>176719.4210261424</v>
      </c>
      <c r="G80" s="15">
        <v>162000</v>
      </c>
      <c r="H80" s="15">
        <v>176719.4210261424</v>
      </c>
      <c r="I80" s="15">
        <v>14719.421026142401</v>
      </c>
      <c r="J80" s="21">
        <v>0</v>
      </c>
      <c r="K80" s="21">
        <v>2.4958032435302577E-2</v>
      </c>
      <c r="L80" s="21">
        <v>5.9999942779541016E-2</v>
      </c>
      <c r="M80" s="23">
        <v>6.4679296798162575E-2</v>
      </c>
      <c r="N80" s="21">
        <v>38.587358970809944</v>
      </c>
    </row>
    <row r="81" spans="1:14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144101.49656172842</v>
      </c>
      <c r="F81" s="15">
        <v>169463.35981916671</v>
      </c>
      <c r="G81" s="15">
        <v>164000</v>
      </c>
      <c r="H81" s="15">
        <v>169463.35981916671</v>
      </c>
      <c r="I81" s="15">
        <v>5463.3598191667115</v>
      </c>
      <c r="J81" s="21">
        <v>0</v>
      </c>
      <c r="K81" s="21">
        <v>2.0798360362752146E-2</v>
      </c>
      <c r="L81" s="21">
        <v>6.5000057220458984E-2</v>
      </c>
      <c r="M81" s="23">
        <v>6.4732756868545308E-2</v>
      </c>
      <c r="N81" s="21">
        <v>32.129576073807549</v>
      </c>
    </row>
    <row r="82" spans="1:14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145759.87139508501</v>
      </c>
      <c r="F82" s="15">
        <v>175786.40059324171</v>
      </c>
      <c r="G82" s="15">
        <v>166000</v>
      </c>
      <c r="H82" s="15">
        <v>175786.40059324171</v>
      </c>
      <c r="I82" s="15">
        <v>9786.4005932417058</v>
      </c>
      <c r="J82" s="21">
        <v>2.9999971389770508E-2</v>
      </c>
      <c r="K82" s="21">
        <v>2.2331962200588539E-2</v>
      </c>
      <c r="L82" s="21">
        <v>2.9999971389770508E-2</v>
      </c>
      <c r="M82" s="23">
        <v>5.8943959288749508E-2</v>
      </c>
      <c r="N82" s="21">
        <v>37.886769857434714</v>
      </c>
    </row>
    <row r="83" spans="1:14" ht="12.75">
      <c r="A83" s="13">
        <v>45289</v>
      </c>
      <c r="B83" s="18">
        <v>1.2039999961853027</v>
      </c>
      <c r="C83" s="22">
        <v>2000</v>
      </c>
      <c r="D83" s="15">
        <v>1661.1295733693576</v>
      </c>
      <c r="E83" s="15">
        <v>147421.00096845438</v>
      </c>
      <c r="F83" s="15">
        <v>177494.88460365258</v>
      </c>
      <c r="G83" s="15">
        <v>168000</v>
      </c>
      <c r="H83" s="15">
        <v>177494.88460365258</v>
      </c>
      <c r="I83" s="15">
        <v>9494.8846036525792</v>
      </c>
      <c r="J83" s="21">
        <v>0</v>
      </c>
      <c r="K83" s="21">
        <v>1.8609968500490449E-2</v>
      </c>
      <c r="L83" s="21">
        <v>1.999974250793457E-3</v>
      </c>
      <c r="M83" s="23">
        <v>4.9453295115756829E-2</v>
      </c>
      <c r="N83" s="21">
        <v>37.631402431181847</v>
      </c>
    </row>
    <row r="84" spans="1:14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150497.92397013688</v>
      </c>
      <c r="F84" s="15">
        <v>146735.47945903358</v>
      </c>
      <c r="G84" s="15">
        <v>171000</v>
      </c>
      <c r="H84" s="15">
        <v>146735.47945903358</v>
      </c>
      <c r="I84" s="15">
        <v>-24264.52054096642</v>
      </c>
      <c r="J84" s="21">
        <v>0</v>
      </c>
      <c r="K84" s="21">
        <v>1.550830708374204E-2</v>
      </c>
      <c r="L84" s="21">
        <v>0.22899997234344482</v>
      </c>
      <c r="M84" s="23">
        <v>7.9377741320371495E-2</v>
      </c>
      <c r="N84" s="21">
        <v>19.537349924268998</v>
      </c>
    </row>
    <row r="85" spans="1:14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152177.1851167561</v>
      </c>
      <c r="F85" s="15">
        <v>181243.02515201695</v>
      </c>
      <c r="G85" s="15">
        <v>173000</v>
      </c>
      <c r="H85" s="15">
        <v>181243.02515201695</v>
      </c>
      <c r="I85" s="15">
        <v>8243.025152016955</v>
      </c>
      <c r="J85" s="21">
        <v>0.21599996089935303</v>
      </c>
      <c r="K85" s="21">
        <v>4.8923582719677207E-2</v>
      </c>
      <c r="L85" s="21">
        <v>0.21599996089935303</v>
      </c>
      <c r="M85" s="23">
        <v>0.10214811125020175</v>
      </c>
      <c r="N85" s="21">
        <v>47.894750202325042</v>
      </c>
    </row>
    <row r="86" spans="1:14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153855.03742145063</v>
      </c>
      <c r="F86" s="15">
        <v>183395.20944837987</v>
      </c>
      <c r="G86" s="15">
        <v>175000</v>
      </c>
      <c r="H86" s="15">
        <v>183395.20944837987</v>
      </c>
      <c r="I86" s="15">
        <v>8395.2094483798719</v>
      </c>
      <c r="J86" s="21">
        <v>1.0000467300415039E-3</v>
      </c>
      <c r="K86" s="21">
        <v>4.0936326721404591E-2</v>
      </c>
      <c r="L86" s="21">
        <v>1.0000467300415039E-3</v>
      </c>
      <c r="M86" s="23">
        <v>8.5290100496841714E-2</v>
      </c>
      <c r="N86" s="21">
        <v>47.99657461175164</v>
      </c>
    </row>
    <row r="87" spans="1:14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155494.38164530144</v>
      </c>
      <c r="F87" s="15">
        <v>189703.15005599771</v>
      </c>
      <c r="G87" s="15">
        <v>177000</v>
      </c>
      <c r="H87" s="15">
        <v>189703.15005599771</v>
      </c>
      <c r="I87" s="15">
        <v>12703.150055997714</v>
      </c>
      <c r="J87" s="21">
        <v>2.7999997138977051E-2</v>
      </c>
      <c r="K87" s="21">
        <v>3.8780271791E-2</v>
      </c>
      <c r="L87" s="21">
        <v>2.7999997138977051E-2</v>
      </c>
      <c r="M87" s="23">
        <v>7.5741749937197608E-2</v>
      </c>
      <c r="N87" s="21">
        <v>51.200654623315721</v>
      </c>
    </row>
    <row r="88" spans="1:14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157232.00107208602</v>
      </c>
      <c r="F88" s="15">
        <v>180974.03683272592</v>
      </c>
      <c r="G88" s="15">
        <v>179000</v>
      </c>
      <c r="H88" s="15">
        <v>180974.03683272592</v>
      </c>
      <c r="I88" s="15">
        <v>1974.0368327259202</v>
      </c>
      <c r="J88" s="21">
        <v>0</v>
      </c>
      <c r="K88" s="21">
        <v>3.2316893159166665E-2</v>
      </c>
      <c r="L88" s="21">
        <v>6.9000005722045898E-2</v>
      </c>
      <c r="M88" s="23">
        <v>7.4618125901338997E-2</v>
      </c>
      <c r="N88" s="21">
        <v>43.309708959853076</v>
      </c>
    </row>
    <row r="89" spans="1:14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158962.10485119573</v>
      </c>
      <c r="F89" s="15">
        <v>183760.19608834572</v>
      </c>
      <c r="G89" s="15">
        <v>181000</v>
      </c>
      <c r="H89" s="15">
        <v>183760.19608834572</v>
      </c>
      <c r="I89" s="15">
        <v>2760.1960883457214</v>
      </c>
      <c r="J89" s="21">
        <v>4.999995231628418E-3</v>
      </c>
      <c r="K89" s="21">
        <v>2.7764076837910292E-2</v>
      </c>
      <c r="L89" s="21">
        <v>4.999995231628418E-3</v>
      </c>
      <c r="M89" s="23">
        <v>6.3015104123053903E-2</v>
      </c>
      <c r="N89" s="21">
        <v>44.05940008238894</v>
      </c>
    </row>
    <row r="90" spans="1:14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160705.78408236959</v>
      </c>
      <c r="F90" s="15">
        <v>184329.52713921192</v>
      </c>
      <c r="G90" s="15">
        <v>183000</v>
      </c>
      <c r="H90" s="15">
        <v>184329.52713921192</v>
      </c>
      <c r="I90" s="15">
        <v>1329.5271392119175</v>
      </c>
      <c r="J90" s="21">
        <v>0</v>
      </c>
      <c r="K90" s="21">
        <v>2.3136730698258574E-2</v>
      </c>
      <c r="L90" s="21">
        <v>9.0000629425048828E-3</v>
      </c>
      <c r="M90" s="23">
        <v>5.4012597259629064E-2</v>
      </c>
      <c r="N90" s="21">
        <v>42.83580474207595</v>
      </c>
    </row>
    <row r="91" spans="1:14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162623.32965563599</v>
      </c>
      <c r="F91" s="15">
        <v>169616.13003921387</v>
      </c>
      <c r="G91" s="15">
        <v>185000</v>
      </c>
      <c r="H91" s="15">
        <v>169616.13003921387</v>
      </c>
      <c r="I91" s="15">
        <v>-15383.869960786134</v>
      </c>
      <c r="J91" s="21">
        <v>0</v>
      </c>
      <c r="K91" s="21">
        <v>1.9280608915215477E-2</v>
      </c>
      <c r="L91" s="21">
        <v>0.10399997234344482</v>
      </c>
      <c r="M91" s="23">
        <v>6.2343826440265017E-2</v>
      </c>
      <c r="N91" s="21">
        <v>30.926252070346163</v>
      </c>
    </row>
    <row r="92" spans="1:14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164164.16173098068</v>
      </c>
      <c r="F92" s="15">
        <v>213085.07832595258</v>
      </c>
      <c r="G92" s="15">
        <v>187000</v>
      </c>
      <c r="H92" s="15">
        <v>213085.07832595258</v>
      </c>
      <c r="I92" s="15">
        <v>26085.078325952578</v>
      </c>
      <c r="J92" s="21">
        <v>0.25499999523162842</v>
      </c>
      <c r="K92" s="21">
        <v>5.8567173301284303E-2</v>
      </c>
      <c r="L92" s="21">
        <v>0.25499999523162842</v>
      </c>
      <c r="M92" s="23">
        <v>9.4453187905492245E-2</v>
      </c>
      <c r="N92" s="21">
        <v>62.006560710142793</v>
      </c>
    </row>
    <row r="93" spans="1:14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165582.60148087112</v>
      </c>
      <c r="F93" s="15">
        <v>233471.46256111268</v>
      </c>
      <c r="G93" s="15">
        <v>189000</v>
      </c>
      <c r="H93" s="15">
        <v>233471.46256111268</v>
      </c>
      <c r="I93" s="15">
        <v>44471.462561112683</v>
      </c>
      <c r="J93" s="21">
        <v>0.1119999885559082</v>
      </c>
      <c r="K93" s="21">
        <v>6.7472642510388287E-2</v>
      </c>
      <c r="L93" s="21">
        <v>0.1119999885559082</v>
      </c>
      <c r="M93" s="23">
        <v>9.7377654680561573E-2</v>
      </c>
      <c r="N93" s="21">
        <v>69.289656576476474</v>
      </c>
    </row>
    <row r="94" spans="1:14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166962.86372979014</v>
      </c>
      <c r="F94" s="15">
        <v>241929.18970369411</v>
      </c>
      <c r="G94" s="15">
        <v>191000</v>
      </c>
      <c r="H94" s="15">
        <v>241929.18970369411</v>
      </c>
      <c r="I94" s="15">
        <v>50929.189703694108</v>
      </c>
      <c r="J94" s="21">
        <v>3.9000034332275391E-2</v>
      </c>
      <c r="K94" s="21">
        <v>6.2727207814036137E-2</v>
      </c>
      <c r="L94" s="21">
        <v>3.9000034332275391E-2</v>
      </c>
      <c r="M94" s="23">
        <v>8.7648051289180559E-2</v>
      </c>
      <c r="N94" s="21">
        <v>71.567144838255288</v>
      </c>
    </row>
    <row r="95" spans="1:14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168337.43413598248</v>
      </c>
      <c r="F95" s="15">
        <v>244930.97389211343</v>
      </c>
      <c r="G95" s="15">
        <v>193000</v>
      </c>
      <c r="H95" s="15">
        <v>244930.97389211343</v>
      </c>
      <c r="I95" s="15">
        <v>51930.973892113427</v>
      </c>
      <c r="J95" s="21">
        <v>6.0000419616699219E-3</v>
      </c>
      <c r="K95" s="21">
        <v>5.3272680171975097E-2</v>
      </c>
      <c r="L95" s="21">
        <v>6.0000419616699219E-3</v>
      </c>
      <c r="M95" s="23">
        <v>7.4040049734595451E-2</v>
      </c>
      <c r="N95" s="21">
        <v>71.951167459958171</v>
      </c>
    </row>
    <row r="96" spans="1:14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169720.56001959249</v>
      </c>
      <c r="F96" s="15">
        <v>245415.92638930981</v>
      </c>
      <c r="G96" s="15">
        <v>195000</v>
      </c>
      <c r="H96" s="15">
        <v>245415.92638930981</v>
      </c>
      <c r="I96" s="15">
        <v>50415.92638930981</v>
      </c>
      <c r="J96" s="21">
        <v>0</v>
      </c>
      <c r="K96" s="21">
        <v>4.4393900143312577E-2</v>
      </c>
      <c r="L96" s="21">
        <v>9.0000629425048828E-3</v>
      </c>
      <c r="M96" s="23">
        <v>6.3200051935913687E-2</v>
      </c>
      <c r="N96" s="21">
        <v>70.243455160968878</v>
      </c>
    </row>
    <row r="97" spans="1:14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170954.36627280712</v>
      </c>
      <c r="F97" s="15">
        <v>277117.03653209889</v>
      </c>
      <c r="G97" s="15">
        <v>197000</v>
      </c>
      <c r="H97" s="15">
        <v>277117.03653209889</v>
      </c>
      <c r="I97" s="15">
        <v>80117.036532098893</v>
      </c>
      <c r="J97" s="21">
        <v>0.17500007152557373</v>
      </c>
      <c r="K97" s="21">
        <v>6.616159537368943E-2</v>
      </c>
      <c r="L97" s="21">
        <v>0.17500007152557373</v>
      </c>
      <c r="M97" s="23">
        <v>8.1833388534190366E-2</v>
      </c>
      <c r="N97" s="21">
        <v>80.849145512344037</v>
      </c>
    </row>
    <row r="98" spans="1:14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172265.84170314681</v>
      </c>
      <c r="F98" s="15">
        <v>262705.40449016116</v>
      </c>
      <c r="G98" s="15">
        <v>199000</v>
      </c>
      <c r="H98" s="15">
        <v>262705.40449016116</v>
      </c>
      <c r="I98" s="15">
        <v>63705.404490161163</v>
      </c>
      <c r="J98" s="21">
        <v>0</v>
      </c>
      <c r="K98" s="21">
        <v>5.5134662811407859E-2</v>
      </c>
      <c r="L98" s="21">
        <v>9.6000075340270996E-2</v>
      </c>
      <c r="M98" s="23">
        <v>8.419450300187048E-2</v>
      </c>
      <c r="N98" s="21">
        <v>65.484872343961669</v>
      </c>
    </row>
    <row r="99" spans="1:14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173633.83074763382</v>
      </c>
      <c r="F99" s="15">
        <v>253852.66270571228</v>
      </c>
      <c r="G99" s="15">
        <v>201000</v>
      </c>
      <c r="H99" s="15">
        <v>253852.66270571228</v>
      </c>
      <c r="I99" s="15">
        <v>52852.662705712282</v>
      </c>
      <c r="J99" s="21">
        <v>0</v>
      </c>
      <c r="K99" s="21">
        <v>4.5945552342839889E-2</v>
      </c>
      <c r="L99" s="21">
        <v>6.2999963760375977E-2</v>
      </c>
      <c r="M99" s="23">
        <v>8.0662079794954725E-2</v>
      </c>
      <c r="N99" s="21">
        <v>56.960535185349521</v>
      </c>
    </row>
    <row r="100" spans="1:14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175026.58841797546</v>
      </c>
      <c r="F100" s="15">
        <v>251338.17913211079</v>
      </c>
      <c r="G100" s="15">
        <v>203000</v>
      </c>
      <c r="H100" s="15">
        <v>251338.17913211079</v>
      </c>
      <c r="I100" s="15">
        <v>48338.179132110788</v>
      </c>
      <c r="J100" s="21">
        <v>0</v>
      </c>
      <c r="K100" s="21">
        <v>3.8287960285699911E-2</v>
      </c>
      <c r="L100" s="21">
        <v>2.6000022888183594E-2</v>
      </c>
      <c r="M100" s="23">
        <v>7.1551736977159539E-2</v>
      </c>
      <c r="N100" s="21">
        <v>53.51087465273141</v>
      </c>
    </row>
    <row r="101" spans="1:14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176319.41319797191</v>
      </c>
      <c r="F101" s="15">
        <v>272766.1411292812</v>
      </c>
      <c r="G101" s="15">
        <v>205000</v>
      </c>
      <c r="H101" s="15">
        <v>272766.1411292812</v>
      </c>
      <c r="I101" s="15">
        <v>67766.141129281197</v>
      </c>
      <c r="J101" s="21">
        <v>0.11100006103515625</v>
      </c>
      <c r="K101" s="21">
        <v>5.0406643743942638E-2</v>
      </c>
      <c r="L101" s="21">
        <v>0.11100006103515625</v>
      </c>
      <c r="M101" s="23">
        <v>7.8126457653492326E-2</v>
      </c>
      <c r="N101" s="21">
        <v>64.519300193420989</v>
      </c>
    </row>
    <row r="102" spans="1:14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177498.65849491587</v>
      </c>
      <c r="F102" s="15">
        <v>301037.72125258314</v>
      </c>
      <c r="G102" s="15">
        <v>207000</v>
      </c>
      <c r="H102" s="15">
        <v>301037.72125258314</v>
      </c>
      <c r="I102" s="15">
        <v>94037.721252583142</v>
      </c>
      <c r="J102" s="21">
        <v>0.14899992942810059</v>
      </c>
      <c r="K102" s="21">
        <v>6.6838858024635628E-2</v>
      </c>
      <c r="L102" s="21">
        <v>0.14899992942810059</v>
      </c>
      <c r="M102" s="23">
        <v>8.9938702949260374E-2</v>
      </c>
      <c r="N102" s="21">
        <v>74.316012831920972</v>
      </c>
    </row>
    <row r="103" spans="1:14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178213.96607620033</v>
      </c>
      <c r="F103" s="15">
        <v>498286.24982888845</v>
      </c>
      <c r="G103" s="15">
        <v>209000</v>
      </c>
      <c r="H103" s="15">
        <v>498286.24982888845</v>
      </c>
      <c r="I103" s="15">
        <v>289286.24982888845</v>
      </c>
      <c r="J103" s="21">
        <v>1.1000000238418579</v>
      </c>
      <c r="K103" s="21">
        <v>0.23903238566083931</v>
      </c>
      <c r="L103" s="21">
        <v>1.1000000238418579</v>
      </c>
      <c r="M103" s="23">
        <v>0.25828225643135999</v>
      </c>
      <c r="N103" s="21">
        <v>92.546963528779443</v>
      </c>
    </row>
    <row r="104" spans="1:14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179047.29937641998</v>
      </c>
      <c r="F104" s="15">
        <v>429713.53557868901</v>
      </c>
      <c r="G104" s="15">
        <v>211000</v>
      </c>
      <c r="H104" s="15">
        <v>429713.53557868901</v>
      </c>
      <c r="I104" s="15">
        <v>218713.53557868901</v>
      </c>
      <c r="J104" s="21">
        <v>0</v>
      </c>
      <c r="K104" s="21">
        <v>0.19919365471736608</v>
      </c>
      <c r="L104" s="21">
        <v>0.39599990844726563</v>
      </c>
      <c r="M104" s="23">
        <v>0.28123519843401096</v>
      </c>
      <c r="N104" s="21">
        <v>70.828138094565318</v>
      </c>
    </row>
    <row r="105" spans="1:14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179904.19736493952</v>
      </c>
      <c r="F105" s="15">
        <v>419896.41655189026</v>
      </c>
      <c r="G105" s="15">
        <v>213000</v>
      </c>
      <c r="H105" s="15">
        <v>419896.41655189026</v>
      </c>
      <c r="I105" s="15">
        <v>206896.41655189026</v>
      </c>
      <c r="J105" s="21">
        <v>0</v>
      </c>
      <c r="K105" s="21">
        <v>0.16599471226447174</v>
      </c>
      <c r="L105" s="21">
        <v>6.5999984741210938E-2</v>
      </c>
      <c r="M105" s="23">
        <v>0.24536266281854427</v>
      </c>
      <c r="N105" s="21">
        <v>67.652800290658575</v>
      </c>
    </row>
    <row r="106" spans="1:14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180792.69139621334</v>
      </c>
      <c r="F106" s="15">
        <v>406964.33522915788</v>
      </c>
      <c r="G106" s="15">
        <v>215000</v>
      </c>
      <c r="H106" s="15">
        <v>406964.33522915788</v>
      </c>
      <c r="I106" s="15">
        <v>191964.33522915788</v>
      </c>
      <c r="J106" s="21">
        <v>0</v>
      </c>
      <c r="K106" s="21">
        <v>0.13832892688705978</v>
      </c>
      <c r="L106" s="21">
        <v>8.300018310546875E-2</v>
      </c>
      <c r="M106" s="23">
        <v>0.21830224953303168</v>
      </c>
      <c r="N106" s="21">
        <v>63.365781700810651</v>
      </c>
    </row>
    <row r="107" spans="1:14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181626.02469643299</v>
      </c>
      <c r="F107" s="15">
        <v>435902.47659264668</v>
      </c>
      <c r="G107" s="15">
        <v>217000</v>
      </c>
      <c r="H107" s="15">
        <v>435902.47659264668</v>
      </c>
      <c r="I107" s="15">
        <v>218902.47659264668</v>
      </c>
      <c r="J107" s="21">
        <v>0.14900016784667969</v>
      </c>
      <c r="K107" s="21">
        <v>0.14010746704699642</v>
      </c>
      <c r="L107" s="21">
        <v>0.14900016784667969</v>
      </c>
      <c r="M107" s="23">
        <v>0.20675190258530632</v>
      </c>
      <c r="N107" s="21">
        <v>67.765986815617211</v>
      </c>
    </row>
    <row r="108" spans="1:14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182394.66420506715</v>
      </c>
      <c r="F108" s="15">
        <v>474590.91591369454</v>
      </c>
      <c r="G108" s="15">
        <v>219000</v>
      </c>
      <c r="H108" s="15">
        <v>474590.91591369454</v>
      </c>
      <c r="I108" s="15">
        <v>255590.91591369454</v>
      </c>
      <c r="J108" s="21">
        <v>0.20199990272521973</v>
      </c>
      <c r="K108" s="21">
        <v>0.15042287299336696</v>
      </c>
      <c r="L108" s="21">
        <v>0.20199990272521973</v>
      </c>
      <c r="M108" s="23">
        <v>0.20595990260862521</v>
      </c>
      <c r="N108" s="21">
        <v>73.035028220618088</v>
      </c>
    </row>
    <row r="109" spans="1:14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183187.0572541641</v>
      </c>
      <c r="F109" s="15">
        <v>462364.11958165164</v>
      </c>
      <c r="G109" s="15">
        <v>221000</v>
      </c>
      <c r="H109" s="15">
        <v>462364.11958165164</v>
      </c>
      <c r="I109" s="15">
        <v>241364.11958165164</v>
      </c>
      <c r="J109" s="21">
        <v>0</v>
      </c>
      <c r="K109" s="21">
        <v>0.12535239416113914</v>
      </c>
      <c r="L109" s="21">
        <v>7.8000068664550781E-2</v>
      </c>
      <c r="M109" s="23">
        <v>0.18463326361794616</v>
      </c>
      <c r="N109" s="21">
        <v>67.892638468724456</v>
      </c>
    </row>
    <row r="110" spans="1:14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184069.28047222181</v>
      </c>
      <c r="F110" s="15">
        <v>417285.05145775672</v>
      </c>
      <c r="G110" s="15">
        <v>223000</v>
      </c>
      <c r="H110" s="15">
        <v>417285.05145775672</v>
      </c>
      <c r="I110" s="15">
        <v>194285.05145775672</v>
      </c>
      <c r="J110" s="21">
        <v>0</v>
      </c>
      <c r="K110" s="21">
        <v>0.10446032846761595</v>
      </c>
      <c r="L110" s="21">
        <v>0.25699996948242188</v>
      </c>
      <c r="M110" s="23">
        <v>0.19669438126202543</v>
      </c>
      <c r="N110" s="21">
        <v>53.107937195450262</v>
      </c>
    </row>
    <row r="111" spans="1:14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184786.12636015928</v>
      </c>
      <c r="F111" s="15">
        <v>515553.28549581306</v>
      </c>
      <c r="G111" s="15">
        <v>225000</v>
      </c>
      <c r="H111" s="15">
        <v>515553.28549581306</v>
      </c>
      <c r="I111" s="15">
        <v>290553.28549581306</v>
      </c>
      <c r="J111" s="21">
        <v>0.52300000190734863</v>
      </c>
      <c r="K111" s="21">
        <v>0.1742169407075714</v>
      </c>
      <c r="L111" s="21">
        <v>0.52300000190734863</v>
      </c>
      <c r="M111" s="23">
        <v>0.2510786513695793</v>
      </c>
      <c r="N111" s="21">
        <v>69.387397039635189</v>
      </c>
    </row>
    <row r="112" spans="1:14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185439.721143623</v>
      </c>
      <c r="F112" s="15">
        <v>567445.53608854045</v>
      </c>
      <c r="G112" s="15">
        <v>227000</v>
      </c>
      <c r="H112" s="15">
        <v>567445.53608854045</v>
      </c>
      <c r="I112" s="15">
        <v>340445.53608854045</v>
      </c>
      <c r="J112" s="21">
        <v>0.26999998092651367</v>
      </c>
      <c r="K112" s="21">
        <v>0.19018078074406178</v>
      </c>
      <c r="L112" s="21">
        <v>0.26999998092651367</v>
      </c>
      <c r="M112" s="23">
        <v>0.25423220629573501</v>
      </c>
      <c r="N112" s="21">
        <v>74.805935689687729</v>
      </c>
    </row>
    <row r="113" spans="1:14" ht="12.75">
      <c r="A113" s="13">
        <v>46203</v>
      </c>
      <c r="B113" s="18">
        <v>3.4470000267028809</v>
      </c>
      <c r="C113" s="22">
        <v>2000</v>
      </c>
      <c r="D113" s="15">
        <v>580.21467493663954</v>
      </c>
      <c r="E113" s="15">
        <v>186019.93581855964</v>
      </c>
      <c r="F113" s="15">
        <v>641210.7237338433</v>
      </c>
      <c r="G113" s="15">
        <v>229000</v>
      </c>
      <c r="H113" s="15">
        <v>641210.7237338433</v>
      </c>
      <c r="I113" s="15">
        <v>412210.7237338433</v>
      </c>
      <c r="J113" s="21">
        <v>0.38700008392333984</v>
      </c>
      <c r="K113" s="21">
        <v>0.22298399794060811</v>
      </c>
      <c r="L113" s="21">
        <v>0.38700008392333984</v>
      </c>
      <c r="M113" s="23">
        <v>0.27636018590033579</v>
      </c>
      <c r="N113" s="21">
        <v>80.686006638099158</v>
      </c>
    </row>
    <row r="114" spans="1:14" ht="12.75">
      <c r="A114" s="13">
        <v>46234</v>
      </c>
      <c r="B114" s="18">
        <v>2.8029999732971191</v>
      </c>
      <c r="C114" s="22">
        <v>2000</v>
      </c>
      <c r="D114" s="15">
        <v>713.52123405389671</v>
      </c>
      <c r="E114" s="15">
        <v>186733.45705261352</v>
      </c>
      <c r="F114" s="15">
        <v>523413.87513215444</v>
      </c>
      <c r="G114" s="15">
        <v>231000</v>
      </c>
      <c r="H114" s="15">
        <v>523413.87513215444</v>
      </c>
      <c r="I114" s="15">
        <v>292413.87513215444</v>
      </c>
      <c r="J114" s="21">
        <v>0</v>
      </c>
      <c r="K114" s="21">
        <v>0.1858199982838401</v>
      </c>
      <c r="L114" s="21">
        <v>0.64400005340576172</v>
      </c>
      <c r="M114" s="23">
        <v>0.33763349715124008</v>
      </c>
      <c r="N114" s="21">
        <v>55.036007935137903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H114"/>
  <sheetViews>
    <sheetView tabSelected="1" zoomScale="90" zoomScaleNormal="90" workbookViewId="0">
      <pane ySplit="1" topLeftCell="A2" activePane="bottomLeft" state="frozen"/>
      <selection activeCell="C10" sqref="C10"/>
      <selection pane="bottomLeft" activeCell="A3" sqref="A3"/>
    </sheetView>
  </sheetViews>
  <sheetFormatPr defaultColWidth="9" defaultRowHeight="12"/>
  <cols>
    <col min="1" max="1" width="10" style="2" customWidth="1"/>
    <col min="2" max="2" width="9" style="2"/>
    <col min="3" max="3" width="9.375" style="10" customWidth="1"/>
    <col min="4" max="4" width="9.25" style="10" customWidth="1"/>
    <col min="5" max="5" width="10.75" style="10" customWidth="1"/>
    <col min="6" max="7" width="11.5" style="10" customWidth="1"/>
    <col min="8" max="8" width="12.625" style="2" customWidth="1"/>
    <col min="9" max="9" width="10.75" style="2" customWidth="1"/>
    <col min="10" max="13" width="10.625" style="2" customWidth="1"/>
    <col min="14" max="17" width="9" style="2"/>
    <col min="18" max="18" width="9.75" style="2" bestFit="1" customWidth="1"/>
    <col min="19" max="20" width="11.375" style="2" customWidth="1"/>
    <col min="21" max="22" width="11.125" style="2" customWidth="1"/>
    <col min="23" max="23" width="10.25" style="2" customWidth="1"/>
    <col min="24" max="24" width="10.125" style="2" customWidth="1"/>
    <col min="25" max="25" width="9" style="2"/>
    <col min="26" max="26" width="9.75" style="2" bestFit="1" customWidth="1"/>
    <col min="27" max="28" width="9" style="2"/>
    <col min="29" max="29" width="9.75" style="2" bestFit="1" customWidth="1"/>
    <col min="30" max="31" width="9" style="2"/>
    <col min="32" max="32" width="10.25" style="2" bestFit="1" customWidth="1"/>
    <col min="33" max="16384" width="9" style="2"/>
  </cols>
  <sheetData>
    <row r="1" spans="1:34" s="1" customFormat="1" ht="27" customHeight="1">
      <c r="A1" s="6" t="s">
        <v>23</v>
      </c>
      <c r="B1" s="6" t="s">
        <v>24</v>
      </c>
      <c r="C1" s="6" t="s">
        <v>25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7" t="s">
        <v>26</v>
      </c>
      <c r="K1" s="6" t="s">
        <v>27</v>
      </c>
      <c r="L1" s="6" t="s">
        <v>28</v>
      </c>
      <c r="M1" s="6" t="s">
        <v>29</v>
      </c>
      <c r="N1" s="6" t="s">
        <v>30</v>
      </c>
      <c r="O1" s="20" t="s">
        <v>31</v>
      </c>
      <c r="P1" s="20" t="s">
        <v>32</v>
      </c>
      <c r="Q1" s="20" t="s">
        <v>33</v>
      </c>
    </row>
    <row r="2" spans="1:34" ht="14.1" customHeight="1">
      <c r="A2" s="4"/>
      <c r="B2" s="4"/>
      <c r="C2" s="9">
        <v>2000</v>
      </c>
      <c r="D2" s="27" t="s">
        <v>22</v>
      </c>
      <c r="E2" s="9"/>
      <c r="F2" s="9"/>
      <c r="G2" s="9"/>
      <c r="H2" s="4"/>
      <c r="I2" s="4"/>
      <c r="J2" s="4"/>
      <c r="K2" s="4"/>
      <c r="L2" s="3"/>
      <c r="M2" s="3"/>
    </row>
    <row r="3" spans="1:34" ht="14.1" customHeight="1">
      <c r="A3" s="13">
        <v>42853</v>
      </c>
      <c r="B3" s="18">
        <v>0.998</v>
      </c>
      <c r="C3" s="22">
        <v>2000</v>
      </c>
      <c r="D3" s="15">
        <v>2004.0080160320642</v>
      </c>
      <c r="E3" s="15">
        <v>2004.0080160320642</v>
      </c>
      <c r="F3" s="15">
        <v>2000</v>
      </c>
      <c r="G3" s="15">
        <v>2000</v>
      </c>
      <c r="H3" s="15">
        <v>2000</v>
      </c>
      <c r="I3" s="15">
        <v>0</v>
      </c>
      <c r="J3" s="15">
        <v>0.999</v>
      </c>
      <c r="K3" s="15">
        <v>0.99299999999999999</v>
      </c>
      <c r="L3" s="19">
        <v>0.999</v>
      </c>
      <c r="M3" s="19">
        <v>0.99299999999999999</v>
      </c>
      <c r="N3" s="21">
        <v>83.333333333333329</v>
      </c>
      <c r="O3" s="21">
        <v>83.333333333333329</v>
      </c>
      <c r="P3" s="21">
        <v>83.333333333333329</v>
      </c>
      <c r="Q3" s="21">
        <v>83.333333333333343</v>
      </c>
      <c r="R3" s="25" t="s">
        <v>9</v>
      </c>
      <c r="S3" s="26" t="s">
        <v>10</v>
      </c>
      <c r="T3" s="26" t="s">
        <v>11</v>
      </c>
      <c r="U3" s="26" t="s">
        <v>12</v>
      </c>
      <c r="V3" s="26" t="s">
        <v>13</v>
      </c>
      <c r="W3" s="26" t="s">
        <v>14</v>
      </c>
      <c r="X3" s="26" t="s">
        <v>15</v>
      </c>
      <c r="Z3" s="8">
        <v>43098</v>
      </c>
      <c r="AA3" s="3">
        <f>VLOOKUP(Z3,R:S,2,)</f>
        <v>18000</v>
      </c>
      <c r="AB3" s="3">
        <f t="shared" ref="AB3:AB4" si="0">0-AA3</f>
        <v>-18000</v>
      </c>
      <c r="AC3" s="8">
        <v>43098</v>
      </c>
      <c r="AD3" s="2">
        <f>VLOOKUP(AC3,R:S,2,)</f>
        <v>18000</v>
      </c>
      <c r="AE3" s="2">
        <f t="shared" ref="AE3" si="1">0-AD3</f>
        <v>-18000</v>
      </c>
      <c r="AF3" s="8">
        <v>43098</v>
      </c>
      <c r="AG3" s="3">
        <f>VLOOKUP(AF3,R:S,2,)</f>
        <v>18000</v>
      </c>
      <c r="AH3" s="3">
        <f t="shared" ref="AH3:AH6" si="2">0-AG3</f>
        <v>-18000</v>
      </c>
    </row>
    <row r="4" spans="1:34" ht="14.1" customHeight="1">
      <c r="A4" s="13">
        <v>42886</v>
      </c>
      <c r="B4" s="18">
        <v>0.97</v>
      </c>
      <c r="C4" s="22">
        <v>2000</v>
      </c>
      <c r="D4" s="15">
        <v>2061.855670103093</v>
      </c>
      <c r="E4" s="15">
        <v>4065.863686135157</v>
      </c>
      <c r="F4" s="15">
        <v>3943.8877755511021</v>
      </c>
      <c r="G4" s="15">
        <v>4000</v>
      </c>
      <c r="H4" s="15">
        <v>3943.8877755511021</v>
      </c>
      <c r="I4" s="15">
        <v>-56.112224448897905</v>
      </c>
      <c r="J4" s="15">
        <v>1.0149999999999999</v>
      </c>
      <c r="K4" s="15">
        <v>0.96399999999999997</v>
      </c>
      <c r="L4" s="19">
        <v>1.0149999999999999</v>
      </c>
      <c r="M4" s="19">
        <v>0.96399999999999997</v>
      </c>
      <c r="N4" s="21">
        <v>11.764705882352967</v>
      </c>
      <c r="O4" s="21">
        <v>59.477124183006538</v>
      </c>
      <c r="P4" s="21">
        <v>75.381263616557732</v>
      </c>
      <c r="Q4" s="21">
        <v>27.66884531590415</v>
      </c>
      <c r="R4" s="8">
        <v>43098</v>
      </c>
      <c r="S4" s="5">
        <v>18000</v>
      </c>
      <c r="T4" s="9">
        <v>18000</v>
      </c>
      <c r="U4" s="9">
        <v>17871.461686674415</v>
      </c>
      <c r="V4" s="9">
        <v>-128.53831332558548</v>
      </c>
      <c r="W4" s="11">
        <v>-7.1410174069769707E-3</v>
      </c>
      <c r="X4" s="11">
        <v>-7.1410174069769707E-3</v>
      </c>
      <c r="Z4" s="8">
        <v>43462</v>
      </c>
      <c r="AA4" s="3">
        <f>VLOOKUP(Z4,R:S,2,)</f>
        <v>27000</v>
      </c>
      <c r="AB4" s="3">
        <f t="shared" si="0"/>
        <v>-27000</v>
      </c>
      <c r="AC4" s="8">
        <v>43462</v>
      </c>
      <c r="AD4" s="2">
        <f>VLOOKUP(AC4,R:S,2,)</f>
        <v>27000</v>
      </c>
      <c r="AE4" s="2">
        <f t="shared" ref="AE4" si="3">0-AD4</f>
        <v>-27000</v>
      </c>
      <c r="AF4" s="8">
        <v>43462</v>
      </c>
      <c r="AG4" s="3">
        <f>VLOOKUP(AF4,R:S,2,)</f>
        <v>27000</v>
      </c>
      <c r="AH4" s="3">
        <f t="shared" si="2"/>
        <v>-27000</v>
      </c>
    </row>
    <row r="5" spans="1:34" ht="14.1" customHeight="1">
      <c r="A5" s="13">
        <v>42916</v>
      </c>
      <c r="B5" s="18">
        <v>1.0449999999999999</v>
      </c>
      <c r="C5" s="22">
        <v>2000</v>
      </c>
      <c r="D5" s="15">
        <v>1913.8755980861245</v>
      </c>
      <c r="E5" s="15">
        <v>5979.7392842212812</v>
      </c>
      <c r="F5" s="15">
        <v>6248.8275520112384</v>
      </c>
      <c r="G5" s="15">
        <v>6000</v>
      </c>
      <c r="H5" s="15">
        <v>6248.8275520112384</v>
      </c>
      <c r="I5" s="15">
        <v>248.82755201123837</v>
      </c>
      <c r="J5" s="15">
        <v>1.0489999999999999</v>
      </c>
      <c r="K5" s="15">
        <v>0.94</v>
      </c>
      <c r="L5" s="19">
        <v>1.0489999999999999</v>
      </c>
      <c r="M5" s="19">
        <v>0.94</v>
      </c>
      <c r="N5" s="21">
        <v>96.330275229357795</v>
      </c>
      <c r="O5" s="21">
        <v>71.761507865123619</v>
      </c>
      <c r="P5" s="21">
        <v>74.174678366079704</v>
      </c>
      <c r="Q5" s="21">
        <v>66.935166863211435</v>
      </c>
      <c r="R5" s="8">
        <v>43462</v>
      </c>
      <c r="S5" s="5">
        <v>27000</v>
      </c>
      <c r="T5" s="9">
        <v>45000</v>
      </c>
      <c r="U5" s="9">
        <v>34781.206091801556</v>
      </c>
      <c r="V5" s="9">
        <v>-10218.793908198444</v>
      </c>
      <c r="W5" s="11">
        <v>-0.22708430907107655</v>
      </c>
      <c r="X5" s="11">
        <v>-0.17050982044129948</v>
      </c>
      <c r="Z5" s="8">
        <v>43462</v>
      </c>
      <c r="AB5" s="16">
        <f>VLOOKUP(Z5,R:U,4,)</f>
        <v>34781.206091801556</v>
      </c>
      <c r="AC5" s="8">
        <v>43830</v>
      </c>
      <c r="AD5" s="2">
        <f>VLOOKUP(AC5,R:S,2,)</f>
        <v>24000</v>
      </c>
      <c r="AE5" s="2">
        <f t="shared" ref="AE5" si="4">0-AD5</f>
        <v>-24000</v>
      </c>
      <c r="AF5" s="8">
        <v>43830</v>
      </c>
      <c r="AG5" s="3">
        <f>VLOOKUP(AF5,R:S,2,)</f>
        <v>24000</v>
      </c>
      <c r="AH5" s="3">
        <f t="shared" si="2"/>
        <v>-24000</v>
      </c>
    </row>
    <row r="6" spans="1:34" ht="14.1" customHeight="1">
      <c r="A6" s="13">
        <v>42947</v>
      </c>
      <c r="B6" s="18">
        <v>1.0389999999999999</v>
      </c>
      <c r="C6" s="22">
        <v>2000</v>
      </c>
      <c r="D6" s="15">
        <v>1924.9278152069298</v>
      </c>
      <c r="E6" s="15">
        <v>7904.6670994282113</v>
      </c>
      <c r="F6" s="15">
        <v>8212.9491163059101</v>
      </c>
      <c r="G6" s="15">
        <v>8000</v>
      </c>
      <c r="H6" s="15">
        <v>8212.9491163059101</v>
      </c>
      <c r="I6" s="15">
        <v>212.94911630591014</v>
      </c>
      <c r="J6" s="15">
        <v>1.1040000000000001</v>
      </c>
      <c r="K6" s="15">
        <v>0.97599999999999998</v>
      </c>
      <c r="L6" s="19">
        <v>1.1040000000000001</v>
      </c>
      <c r="M6" s="19">
        <v>0.94</v>
      </c>
      <c r="N6" s="21">
        <v>60.365853658536523</v>
      </c>
      <c r="O6" s="21">
        <v>67.96295646292792</v>
      </c>
      <c r="P6" s="21">
        <v>72.104104398362438</v>
      </c>
      <c r="Q6" s="21">
        <v>59.680660592058871</v>
      </c>
      <c r="R6" s="8">
        <v>43830</v>
      </c>
      <c r="S6" s="5">
        <v>24000</v>
      </c>
      <c r="T6" s="9">
        <v>69000</v>
      </c>
      <c r="U6" s="9">
        <v>83231.022514320939</v>
      </c>
      <c r="V6" s="9">
        <v>14231.022514320939</v>
      </c>
      <c r="W6" s="11">
        <v>0.20624670310610058</v>
      </c>
      <c r="X6" s="11">
        <v>0.1013638681784228</v>
      </c>
      <c r="AB6" s="17">
        <v>-0.17050982044129948</v>
      </c>
      <c r="AC6" s="8">
        <v>43830</v>
      </c>
      <c r="AE6" s="2">
        <f>VLOOKUP(AC5,R:U,4,)</f>
        <v>83231.022514320939</v>
      </c>
      <c r="AF6" s="8">
        <v>44196</v>
      </c>
      <c r="AG6" s="3">
        <f>VLOOKUP(AF6,R:S,2,)</f>
        <v>24000</v>
      </c>
      <c r="AH6" s="3">
        <f t="shared" si="2"/>
        <v>-24000</v>
      </c>
    </row>
    <row r="7" spans="1:34" ht="14.1" customHeight="1">
      <c r="A7" s="13">
        <v>42978</v>
      </c>
      <c r="B7" s="18">
        <v>1.0760000000000001</v>
      </c>
      <c r="C7" s="22">
        <v>2000</v>
      </c>
      <c r="D7" s="15">
        <v>1858.7360594795539</v>
      </c>
      <c r="E7" s="15">
        <v>9763.4031589077658</v>
      </c>
      <c r="F7" s="15">
        <v>10505.421798984757</v>
      </c>
      <c r="G7" s="15">
        <v>10000</v>
      </c>
      <c r="H7" s="15">
        <v>10505.421798984757</v>
      </c>
      <c r="I7" s="15">
        <v>505.42179898475661</v>
      </c>
      <c r="J7" s="15">
        <v>1.1040000000000001</v>
      </c>
      <c r="K7" s="15">
        <v>1.028</v>
      </c>
      <c r="L7" s="19">
        <v>1.1040000000000001</v>
      </c>
      <c r="M7" s="19">
        <v>0.94</v>
      </c>
      <c r="N7" s="21">
        <v>82.926829268292678</v>
      </c>
      <c r="O7" s="21">
        <v>72.950914064716173</v>
      </c>
      <c r="P7" s="21">
        <v>72.386374287147021</v>
      </c>
      <c r="Q7" s="21">
        <v>74.079993619854463</v>
      </c>
      <c r="R7" s="8">
        <v>44196</v>
      </c>
      <c r="S7" s="5">
        <v>24000</v>
      </c>
      <c r="T7" s="9">
        <v>93000</v>
      </c>
      <c r="U7" s="9">
        <v>129619.81003862371</v>
      </c>
      <c r="V7" s="9">
        <v>36619.810038623706</v>
      </c>
      <c r="W7" s="11">
        <v>0.39376139826477102</v>
      </c>
      <c r="X7" s="11">
        <v>0.14228822888625192</v>
      </c>
      <c r="AE7" s="24">
        <v>0.1013638681784228</v>
      </c>
      <c r="AF7" s="8">
        <v>44196</v>
      </c>
      <c r="AH7" s="16">
        <f>VLOOKUP(AF6,R:U,4,)</f>
        <v>129619.81003862371</v>
      </c>
    </row>
    <row r="8" spans="1:34" ht="14.1" customHeight="1">
      <c r="A8" s="13">
        <v>43007</v>
      </c>
      <c r="B8" s="18">
        <v>1.08</v>
      </c>
      <c r="C8" s="22">
        <v>2000</v>
      </c>
      <c r="D8" s="15">
        <v>1851.8518518518517</v>
      </c>
      <c r="E8" s="15">
        <v>11615.255010759618</v>
      </c>
      <c r="F8" s="15">
        <v>12544.475411620388</v>
      </c>
      <c r="G8" s="15">
        <v>12000</v>
      </c>
      <c r="H8" s="15">
        <v>12544.475411620388</v>
      </c>
      <c r="I8" s="15">
        <v>544.4754116203876</v>
      </c>
      <c r="J8" s="15">
        <v>1.113</v>
      </c>
      <c r="K8" s="15">
        <v>1.07</v>
      </c>
      <c r="L8" s="19">
        <v>1.113</v>
      </c>
      <c r="M8" s="19">
        <v>0.94</v>
      </c>
      <c r="N8" s="21">
        <v>80.924855491329538</v>
      </c>
      <c r="O8" s="21">
        <v>75.608894540253957</v>
      </c>
      <c r="P8" s="21">
        <v>73.460547704849333</v>
      </c>
      <c r="Q8" s="21">
        <v>79.90558821106319</v>
      </c>
      <c r="R8" s="8">
        <v>44561</v>
      </c>
      <c r="S8" s="5">
        <v>24000</v>
      </c>
      <c r="T8" s="9">
        <v>117000</v>
      </c>
      <c r="U8" s="9">
        <v>168197.80159194008</v>
      </c>
      <c r="V8" s="9">
        <v>51197.801591940079</v>
      </c>
      <c r="W8" s="11">
        <v>0.43758804779435967</v>
      </c>
      <c r="X8" s="11">
        <v>0.12706215293314416</v>
      </c>
      <c r="AH8" s="24">
        <v>0.14228822888625192</v>
      </c>
    </row>
    <row r="9" spans="1:34" ht="14.1" customHeight="1">
      <c r="A9" s="13">
        <v>43039</v>
      </c>
      <c r="B9" s="18">
        <v>1.085</v>
      </c>
      <c r="C9" s="22">
        <v>2000</v>
      </c>
      <c r="D9" s="15">
        <v>1843.3179723502305</v>
      </c>
      <c r="E9" s="15">
        <v>13458.572983109849</v>
      </c>
      <c r="F9" s="15">
        <v>14602.551686674185</v>
      </c>
      <c r="G9" s="15">
        <v>14000</v>
      </c>
      <c r="H9" s="15">
        <v>14602.551686674185</v>
      </c>
      <c r="I9" s="15">
        <v>602.55168667418548</v>
      </c>
      <c r="J9" s="15">
        <v>1.117</v>
      </c>
      <c r="K9" s="15">
        <v>1.075</v>
      </c>
      <c r="L9" s="19">
        <v>1.117</v>
      </c>
      <c r="M9" s="19">
        <v>0.94</v>
      </c>
      <c r="N9" s="21">
        <v>81.920903954802242</v>
      </c>
      <c r="O9" s="21">
        <v>77.712897678436718</v>
      </c>
      <c r="P9" s="21">
        <v>74.877997696045128</v>
      </c>
      <c r="Q9" s="21">
        <v>83.382697643219899</v>
      </c>
      <c r="R9" s="8">
        <v>44925</v>
      </c>
      <c r="S9" s="5">
        <v>26000</v>
      </c>
      <c r="T9" s="9">
        <v>143000</v>
      </c>
      <c r="U9" s="9">
        <v>139743.50512873946</v>
      </c>
      <c r="V9" s="9">
        <v>-3256.4948712605401</v>
      </c>
      <c r="W9" s="11">
        <v>-2.2772691407416366E-2</v>
      </c>
      <c r="X9" s="11">
        <v>-6.7880447167628644E-3</v>
      </c>
      <c r="Z9" s="8">
        <v>43098</v>
      </c>
      <c r="AA9" s="2">
        <v>18000</v>
      </c>
      <c r="AB9" s="2">
        <f>-AA9</f>
        <v>-18000</v>
      </c>
      <c r="AC9" s="8">
        <v>43098</v>
      </c>
      <c r="AD9" s="2">
        <v>18000</v>
      </c>
      <c r="AE9" s="2">
        <f t="shared" ref="AE9:AE14" si="5">-AD9</f>
        <v>-18000</v>
      </c>
      <c r="AF9" s="8">
        <v>43098</v>
      </c>
      <c r="AG9" s="2">
        <v>18000</v>
      </c>
      <c r="AH9" s="2">
        <f t="shared" ref="AH9:AH15" si="6">-AG9</f>
        <v>-18000</v>
      </c>
    </row>
    <row r="10" spans="1:34" ht="14.1" customHeight="1">
      <c r="A10" s="13">
        <v>43069</v>
      </c>
      <c r="B10" s="18">
        <v>1.0660000000000001</v>
      </c>
      <c r="C10" s="22">
        <v>2000</v>
      </c>
      <c r="D10" s="15">
        <v>1876.172607879925</v>
      </c>
      <c r="E10" s="15">
        <v>15334.745590989774</v>
      </c>
      <c r="F10" s="15">
        <v>16346.838799995101</v>
      </c>
      <c r="G10" s="15">
        <v>16000</v>
      </c>
      <c r="H10" s="15">
        <v>16346.838799995101</v>
      </c>
      <c r="I10" s="15">
        <v>346.838799995101</v>
      </c>
      <c r="J10" s="15">
        <v>1.2210000000000001</v>
      </c>
      <c r="K10" s="15">
        <v>1.0620000000000001</v>
      </c>
      <c r="L10" s="19">
        <v>1.2210000000000001</v>
      </c>
      <c r="M10" s="19">
        <v>0.94</v>
      </c>
      <c r="N10" s="21">
        <v>44.839857651245573</v>
      </c>
      <c r="O10" s="21">
        <v>66.75521766937301</v>
      </c>
      <c r="P10" s="21">
        <v>72.170404353821084</v>
      </c>
      <c r="Q10" s="21">
        <v>55.924844300476877</v>
      </c>
      <c r="R10" s="8">
        <v>45289</v>
      </c>
      <c r="S10" s="5">
        <v>25000</v>
      </c>
      <c r="T10" s="9">
        <v>168000</v>
      </c>
      <c r="U10" s="9">
        <v>176773.3275352972</v>
      </c>
      <c r="V10" s="9">
        <v>8773.3275352971978</v>
      </c>
      <c r="W10" s="11">
        <v>5.2222187710102369E-2</v>
      </c>
      <c r="X10" s="11">
        <v>1.3097767436198504E-2</v>
      </c>
      <c r="Z10" s="8">
        <v>43462</v>
      </c>
      <c r="AA10" s="2">
        <v>27000</v>
      </c>
      <c r="AB10" s="2">
        <f>-AA10</f>
        <v>-27000</v>
      </c>
      <c r="AC10" s="8">
        <v>43462</v>
      </c>
      <c r="AD10" s="2">
        <v>27000</v>
      </c>
      <c r="AE10" s="2">
        <f t="shared" si="5"/>
        <v>-27000</v>
      </c>
      <c r="AF10" s="8">
        <v>43462</v>
      </c>
      <c r="AG10" s="2">
        <v>27000</v>
      </c>
      <c r="AH10" s="2">
        <f t="shared" si="6"/>
        <v>-27000</v>
      </c>
    </row>
    <row r="11" spans="1:34" ht="14.1" customHeight="1">
      <c r="A11" s="13">
        <v>43098</v>
      </c>
      <c r="B11" s="18">
        <v>1.0349999999999999</v>
      </c>
      <c r="C11" s="22">
        <v>2000</v>
      </c>
      <c r="D11" s="15">
        <v>1932.3671497584542</v>
      </c>
      <c r="E11" s="15">
        <v>17267.112740748227</v>
      </c>
      <c r="F11" s="15">
        <v>17871.461686674415</v>
      </c>
      <c r="G11" s="15">
        <v>18000</v>
      </c>
      <c r="H11" s="15">
        <v>17871.461686674415</v>
      </c>
      <c r="I11" s="15">
        <v>-128.53831332558548</v>
      </c>
      <c r="J11" s="15">
        <v>1.091</v>
      </c>
      <c r="K11" s="15">
        <v>1.024</v>
      </c>
      <c r="L11" s="19">
        <v>1.2210000000000001</v>
      </c>
      <c r="M11" s="19">
        <v>0.94</v>
      </c>
      <c r="N11" s="21">
        <v>33.807829181494633</v>
      </c>
      <c r="O11" s="21">
        <v>55.772754840080218</v>
      </c>
      <c r="P11" s="21">
        <v>66.704521182574126</v>
      </c>
      <c r="Q11" s="21">
        <v>33.909222155092408</v>
      </c>
      <c r="R11" s="8">
        <v>45657</v>
      </c>
      <c r="S11" s="5">
        <v>25000</v>
      </c>
      <c r="T11" s="9">
        <v>193000</v>
      </c>
      <c r="U11" s="9">
        <v>244058.99252272033</v>
      </c>
      <c r="V11" s="9">
        <v>51058.992522720335</v>
      </c>
      <c r="W11" s="11">
        <v>0.26455436540269606</v>
      </c>
      <c r="X11" s="11">
        <v>5.3367386499293845E-2</v>
      </c>
      <c r="Z11" s="8">
        <v>43830</v>
      </c>
      <c r="AA11" s="2">
        <v>24000</v>
      </c>
      <c r="AB11" s="2">
        <f>-AA11</f>
        <v>-24000</v>
      </c>
      <c r="AC11" s="8">
        <v>43830</v>
      </c>
      <c r="AD11" s="2">
        <v>24000</v>
      </c>
      <c r="AE11" s="2">
        <f t="shared" si="5"/>
        <v>-24000</v>
      </c>
      <c r="AF11" s="8">
        <v>43830</v>
      </c>
      <c r="AG11" s="2">
        <v>24000</v>
      </c>
      <c r="AH11" s="2">
        <f t="shared" si="6"/>
        <v>-24000</v>
      </c>
    </row>
    <row r="12" spans="1:34" ht="14.1" customHeight="1">
      <c r="A12" s="13">
        <v>43131</v>
      </c>
      <c r="B12" s="18">
        <v>0.997</v>
      </c>
      <c r="C12" s="22">
        <v>2000</v>
      </c>
      <c r="D12" s="15">
        <v>2006.0180541624875</v>
      </c>
      <c r="E12" s="15">
        <v>19273.130794910714</v>
      </c>
      <c r="F12" s="15">
        <v>19215.311402525982</v>
      </c>
      <c r="G12" s="15">
        <v>20000</v>
      </c>
      <c r="H12" s="15">
        <v>19215.311402525982</v>
      </c>
      <c r="I12" s="15">
        <v>-784.68859747401802</v>
      </c>
      <c r="J12" s="15">
        <v>1.069</v>
      </c>
      <c r="K12" s="15">
        <v>0.997</v>
      </c>
      <c r="L12" s="19">
        <v>1.2210000000000001</v>
      </c>
      <c r="M12" s="19">
        <v>0.94</v>
      </c>
      <c r="N12" s="21">
        <v>20.284697508896805</v>
      </c>
      <c r="O12" s="21">
        <v>43.943402396352411</v>
      </c>
      <c r="P12" s="21">
        <v>59.117481587166886</v>
      </c>
      <c r="Q12" s="21">
        <v>13.595244014723463</v>
      </c>
      <c r="Z12" s="8">
        <v>44196</v>
      </c>
      <c r="AA12" s="2">
        <v>24000</v>
      </c>
      <c r="AB12" s="2">
        <f>-AA12</f>
        <v>-24000</v>
      </c>
      <c r="AC12" s="8">
        <v>44196</v>
      </c>
      <c r="AD12" s="2">
        <v>24000</v>
      </c>
      <c r="AE12" s="2">
        <f t="shared" si="5"/>
        <v>-24000</v>
      </c>
      <c r="AF12" s="8">
        <v>44196</v>
      </c>
      <c r="AG12" s="2">
        <v>24000</v>
      </c>
      <c r="AH12" s="2">
        <f t="shared" si="6"/>
        <v>-24000</v>
      </c>
    </row>
    <row r="13" spans="1:34" ht="14.1" customHeight="1">
      <c r="A13" s="13">
        <v>43159</v>
      </c>
      <c r="B13" s="18">
        <v>1.002</v>
      </c>
      <c r="C13" s="22">
        <v>2000</v>
      </c>
      <c r="D13" s="15">
        <v>1996.0079840319361</v>
      </c>
      <c r="E13" s="15">
        <v>21269.138778942652</v>
      </c>
      <c r="F13" s="15">
        <v>21311.677056500535</v>
      </c>
      <c r="G13" s="15">
        <v>22000</v>
      </c>
      <c r="H13" s="15">
        <v>21311.677056500535</v>
      </c>
      <c r="I13" s="15">
        <v>-688.3229434994646</v>
      </c>
      <c r="J13" s="15">
        <v>1.01</v>
      </c>
      <c r="K13" s="15">
        <v>0.88600000000000001</v>
      </c>
      <c r="L13" s="19">
        <v>1.2210000000000001</v>
      </c>
      <c r="M13" s="19">
        <v>0.88600000000000001</v>
      </c>
      <c r="N13" s="21">
        <v>34.626865671641781</v>
      </c>
      <c r="O13" s="21">
        <v>40.837890154782201</v>
      </c>
      <c r="P13" s="21">
        <v>53.024284443038653</v>
      </c>
      <c r="Q13" s="21">
        <v>16.465101578269298</v>
      </c>
      <c r="Z13" s="8">
        <v>44561</v>
      </c>
      <c r="AA13" s="2">
        <v>24000</v>
      </c>
      <c r="AB13" s="2">
        <f>-AA13</f>
        <v>-24000</v>
      </c>
      <c r="AC13" s="8">
        <v>44561</v>
      </c>
      <c r="AD13" s="2">
        <v>24000</v>
      </c>
      <c r="AE13" s="2">
        <f t="shared" si="5"/>
        <v>-24000</v>
      </c>
      <c r="AF13" s="8">
        <v>44561</v>
      </c>
      <c r="AG13" s="2">
        <v>24000</v>
      </c>
      <c r="AH13" s="2">
        <f t="shared" si="6"/>
        <v>-24000</v>
      </c>
    </row>
    <row r="14" spans="1:34" ht="14.1" customHeight="1">
      <c r="A14" s="13">
        <v>43189</v>
      </c>
      <c r="B14" s="18">
        <v>1.089</v>
      </c>
      <c r="C14" s="22">
        <v>2000</v>
      </c>
      <c r="D14" s="15">
        <v>1836.5472910927456</v>
      </c>
      <c r="E14" s="15">
        <v>23105.686070035397</v>
      </c>
      <c r="F14" s="15">
        <v>25162.092130268546</v>
      </c>
      <c r="G14" s="15">
        <v>24000</v>
      </c>
      <c r="H14" s="15">
        <v>25162.092130268546</v>
      </c>
      <c r="I14" s="15">
        <v>1162.0921302685456</v>
      </c>
      <c r="J14" s="15">
        <v>1.1240000000000001</v>
      </c>
      <c r="K14" s="15">
        <v>0.98699999999999999</v>
      </c>
      <c r="L14" s="19">
        <v>1.2210000000000001</v>
      </c>
      <c r="M14" s="19">
        <v>0.88600000000000001</v>
      </c>
      <c r="N14" s="21">
        <v>60.597014925373109</v>
      </c>
      <c r="O14" s="21">
        <v>47.424265078312509</v>
      </c>
      <c r="P14" s="21">
        <v>51.157611321463271</v>
      </c>
      <c r="Q14" s="21">
        <v>39.957572592010976</v>
      </c>
      <c r="Z14" s="8">
        <v>44561</v>
      </c>
      <c r="AB14" s="2">
        <v>168197.80159194008</v>
      </c>
      <c r="AC14" s="8">
        <v>44925</v>
      </c>
      <c r="AD14" s="2">
        <v>26000</v>
      </c>
      <c r="AE14" s="2">
        <f t="shared" si="5"/>
        <v>-26000</v>
      </c>
      <c r="AF14" s="8">
        <v>44925</v>
      </c>
      <c r="AG14" s="2">
        <v>26000</v>
      </c>
      <c r="AH14" s="2">
        <f t="shared" si="6"/>
        <v>-26000</v>
      </c>
    </row>
    <row r="15" spans="1:34" ht="14.1" customHeight="1">
      <c r="A15" s="13">
        <v>43217</v>
      </c>
      <c r="B15" s="18">
        <v>1.0640000000000001</v>
      </c>
      <c r="C15" s="22">
        <v>2000</v>
      </c>
      <c r="D15" s="15">
        <v>1879.6992481203006</v>
      </c>
      <c r="E15" s="15">
        <v>24985.385318155699</v>
      </c>
      <c r="F15" s="15">
        <v>26584.449978517663</v>
      </c>
      <c r="G15" s="15">
        <v>26000</v>
      </c>
      <c r="H15" s="15">
        <v>26584.449978517663</v>
      </c>
      <c r="I15" s="15">
        <v>584.44997851766311</v>
      </c>
      <c r="J15" s="15">
        <v>1.1160000000000001</v>
      </c>
      <c r="K15" s="15">
        <v>1.044</v>
      </c>
      <c r="L15" s="19">
        <v>1.2210000000000001</v>
      </c>
      <c r="M15" s="19">
        <v>0.88600000000000001</v>
      </c>
      <c r="N15" s="21">
        <v>53.134328358208954</v>
      </c>
      <c r="O15" s="21">
        <v>49.327619504944657</v>
      </c>
      <c r="P15" s="21">
        <v>50.547614049290395</v>
      </c>
      <c r="Q15" s="21">
        <v>46.887630416253174</v>
      </c>
      <c r="AB15" s="24">
        <v>0.12706215293314416</v>
      </c>
      <c r="AC15" s="8">
        <v>44925</v>
      </c>
      <c r="AE15" s="2">
        <v>139743.50512873946</v>
      </c>
      <c r="AF15" s="8">
        <v>45289</v>
      </c>
      <c r="AG15" s="2">
        <v>25000</v>
      </c>
      <c r="AH15" s="2">
        <f t="shared" si="6"/>
        <v>-25000</v>
      </c>
    </row>
    <row r="16" spans="1:34" ht="14.1" customHeight="1">
      <c r="A16" s="13">
        <v>43251</v>
      </c>
      <c r="B16" s="18">
        <v>1.0029999999999999</v>
      </c>
      <c r="C16" s="22">
        <v>2000</v>
      </c>
      <c r="D16" s="15">
        <v>1994.0179461615157</v>
      </c>
      <c r="E16" s="15">
        <v>26979.403264317214</v>
      </c>
      <c r="F16" s="15">
        <v>27060.341474110162</v>
      </c>
      <c r="G16" s="15">
        <v>28000</v>
      </c>
      <c r="H16" s="15">
        <v>27060.341474110162</v>
      </c>
      <c r="I16" s="15">
        <v>-939.65852588983762</v>
      </c>
      <c r="J16" s="15">
        <v>1.07</v>
      </c>
      <c r="K16" s="15">
        <v>0.997</v>
      </c>
      <c r="L16" s="19">
        <v>1.2210000000000001</v>
      </c>
      <c r="M16" s="19">
        <v>0.88600000000000001</v>
      </c>
      <c r="N16" s="21">
        <v>34.925373134328318</v>
      </c>
      <c r="O16" s="21">
        <v>44.526870714739211</v>
      </c>
      <c r="P16" s="21">
        <v>48.54069960444</v>
      </c>
      <c r="Q16" s="21">
        <v>36.499212935337638</v>
      </c>
      <c r="AE16" s="24">
        <v>-6.7880447167628644E-3</v>
      </c>
      <c r="AF16" s="8">
        <v>45289</v>
      </c>
      <c r="AH16" s="2">
        <v>176773.3275352972</v>
      </c>
    </row>
    <row r="17" spans="1:34" ht="14.1" customHeight="1">
      <c r="A17" s="13">
        <v>43280</v>
      </c>
      <c r="B17" s="18">
        <v>0.92300000000000004</v>
      </c>
      <c r="C17" s="22">
        <v>2000</v>
      </c>
      <c r="D17" s="15">
        <v>2166.8472372697724</v>
      </c>
      <c r="E17" s="15">
        <v>29146.250501586987</v>
      </c>
      <c r="F17" s="15">
        <v>26901.989212964789</v>
      </c>
      <c r="G17" s="15">
        <v>30000</v>
      </c>
      <c r="H17" s="15">
        <v>26901.989212964789</v>
      </c>
      <c r="I17" s="15">
        <v>-3098.0107870352113</v>
      </c>
      <c r="J17" s="15">
        <v>1.006</v>
      </c>
      <c r="K17" s="15">
        <v>0.87</v>
      </c>
      <c r="L17" s="19">
        <v>1.2210000000000001</v>
      </c>
      <c r="M17" s="19">
        <v>0.87</v>
      </c>
      <c r="N17" s="21">
        <v>15.099715099715109</v>
      </c>
      <c r="O17" s="21">
        <v>34.717818843064514</v>
      </c>
      <c r="P17" s="21">
        <v>43.9330726839815</v>
      </c>
      <c r="Q17" s="21">
        <v>16.287311161230534</v>
      </c>
      <c r="AH17" s="24">
        <v>1.3097767436198504E-2</v>
      </c>
    </row>
    <row r="18" spans="1:34" ht="14.1" customHeight="1">
      <c r="A18" s="13">
        <v>43312</v>
      </c>
      <c r="B18" s="18">
        <v>0.91700000000000004</v>
      </c>
      <c r="C18" s="22">
        <v>2000</v>
      </c>
      <c r="D18" s="15">
        <v>2181.0250817884403</v>
      </c>
      <c r="E18" s="15">
        <v>31327.275583375427</v>
      </c>
      <c r="F18" s="15">
        <v>28727.111709955268</v>
      </c>
      <c r="G18" s="15">
        <v>32000</v>
      </c>
      <c r="H18" s="15">
        <v>28727.111709955268</v>
      </c>
      <c r="I18" s="15">
        <v>-3272.8882900447315</v>
      </c>
      <c r="J18" s="15">
        <v>0.97</v>
      </c>
      <c r="K18" s="15">
        <v>0.88700000000000001</v>
      </c>
      <c r="L18" s="19">
        <v>1.2210000000000001</v>
      </c>
      <c r="M18" s="19">
        <v>0.87</v>
      </c>
      <c r="N18" s="21">
        <v>13.3903133903134</v>
      </c>
      <c r="O18" s="21">
        <v>27.608650358814142</v>
      </c>
      <c r="P18" s="21">
        <v>38.491598575592384</v>
      </c>
      <c r="Q18" s="21">
        <v>5.8427539252576537</v>
      </c>
      <c r="Z18" s="8">
        <v>43098</v>
      </c>
      <c r="AA18" s="2">
        <v>18000</v>
      </c>
      <c r="AB18" s="2">
        <f t="shared" ref="AB18:AB25" si="7">-AA18</f>
        <v>-18000</v>
      </c>
    </row>
    <row r="19" spans="1:34" ht="14.1" customHeight="1">
      <c r="A19" s="13">
        <v>43343</v>
      </c>
      <c r="B19" s="18">
        <v>0.86499999999999999</v>
      </c>
      <c r="C19" s="22">
        <v>3000</v>
      </c>
      <c r="D19" s="15">
        <v>3468.2080924855491</v>
      </c>
      <c r="E19" s="15">
        <v>34795.483675860974</v>
      </c>
      <c r="F19" s="15">
        <v>30098.093379619742</v>
      </c>
      <c r="G19" s="15">
        <v>35000</v>
      </c>
      <c r="H19" s="15">
        <v>30098.093379619742</v>
      </c>
      <c r="I19" s="15">
        <v>-4901.9066203802577</v>
      </c>
      <c r="J19" s="15">
        <v>0.93</v>
      </c>
      <c r="K19" s="15">
        <v>0.85099999999999998</v>
      </c>
      <c r="L19" s="19">
        <v>1.1240000000000001</v>
      </c>
      <c r="M19" s="19">
        <v>0.85099999999999998</v>
      </c>
      <c r="N19" s="21">
        <v>5.1282051282051304</v>
      </c>
      <c r="O19" s="21">
        <v>20.115168615277806</v>
      </c>
      <c r="P19" s="21">
        <v>32.366121922154193</v>
      </c>
      <c r="Q19" s="21">
        <v>-4.3867379984749704</v>
      </c>
      <c r="Z19" s="8">
        <v>43462</v>
      </c>
      <c r="AA19" s="2">
        <v>27000</v>
      </c>
      <c r="AB19" s="2">
        <f t="shared" si="7"/>
        <v>-27000</v>
      </c>
    </row>
    <row r="20" spans="1:34" ht="14.1" customHeight="1">
      <c r="A20" s="13">
        <v>43371</v>
      </c>
      <c r="B20" s="18">
        <v>0.83499999999999996</v>
      </c>
      <c r="C20" s="22">
        <v>3000</v>
      </c>
      <c r="D20" s="15">
        <v>3592.8143712574852</v>
      </c>
      <c r="E20" s="15">
        <v>38388.298047118456</v>
      </c>
      <c r="F20" s="15">
        <v>32054.228869343911</v>
      </c>
      <c r="G20" s="15">
        <v>38000</v>
      </c>
      <c r="H20" s="15">
        <v>32054.228869343911</v>
      </c>
      <c r="I20" s="15">
        <v>-5945.7711306560886</v>
      </c>
      <c r="J20" s="15">
        <v>0.89</v>
      </c>
      <c r="K20" s="15">
        <v>0.82199999999999995</v>
      </c>
      <c r="L20" s="19">
        <v>1.1240000000000001</v>
      </c>
      <c r="M20" s="19">
        <v>0.82199999999999995</v>
      </c>
      <c r="N20" s="21">
        <v>4.304635761589406</v>
      </c>
      <c r="O20" s="21">
        <v>14.844990997381672</v>
      </c>
      <c r="P20" s="21">
        <v>26.52574494723002</v>
      </c>
      <c r="Q20" s="21">
        <v>-8.5165169023150256</v>
      </c>
      <c r="Z20" s="8">
        <v>43830</v>
      </c>
      <c r="AA20" s="2">
        <v>24000</v>
      </c>
      <c r="AB20" s="2">
        <f t="shared" si="7"/>
        <v>-24000</v>
      </c>
    </row>
    <row r="21" spans="1:34" ht="14.1" customHeight="1">
      <c r="A21" s="13">
        <v>43404</v>
      </c>
      <c r="B21" s="18">
        <v>0.72399999999999998</v>
      </c>
      <c r="C21" s="22">
        <v>3000</v>
      </c>
      <c r="D21" s="15">
        <v>4143.6464088397788</v>
      </c>
      <c r="E21" s="15">
        <v>42531.944455958233</v>
      </c>
      <c r="F21" s="15">
        <v>30793.127786113761</v>
      </c>
      <c r="G21" s="15">
        <v>41000</v>
      </c>
      <c r="H21" s="15">
        <v>30793.127786113761</v>
      </c>
      <c r="I21" s="15">
        <v>-10206.872213886239</v>
      </c>
      <c r="J21" s="15">
        <v>0.83099999999999996</v>
      </c>
      <c r="K21" s="15">
        <v>0.68100000000000005</v>
      </c>
      <c r="L21" s="19">
        <v>1.1240000000000001</v>
      </c>
      <c r="M21" s="19">
        <v>0.68100000000000005</v>
      </c>
      <c r="N21" s="21">
        <v>9.7065462753950165</v>
      </c>
      <c r="O21" s="21">
        <v>13.132176090052786</v>
      </c>
      <c r="P21" s="21">
        <v>22.061221994837609</v>
      </c>
      <c r="Q21" s="21">
        <v>-4.7259157195168626</v>
      </c>
      <c r="Z21" s="8">
        <v>44196</v>
      </c>
      <c r="AA21" s="2">
        <v>24000</v>
      </c>
      <c r="AB21" s="2">
        <f t="shared" si="7"/>
        <v>-24000</v>
      </c>
    </row>
    <row r="22" spans="1:34" ht="14.1" customHeight="1">
      <c r="A22" s="13">
        <v>43434</v>
      </c>
      <c r="B22" s="18">
        <v>0.76300000000000001</v>
      </c>
      <c r="C22" s="22">
        <v>2000</v>
      </c>
      <c r="D22" s="15">
        <v>2621.231979030144</v>
      </c>
      <c r="E22" s="15">
        <v>45153.176434988374</v>
      </c>
      <c r="F22" s="15">
        <v>34451.873619896127</v>
      </c>
      <c r="G22" s="15">
        <v>43000</v>
      </c>
      <c r="H22" s="15">
        <v>34451.873619896127</v>
      </c>
      <c r="I22" s="15">
        <v>-8548.1263801038731</v>
      </c>
      <c r="J22" s="15">
        <v>0.82199999999999995</v>
      </c>
      <c r="K22" s="15">
        <v>0.75</v>
      </c>
      <c r="L22" s="19">
        <v>1.1240000000000001</v>
      </c>
      <c r="M22" s="19">
        <v>0.68100000000000005</v>
      </c>
      <c r="N22" s="21">
        <v>18.510158013544007</v>
      </c>
      <c r="O22" s="21">
        <v>14.924836731216525</v>
      </c>
      <c r="P22" s="21">
        <v>19.682426906963915</v>
      </c>
      <c r="Q22" s="21">
        <v>5.4096563797217456</v>
      </c>
      <c r="Z22" s="8">
        <v>44561</v>
      </c>
      <c r="AA22" s="2">
        <v>24000</v>
      </c>
      <c r="AB22" s="2">
        <f t="shared" si="7"/>
        <v>-24000</v>
      </c>
    </row>
    <row r="23" spans="1:34" ht="14.1" customHeight="1">
      <c r="A23" s="13">
        <v>43462</v>
      </c>
      <c r="B23" s="18">
        <v>0.72599999999999998</v>
      </c>
      <c r="C23" s="22">
        <v>2000</v>
      </c>
      <c r="D23" s="15">
        <v>2754.8209366391184</v>
      </c>
      <c r="E23" s="15">
        <v>47907.997371627491</v>
      </c>
      <c r="F23" s="15">
        <v>34781.206091801556</v>
      </c>
      <c r="G23" s="15">
        <v>45000</v>
      </c>
      <c r="H23" s="15">
        <v>34781.206091801556</v>
      </c>
      <c r="I23" s="15">
        <v>-10218.793908198444</v>
      </c>
      <c r="J23" s="15">
        <v>0.79</v>
      </c>
      <c r="K23" s="15">
        <v>0.72399999999999998</v>
      </c>
      <c r="L23" s="19">
        <v>1.1160000000000001</v>
      </c>
      <c r="M23" s="19">
        <v>0.68100000000000005</v>
      </c>
      <c r="N23" s="21">
        <v>10.344827586206879</v>
      </c>
      <c r="O23" s="21">
        <v>13.398167016213309</v>
      </c>
      <c r="P23" s="21">
        <v>17.587673610047045</v>
      </c>
      <c r="Q23" s="21">
        <v>5.0191538285458392</v>
      </c>
      <c r="R23" s="10"/>
      <c r="Z23" s="8">
        <v>44925</v>
      </c>
      <c r="AA23" s="2">
        <v>26000</v>
      </c>
      <c r="AB23" s="2">
        <f t="shared" si="7"/>
        <v>-26000</v>
      </c>
    </row>
    <row r="24" spans="1:34" ht="14.1" customHeight="1">
      <c r="A24" s="13">
        <v>43496</v>
      </c>
      <c r="B24" s="18">
        <v>0.74099999999999999</v>
      </c>
      <c r="C24" s="22">
        <v>2000</v>
      </c>
      <c r="D24" s="15">
        <v>2699.0553306342781</v>
      </c>
      <c r="E24" s="15">
        <v>50607.052702261768</v>
      </c>
      <c r="F24" s="15">
        <v>37499.826052375967</v>
      </c>
      <c r="G24" s="15">
        <v>47000</v>
      </c>
      <c r="H24" s="15">
        <v>37499.826052375967</v>
      </c>
      <c r="I24" s="15">
        <v>-9500.1739476240327</v>
      </c>
      <c r="J24" s="15">
        <v>0.77800000000000002</v>
      </c>
      <c r="K24" s="15">
        <v>0.71</v>
      </c>
      <c r="L24" s="19">
        <v>1.07</v>
      </c>
      <c r="M24" s="19">
        <v>0.68100000000000005</v>
      </c>
      <c r="N24" s="21">
        <v>15.424164524421579</v>
      </c>
      <c r="O24" s="21">
        <v>14.073499518949399</v>
      </c>
      <c r="P24" s="21">
        <v>16.41628224634783</v>
      </c>
      <c r="Q24" s="21">
        <v>9.3879340641525388</v>
      </c>
      <c r="Z24" s="8">
        <v>45289</v>
      </c>
      <c r="AA24" s="2">
        <v>25000</v>
      </c>
      <c r="AB24" s="2">
        <f t="shared" si="7"/>
        <v>-25000</v>
      </c>
    </row>
    <row r="25" spans="1:34" ht="14.1" customHeight="1">
      <c r="A25" s="13">
        <v>43524</v>
      </c>
      <c r="B25" s="18">
        <v>0.92700000000000005</v>
      </c>
      <c r="C25" s="22">
        <v>2000</v>
      </c>
      <c r="D25" s="15">
        <v>2157.4973031283712</v>
      </c>
      <c r="E25" s="15">
        <v>52764.550005390141</v>
      </c>
      <c r="F25" s="15">
        <v>48912.737854996667</v>
      </c>
      <c r="G25" s="15">
        <v>49000</v>
      </c>
      <c r="H25" s="15">
        <v>48912.737854996667</v>
      </c>
      <c r="I25" s="15">
        <v>-87.262145003332989</v>
      </c>
      <c r="J25" s="15">
        <v>0.98899999999999999</v>
      </c>
      <c r="K25" s="15">
        <v>0.74099999999999999</v>
      </c>
      <c r="L25" s="19">
        <v>1.006</v>
      </c>
      <c r="M25" s="19">
        <v>0.68100000000000005</v>
      </c>
      <c r="N25" s="21">
        <v>75.692307692307708</v>
      </c>
      <c r="O25" s="21">
        <v>34.613102243402167</v>
      </c>
      <c r="P25" s="21">
        <v>22.481888912032606</v>
      </c>
      <c r="Q25" s="21">
        <v>58.875528906141291</v>
      </c>
      <c r="Z25" s="8">
        <v>45657</v>
      </c>
      <c r="AA25" s="2">
        <v>25000</v>
      </c>
      <c r="AB25" s="2">
        <f t="shared" si="7"/>
        <v>-25000</v>
      </c>
    </row>
    <row r="26" spans="1:34" ht="14.1" customHeight="1">
      <c r="A26" s="13">
        <v>43553</v>
      </c>
      <c r="B26" s="18">
        <v>1.0249999999999999</v>
      </c>
      <c r="C26" s="22">
        <v>2000</v>
      </c>
      <c r="D26" s="15">
        <v>1951.2195121951222</v>
      </c>
      <c r="E26" s="15">
        <v>54715.769517585264</v>
      </c>
      <c r="F26" s="15">
        <v>56083.663755524889</v>
      </c>
      <c r="G26" s="15">
        <v>51000</v>
      </c>
      <c r="H26" s="15">
        <v>56083.663755524889</v>
      </c>
      <c r="I26" s="15">
        <v>5083.663755524889</v>
      </c>
      <c r="J26" s="15">
        <v>1.1519999999999999</v>
      </c>
      <c r="K26" s="15">
        <v>0.91200000000000003</v>
      </c>
      <c r="L26" s="19">
        <v>1.1519999999999999</v>
      </c>
      <c r="M26" s="19">
        <v>0.68100000000000005</v>
      </c>
      <c r="N26" s="21">
        <v>73.036093418259014</v>
      </c>
      <c r="O26" s="21">
        <v>47.420765968354452</v>
      </c>
      <c r="P26" s="21">
        <v>30.794847930806554</v>
      </c>
      <c r="Q26" s="21">
        <v>80.67260204345024</v>
      </c>
      <c r="Z26" s="8">
        <v>45657</v>
      </c>
      <c r="AB26" s="2">
        <v>244058.99252272033</v>
      </c>
    </row>
    <row r="27" spans="1:34" ht="14.1" customHeight="1">
      <c r="A27" s="13">
        <v>43585</v>
      </c>
      <c r="B27" s="18">
        <v>0.98099999999999998</v>
      </c>
      <c r="C27" s="22">
        <v>2000</v>
      </c>
      <c r="D27" s="15">
        <v>2038.7359836901121</v>
      </c>
      <c r="E27" s="15">
        <v>56754.505501275373</v>
      </c>
      <c r="F27" s="15">
        <v>55676.16989675114</v>
      </c>
      <c r="G27" s="15">
        <v>53000</v>
      </c>
      <c r="H27" s="15">
        <v>55676.16989675114</v>
      </c>
      <c r="I27" s="15">
        <v>2676.1698967511402</v>
      </c>
      <c r="J27" s="15">
        <v>1.095</v>
      </c>
      <c r="K27" s="15">
        <v>0.97299999999999998</v>
      </c>
      <c r="L27" s="19">
        <v>1.1519999999999999</v>
      </c>
      <c r="M27" s="19">
        <v>0.68100000000000005</v>
      </c>
      <c r="N27" s="21">
        <v>63.69426751592357</v>
      </c>
      <c r="O27" s="21">
        <v>52.845266484210832</v>
      </c>
      <c r="P27" s="21">
        <v>38.144987448607985</v>
      </c>
      <c r="Q27" s="21">
        <v>82.245824555416519</v>
      </c>
      <c r="AB27" s="24">
        <v>5.3367386499293845E-2</v>
      </c>
    </row>
    <row r="28" spans="1:34" ht="14.1" customHeight="1">
      <c r="A28" s="13">
        <v>43616</v>
      </c>
      <c r="B28" s="18">
        <v>0.91800000000000004</v>
      </c>
      <c r="C28" s="22">
        <v>2000</v>
      </c>
      <c r="D28" s="15">
        <v>2178.6492374727668</v>
      </c>
      <c r="E28" s="15">
        <v>58933.154738748141</v>
      </c>
      <c r="F28" s="15">
        <v>54100.636050170797</v>
      </c>
      <c r="G28" s="15">
        <v>55000</v>
      </c>
      <c r="H28" s="15">
        <v>54100.636050170797</v>
      </c>
      <c r="I28" s="15">
        <v>-899.36394982920319</v>
      </c>
      <c r="J28" s="15">
        <v>0.96799999999999997</v>
      </c>
      <c r="K28" s="15">
        <v>0.86399999999999999</v>
      </c>
      <c r="L28" s="19">
        <v>1.1519999999999999</v>
      </c>
      <c r="M28" s="19">
        <v>0.68100000000000005</v>
      </c>
      <c r="N28" s="21">
        <v>50.318471337579631</v>
      </c>
      <c r="O28" s="21">
        <v>52.003001435333765</v>
      </c>
      <c r="P28" s="21">
        <v>42.764325444183243</v>
      </c>
      <c r="Q28" s="21">
        <v>70.480353417634802</v>
      </c>
    </row>
    <row r="29" spans="1:34" ht="14.1" customHeight="1">
      <c r="A29" s="13">
        <v>43644</v>
      </c>
      <c r="B29" s="18">
        <v>0.93500000000000005</v>
      </c>
      <c r="C29" s="22">
        <v>2000</v>
      </c>
      <c r="D29" s="15">
        <v>2139.0374331550802</v>
      </c>
      <c r="E29" s="15">
        <v>61072.192171903218</v>
      </c>
      <c r="F29" s="15">
        <v>57102.49968072951</v>
      </c>
      <c r="G29" s="15">
        <v>57000</v>
      </c>
      <c r="H29" s="15">
        <v>57102.49968072951</v>
      </c>
      <c r="I29" s="15">
        <v>102.49968072951015</v>
      </c>
      <c r="J29" s="15">
        <v>0.95699999999999996</v>
      </c>
      <c r="K29" s="15">
        <v>0.89</v>
      </c>
      <c r="L29" s="19">
        <v>1.1519999999999999</v>
      </c>
      <c r="M29" s="19">
        <v>0.68100000000000005</v>
      </c>
      <c r="N29" s="21">
        <v>53.927813163481964</v>
      </c>
      <c r="O29" s="21">
        <v>52.644605344716496</v>
      </c>
      <c r="P29" s="21">
        <v>46.057752077694325</v>
      </c>
      <c r="Q29" s="21">
        <v>65.818311878760838</v>
      </c>
    </row>
    <row r="30" spans="1:34" ht="14.1" customHeight="1">
      <c r="A30" s="13">
        <v>43677</v>
      </c>
      <c r="B30" s="18">
        <v>0.98899999999999999</v>
      </c>
      <c r="C30" s="22">
        <v>2000</v>
      </c>
      <c r="D30" s="15">
        <v>2022.2446916076844</v>
      </c>
      <c r="E30" s="15">
        <v>63094.436863510906</v>
      </c>
      <c r="F30" s="15">
        <v>62400.398058012288</v>
      </c>
      <c r="G30" s="15">
        <v>59000</v>
      </c>
      <c r="H30" s="15">
        <v>62400.398058012288</v>
      </c>
      <c r="I30" s="15">
        <v>3400.3980580122879</v>
      </c>
      <c r="J30" s="15">
        <v>1</v>
      </c>
      <c r="K30" s="15">
        <v>0.91100000000000003</v>
      </c>
      <c r="L30" s="19">
        <v>1.1519999999999999</v>
      </c>
      <c r="M30" s="19">
        <v>0.71</v>
      </c>
      <c r="N30" s="21">
        <v>63.122171945701368</v>
      </c>
      <c r="O30" s="21">
        <v>56.137127545044791</v>
      </c>
      <c r="P30" s="21">
        <v>49.417543900144473</v>
      </c>
      <c r="Q30" s="21">
        <v>69.576294834845427</v>
      </c>
    </row>
    <row r="31" spans="1:34" ht="14.1" customHeight="1">
      <c r="A31" s="13">
        <v>43707</v>
      </c>
      <c r="B31" s="18">
        <v>1.0269999999999999</v>
      </c>
      <c r="C31" s="22">
        <v>2000</v>
      </c>
      <c r="D31" s="15">
        <v>1947.4196689386565</v>
      </c>
      <c r="E31" s="15">
        <v>65041.856532449565</v>
      </c>
      <c r="F31" s="15">
        <v>66797.986658825699</v>
      </c>
      <c r="G31" s="15">
        <v>61000</v>
      </c>
      <c r="H31" s="15">
        <v>66797.986658825699</v>
      </c>
      <c r="I31" s="15">
        <v>5797.9866588256991</v>
      </c>
      <c r="J31" s="15">
        <v>1.0569999999999999</v>
      </c>
      <c r="K31" s="15">
        <v>0.91200000000000003</v>
      </c>
      <c r="L31" s="19">
        <v>1.1519999999999999</v>
      </c>
      <c r="M31" s="19">
        <v>0.71</v>
      </c>
      <c r="N31" s="21">
        <v>71.719457013574655</v>
      </c>
      <c r="O31" s="21">
        <v>61.331237367888072</v>
      </c>
      <c r="P31" s="21">
        <v>53.388775056059011</v>
      </c>
      <c r="Q31" s="21">
        <v>77.216161991546201</v>
      </c>
    </row>
    <row r="32" spans="1:34" ht="14.1" customHeight="1">
      <c r="A32" s="13">
        <v>43738</v>
      </c>
      <c r="B32" s="18">
        <v>1.083</v>
      </c>
      <c r="C32" s="22">
        <v>2000</v>
      </c>
      <c r="D32" s="15">
        <v>1846.7220683287167</v>
      </c>
      <c r="E32" s="15">
        <v>66888.578600778288</v>
      </c>
      <c r="F32" s="15">
        <v>72440.330624642884</v>
      </c>
      <c r="G32" s="15">
        <v>63000</v>
      </c>
      <c r="H32" s="15">
        <v>72440.330624642884</v>
      </c>
      <c r="I32" s="15">
        <v>9440.3306246428838</v>
      </c>
      <c r="J32" s="15">
        <v>1.171</v>
      </c>
      <c r="K32" s="15">
        <v>1.022</v>
      </c>
      <c r="L32" s="19">
        <v>1.171</v>
      </c>
      <c r="M32" s="19">
        <v>0.71</v>
      </c>
      <c r="N32" s="21">
        <v>80.911062906724496</v>
      </c>
      <c r="O32" s="21">
        <v>67.857845880833551</v>
      </c>
      <c r="P32" s="21">
        <v>58.211798664317193</v>
      </c>
      <c r="Q32" s="21">
        <v>87.149940313866253</v>
      </c>
    </row>
    <row r="33" spans="1:18" ht="14.1" customHeight="1">
      <c r="A33" s="13">
        <v>43769</v>
      </c>
      <c r="B33" s="18">
        <v>1.07</v>
      </c>
      <c r="C33" s="22">
        <v>2000</v>
      </c>
      <c r="D33" s="15">
        <v>1869.1588785046729</v>
      </c>
      <c r="E33" s="15">
        <v>68757.737479282965</v>
      </c>
      <c r="F33" s="15">
        <v>73570.779102832777</v>
      </c>
      <c r="G33" s="15">
        <v>65000</v>
      </c>
      <c r="H33" s="15">
        <v>73570.779102832777</v>
      </c>
      <c r="I33" s="15">
        <v>8570.7791028327774</v>
      </c>
      <c r="J33" s="15">
        <v>1.1779999999999999</v>
      </c>
      <c r="K33" s="15">
        <v>1.048</v>
      </c>
      <c r="L33" s="19">
        <v>1.1779999999999999</v>
      </c>
      <c r="M33" s="19">
        <v>0.74099999999999999</v>
      </c>
      <c r="N33" s="21">
        <v>75.286041189931368</v>
      </c>
      <c r="O33" s="21">
        <v>70.333910983866147</v>
      </c>
      <c r="P33" s="21">
        <v>62.252502770833509</v>
      </c>
      <c r="Q33" s="21">
        <v>86.496727409931438</v>
      </c>
    </row>
    <row r="34" spans="1:18" ht="14.1" customHeight="1">
      <c r="A34" s="13">
        <v>43798</v>
      </c>
      <c r="B34" s="18">
        <v>1.0649999999999999</v>
      </c>
      <c r="C34" s="22">
        <v>2000</v>
      </c>
      <c r="D34" s="15">
        <v>1877.9342723004695</v>
      </c>
      <c r="E34" s="15">
        <v>70635.671751583432</v>
      </c>
      <c r="F34" s="15">
        <v>75226.990415436347</v>
      </c>
      <c r="G34" s="15">
        <v>67000</v>
      </c>
      <c r="H34" s="15">
        <v>75226.990415436347</v>
      </c>
      <c r="I34" s="15">
        <v>8226.9904154363467</v>
      </c>
      <c r="J34" s="15">
        <v>1.117</v>
      </c>
      <c r="K34" s="15">
        <v>1.052</v>
      </c>
      <c r="L34" s="19">
        <v>1.1779999999999999</v>
      </c>
      <c r="M34" s="19">
        <v>0.86399999999999999</v>
      </c>
      <c r="N34" s="21">
        <v>64.01273885350318</v>
      </c>
      <c r="O34" s="21">
        <v>68.226853607078496</v>
      </c>
      <c r="P34" s="21">
        <v>64.243953049581833</v>
      </c>
      <c r="Q34" s="21">
        <v>76.192654722071808</v>
      </c>
    </row>
    <row r="35" spans="1:18" ht="14.1" customHeight="1">
      <c r="A35" s="13">
        <v>43830</v>
      </c>
      <c r="B35" s="18">
        <v>1.1499999999999999</v>
      </c>
      <c r="C35" s="22">
        <v>2000</v>
      </c>
      <c r="D35" s="15">
        <v>1739.1304347826087</v>
      </c>
      <c r="E35" s="15">
        <v>72374.80218636604</v>
      </c>
      <c r="F35" s="15">
        <v>83231.022514320939</v>
      </c>
      <c r="G35" s="15">
        <v>69000</v>
      </c>
      <c r="H35" s="15">
        <v>83231.022514320939</v>
      </c>
      <c r="I35" s="15">
        <v>14231.022514320939</v>
      </c>
      <c r="J35" s="15">
        <v>1.1879999999999999</v>
      </c>
      <c r="K35" s="15">
        <v>1.06</v>
      </c>
      <c r="L35" s="19">
        <v>1.1879999999999999</v>
      </c>
      <c r="M35" s="19">
        <v>0.86399999999999999</v>
      </c>
      <c r="N35" s="21">
        <v>88.271604938271594</v>
      </c>
      <c r="O35" s="21">
        <v>74.908437384142857</v>
      </c>
      <c r="P35" s="21">
        <v>67.79878116110217</v>
      </c>
      <c r="Q35" s="21">
        <v>89.127749830224218</v>
      </c>
      <c r="R35" s="10"/>
    </row>
    <row r="36" spans="1:18" ht="14.1" customHeight="1">
      <c r="A36" s="13">
        <v>43853</v>
      </c>
      <c r="B36" s="18">
        <v>1.296</v>
      </c>
      <c r="C36" s="22">
        <v>2000</v>
      </c>
      <c r="D36" s="15">
        <v>1543.2098765432099</v>
      </c>
      <c r="E36" s="15">
        <v>73918.012062909256</v>
      </c>
      <c r="F36" s="15">
        <v>95797.743633530394</v>
      </c>
      <c r="G36" s="15">
        <v>71000</v>
      </c>
      <c r="H36" s="15">
        <v>95797.743633530394</v>
      </c>
      <c r="I36" s="15">
        <v>24797.743633530394</v>
      </c>
      <c r="J36" s="15">
        <v>1.3340000000000001</v>
      </c>
      <c r="K36" s="15">
        <v>1.157</v>
      </c>
      <c r="L36" s="19">
        <v>1.3340000000000001</v>
      </c>
      <c r="M36" s="19">
        <v>0.86399999999999999</v>
      </c>
      <c r="N36" s="21">
        <v>91.914893617021264</v>
      </c>
      <c r="O36" s="21">
        <v>80.57725612843565</v>
      </c>
      <c r="P36" s="21">
        <v>72.058272816879992</v>
      </c>
      <c r="Q36" s="21">
        <v>97.61522275154698</v>
      </c>
    </row>
    <row r="37" spans="1:18" ht="14.1" customHeight="1">
      <c r="A37" s="13">
        <v>43889</v>
      </c>
      <c r="B37" s="18">
        <v>1.417</v>
      </c>
      <c r="C37" s="22">
        <v>2000</v>
      </c>
      <c r="D37" s="15">
        <v>1411.4326040931546</v>
      </c>
      <c r="E37" s="15">
        <v>75329.444667002404</v>
      </c>
      <c r="F37" s="15">
        <v>106741.8230931424</v>
      </c>
      <c r="G37" s="15">
        <v>73000</v>
      </c>
      <c r="H37" s="15">
        <v>106741.8230931424</v>
      </c>
      <c r="I37" s="15">
        <v>33741.823093142404</v>
      </c>
      <c r="J37" s="15">
        <v>1.6140000000000001</v>
      </c>
      <c r="K37" s="15">
        <v>1.1200000000000001</v>
      </c>
      <c r="L37" s="19">
        <v>1.6140000000000001</v>
      </c>
      <c r="M37" s="19">
        <v>0.89</v>
      </c>
      <c r="N37" s="21">
        <v>72.790055248618785</v>
      </c>
      <c r="O37" s="21">
        <v>77.981522501830028</v>
      </c>
      <c r="P37" s="21">
        <v>74.032689378530009</v>
      </c>
      <c r="Q37" s="21">
        <v>85.879188748430067</v>
      </c>
    </row>
    <row r="38" spans="1:18" ht="14.1" customHeight="1">
      <c r="A38" s="13">
        <v>43921</v>
      </c>
      <c r="B38" s="18">
        <v>1.2110000000000001</v>
      </c>
      <c r="C38" s="22">
        <v>2000</v>
      </c>
      <c r="D38" s="15">
        <v>1651.5276630883566</v>
      </c>
      <c r="E38" s="15">
        <v>76980.972330090764</v>
      </c>
      <c r="F38" s="15">
        <v>93223.957491739915</v>
      </c>
      <c r="G38" s="15">
        <v>75000</v>
      </c>
      <c r="H38" s="15">
        <v>93223.957491739915</v>
      </c>
      <c r="I38" s="15">
        <v>18223.957491739915</v>
      </c>
      <c r="J38" s="15">
        <v>1.552</v>
      </c>
      <c r="K38" s="15">
        <v>1.204</v>
      </c>
      <c r="L38" s="19">
        <v>1.6140000000000001</v>
      </c>
      <c r="M38" s="19">
        <v>0.91100000000000003</v>
      </c>
      <c r="N38" s="21">
        <v>42.674253200568991</v>
      </c>
      <c r="O38" s="21">
        <v>66.212432734743018</v>
      </c>
      <c r="P38" s="21">
        <v>71.42593716393435</v>
      </c>
      <c r="Q38" s="21">
        <v>55.785423876360369</v>
      </c>
    </row>
    <row r="39" spans="1:18" ht="14.1" customHeight="1">
      <c r="A39" s="13">
        <v>43951</v>
      </c>
      <c r="B39" s="18">
        <v>1.321</v>
      </c>
      <c r="C39" s="22">
        <v>2000</v>
      </c>
      <c r="D39" s="15">
        <v>1514.0045420136262</v>
      </c>
      <c r="E39" s="15">
        <v>78494.976872104395</v>
      </c>
      <c r="F39" s="15">
        <v>103691.86444804991</v>
      </c>
      <c r="G39" s="15">
        <v>77000</v>
      </c>
      <c r="H39" s="15">
        <v>103691.86444804991</v>
      </c>
      <c r="I39" s="15">
        <v>26691.864448049906</v>
      </c>
      <c r="J39" s="15">
        <v>1.3260000000000001</v>
      </c>
      <c r="K39" s="15">
        <v>1.2030000000000001</v>
      </c>
      <c r="L39" s="19">
        <v>1.6140000000000001</v>
      </c>
      <c r="M39" s="19">
        <v>0.91200000000000003</v>
      </c>
      <c r="N39" s="21">
        <v>58.262108262108242</v>
      </c>
      <c r="O39" s="21">
        <v>63.56232457719809</v>
      </c>
      <c r="P39" s="21">
        <v>68.804732968355594</v>
      </c>
      <c r="Q39" s="21">
        <v>53.077507794883076</v>
      </c>
    </row>
    <row r="40" spans="1:18" ht="14.1" customHeight="1">
      <c r="A40" s="13">
        <v>43980</v>
      </c>
      <c r="B40" s="18">
        <v>1.3069999999999999</v>
      </c>
      <c r="C40" s="22">
        <v>2000</v>
      </c>
      <c r="D40" s="15">
        <v>1530.2218821729152</v>
      </c>
      <c r="E40" s="15">
        <v>80025.198754277313</v>
      </c>
      <c r="F40" s="15">
        <v>104592.93477184045</v>
      </c>
      <c r="G40" s="15">
        <v>79000</v>
      </c>
      <c r="H40" s="15">
        <v>104592.93477184045</v>
      </c>
      <c r="I40" s="15">
        <v>25592.934771840446</v>
      </c>
      <c r="J40" s="15">
        <v>1.3979999999999999</v>
      </c>
      <c r="K40" s="15">
        <v>1.2869999999999999</v>
      </c>
      <c r="L40" s="19">
        <v>1.6140000000000001</v>
      </c>
      <c r="M40" s="19">
        <v>1.022</v>
      </c>
      <c r="N40" s="21">
        <v>48.141891891891873</v>
      </c>
      <c r="O40" s="21">
        <v>58.422180348762687</v>
      </c>
      <c r="P40" s="21">
        <v>65.343882095157952</v>
      </c>
      <c r="Q40" s="21">
        <v>44.578776855972166</v>
      </c>
    </row>
    <row r="41" spans="1:18" ht="14.1" customHeight="1">
      <c r="A41" s="13">
        <v>44012</v>
      </c>
      <c r="B41" s="18">
        <v>1.444</v>
      </c>
      <c r="C41" s="22">
        <v>2000</v>
      </c>
      <c r="D41" s="15">
        <v>1385.0415512465374</v>
      </c>
      <c r="E41" s="15">
        <v>81410.240305523854</v>
      </c>
      <c r="F41" s="15">
        <v>117556.38700117644</v>
      </c>
      <c r="G41" s="15">
        <v>81000</v>
      </c>
      <c r="H41" s="15">
        <v>117556.38700117644</v>
      </c>
      <c r="I41" s="15">
        <v>36556.387001176437</v>
      </c>
      <c r="J41" s="15">
        <v>1.446</v>
      </c>
      <c r="K41" s="15">
        <v>1.31</v>
      </c>
      <c r="L41" s="19">
        <v>1.6140000000000001</v>
      </c>
      <c r="M41" s="19">
        <v>1.048</v>
      </c>
      <c r="N41" s="21">
        <v>69.964664310954049</v>
      </c>
      <c r="O41" s="21">
        <v>62.269675002826467</v>
      </c>
      <c r="P41" s="21">
        <v>64.319146397714121</v>
      </c>
      <c r="Q41" s="21">
        <v>58.170732213051167</v>
      </c>
    </row>
    <row r="42" spans="1:18" ht="14.1" customHeight="1">
      <c r="A42" s="13">
        <v>44043</v>
      </c>
      <c r="B42" s="18">
        <v>1.6140000000000001</v>
      </c>
      <c r="C42" s="22">
        <v>2000</v>
      </c>
      <c r="D42" s="15">
        <v>1239.1573729863692</v>
      </c>
      <c r="E42" s="15">
        <v>82649.397678510228</v>
      </c>
      <c r="F42" s="15">
        <v>133396.12785311553</v>
      </c>
      <c r="G42" s="15">
        <v>83000</v>
      </c>
      <c r="H42" s="15">
        <v>133396.12785311553</v>
      </c>
      <c r="I42" s="15">
        <v>50396.127853115526</v>
      </c>
      <c r="J42" s="15">
        <v>1.7589999999999999</v>
      </c>
      <c r="K42" s="15">
        <v>1.4259999999999999</v>
      </c>
      <c r="L42" s="19">
        <v>1.7589999999999999</v>
      </c>
      <c r="M42" s="19">
        <v>1.052</v>
      </c>
      <c r="N42" s="21">
        <v>79.49080622347951</v>
      </c>
      <c r="O42" s="21">
        <v>68.010052076377477</v>
      </c>
      <c r="P42" s="21">
        <v>65.549448290601902</v>
      </c>
      <c r="Q42" s="21">
        <v>72.931259647928641</v>
      </c>
    </row>
    <row r="43" spans="1:18" ht="14.1" customHeight="1">
      <c r="A43" s="13">
        <v>44074</v>
      </c>
      <c r="B43" s="18">
        <v>1.5960000000000001</v>
      </c>
      <c r="C43" s="22">
        <v>2000</v>
      </c>
      <c r="D43" s="15">
        <v>1253.1328320802004</v>
      </c>
      <c r="E43" s="15">
        <v>83902.530510590426</v>
      </c>
      <c r="F43" s="15">
        <v>133908.43869490232</v>
      </c>
      <c r="G43" s="15">
        <v>85000</v>
      </c>
      <c r="H43" s="15">
        <v>133908.43869490232</v>
      </c>
      <c r="I43" s="15">
        <v>48908.438694902317</v>
      </c>
      <c r="J43" s="15">
        <v>1.6779999999999999</v>
      </c>
      <c r="K43" s="15">
        <v>1.55</v>
      </c>
      <c r="L43" s="19">
        <v>1.7589999999999999</v>
      </c>
      <c r="M43" s="19">
        <v>1.06</v>
      </c>
      <c r="N43" s="21">
        <v>76.680972818311886</v>
      </c>
      <c r="O43" s="21">
        <v>70.900358990355613</v>
      </c>
      <c r="P43" s="21">
        <v>67.33308519051981</v>
      </c>
      <c r="Q43" s="21">
        <v>78.034906590027219</v>
      </c>
    </row>
    <row r="44" spans="1:18" ht="14.1" customHeight="1">
      <c r="A44" s="13">
        <v>44104</v>
      </c>
      <c r="B44" s="18">
        <v>1.474</v>
      </c>
      <c r="C44" s="22">
        <v>2000</v>
      </c>
      <c r="D44" s="15">
        <v>1356.8521031207599</v>
      </c>
      <c r="E44" s="15">
        <v>85259.38261371119</v>
      </c>
      <c r="F44" s="15">
        <v>125672.32997261029</v>
      </c>
      <c r="G44" s="15">
        <v>87000</v>
      </c>
      <c r="H44" s="15">
        <v>125672.32997261029</v>
      </c>
      <c r="I44" s="15">
        <v>38672.329972610285</v>
      </c>
      <c r="J44" s="15">
        <v>1.6120000000000001</v>
      </c>
      <c r="K44" s="15">
        <v>1.4550000000000001</v>
      </c>
      <c r="L44" s="19">
        <v>1.7589999999999999</v>
      </c>
      <c r="M44" s="19">
        <v>1.1200000000000001</v>
      </c>
      <c r="N44" s="21">
        <v>55.399061032863841</v>
      </c>
      <c r="O44" s="21">
        <v>65.733259671191689</v>
      </c>
      <c r="P44" s="21">
        <v>66.799810017410437</v>
      </c>
      <c r="Q44" s="21">
        <v>63.600158978754195</v>
      </c>
    </row>
    <row r="45" spans="1:18" ht="14.1" customHeight="1">
      <c r="A45" s="13">
        <v>44134</v>
      </c>
      <c r="B45" s="18">
        <v>1.4810000000000001</v>
      </c>
      <c r="C45" s="22">
        <v>2000</v>
      </c>
      <c r="D45" s="15">
        <v>1350.438892640108</v>
      </c>
      <c r="E45" s="15">
        <v>86609.821506351291</v>
      </c>
      <c r="F45" s="15">
        <v>128269.14565090627</v>
      </c>
      <c r="G45" s="15">
        <v>89000</v>
      </c>
      <c r="H45" s="15">
        <v>128269.14565090627</v>
      </c>
      <c r="I45" s="15">
        <v>39269.14565090627</v>
      </c>
      <c r="J45" s="15">
        <v>1.5569999999999999</v>
      </c>
      <c r="K45" s="15">
        <v>1.4630000000000001</v>
      </c>
      <c r="L45" s="19">
        <v>1.7589999999999999</v>
      </c>
      <c r="M45" s="19">
        <v>1.1200000000000001</v>
      </c>
      <c r="N45" s="21">
        <v>56.494522691705811</v>
      </c>
      <c r="O45" s="21">
        <v>62.65368067802973</v>
      </c>
      <c r="P45" s="21">
        <v>65.417766904283539</v>
      </c>
      <c r="Q45" s="21">
        <v>57.125508225522111</v>
      </c>
    </row>
    <row r="46" spans="1:18" ht="14.1" customHeight="1">
      <c r="A46" s="13">
        <v>44165</v>
      </c>
      <c r="B46" s="18">
        <v>1.4890000000000001</v>
      </c>
      <c r="C46" s="22">
        <v>2000</v>
      </c>
      <c r="D46" s="15">
        <v>1343.1833445265279</v>
      </c>
      <c r="E46" s="15">
        <v>87953.004850877813</v>
      </c>
      <c r="F46" s="15">
        <v>130962.02422295707</v>
      </c>
      <c r="G46" s="15">
        <v>91000</v>
      </c>
      <c r="H46" s="15">
        <v>130962.02422295707</v>
      </c>
      <c r="I46" s="15">
        <v>39962.024222957072</v>
      </c>
      <c r="J46" s="15">
        <v>1.597</v>
      </c>
      <c r="K46" s="15">
        <v>1.4650000000000001</v>
      </c>
      <c r="L46" s="19">
        <v>1.7589999999999999</v>
      </c>
      <c r="M46" s="19">
        <v>1.2030000000000001</v>
      </c>
      <c r="N46" s="21">
        <v>51.438848920863329</v>
      </c>
      <c r="O46" s="21">
        <v>58.915403425640932</v>
      </c>
      <c r="P46" s="21">
        <v>63.250312411402668</v>
      </c>
      <c r="Q46" s="21">
        <v>50.24558545411746</v>
      </c>
      <c r="R46" s="10"/>
    </row>
    <row r="47" spans="1:18" ht="14.1" customHeight="1">
      <c r="A47" s="13">
        <v>44196</v>
      </c>
      <c r="B47" s="18">
        <v>1.4510000000000001</v>
      </c>
      <c r="C47" s="22">
        <v>2000</v>
      </c>
      <c r="D47" s="15">
        <v>1378.3597518952447</v>
      </c>
      <c r="E47" s="15">
        <v>89331.364602773057</v>
      </c>
      <c r="F47" s="15">
        <v>129619.81003862371</v>
      </c>
      <c r="G47" s="15">
        <v>93000</v>
      </c>
      <c r="H47" s="15">
        <v>129619.81003862371</v>
      </c>
      <c r="I47" s="15">
        <v>36619.810038623706</v>
      </c>
      <c r="J47" s="15">
        <v>1.5189999999999999</v>
      </c>
      <c r="K47" s="15">
        <v>1.393</v>
      </c>
      <c r="L47" s="19">
        <v>1.7589999999999999</v>
      </c>
      <c r="M47" s="19">
        <v>1.2030000000000001</v>
      </c>
      <c r="N47" s="21">
        <v>44.604316546762604</v>
      </c>
      <c r="O47" s="21">
        <v>54.145041132681492</v>
      </c>
      <c r="P47" s="21">
        <v>60.21522198516228</v>
      </c>
      <c r="Q47" s="21">
        <v>42.004679427719921</v>
      </c>
    </row>
    <row r="48" spans="1:18" ht="14.1" customHeight="1">
      <c r="A48" s="13">
        <v>44225</v>
      </c>
      <c r="B48" s="18">
        <v>1.456</v>
      </c>
      <c r="C48" s="22">
        <v>2000</v>
      </c>
      <c r="D48" s="15">
        <v>1373.6263736263736</v>
      </c>
      <c r="E48" s="15">
        <v>90704.990976399436</v>
      </c>
      <c r="F48" s="15">
        <v>132066.46686163757</v>
      </c>
      <c r="G48" s="15">
        <v>95000</v>
      </c>
      <c r="H48" s="15">
        <v>132066.46686163757</v>
      </c>
      <c r="I48" s="15">
        <v>37066.466861637571</v>
      </c>
      <c r="J48" s="15">
        <v>1.58</v>
      </c>
      <c r="K48" s="15">
        <v>1.4379999999999999</v>
      </c>
      <c r="L48" s="19">
        <v>1.7589999999999999</v>
      </c>
      <c r="M48" s="19">
        <v>1.2869999999999999</v>
      </c>
      <c r="N48" s="21">
        <v>35.805084745762727</v>
      </c>
      <c r="O48" s="21">
        <v>48.031722337041906</v>
      </c>
      <c r="P48" s="21">
        <v>56.15405543578882</v>
      </c>
      <c r="Q48" s="21">
        <v>31.787056139548071</v>
      </c>
    </row>
    <row r="49" spans="1:18" ht="14.1" customHeight="1">
      <c r="A49" s="13">
        <v>44253</v>
      </c>
      <c r="B49" s="18">
        <v>1.4239999999999999</v>
      </c>
      <c r="C49" s="22">
        <v>2000</v>
      </c>
      <c r="D49" s="15">
        <v>1404.4943820224719</v>
      </c>
      <c r="E49" s="15">
        <v>92109.485358421909</v>
      </c>
      <c r="F49" s="15">
        <v>131163.9071503928</v>
      </c>
      <c r="G49" s="15">
        <v>97000</v>
      </c>
      <c r="H49" s="15">
        <v>131163.9071503928</v>
      </c>
      <c r="I49" s="15">
        <v>34163.907150392799</v>
      </c>
      <c r="J49" s="15">
        <v>1.508</v>
      </c>
      <c r="K49" s="15">
        <v>1.393</v>
      </c>
      <c r="L49" s="19">
        <v>1.7589999999999999</v>
      </c>
      <c r="M49" s="19">
        <v>1.31</v>
      </c>
      <c r="N49" s="21">
        <v>25.38975501113584</v>
      </c>
      <c r="O49" s="21">
        <v>40.484399895073217</v>
      </c>
      <c r="P49" s="21">
        <v>50.930836922216947</v>
      </c>
      <c r="Q49" s="21">
        <v>19.591525840785764</v>
      </c>
    </row>
    <row r="50" spans="1:18" ht="14.1" customHeight="1">
      <c r="A50" s="13">
        <v>44286</v>
      </c>
      <c r="B50" s="18">
        <v>1.371</v>
      </c>
      <c r="C50" s="22">
        <v>2000</v>
      </c>
      <c r="D50" s="15">
        <v>1458.7892049598834</v>
      </c>
      <c r="E50" s="15">
        <v>93568.274563381798</v>
      </c>
      <c r="F50" s="15">
        <v>128282.10442639644</v>
      </c>
      <c r="G50" s="15">
        <v>99000</v>
      </c>
      <c r="H50" s="15">
        <v>128282.10442639644</v>
      </c>
      <c r="I50" s="15">
        <v>29282.104426396443</v>
      </c>
      <c r="J50" s="15">
        <v>1.478</v>
      </c>
      <c r="K50" s="15">
        <v>1.3120000000000001</v>
      </c>
      <c r="L50" s="19">
        <v>1.7589999999999999</v>
      </c>
      <c r="M50" s="19">
        <v>1.3120000000000001</v>
      </c>
      <c r="N50" s="21">
        <v>13.199105145413862</v>
      </c>
      <c r="O50" s="21">
        <v>31.389301645186766</v>
      </c>
      <c r="P50" s="21">
        <v>44.416991829873552</v>
      </c>
      <c r="Q50" s="21">
        <v>5.3339212758131964</v>
      </c>
    </row>
    <row r="51" spans="1:18" ht="14.1" customHeight="1">
      <c r="A51" s="13">
        <v>44316</v>
      </c>
      <c r="B51" s="18">
        <v>1.391</v>
      </c>
      <c r="C51" s="22">
        <v>2000</v>
      </c>
      <c r="D51" s="15">
        <v>1437.8145219266714</v>
      </c>
      <c r="E51" s="15">
        <v>95006.089085308471</v>
      </c>
      <c r="F51" s="15">
        <v>132153.46991766407</v>
      </c>
      <c r="G51" s="15">
        <v>101000</v>
      </c>
      <c r="H51" s="15">
        <v>132153.46991766407</v>
      </c>
      <c r="I51" s="15">
        <v>31153.469917664072</v>
      </c>
      <c r="J51" s="15">
        <v>1.4530000000000001</v>
      </c>
      <c r="K51" s="15">
        <v>1.355</v>
      </c>
      <c r="L51" s="19">
        <v>1.6779999999999999</v>
      </c>
      <c r="M51" s="19">
        <v>1.3120000000000001</v>
      </c>
      <c r="N51" s="21">
        <v>21.584699453551909</v>
      </c>
      <c r="O51" s="21">
        <v>28.121100914641815</v>
      </c>
      <c r="P51" s="21">
        <v>38.985028191462973</v>
      </c>
      <c r="Q51" s="21">
        <v>6.3932463609994983</v>
      </c>
    </row>
    <row r="52" spans="1:18" ht="14.1" customHeight="1">
      <c r="A52" s="13">
        <v>44347</v>
      </c>
      <c r="B52" s="18">
        <v>1.4830000400543213</v>
      </c>
      <c r="C52" s="22">
        <v>2000</v>
      </c>
      <c r="D52" s="15">
        <v>1348.617630466646</v>
      </c>
      <c r="E52" s="15">
        <v>96354.706715775115</v>
      </c>
      <c r="F52" s="15">
        <v>142894.03391891689</v>
      </c>
      <c r="G52" s="15">
        <v>103000</v>
      </c>
      <c r="H52" s="15">
        <v>142894.03391891689</v>
      </c>
      <c r="I52" s="15">
        <v>39894.033918916888</v>
      </c>
      <c r="J52" s="15">
        <v>1.4859999418258667</v>
      </c>
      <c r="K52" s="15">
        <v>1.3380000591278076</v>
      </c>
      <c r="L52" s="19">
        <v>1.6120000000000001</v>
      </c>
      <c r="M52" s="19">
        <v>1.3120000000000001</v>
      </c>
      <c r="N52" s="21">
        <v>57.000013351440401</v>
      </c>
      <c r="O52" s="21">
        <v>37.747405060241341</v>
      </c>
      <c r="P52" s="21">
        <v>38.572487147722427</v>
      </c>
      <c r="Q52" s="21">
        <v>36.097240885279177</v>
      </c>
    </row>
    <row r="53" spans="1:18" ht="14.1" customHeight="1">
      <c r="A53" s="13">
        <v>44377</v>
      </c>
      <c r="B53" s="18">
        <v>1.5579999685287476</v>
      </c>
      <c r="C53" s="22">
        <v>2000</v>
      </c>
      <c r="D53" s="15">
        <v>1283.6970734271854</v>
      </c>
      <c r="E53" s="15">
        <v>97638.403789202304</v>
      </c>
      <c r="F53" s="15">
        <v>152120.63003077434</v>
      </c>
      <c r="G53" s="15">
        <v>105000</v>
      </c>
      <c r="H53" s="15">
        <v>152120.63003077434</v>
      </c>
      <c r="I53" s="15">
        <v>47120.630030774337</v>
      </c>
      <c r="J53" s="15">
        <v>1.5579999685287476</v>
      </c>
      <c r="K53" s="15">
        <v>1.437999963760376</v>
      </c>
      <c r="L53" s="19">
        <v>1.597</v>
      </c>
      <c r="M53" s="19">
        <v>1.3120000000000001</v>
      </c>
      <c r="N53" s="21">
        <v>86.315778431139492</v>
      </c>
      <c r="O53" s="21">
        <v>53.936862850540727</v>
      </c>
      <c r="P53" s="21">
        <v>43.693945715328532</v>
      </c>
      <c r="Q53" s="21">
        <v>74.422697120965111</v>
      </c>
    </row>
    <row r="54" spans="1:18" ht="14.1" customHeight="1">
      <c r="A54" s="13">
        <v>44407</v>
      </c>
      <c r="B54" s="18">
        <v>1.5850000381469727</v>
      </c>
      <c r="C54" s="22">
        <v>2000</v>
      </c>
      <c r="D54" s="15">
        <v>1261.8296226277728</v>
      </c>
      <c r="E54" s="15">
        <v>98900.233411830079</v>
      </c>
      <c r="F54" s="15">
        <v>156756.87373049516</v>
      </c>
      <c r="G54" s="15">
        <v>107000</v>
      </c>
      <c r="H54" s="15">
        <v>156756.87373049516</v>
      </c>
      <c r="I54" s="15">
        <v>49756.873730495165</v>
      </c>
      <c r="J54" s="15">
        <v>1.6319999694824219</v>
      </c>
      <c r="K54" s="15">
        <v>1.4520000219345093</v>
      </c>
      <c r="L54" s="19">
        <v>1.6319999694824219</v>
      </c>
      <c r="M54" s="19">
        <v>1.3120000000000001</v>
      </c>
      <c r="N54" s="21">
        <v>85.312520056964871</v>
      </c>
      <c r="O54" s="21">
        <v>64.395415252682099</v>
      </c>
      <c r="P54" s="21">
        <v>50.594435561113052</v>
      </c>
      <c r="Q54" s="21">
        <v>91.997374635820208</v>
      </c>
    </row>
    <row r="55" spans="1:18" ht="14.1" customHeight="1">
      <c r="A55" s="13">
        <v>44439</v>
      </c>
      <c r="B55" s="18">
        <v>1.4889999628067017</v>
      </c>
      <c r="C55" s="22">
        <v>2000</v>
      </c>
      <c r="D55" s="15">
        <v>1343.1833780775153</v>
      </c>
      <c r="E55" s="15">
        <v>100243.4167899076</v>
      </c>
      <c r="F55" s="15">
        <v>149262.44387178912</v>
      </c>
      <c r="G55" s="15">
        <v>109000</v>
      </c>
      <c r="H55" s="15">
        <v>149262.44387178912</v>
      </c>
      <c r="I55" s="15">
        <v>40262.443871789117</v>
      </c>
      <c r="J55" s="15">
        <v>1.625</v>
      </c>
      <c r="K55" s="15">
        <v>1.4800000190734863</v>
      </c>
      <c r="L55" s="19">
        <v>1.6319999694824219</v>
      </c>
      <c r="M55" s="19">
        <v>1.3120000000000001</v>
      </c>
      <c r="N55" s="21">
        <v>55.312493652104713</v>
      </c>
      <c r="O55" s="21">
        <v>61.367774719156301</v>
      </c>
      <c r="P55" s="21">
        <v>54.18554861379414</v>
      </c>
      <c r="Q55" s="21">
        <v>75.732226929880625</v>
      </c>
    </row>
    <row r="56" spans="1:18" ht="14.1" customHeight="1">
      <c r="A56" s="13">
        <v>44469</v>
      </c>
      <c r="B56" s="18">
        <v>1.4470000267028809</v>
      </c>
      <c r="C56" s="22">
        <v>2000</v>
      </c>
      <c r="D56" s="15">
        <v>1382.1699814043398</v>
      </c>
      <c r="E56" s="15">
        <v>101625.58677131194</v>
      </c>
      <c r="F56" s="15">
        <v>147052.22677178431</v>
      </c>
      <c r="G56" s="15">
        <v>111000</v>
      </c>
      <c r="H56" s="15">
        <v>147052.22677178431</v>
      </c>
      <c r="I56" s="15">
        <v>36052.226771784306</v>
      </c>
      <c r="J56" s="15">
        <v>1.5149999856948853</v>
      </c>
      <c r="K56" s="15">
        <v>1.4210000038146973</v>
      </c>
      <c r="L56" s="19">
        <v>1.6319999694824219</v>
      </c>
      <c r="M56" s="19">
        <v>1.3120000000000001</v>
      </c>
      <c r="N56" s="21">
        <v>42.187512367964956</v>
      </c>
      <c r="O56" s="21">
        <v>54.974353935425853</v>
      </c>
      <c r="P56" s="21">
        <v>54.448483721004713</v>
      </c>
      <c r="Q56" s="21">
        <v>56.026094364268133</v>
      </c>
    </row>
    <row r="57" spans="1:18" ht="14.1" customHeight="1">
      <c r="A57" s="13">
        <v>44498</v>
      </c>
      <c r="B57" s="18">
        <v>1.4589999914169312</v>
      </c>
      <c r="C57" s="22">
        <v>2000</v>
      </c>
      <c r="D57" s="15">
        <v>1370.8019271869002</v>
      </c>
      <c r="E57" s="15">
        <v>102996.38869849883</v>
      </c>
      <c r="F57" s="15">
        <v>150271.73022708471</v>
      </c>
      <c r="G57" s="15">
        <v>113000</v>
      </c>
      <c r="H57" s="15">
        <v>150271.73022708471</v>
      </c>
      <c r="I57" s="15">
        <v>37271.730227084714</v>
      </c>
      <c r="J57" s="15">
        <v>1.4859999418258667</v>
      </c>
      <c r="K57" s="15">
        <v>1.4309999942779541</v>
      </c>
      <c r="L57" s="19">
        <v>1.6319999694824219</v>
      </c>
      <c r="M57" s="19">
        <v>1.3120000000000001</v>
      </c>
      <c r="N57" s="21">
        <v>45.937501698732525</v>
      </c>
      <c r="O57" s="21">
        <v>51.962069856528075</v>
      </c>
      <c r="P57" s="21">
        <v>53.619679099512496</v>
      </c>
      <c r="Q57" s="21">
        <v>48.646851370559233</v>
      </c>
      <c r="R57" s="10"/>
    </row>
    <row r="58" spans="1:18" ht="14.1" customHeight="1">
      <c r="A58" s="13">
        <v>44530</v>
      </c>
      <c r="B58" s="18">
        <v>1.5770000219345093</v>
      </c>
      <c r="C58" s="22">
        <v>2000</v>
      </c>
      <c r="D58" s="15">
        <v>1268.2308003690423</v>
      </c>
      <c r="E58" s="15">
        <v>104264.61949886788</v>
      </c>
      <c r="F58" s="15">
        <v>164425.30723670791</v>
      </c>
      <c r="G58" s="15">
        <v>115000</v>
      </c>
      <c r="H58" s="15">
        <v>164425.30723670791</v>
      </c>
      <c r="I58" s="15">
        <v>49425.307236707915</v>
      </c>
      <c r="J58" s="15">
        <v>1.5980000495910645</v>
      </c>
      <c r="K58" s="15">
        <v>1.4589999914169312</v>
      </c>
      <c r="L58" s="19">
        <v>1.6319999694824219</v>
      </c>
      <c r="M58" s="19">
        <v>1.3120000000000001</v>
      </c>
      <c r="N58" s="21">
        <v>82.812514752150989</v>
      </c>
      <c r="O58" s="21">
        <v>62.245551488402384</v>
      </c>
      <c r="P58" s="21">
        <v>56.494969895809128</v>
      </c>
      <c r="Q58" s="21">
        <v>73.746714673588897</v>
      </c>
    </row>
    <row r="59" spans="1:18" ht="14.1" customHeight="1">
      <c r="A59" s="13">
        <v>44561</v>
      </c>
      <c r="B59" s="18">
        <v>1.593999981880188</v>
      </c>
      <c r="C59" s="22">
        <v>2000</v>
      </c>
      <c r="D59" s="15">
        <v>1254.7051585539659</v>
      </c>
      <c r="E59" s="15">
        <v>105519.32465742184</v>
      </c>
      <c r="F59" s="15">
        <v>168197.80159194008</v>
      </c>
      <c r="G59" s="15">
        <v>117000</v>
      </c>
      <c r="H59" s="15">
        <v>168197.80159194008</v>
      </c>
      <c r="I59" s="15">
        <v>51197.801591940079</v>
      </c>
      <c r="J59" s="15">
        <v>1.6100000143051147</v>
      </c>
      <c r="K59" s="15">
        <v>1.5399999618530273</v>
      </c>
      <c r="L59" s="19">
        <v>1.6319999694824219</v>
      </c>
      <c r="M59" s="19">
        <v>1.3380000591278076</v>
      </c>
      <c r="N59" s="21">
        <v>87.074830207805377</v>
      </c>
      <c r="O59" s="21">
        <v>70.521977728203382</v>
      </c>
      <c r="P59" s="21">
        <v>61.170639173273877</v>
      </c>
      <c r="Q59" s="21">
        <v>89.224654838062392</v>
      </c>
    </row>
    <row r="60" spans="1:18" ht="14.1" customHeight="1">
      <c r="A60" s="13">
        <v>44589</v>
      </c>
      <c r="B60" s="18">
        <v>1.4750000238418579</v>
      </c>
      <c r="C60" s="22">
        <v>2000</v>
      </c>
      <c r="D60" s="15">
        <v>1355.9321814725815</v>
      </c>
      <c r="E60" s="15">
        <v>106875.25683889442</v>
      </c>
      <c r="F60" s="15">
        <v>157641.00638547397</v>
      </c>
      <c r="G60" s="15">
        <v>119000</v>
      </c>
      <c r="H60" s="15">
        <v>157641.00638547397</v>
      </c>
      <c r="I60" s="15">
        <v>38641.006385473971</v>
      </c>
      <c r="J60" s="15">
        <v>1.659000039100647</v>
      </c>
      <c r="K60" s="15">
        <v>1.4639999866485596</v>
      </c>
      <c r="L60" s="19">
        <v>1.659000039100647</v>
      </c>
      <c r="M60" s="19">
        <v>1.3380000591278076</v>
      </c>
      <c r="N60" s="21">
        <v>42.679119396095359</v>
      </c>
      <c r="O60" s="21">
        <v>61.241024950834039</v>
      </c>
      <c r="P60" s="21">
        <v>61.194101099127266</v>
      </c>
      <c r="Q60" s="21">
        <v>61.33487265424759</v>
      </c>
    </row>
    <row r="61" spans="1:18" ht="14.1" customHeight="1">
      <c r="A61" s="13">
        <v>44620</v>
      </c>
      <c r="B61" s="18">
        <v>1.4859999418258667</v>
      </c>
      <c r="C61" s="22">
        <v>2000</v>
      </c>
      <c r="D61" s="15">
        <v>1345.8950728777115</v>
      </c>
      <c r="E61" s="15">
        <v>108221.15191177213</v>
      </c>
      <c r="F61" s="15">
        <v>160816.62544522167</v>
      </c>
      <c r="G61" s="15">
        <v>121000</v>
      </c>
      <c r="H61" s="15">
        <v>160816.62544522167</v>
      </c>
      <c r="I61" s="15">
        <v>39816.625445221667</v>
      </c>
      <c r="J61" s="15">
        <v>1.5299999713897705</v>
      </c>
      <c r="K61" s="15">
        <v>1.4119999408721924</v>
      </c>
      <c r="L61" s="19">
        <v>1.659000039100647</v>
      </c>
      <c r="M61" s="19">
        <v>1.4119999408721924</v>
      </c>
      <c r="N61" s="21">
        <v>29.959502641667154</v>
      </c>
      <c r="O61" s="21">
        <v>50.813850847778411</v>
      </c>
      <c r="P61" s="21">
        <v>57.734017682010979</v>
      </c>
      <c r="Q61" s="21">
        <v>36.973517179313276</v>
      </c>
    </row>
    <row r="62" spans="1:18" ht="14.1" customHeight="1">
      <c r="A62" s="13">
        <v>44651</v>
      </c>
      <c r="B62" s="18">
        <v>1.3029999732971191</v>
      </c>
      <c r="C62" s="22">
        <v>2000</v>
      </c>
      <c r="D62" s="15">
        <v>1534.9194481863171</v>
      </c>
      <c r="E62" s="15">
        <v>109756.07135995846</v>
      </c>
      <c r="F62" s="15">
        <v>143012.15805122256</v>
      </c>
      <c r="G62" s="15">
        <v>123000</v>
      </c>
      <c r="H62" s="15">
        <v>143012.15805122256</v>
      </c>
      <c r="I62" s="15">
        <v>20012.158051222563</v>
      </c>
      <c r="J62" s="15">
        <v>1.5</v>
      </c>
      <c r="K62" s="15">
        <v>1.2799999713897705</v>
      </c>
      <c r="L62" s="19">
        <v>1.659000039100647</v>
      </c>
      <c r="M62" s="19">
        <v>1.2799999713897705</v>
      </c>
      <c r="N62" s="21">
        <v>6.0686010021756474</v>
      </c>
      <c r="O62" s="21">
        <v>35.898767565910823</v>
      </c>
      <c r="P62" s="21">
        <v>50.455600976644263</v>
      </c>
      <c r="Q62" s="21">
        <v>6.7851007444439517</v>
      </c>
    </row>
    <row r="63" spans="1:18" ht="14.1" customHeight="1">
      <c r="A63" s="13">
        <v>44680</v>
      </c>
      <c r="B63" s="18">
        <v>1.1230000257492065</v>
      </c>
      <c r="C63" s="22">
        <v>3000</v>
      </c>
      <c r="D63" s="15">
        <v>2671.4157891479636</v>
      </c>
      <c r="E63" s="15">
        <v>112427.48714910643</v>
      </c>
      <c r="F63" s="15">
        <v>126256.0709633651</v>
      </c>
      <c r="G63" s="15">
        <v>126000</v>
      </c>
      <c r="H63" s="15">
        <v>126256.0709633651</v>
      </c>
      <c r="I63" s="15">
        <v>256.07096336509858</v>
      </c>
      <c r="J63" s="15">
        <v>1.3190000057220459</v>
      </c>
      <c r="K63" s="15">
        <v>1.0369999408721924</v>
      </c>
      <c r="L63" s="19">
        <v>1.659000039100647</v>
      </c>
      <c r="M63" s="19">
        <v>1.0369999408721924</v>
      </c>
      <c r="N63" s="21">
        <v>13.826378021796899</v>
      </c>
      <c r="O63" s="21">
        <v>28.541304384539515</v>
      </c>
      <c r="P63" s="21">
        <v>43.150835445942676</v>
      </c>
      <c r="Q63" s="21">
        <v>-0.67775773826680563</v>
      </c>
    </row>
    <row r="64" spans="1:18" ht="14.1" customHeight="1">
      <c r="A64" s="13">
        <v>44712</v>
      </c>
      <c r="B64" s="18">
        <v>1.1690000295639038</v>
      </c>
      <c r="C64" s="22">
        <v>2000</v>
      </c>
      <c r="D64" s="15">
        <v>1710.8639430454944</v>
      </c>
      <c r="E64" s="15">
        <v>114138.35109215192</v>
      </c>
      <c r="F64" s="15">
        <v>133427.73580110082</v>
      </c>
      <c r="G64" s="15">
        <v>128000</v>
      </c>
      <c r="H64" s="15">
        <v>133427.73580110082</v>
      </c>
      <c r="I64" s="15">
        <v>5427.7358011008182</v>
      </c>
      <c r="J64" s="15">
        <v>1.1690000295639038</v>
      </c>
      <c r="K64" s="15">
        <v>1.0709999799728394</v>
      </c>
      <c r="L64" s="19">
        <v>1.659000039100647</v>
      </c>
      <c r="M64" s="19">
        <v>1.0369999408721924</v>
      </c>
      <c r="N64" s="21">
        <v>21.221875859451888</v>
      </c>
      <c r="O64" s="21">
        <v>26.101494876176972</v>
      </c>
      <c r="P64" s="21">
        <v>37.467721922687439</v>
      </c>
      <c r="Q64" s="21">
        <v>3.3690407831560378</v>
      </c>
    </row>
    <row r="65" spans="1:18" ht="14.1" customHeight="1">
      <c r="A65" s="13">
        <v>44742</v>
      </c>
      <c r="B65" s="18">
        <v>1.2549999952316284</v>
      </c>
      <c r="C65" s="22">
        <v>2000</v>
      </c>
      <c r="D65" s="15">
        <v>1593.6255040629471</v>
      </c>
      <c r="E65" s="15">
        <v>115731.97659621487</v>
      </c>
      <c r="F65" s="15">
        <v>145243.6300763966</v>
      </c>
      <c r="G65" s="15">
        <v>130000</v>
      </c>
      <c r="H65" s="15">
        <v>145243.6300763966</v>
      </c>
      <c r="I65" s="15">
        <v>15243.630076396599</v>
      </c>
      <c r="J65" s="15">
        <v>1.2799999713897705</v>
      </c>
      <c r="K65" s="15">
        <v>1.1440000534057617</v>
      </c>
      <c r="L65" s="19">
        <v>1.659000039100647</v>
      </c>
      <c r="M65" s="19">
        <v>1.0369999408721924</v>
      </c>
      <c r="N65" s="21">
        <v>35.048234715771173</v>
      </c>
      <c r="O65" s="21">
        <v>29.08374148937504</v>
      </c>
      <c r="P65" s="21">
        <v>34.673061778249973</v>
      </c>
      <c r="Q65" s="21">
        <v>17.905100911625169</v>
      </c>
    </row>
    <row r="66" spans="1:18" ht="14.1" customHeight="1">
      <c r="A66" s="13">
        <v>44771</v>
      </c>
      <c r="B66" s="18">
        <v>1.2020000219345093</v>
      </c>
      <c r="C66" s="22">
        <v>2000</v>
      </c>
      <c r="D66" s="15">
        <v>1663.8934804520075</v>
      </c>
      <c r="E66" s="15">
        <v>117395.87007666688</v>
      </c>
      <c r="F66" s="15">
        <v>141109.83840717439</v>
      </c>
      <c r="G66" s="15">
        <v>132000</v>
      </c>
      <c r="H66" s="15">
        <v>141109.83840717439</v>
      </c>
      <c r="I66" s="15">
        <v>9109.8384071743931</v>
      </c>
      <c r="J66" s="15">
        <v>1.2699999809265137</v>
      </c>
      <c r="K66" s="15">
        <v>1.1510000228881836</v>
      </c>
      <c r="L66" s="19">
        <v>1.659000039100647</v>
      </c>
      <c r="M66" s="19">
        <v>1.0369999408721924</v>
      </c>
      <c r="N66" s="21">
        <v>26.527340032945457</v>
      </c>
      <c r="O66" s="21">
        <v>28.231607670565179</v>
      </c>
      <c r="P66" s="21">
        <v>32.525910409021712</v>
      </c>
      <c r="Q66" s="21">
        <v>19.643002193652109</v>
      </c>
    </row>
    <row r="67" spans="1:18" ht="14.1" customHeight="1">
      <c r="A67" s="13">
        <v>44804</v>
      </c>
      <c r="B67" s="18">
        <v>1.1239999532699585</v>
      </c>
      <c r="C67" s="22">
        <v>2000</v>
      </c>
      <c r="D67" s="15">
        <v>1779.3595045814443</v>
      </c>
      <c r="E67" s="15">
        <v>119175.22958124832</v>
      </c>
      <c r="F67" s="15">
        <v>133952.9524802597</v>
      </c>
      <c r="G67" s="15">
        <v>134000</v>
      </c>
      <c r="H67" s="15">
        <v>133952.9524802597</v>
      </c>
      <c r="I67" s="15">
        <v>-47.047519740299322</v>
      </c>
      <c r="J67" s="15">
        <v>1.2740000486373901</v>
      </c>
      <c r="K67" s="15">
        <v>1.1109999418258667</v>
      </c>
      <c r="L67" s="19">
        <v>1.659000039100647</v>
      </c>
      <c r="M67" s="19">
        <v>1.0369999408721924</v>
      </c>
      <c r="N67" s="21">
        <v>13.98713804797694</v>
      </c>
      <c r="O67" s="21">
        <v>23.483451129702431</v>
      </c>
      <c r="P67" s="21">
        <v>29.511757315915286</v>
      </c>
      <c r="Q67" s="21">
        <v>11.42683875727672</v>
      </c>
    </row>
    <row r="68" spans="1:18" ht="14.1" customHeight="1">
      <c r="A68" s="13">
        <v>44834</v>
      </c>
      <c r="B68" s="18">
        <v>1.0219999551773071</v>
      </c>
      <c r="C68" s="22">
        <v>3000</v>
      </c>
      <c r="D68" s="15">
        <v>2935.4208723810843</v>
      </c>
      <c r="E68" s="15">
        <v>122110.65045362941</v>
      </c>
      <c r="F68" s="15">
        <v>124797.07929028108</v>
      </c>
      <c r="G68" s="15">
        <v>137000</v>
      </c>
      <c r="H68" s="15">
        <v>124797.07929028108</v>
      </c>
      <c r="I68" s="15">
        <v>-12202.920709718921</v>
      </c>
      <c r="J68" s="15">
        <v>1.1360000371932983</v>
      </c>
      <c r="K68" s="15">
        <v>1.0160000324249268</v>
      </c>
      <c r="L68" s="19">
        <v>1.659000039100647</v>
      </c>
      <c r="M68" s="19">
        <v>1.0160000324249268</v>
      </c>
      <c r="N68" s="21">
        <v>0.9331139486918032</v>
      </c>
      <c r="O68" s="21">
        <v>15.966672069365556</v>
      </c>
      <c r="P68" s="21">
        <v>24.996728900398708</v>
      </c>
      <c r="Q68" s="21">
        <v>-2.0934415927007493</v>
      </c>
    </row>
    <row r="69" spans="1:18" ht="14.1" customHeight="1">
      <c r="A69" s="13">
        <v>44865</v>
      </c>
      <c r="B69" s="18">
        <v>1.0690000057220459</v>
      </c>
      <c r="C69" s="22">
        <v>2000</v>
      </c>
      <c r="D69" s="15">
        <v>1870.9073800697681</v>
      </c>
      <c r="E69" s="15">
        <v>123981.55783369917</v>
      </c>
      <c r="F69" s="15">
        <v>132536.28603365258</v>
      </c>
      <c r="G69" s="15">
        <v>139000</v>
      </c>
      <c r="H69" s="15">
        <v>132536.28603365258</v>
      </c>
      <c r="I69" s="15">
        <v>-6463.7139663474227</v>
      </c>
      <c r="J69" s="15">
        <v>1.0900000333786011</v>
      </c>
      <c r="K69" s="15">
        <v>0.96100002527236938</v>
      </c>
      <c r="L69" s="19">
        <v>1.5299999713897705</v>
      </c>
      <c r="M69" s="19">
        <v>0.96100002527236938</v>
      </c>
      <c r="N69" s="21">
        <v>18.98066619981595</v>
      </c>
      <c r="O69" s="21">
        <v>16.971336779515685</v>
      </c>
      <c r="P69" s="21">
        <v>22.321598193437698</v>
      </c>
      <c r="Q69" s="21">
        <v>6.2708139516716628</v>
      </c>
      <c r="R69" s="10"/>
    </row>
    <row r="70" spans="1:18" ht="14.1" customHeight="1">
      <c r="A70" s="13">
        <v>44895</v>
      </c>
      <c r="B70" s="18">
        <v>1.1039999723434448</v>
      </c>
      <c r="C70" s="22">
        <v>2000</v>
      </c>
      <c r="D70" s="15">
        <v>1811.5942482812104</v>
      </c>
      <c r="E70" s="15">
        <v>125793.15208198038</v>
      </c>
      <c r="F70" s="15">
        <v>138875.6364195011</v>
      </c>
      <c r="G70" s="15">
        <v>141000</v>
      </c>
      <c r="H70" s="15">
        <v>138875.6364195011</v>
      </c>
      <c r="I70" s="15">
        <v>-2124.3635804989026</v>
      </c>
      <c r="J70" s="15">
        <v>1.1749999523162842</v>
      </c>
      <c r="K70" s="15">
        <v>1.0609999895095825</v>
      </c>
      <c r="L70" s="19">
        <v>1.5</v>
      </c>
      <c r="M70" s="19">
        <v>0.96100002527236938</v>
      </c>
      <c r="N70" s="21">
        <v>26.530603669014397</v>
      </c>
      <c r="O70" s="21">
        <v>20.157759076015257</v>
      </c>
      <c r="P70" s="21">
        <v>21.600318487630219</v>
      </c>
      <c r="Q70" s="21">
        <v>17.272640252785337</v>
      </c>
    </row>
    <row r="71" spans="1:18" ht="14.1" customHeight="1">
      <c r="A71" s="13">
        <v>44925</v>
      </c>
      <c r="B71" s="18">
        <v>1.0950000286102295</v>
      </c>
      <c r="C71" s="22">
        <v>2000</v>
      </c>
      <c r="D71" s="15">
        <v>1826.483970542351</v>
      </c>
      <c r="E71" s="15">
        <v>127619.63605252274</v>
      </c>
      <c r="F71" s="15">
        <v>139743.50512873946</v>
      </c>
      <c r="G71" s="15">
        <v>143000</v>
      </c>
      <c r="H71" s="15">
        <v>139743.50512873946</v>
      </c>
      <c r="I71" s="15">
        <v>-3256.4948712605401</v>
      </c>
      <c r="J71" s="15">
        <v>1.156000018119812</v>
      </c>
      <c r="K71" s="15">
        <v>1.0729999542236328</v>
      </c>
      <c r="L71" s="19">
        <v>1.3190000057220459</v>
      </c>
      <c r="M71" s="19">
        <v>0.96100002527236938</v>
      </c>
      <c r="N71" s="21">
        <v>37.430170574184231</v>
      </c>
      <c r="O71" s="21">
        <v>25.915229575404918</v>
      </c>
      <c r="P71" s="21">
        <v>23.03862218355512</v>
      </c>
      <c r="Q71" s="21">
        <v>31.668444359104512</v>
      </c>
    </row>
    <row r="72" spans="1:18" ht="14.1" customHeight="1">
      <c r="A72" s="13">
        <v>44957</v>
      </c>
      <c r="B72" s="18">
        <v>1.218000054359436</v>
      </c>
      <c r="C72" s="22">
        <v>2000</v>
      </c>
      <c r="D72" s="15">
        <v>1642.0360515105469</v>
      </c>
      <c r="E72" s="15">
        <v>129261.67210403328</v>
      </c>
      <c r="F72" s="15">
        <v>157440.72364930413</v>
      </c>
      <c r="G72" s="15">
        <v>145000</v>
      </c>
      <c r="H72" s="15">
        <v>157440.72364930413</v>
      </c>
      <c r="I72" s="15">
        <v>12440.723649304127</v>
      </c>
      <c r="J72" s="15">
        <v>1.2719999551773071</v>
      </c>
      <c r="K72" s="15">
        <v>1.0709999799728394</v>
      </c>
      <c r="L72" s="19">
        <v>1.2799999713897705</v>
      </c>
      <c r="M72" s="19">
        <v>0.96100002527236938</v>
      </c>
      <c r="N72" s="21">
        <v>80.564286049278294</v>
      </c>
      <c r="O72" s="21">
        <v>44.131581733362708</v>
      </c>
      <c r="P72" s="21">
        <v>30.069608700157648</v>
      </c>
      <c r="Q72" s="21">
        <v>72.255527799772835</v>
      </c>
    </row>
    <row r="73" spans="1:18" ht="14.1" customHeight="1">
      <c r="A73" s="13">
        <v>44985</v>
      </c>
      <c r="B73" s="18">
        <v>1.2790000438690186</v>
      </c>
      <c r="C73" s="22">
        <v>2000</v>
      </c>
      <c r="D73" s="15">
        <v>1563.721603910139</v>
      </c>
      <c r="E73" s="15">
        <v>130825.39370794341</v>
      </c>
      <c r="F73" s="15">
        <v>167325.68429164126</v>
      </c>
      <c r="G73" s="15">
        <v>147000</v>
      </c>
      <c r="H73" s="15">
        <v>167325.68429164126</v>
      </c>
      <c r="I73" s="15">
        <v>20325.684291641257</v>
      </c>
      <c r="J73" s="15">
        <v>1.3370000123977661</v>
      </c>
      <c r="K73" s="15">
        <v>1.2059999704360962</v>
      </c>
      <c r="L73" s="19">
        <v>1.3370000123977661</v>
      </c>
      <c r="M73" s="19">
        <v>0.96100002527236938</v>
      </c>
      <c r="N73" s="21">
        <v>84.574475926935477</v>
      </c>
      <c r="O73" s="21">
        <v>57.612546464553624</v>
      </c>
      <c r="P73" s="21">
        <v>39.250587954956309</v>
      </c>
      <c r="Q73" s="21">
        <v>94.336463483748261</v>
      </c>
    </row>
    <row r="74" spans="1:18" ht="14.1" customHeight="1">
      <c r="A74" s="13">
        <v>45016</v>
      </c>
      <c r="B74" s="18">
        <v>1.4709999561309814</v>
      </c>
      <c r="C74" s="22">
        <v>2000</v>
      </c>
      <c r="D74" s="15">
        <v>1359.6193471415136</v>
      </c>
      <c r="E74" s="15">
        <v>132185.01305508491</v>
      </c>
      <c r="F74" s="15">
        <v>194444.14840520313</v>
      </c>
      <c r="G74" s="15">
        <v>149000</v>
      </c>
      <c r="H74" s="15">
        <v>194444.14840520313</v>
      </c>
      <c r="I74" s="15">
        <v>45444.14840520313</v>
      </c>
      <c r="J74" s="15">
        <v>1.5249999761581421</v>
      </c>
      <c r="K74" s="15">
        <v>1.2690000534057617</v>
      </c>
      <c r="L74" s="19">
        <v>1.5249999761581421</v>
      </c>
      <c r="M74" s="19">
        <v>0.96100002527236938</v>
      </c>
      <c r="N74" s="21">
        <v>90.425527530214751</v>
      </c>
      <c r="O74" s="21">
        <v>68.550206819774004</v>
      </c>
      <c r="P74" s="21">
        <v>49.01712757656221</v>
      </c>
      <c r="Q74" s="21">
        <v>107.61636530619758</v>
      </c>
    </row>
    <row r="75" spans="1:18" ht="14.1" customHeight="1">
      <c r="A75" s="13">
        <v>45044</v>
      </c>
      <c r="B75" s="18">
        <v>1.4160000085830688</v>
      </c>
      <c r="C75" s="22">
        <v>2000</v>
      </c>
      <c r="D75" s="15">
        <v>1412.429369969648</v>
      </c>
      <c r="E75" s="15">
        <v>133597.44242505456</v>
      </c>
      <c r="F75" s="15">
        <v>189173.97962055329</v>
      </c>
      <c r="G75" s="15">
        <v>151000</v>
      </c>
      <c r="H75" s="15">
        <v>189173.97962055329</v>
      </c>
      <c r="I75" s="15">
        <v>38173.979620553291</v>
      </c>
      <c r="J75" s="15">
        <v>1.6220000000000001</v>
      </c>
      <c r="K75" s="15">
        <v>1.3630000352859497</v>
      </c>
      <c r="L75" s="19">
        <v>1.6220000000000001</v>
      </c>
      <c r="M75" s="19">
        <v>0.96100002527236938</v>
      </c>
      <c r="N75" s="21">
        <v>68.835098442807833</v>
      </c>
      <c r="O75" s="21">
        <v>68.645170694118619</v>
      </c>
      <c r="P75" s="21">
        <v>55.559808615747677</v>
      </c>
      <c r="Q75" s="21">
        <v>94.815894850860488</v>
      </c>
    </row>
    <row r="76" spans="1:18" ht="12.75">
      <c r="A76" s="13">
        <v>45077</v>
      </c>
      <c r="B76" s="18">
        <v>1.4309999942779541</v>
      </c>
      <c r="C76" s="22">
        <v>2000</v>
      </c>
      <c r="D76" s="15">
        <v>1397.6240447220607</v>
      </c>
      <c r="E76" s="15">
        <v>134995.06646977662</v>
      </c>
      <c r="F76" s="15">
        <v>193177.93934580238</v>
      </c>
      <c r="G76" s="15">
        <v>153000</v>
      </c>
      <c r="H76" s="15">
        <v>193177.93934580238</v>
      </c>
      <c r="I76" s="15">
        <v>40177.939345802384</v>
      </c>
      <c r="J76" s="15">
        <v>1.4320000410079956</v>
      </c>
      <c r="K76" s="15">
        <v>1.309999942779541</v>
      </c>
      <c r="L76" s="19">
        <v>1.6220000000000001</v>
      </c>
      <c r="M76" s="19">
        <v>0.96100002527236938</v>
      </c>
      <c r="N76" s="21">
        <v>71.104385321535176</v>
      </c>
      <c r="O76" s="21">
        <v>69.464908903257466</v>
      </c>
      <c r="P76" s="21">
        <v>60.194842044917607</v>
      </c>
      <c r="Q76" s="21">
        <v>88.005042619937171</v>
      </c>
    </row>
    <row r="77" spans="1:18" ht="12.75">
      <c r="A77" s="13">
        <v>45107</v>
      </c>
      <c r="B77" s="18">
        <v>1.4440000057220459</v>
      </c>
      <c r="C77" s="22">
        <v>2000</v>
      </c>
      <c r="D77" s="15">
        <v>1385.0415457581223</v>
      </c>
      <c r="E77" s="15">
        <v>136380.10801553473</v>
      </c>
      <c r="F77" s="15">
        <v>196932.87675480539</v>
      </c>
      <c r="G77" s="15">
        <v>155000</v>
      </c>
      <c r="H77" s="15">
        <v>196932.87675480539</v>
      </c>
      <c r="I77" s="15">
        <v>41932.876754805387</v>
      </c>
      <c r="J77" s="15">
        <v>1.6160000562667847</v>
      </c>
      <c r="K77" s="15">
        <v>1.3849999904632568</v>
      </c>
      <c r="L77" s="19">
        <v>1.6220000000000001</v>
      </c>
      <c r="M77" s="19">
        <v>0.96100002527236938</v>
      </c>
      <c r="N77" s="21">
        <v>73.071104223370014</v>
      </c>
      <c r="O77" s="21">
        <v>70.666974009961649</v>
      </c>
      <c r="P77" s="21">
        <v>63.685552699932288</v>
      </c>
      <c r="Q77" s="21">
        <v>84.629816630020372</v>
      </c>
    </row>
    <row r="78" spans="1:18" ht="12.75">
      <c r="A78" s="13">
        <v>45138</v>
      </c>
      <c r="B78" s="18">
        <v>1.3869999647140503</v>
      </c>
      <c r="C78" s="22">
        <v>2000</v>
      </c>
      <c r="D78" s="15">
        <v>1441.9611037353764</v>
      </c>
      <c r="E78" s="15">
        <v>137822.06911927011</v>
      </c>
      <c r="F78" s="15">
        <v>191159.20500524505</v>
      </c>
      <c r="G78" s="15">
        <v>157000</v>
      </c>
      <c r="H78" s="15">
        <v>191159.20500524505</v>
      </c>
      <c r="I78" s="15">
        <v>34159.20500524505</v>
      </c>
      <c r="J78" s="15">
        <v>1.4780000448226929</v>
      </c>
      <c r="K78" s="15">
        <v>1.3600000143051147</v>
      </c>
      <c r="L78" s="19">
        <v>1.6220000000000001</v>
      </c>
      <c r="M78" s="19">
        <v>1.0609999895095825</v>
      </c>
      <c r="N78" s="21">
        <v>58.110511427528067</v>
      </c>
      <c r="O78" s="21">
        <v>66.481486482483788</v>
      </c>
      <c r="P78" s="21">
        <v>64.617530627449455</v>
      </c>
      <c r="Q78" s="21">
        <v>70.20939819255247</v>
      </c>
    </row>
    <row r="79" spans="1:18" ht="12.75">
      <c r="A79" s="13">
        <v>45169</v>
      </c>
      <c r="B79" s="18">
        <v>1.3009999990463257</v>
      </c>
      <c r="C79" s="22">
        <v>2000</v>
      </c>
      <c r="D79" s="15">
        <v>1537.279017268304</v>
      </c>
      <c r="E79" s="15">
        <v>139359.34813653841</v>
      </c>
      <c r="F79" s="15">
        <v>181306.51179273304</v>
      </c>
      <c r="G79" s="15">
        <v>159000</v>
      </c>
      <c r="H79" s="15">
        <v>181306.51179273304</v>
      </c>
      <c r="I79" s="15">
        <v>22306.511792733043</v>
      </c>
      <c r="J79" s="15">
        <v>1.4390000104904175</v>
      </c>
      <c r="K79" s="15">
        <v>1.2209999561309814</v>
      </c>
      <c r="L79" s="19">
        <v>1.6220000000000001</v>
      </c>
      <c r="M79" s="19">
        <v>1.0709999799728394</v>
      </c>
      <c r="N79" s="21">
        <v>41.742288695769702</v>
      </c>
      <c r="O79" s="21">
        <v>58.235087220245759</v>
      </c>
      <c r="P79" s="21">
        <v>62.490049491714892</v>
      </c>
      <c r="Q79" s="21">
        <v>49.725162677307495</v>
      </c>
    </row>
    <row r="80" spans="1:18" ht="12.75">
      <c r="A80" s="13">
        <v>45197</v>
      </c>
      <c r="B80" s="18">
        <v>1.2410000562667847</v>
      </c>
      <c r="C80" s="22">
        <v>2000</v>
      </c>
      <c r="D80" s="15">
        <v>1611.6034724579004</v>
      </c>
      <c r="E80" s="15">
        <v>140970.95160899631</v>
      </c>
      <c r="F80" s="15">
        <v>174944.95887874661</v>
      </c>
      <c r="G80" s="15">
        <v>161000</v>
      </c>
      <c r="H80" s="15">
        <v>174944.95887874661</v>
      </c>
      <c r="I80" s="15">
        <v>13944.958878746605</v>
      </c>
      <c r="J80" s="15">
        <v>1.3070000410079956</v>
      </c>
      <c r="K80" s="15">
        <v>1.1299999952316284</v>
      </c>
      <c r="L80" s="19">
        <v>1.6220000000000001</v>
      </c>
      <c r="M80" s="19">
        <v>1.0709999799728394</v>
      </c>
      <c r="N80" s="21">
        <v>30.853007280392731</v>
      </c>
      <c r="O80" s="21">
        <v>49.107727240294743</v>
      </c>
      <c r="P80" s="21">
        <v>58.02927540790818</v>
      </c>
      <c r="Q80" s="21">
        <v>31.264630905067875</v>
      </c>
    </row>
    <row r="81" spans="1:17" ht="12.75">
      <c r="A81" s="13">
        <v>45230</v>
      </c>
      <c r="B81" s="18">
        <v>1.1759999990463257</v>
      </c>
      <c r="C81" s="22">
        <v>2000</v>
      </c>
      <c r="D81" s="15">
        <v>1700.6802734880059</v>
      </c>
      <c r="E81" s="15">
        <v>142671.63188248433</v>
      </c>
      <c r="F81" s="15">
        <v>167781.8389577393</v>
      </c>
      <c r="G81" s="15">
        <v>163000</v>
      </c>
      <c r="H81" s="15">
        <v>167781.8389577393</v>
      </c>
      <c r="I81" s="15">
        <v>4781.8389577392954</v>
      </c>
      <c r="J81" s="15">
        <v>1.2790000438690186</v>
      </c>
      <c r="K81" s="15">
        <v>1.1299999952316284</v>
      </c>
      <c r="L81" s="19">
        <v>1.6220000000000001</v>
      </c>
      <c r="M81" s="19">
        <v>1.1299999952316284</v>
      </c>
      <c r="N81" s="21">
        <v>9.3495941806654201</v>
      </c>
      <c r="O81" s="21">
        <v>35.8550162204183</v>
      </c>
      <c r="P81" s="21">
        <v>50.637855678744891</v>
      </c>
      <c r="Q81" s="21">
        <v>6.289337303765123</v>
      </c>
    </row>
    <row r="82" spans="1:17" ht="12.75">
      <c r="A82" s="13">
        <v>45260</v>
      </c>
      <c r="B82" s="18">
        <v>1.2059999704360962</v>
      </c>
      <c r="C82" s="22">
        <v>2000</v>
      </c>
      <c r="D82" s="15">
        <v>1658.3748333565788</v>
      </c>
      <c r="E82" s="15">
        <v>144330.00671584092</v>
      </c>
      <c r="F82" s="15">
        <v>174061.98383234572</v>
      </c>
      <c r="G82" s="15">
        <v>165000</v>
      </c>
      <c r="H82" s="15">
        <v>174061.98383234572</v>
      </c>
      <c r="I82" s="15">
        <v>9061.9838323457225</v>
      </c>
      <c r="J82" s="15">
        <v>1.2760000228881836</v>
      </c>
      <c r="K82" s="15">
        <v>1.1599999666213989</v>
      </c>
      <c r="L82" s="19">
        <v>1.6220000000000001</v>
      </c>
      <c r="M82" s="19">
        <v>1.1299999952316284</v>
      </c>
      <c r="N82" s="21">
        <v>15.447149282091519</v>
      </c>
      <c r="O82" s="21">
        <v>29.052393907642706</v>
      </c>
      <c r="P82" s="21">
        <v>43.442701755044162</v>
      </c>
      <c r="Q82" s="21">
        <v>0.27177821283979142</v>
      </c>
    </row>
    <row r="83" spans="1:17" ht="12.75">
      <c r="A83" s="13">
        <v>45289</v>
      </c>
      <c r="B83" s="18">
        <v>1.2039999961853027</v>
      </c>
      <c r="C83" s="22">
        <v>3000</v>
      </c>
      <c r="D83" s="15">
        <v>2491.6943600540362</v>
      </c>
      <c r="E83" s="15">
        <v>146821.70107589496</v>
      </c>
      <c r="F83" s="15">
        <v>176773.3275352972</v>
      </c>
      <c r="G83" s="15">
        <v>168000</v>
      </c>
      <c r="H83" s="15">
        <v>176773.3275352972</v>
      </c>
      <c r="I83" s="15">
        <v>8773.3275352971978</v>
      </c>
      <c r="J83" s="15">
        <v>1.2690000534057617</v>
      </c>
      <c r="K83" s="15">
        <v>1.1529999971389771</v>
      </c>
      <c r="L83" s="19">
        <v>1.6220000000000001</v>
      </c>
      <c r="M83" s="19">
        <v>1.1299999952316284</v>
      </c>
      <c r="N83" s="21">
        <v>15.040650454569146</v>
      </c>
      <c r="O83" s="21">
        <v>24.381812756618189</v>
      </c>
      <c r="P83" s="21">
        <v>37.089072088902171</v>
      </c>
      <c r="Q83" s="21">
        <v>-1.0327059079497758</v>
      </c>
    </row>
    <row r="84" spans="1:17" ht="12.75">
      <c r="A84" s="13">
        <v>45322</v>
      </c>
      <c r="B84" s="18">
        <v>0.97500002384185791</v>
      </c>
      <c r="C84" s="22">
        <v>3000</v>
      </c>
      <c r="D84" s="15">
        <v>3076.9230016825013</v>
      </c>
      <c r="E84" s="15">
        <v>149898.62407757746</v>
      </c>
      <c r="F84" s="15">
        <v>146151.16204949972</v>
      </c>
      <c r="G84" s="15">
        <v>171000</v>
      </c>
      <c r="H84" s="15">
        <v>146151.16204949972</v>
      </c>
      <c r="I84" s="15">
        <v>-24848.837950500281</v>
      </c>
      <c r="J84" s="15">
        <v>1.2109999656677246</v>
      </c>
      <c r="K84" s="15">
        <v>0.97500002384185791</v>
      </c>
      <c r="L84" s="19">
        <v>1.6160000562667847</v>
      </c>
      <c r="M84" s="19">
        <v>0.97500002384185791</v>
      </c>
      <c r="N84" s="21">
        <v>0</v>
      </c>
      <c r="O84" s="21">
        <v>16.25454183774546</v>
      </c>
      <c r="P84" s="21">
        <v>30.144228671849934</v>
      </c>
      <c r="Q84" s="21">
        <v>-11.524831830463491</v>
      </c>
    </row>
    <row r="85" spans="1:17" ht="12.75">
      <c r="A85" s="13">
        <v>45351</v>
      </c>
      <c r="B85" s="18">
        <v>1.1909999847412109</v>
      </c>
      <c r="C85" s="22">
        <v>2000</v>
      </c>
      <c r="D85" s="15">
        <v>1679.2611466192204</v>
      </c>
      <c r="E85" s="15">
        <v>151577.88522419668</v>
      </c>
      <c r="F85" s="15">
        <v>180529.25898912328</v>
      </c>
      <c r="G85" s="15">
        <v>173000</v>
      </c>
      <c r="H85" s="15">
        <v>180529.25898912328</v>
      </c>
      <c r="I85" s="15">
        <v>7529.2589891232783</v>
      </c>
      <c r="J85" s="15">
        <v>1.218000054359436</v>
      </c>
      <c r="K85" s="15">
        <v>0.91699999570846558</v>
      </c>
      <c r="L85" s="19">
        <v>1.6160000562667847</v>
      </c>
      <c r="M85" s="19">
        <v>0.91699999570846558</v>
      </c>
      <c r="N85" s="21">
        <v>39.198850542858423</v>
      </c>
      <c r="O85" s="21">
        <v>23.902644739449784</v>
      </c>
      <c r="P85" s="21">
        <v>28.063700694383215</v>
      </c>
      <c r="Q85" s="21">
        <v>15.580532829582921</v>
      </c>
    </row>
    <row r="86" spans="1:17" ht="12.75">
      <c r="A86" s="13">
        <v>45380</v>
      </c>
      <c r="B86" s="18">
        <v>1.1920000314712524</v>
      </c>
      <c r="C86" s="22">
        <v>2000</v>
      </c>
      <c r="D86" s="15">
        <v>1677.8523046945356</v>
      </c>
      <c r="E86" s="15">
        <v>153255.73752889122</v>
      </c>
      <c r="F86" s="15">
        <v>182680.84395758834</v>
      </c>
      <c r="G86" s="15">
        <v>175000</v>
      </c>
      <c r="H86" s="15">
        <v>182680.84395758834</v>
      </c>
      <c r="I86" s="15">
        <v>7680.8439575883385</v>
      </c>
      <c r="J86" s="15">
        <v>1.284000039100647</v>
      </c>
      <c r="K86" s="15">
        <v>1.1699999570846558</v>
      </c>
      <c r="L86" s="19">
        <v>1.4780000448226929</v>
      </c>
      <c r="M86" s="19">
        <v>0.91699999570846558</v>
      </c>
      <c r="N86" s="21">
        <v>49.019609926414297</v>
      </c>
      <c r="O86" s="21">
        <v>32.274966468437952</v>
      </c>
      <c r="P86" s="21">
        <v>29.467455952401462</v>
      </c>
      <c r="Q86" s="21">
        <v>37.889987500510934</v>
      </c>
    </row>
    <row r="87" spans="1:17" ht="12.75">
      <c r="A87" s="13">
        <v>45412</v>
      </c>
      <c r="B87" s="18">
        <v>1.2200000286102295</v>
      </c>
      <c r="C87" s="22">
        <v>2000</v>
      </c>
      <c r="D87" s="15">
        <v>1639.3442238508078</v>
      </c>
      <c r="E87" s="15">
        <v>154895.08175274203</v>
      </c>
      <c r="F87" s="15">
        <v>188972.0041699291</v>
      </c>
      <c r="G87" s="15">
        <v>177000</v>
      </c>
      <c r="H87" s="15">
        <v>188972.0041699291</v>
      </c>
      <c r="I87" s="15">
        <v>11972.004169929103</v>
      </c>
      <c r="J87" s="15">
        <v>1.2300000190734863</v>
      </c>
      <c r="K87" s="15">
        <v>1.093999981880188</v>
      </c>
      <c r="L87" s="19">
        <v>1.4390000104904175</v>
      </c>
      <c r="M87" s="19">
        <v>0.91699999570846558</v>
      </c>
      <c r="N87" s="21">
        <v>58.045981670772953</v>
      </c>
      <c r="O87" s="21">
        <v>40.865304869216288</v>
      </c>
      <c r="P87" s="21">
        <v>33.266738924673071</v>
      </c>
      <c r="Q87" s="21">
        <v>56.062436758302724</v>
      </c>
    </row>
    <row r="88" spans="1:17" ht="12.75">
      <c r="A88" s="13">
        <v>45443</v>
      </c>
      <c r="B88" s="18">
        <v>1.1510000228881836</v>
      </c>
      <c r="C88" s="22">
        <v>2000</v>
      </c>
      <c r="D88" s="15">
        <v>1737.6194267845765</v>
      </c>
      <c r="E88" s="15">
        <v>156632.7011795266</v>
      </c>
      <c r="F88" s="15">
        <v>180284.24264267314</v>
      </c>
      <c r="G88" s="15">
        <v>179000</v>
      </c>
      <c r="H88" s="15">
        <v>180284.24264267314</v>
      </c>
      <c r="I88" s="15">
        <v>1284.2426426731399</v>
      </c>
      <c r="J88" s="15">
        <v>1.2450000047683716</v>
      </c>
      <c r="K88" s="15">
        <v>1.1390000581741333</v>
      </c>
      <c r="L88" s="19">
        <v>1.3070000410079956</v>
      </c>
      <c r="M88" s="19">
        <v>0.91699999570846558</v>
      </c>
      <c r="N88" s="21">
        <v>60</v>
      </c>
      <c r="O88" s="21">
        <v>47.243536579477528</v>
      </c>
      <c r="P88" s="21">
        <v>37.925671476274552</v>
      </c>
      <c r="Q88" s="21">
        <v>65.879266785883473</v>
      </c>
    </row>
    <row r="89" spans="1:17" ht="12.75">
      <c r="A89" s="13">
        <v>45471</v>
      </c>
      <c r="B89" s="18">
        <v>1.156000018119812</v>
      </c>
      <c r="C89" s="22">
        <v>2000</v>
      </c>
      <c r="D89" s="15">
        <v>1730.1037791097274</v>
      </c>
      <c r="E89" s="15">
        <v>158362.80495863632</v>
      </c>
      <c r="F89" s="15">
        <v>183067.40540168784</v>
      </c>
      <c r="G89" s="15">
        <v>181000</v>
      </c>
      <c r="H89" s="15">
        <v>183067.40540168784</v>
      </c>
      <c r="I89" s="15">
        <v>2067.4054016878363</v>
      </c>
      <c r="J89" s="15">
        <v>1.2339999675750732</v>
      </c>
      <c r="K89" s="15">
        <v>1.1360000371932983</v>
      </c>
      <c r="L89" s="19">
        <v>1.284000039100647</v>
      </c>
      <c r="M89" s="19">
        <v>0.91699999570846558</v>
      </c>
      <c r="N89" s="21">
        <v>65.122614210687615</v>
      </c>
      <c r="O89" s="21">
        <v>53.203229123214221</v>
      </c>
      <c r="P89" s="21">
        <v>43.018190691921113</v>
      </c>
      <c r="Q89" s="21">
        <v>73.573305985800445</v>
      </c>
    </row>
    <row r="90" spans="1:17" ht="12.75">
      <c r="A90" s="13">
        <v>45504</v>
      </c>
      <c r="B90" s="18">
        <v>1.1469999551773071</v>
      </c>
      <c r="C90" s="22">
        <v>2000</v>
      </c>
      <c r="D90" s="15">
        <v>1743.6792311738436</v>
      </c>
      <c r="E90" s="15">
        <v>160106.48418981017</v>
      </c>
      <c r="F90" s="15">
        <v>183642.13018930849</v>
      </c>
      <c r="G90" s="15">
        <v>183000</v>
      </c>
      <c r="H90" s="15">
        <v>183642.13018930849</v>
      </c>
      <c r="I90" s="15">
        <v>642.13018930848921</v>
      </c>
      <c r="J90" s="15">
        <v>1.1890000104904175</v>
      </c>
      <c r="K90" s="15">
        <v>1.1180000305175781</v>
      </c>
      <c r="L90" s="19">
        <v>1.284000039100647</v>
      </c>
      <c r="M90" s="19">
        <v>0.91699999570846558</v>
      </c>
      <c r="N90" s="21">
        <v>62.67028127379821</v>
      </c>
      <c r="O90" s="21">
        <v>56.358913173408887</v>
      </c>
      <c r="P90" s="21">
        <v>47.465098185750371</v>
      </c>
      <c r="Q90" s="21">
        <v>74.146543148725911</v>
      </c>
    </row>
    <row r="91" spans="1:17" ht="12.75">
      <c r="A91" s="13">
        <v>45534</v>
      </c>
      <c r="B91" s="18">
        <v>1.0429999828338623</v>
      </c>
      <c r="C91" s="22">
        <v>2000</v>
      </c>
      <c r="D91" s="15">
        <v>1917.5455732663963</v>
      </c>
      <c r="E91" s="15">
        <v>162024.02976307657</v>
      </c>
      <c r="F91" s="15">
        <v>168991.06026156206</v>
      </c>
      <c r="G91" s="15">
        <v>185000</v>
      </c>
      <c r="H91" s="15">
        <v>168991.06026156206</v>
      </c>
      <c r="I91" s="15">
        <v>-16008.939738437941</v>
      </c>
      <c r="J91" s="15">
        <v>1.159000039100647</v>
      </c>
      <c r="K91" s="15">
        <v>1</v>
      </c>
      <c r="L91" s="19">
        <v>1.284000039100647</v>
      </c>
      <c r="M91" s="19">
        <v>0.91699999570846558</v>
      </c>
      <c r="N91" s="21">
        <v>34.332417500766169</v>
      </c>
      <c r="O91" s="21">
        <v>49.016747949194645</v>
      </c>
      <c r="P91" s="21">
        <v>47.982314773565129</v>
      </c>
      <c r="Q91" s="21">
        <v>51.085614300453685</v>
      </c>
    </row>
    <row r="92" spans="1:17" ht="12.75">
      <c r="A92" s="13">
        <v>45565</v>
      </c>
      <c r="B92" s="18">
        <v>1.2979999780654907</v>
      </c>
      <c r="C92" s="22">
        <v>2000</v>
      </c>
      <c r="D92" s="15">
        <v>1540.8320753446806</v>
      </c>
      <c r="E92" s="15">
        <v>163564.86183842126</v>
      </c>
      <c r="F92" s="15">
        <v>212307.18707855581</v>
      </c>
      <c r="G92" s="15">
        <v>187000</v>
      </c>
      <c r="H92" s="15">
        <v>212307.18707855581</v>
      </c>
      <c r="I92" s="15">
        <v>25307.187078555813</v>
      </c>
      <c r="J92" s="15">
        <v>1.2979999780654907</v>
      </c>
      <c r="K92" s="15">
        <v>0.99800002574920654</v>
      </c>
      <c r="L92" s="19">
        <v>1.2979999780654907</v>
      </c>
      <c r="M92" s="19">
        <v>0.91699999570846558</v>
      </c>
      <c r="N92" s="21">
        <v>100</v>
      </c>
      <c r="O92" s="21">
        <v>66.011165299463087</v>
      </c>
      <c r="P92" s="21">
        <v>53.991931615531115</v>
      </c>
      <c r="Q92" s="21">
        <v>90.049632667327046</v>
      </c>
    </row>
    <row r="93" spans="1:17" ht="12.75">
      <c r="A93" s="13">
        <v>45596</v>
      </c>
      <c r="B93" s="18">
        <v>1.4099999666213989</v>
      </c>
      <c r="C93" s="22">
        <v>2000</v>
      </c>
      <c r="D93" s="15">
        <v>1418.43974989045</v>
      </c>
      <c r="E93" s="15">
        <v>164983.3015883117</v>
      </c>
      <c r="F93" s="15">
        <v>232626.4497326077</v>
      </c>
      <c r="G93" s="15">
        <v>189000</v>
      </c>
      <c r="H93" s="15">
        <v>232626.4497326077</v>
      </c>
      <c r="I93" s="15">
        <v>43626.449732607696</v>
      </c>
      <c r="J93" s="15">
        <v>1.5360000133514404</v>
      </c>
      <c r="K93" s="15">
        <v>1.2710000276565552</v>
      </c>
      <c r="L93" s="19">
        <v>1.5360000133514404</v>
      </c>
      <c r="M93" s="19">
        <v>0.91699999570846558</v>
      </c>
      <c r="N93" s="21">
        <v>79.644581076132468</v>
      </c>
      <c r="O93" s="21">
        <v>70.555637225019552</v>
      </c>
      <c r="P93" s="21">
        <v>59.513166818693925</v>
      </c>
      <c r="Q93" s="21">
        <v>92.640578037670807</v>
      </c>
    </row>
    <row r="94" spans="1:17" ht="12.75">
      <c r="A94" s="13">
        <v>45625</v>
      </c>
      <c r="B94" s="18">
        <v>1.4490000009536743</v>
      </c>
      <c r="C94" s="22">
        <v>2000</v>
      </c>
      <c r="D94" s="15">
        <v>1380.2622489190333</v>
      </c>
      <c r="E94" s="15">
        <v>166363.56383723073</v>
      </c>
      <c r="F94" s="15">
        <v>241060.80415880398</v>
      </c>
      <c r="G94" s="15">
        <v>191000</v>
      </c>
      <c r="H94" s="15">
        <v>241060.80415880398</v>
      </c>
      <c r="I94" s="15">
        <v>50060.804158803978</v>
      </c>
      <c r="J94" s="15">
        <v>1.562000036239624</v>
      </c>
      <c r="K94" s="15">
        <v>1.3519999980926514</v>
      </c>
      <c r="L94" s="19">
        <v>1.562000036239624</v>
      </c>
      <c r="M94" s="19">
        <v>0.99800002574920654</v>
      </c>
      <c r="N94" s="21">
        <v>79.964533123378445</v>
      </c>
      <c r="O94" s="21">
        <v>73.691935857805845</v>
      </c>
      <c r="P94" s="21">
        <v>64.239423165064565</v>
      </c>
      <c r="Q94" s="21">
        <v>92.596961243288405</v>
      </c>
    </row>
    <row r="95" spans="1:17" ht="12.75">
      <c r="A95" s="13">
        <v>45657</v>
      </c>
      <c r="B95" s="18">
        <v>1.4550000429153442</v>
      </c>
      <c r="C95" s="22">
        <v>2000</v>
      </c>
      <c r="D95" s="15">
        <v>1374.5704061923284</v>
      </c>
      <c r="E95" s="15">
        <v>167738.13424342306</v>
      </c>
      <c r="F95" s="15">
        <v>244058.99252272033</v>
      </c>
      <c r="G95" s="15">
        <v>193000</v>
      </c>
      <c r="H95" s="15">
        <v>244058.99252272033</v>
      </c>
      <c r="I95" s="15">
        <v>51058.992522720335</v>
      </c>
      <c r="J95" s="15">
        <v>1.5520000457763672</v>
      </c>
      <c r="K95" s="15">
        <v>1.4220000505447388</v>
      </c>
      <c r="L95" s="19">
        <v>1.562000036239624</v>
      </c>
      <c r="M95" s="19">
        <v>0.99800002574920654</v>
      </c>
      <c r="N95" s="21">
        <v>81.028370330837475</v>
      </c>
      <c r="O95" s="21">
        <v>76.13741401548306</v>
      </c>
      <c r="P95" s="21">
        <v>68.205420115204063</v>
      </c>
      <c r="Q95" s="21">
        <v>92.001401816041067</v>
      </c>
    </row>
    <row r="96" spans="1:17" ht="12.75">
      <c r="A96" s="13">
        <v>45684</v>
      </c>
      <c r="B96" s="18">
        <v>1.4459999799728394</v>
      </c>
      <c r="C96" s="22">
        <v>2000</v>
      </c>
      <c r="D96" s="15">
        <v>1383.1258836100167</v>
      </c>
      <c r="E96" s="15">
        <v>169121.26012703308</v>
      </c>
      <c r="F96" s="15">
        <v>244549.33875667118</v>
      </c>
      <c r="G96" s="15">
        <v>195000</v>
      </c>
      <c r="H96" s="15">
        <v>244549.33875667118</v>
      </c>
      <c r="I96" s="15">
        <v>49549.338756671175</v>
      </c>
      <c r="J96" s="15">
        <v>1.4950000047683716</v>
      </c>
      <c r="K96" s="15">
        <v>1.3459999561309814</v>
      </c>
      <c r="L96" s="19">
        <v>1.562000036239624</v>
      </c>
      <c r="M96" s="19">
        <v>0.99800002574920654</v>
      </c>
      <c r="N96" s="21">
        <v>79.432614519648922</v>
      </c>
      <c r="O96" s="21">
        <v>77.235814183538352</v>
      </c>
      <c r="P96" s="21">
        <v>71.215551471315493</v>
      </c>
      <c r="Q96" s="21">
        <v>89.276339607984056</v>
      </c>
    </row>
    <row r="97" spans="1:17" ht="12.75">
      <c r="A97" s="13">
        <v>45716</v>
      </c>
      <c r="B97" s="18">
        <v>1.6210000514984131</v>
      </c>
      <c r="C97" s="22">
        <v>2000</v>
      </c>
      <c r="D97" s="15">
        <v>1233.8062532146428</v>
      </c>
      <c r="E97" s="15">
        <v>170355.06638024771</v>
      </c>
      <c r="F97" s="15">
        <v>276145.57137539709</v>
      </c>
      <c r="G97" s="15">
        <v>197000</v>
      </c>
      <c r="H97" s="15">
        <v>276145.57137539709</v>
      </c>
      <c r="I97" s="15">
        <v>79145.571375397092</v>
      </c>
      <c r="J97" s="15">
        <v>1.7549999952316284</v>
      </c>
      <c r="K97" s="15">
        <v>1.4650000333786011</v>
      </c>
      <c r="L97" s="19">
        <v>1.7549999952316284</v>
      </c>
      <c r="M97" s="19">
        <v>0.99800002574920654</v>
      </c>
      <c r="N97" s="21">
        <v>82.298553614891929</v>
      </c>
      <c r="O97" s="21">
        <v>78.923393993989535</v>
      </c>
      <c r="P97" s="21">
        <v>73.784832312206845</v>
      </c>
      <c r="Q97" s="21">
        <v>89.200517357554929</v>
      </c>
    </row>
    <row r="98" spans="1:17" ht="12.75">
      <c r="A98" s="13">
        <v>45747</v>
      </c>
      <c r="B98" s="18">
        <v>1.5249999761581421</v>
      </c>
      <c r="C98" s="22">
        <v>2000</v>
      </c>
      <c r="D98" s="15">
        <v>1311.4754303396792</v>
      </c>
      <c r="E98" s="15">
        <v>171666.5418105874</v>
      </c>
      <c r="F98" s="15">
        <v>261791.47216829649</v>
      </c>
      <c r="G98" s="15">
        <v>199000</v>
      </c>
      <c r="H98" s="15">
        <v>261791.47216829649</v>
      </c>
      <c r="I98" s="15">
        <v>62791.472168296488</v>
      </c>
      <c r="J98" s="15">
        <v>1.7000000476837158</v>
      </c>
      <c r="K98" s="15">
        <v>1.4960000514984131</v>
      </c>
      <c r="L98" s="19">
        <v>1.7549999952316284</v>
      </c>
      <c r="M98" s="19">
        <v>0.99800002574920654</v>
      </c>
      <c r="N98" s="21">
        <v>69.616905106252176</v>
      </c>
      <c r="O98" s="21">
        <v>75.82123103141042</v>
      </c>
      <c r="P98" s="21">
        <v>74.463631885274708</v>
      </c>
      <c r="Q98" s="21">
        <v>78.53642932368183</v>
      </c>
    </row>
    <row r="99" spans="1:17" ht="12.75">
      <c r="A99" s="13">
        <v>45777</v>
      </c>
      <c r="B99" s="18">
        <v>1.4620000123977661</v>
      </c>
      <c r="C99" s="22">
        <v>2000</v>
      </c>
      <c r="D99" s="15">
        <v>1367.9890444869984</v>
      </c>
      <c r="E99" s="15">
        <v>173034.53085507441</v>
      </c>
      <c r="F99" s="15">
        <v>252976.48625536042</v>
      </c>
      <c r="G99" s="15">
        <v>201000</v>
      </c>
      <c r="H99" s="15">
        <v>252976.48625536042</v>
      </c>
      <c r="I99" s="15">
        <v>51976.486255360418</v>
      </c>
      <c r="J99" s="15">
        <v>1.5379999876022339</v>
      </c>
      <c r="K99" s="15">
        <v>1.2999999523162842</v>
      </c>
      <c r="L99" s="19">
        <v>1.7549999952316284</v>
      </c>
      <c r="M99" s="19">
        <v>0.99800002574920654</v>
      </c>
      <c r="N99" s="21">
        <v>61.294584591041257</v>
      </c>
      <c r="O99" s="21">
        <v>70.979015551287361</v>
      </c>
      <c r="P99" s="21">
        <v>73.302093107278935</v>
      </c>
      <c r="Q99" s="21">
        <v>66.332860439304199</v>
      </c>
    </row>
    <row r="100" spans="1:17" ht="12.75">
      <c r="A100" s="13">
        <v>45807</v>
      </c>
      <c r="B100" s="18">
        <v>1.4359999895095825</v>
      </c>
      <c r="C100" s="22">
        <v>2000</v>
      </c>
      <c r="D100" s="15">
        <v>1392.7576703416501</v>
      </c>
      <c r="E100" s="15">
        <v>174427.28852541605</v>
      </c>
      <c r="F100" s="15">
        <v>250477.58449268236</v>
      </c>
      <c r="G100" s="15">
        <v>203000</v>
      </c>
      <c r="H100" s="15">
        <v>250477.58449268236</v>
      </c>
      <c r="I100" s="15">
        <v>47477.584492682363</v>
      </c>
      <c r="J100" s="15">
        <v>1.5449999570846558</v>
      </c>
      <c r="K100" s="15">
        <v>1.4229999780654907</v>
      </c>
      <c r="L100" s="19">
        <v>1.7549999952316284</v>
      </c>
      <c r="M100" s="19">
        <v>0.99800002574920654</v>
      </c>
      <c r="N100" s="21">
        <v>57.859971125209761</v>
      </c>
      <c r="O100" s="21">
        <v>66.60600074259483</v>
      </c>
      <c r="P100" s="21">
        <v>71.070062319050905</v>
      </c>
      <c r="Q100" s="21">
        <v>57.67787758968268</v>
      </c>
    </row>
    <row r="101" spans="1:17" ht="12.75">
      <c r="A101" s="13">
        <v>45838</v>
      </c>
      <c r="B101" s="18">
        <v>1.5470000505447388</v>
      </c>
      <c r="C101" s="22">
        <v>2000</v>
      </c>
      <c r="D101" s="15">
        <v>1292.8247799964506</v>
      </c>
      <c r="E101" s="15">
        <v>175720.11330541249</v>
      </c>
      <c r="F101" s="15">
        <v>271839.02416520036</v>
      </c>
      <c r="G101" s="15">
        <v>205000</v>
      </c>
      <c r="H101" s="15">
        <v>271839.02416520036</v>
      </c>
      <c r="I101" s="15">
        <v>66839.024165200361</v>
      </c>
      <c r="J101" s="15">
        <v>1.5479999780654907</v>
      </c>
      <c r="K101" s="15">
        <v>1.4299999475479126</v>
      </c>
      <c r="L101" s="19">
        <v>1.7549999952316284</v>
      </c>
      <c r="M101" s="19">
        <v>1.2710000276565552</v>
      </c>
      <c r="N101" s="21">
        <v>57.024801937692942</v>
      </c>
      <c r="O101" s="21">
        <v>63.412267807627529</v>
      </c>
      <c r="P101" s="21">
        <v>68.517464148576451</v>
      </c>
      <c r="Q101" s="21">
        <v>53.201875125729686</v>
      </c>
    </row>
    <row r="102" spans="1:17" ht="12.75">
      <c r="A102" s="13">
        <v>45869</v>
      </c>
      <c r="B102" s="18">
        <v>1.6959999799728394</v>
      </c>
      <c r="C102" s="22">
        <v>2000</v>
      </c>
      <c r="D102" s="15">
        <v>1179.2452969439476</v>
      </c>
      <c r="E102" s="15">
        <v>176899.35860235646</v>
      </c>
      <c r="F102" s="15">
        <v>300021.30864680465</v>
      </c>
      <c r="G102" s="15">
        <v>207000</v>
      </c>
      <c r="H102" s="15">
        <v>300021.30864680465</v>
      </c>
      <c r="I102" s="15">
        <v>93021.308646804653</v>
      </c>
      <c r="J102" s="15">
        <v>1.7300000190734863</v>
      </c>
      <c r="K102" s="15">
        <v>1.4939999580383301</v>
      </c>
      <c r="L102" s="19">
        <v>1.7549999952316284</v>
      </c>
      <c r="M102" s="19">
        <v>1.2999999523162842</v>
      </c>
      <c r="N102" s="21">
        <v>87.032964902430479</v>
      </c>
      <c r="O102" s="21">
        <v>71.285833505895184</v>
      </c>
      <c r="P102" s="21">
        <v>69.440253934349357</v>
      </c>
      <c r="Q102" s="21">
        <v>74.976992648986823</v>
      </c>
    </row>
    <row r="103" spans="1:17" ht="12.75">
      <c r="A103" s="13">
        <v>45898</v>
      </c>
      <c r="B103" s="18">
        <v>2.7960000038146973</v>
      </c>
      <c r="C103" s="22">
        <v>2000</v>
      </c>
      <c r="D103" s="15">
        <v>715.30758128444859</v>
      </c>
      <c r="E103" s="15">
        <v>177614.66618364092</v>
      </c>
      <c r="F103" s="15">
        <v>496610.60732700618</v>
      </c>
      <c r="G103" s="15">
        <v>209000</v>
      </c>
      <c r="H103" s="15">
        <v>496610.60732700618</v>
      </c>
      <c r="I103" s="15">
        <v>287610.60732700618</v>
      </c>
      <c r="J103" s="15">
        <v>2.8289999961853027</v>
      </c>
      <c r="K103" s="15">
        <v>1.6579999923706055</v>
      </c>
      <c r="L103" s="19">
        <v>2.8289999961853027</v>
      </c>
      <c r="M103" s="19">
        <v>1.2999999523162842</v>
      </c>
      <c r="N103" s="21">
        <v>97.841727179608085</v>
      </c>
      <c r="O103" s="21">
        <v>80.13779806379948</v>
      </c>
      <c r="P103" s="21">
        <v>73.006101977499398</v>
      </c>
      <c r="Q103" s="21">
        <v>94.401190236399628</v>
      </c>
    </row>
    <row r="104" spans="1:17" ht="12.75">
      <c r="A104" s="13">
        <v>45930</v>
      </c>
      <c r="B104" s="18">
        <v>2.4000000953674316</v>
      </c>
      <c r="C104" s="22">
        <v>2000</v>
      </c>
      <c r="D104" s="15">
        <v>833.33330021964309</v>
      </c>
      <c r="E104" s="15">
        <v>178447.99948386056</v>
      </c>
      <c r="F104" s="15">
        <v>428275.21577939275</v>
      </c>
      <c r="G104" s="15">
        <v>211000</v>
      </c>
      <c r="H104" s="15">
        <v>428275.21577939275</v>
      </c>
      <c r="I104" s="15">
        <v>217275.21577939275</v>
      </c>
      <c r="J104" s="15">
        <v>2.5160000324249268</v>
      </c>
      <c r="K104" s="15">
        <v>2.0439999103546143</v>
      </c>
      <c r="L104" s="19">
        <v>2.8289999961853027</v>
      </c>
      <c r="M104" s="19">
        <v>1.2999999523162842</v>
      </c>
      <c r="N104" s="21">
        <v>71.942453334905125</v>
      </c>
      <c r="O104" s="21">
        <v>77.406016487501361</v>
      </c>
      <c r="P104" s="21">
        <v>74.472740147500062</v>
      </c>
      <c r="Q104" s="21">
        <v>83.272569167503974</v>
      </c>
    </row>
    <row r="105" spans="1:17" ht="12.75">
      <c r="A105" s="13">
        <v>45961</v>
      </c>
      <c r="B105" s="18">
        <v>2.3340001106262207</v>
      </c>
      <c r="C105" s="22">
        <v>2000</v>
      </c>
      <c r="D105" s="15">
        <v>856.89798851954322</v>
      </c>
      <c r="E105" s="15">
        <v>179304.89747238011</v>
      </c>
      <c r="F105" s="15">
        <v>418497.65053635836</v>
      </c>
      <c r="G105" s="15">
        <v>213000</v>
      </c>
      <c r="H105" s="15">
        <v>418497.65053635836</v>
      </c>
      <c r="I105" s="15">
        <v>205497.65053635836</v>
      </c>
      <c r="J105" s="15">
        <v>2.4849998950958252</v>
      </c>
      <c r="K105" s="15">
        <v>2.1500000953674316</v>
      </c>
      <c r="L105" s="19">
        <v>2.8289999961853027</v>
      </c>
      <c r="M105" s="19">
        <v>1.2999999523162842</v>
      </c>
      <c r="N105" s="21">
        <v>67.625907694121295</v>
      </c>
      <c r="O105" s="21">
        <v>74.145980223041349</v>
      </c>
      <c r="P105" s="21">
        <v>74.363820172680491</v>
      </c>
      <c r="Q105" s="21">
        <v>73.71030032376305</v>
      </c>
    </row>
    <row r="106" spans="1:17" ht="12.75">
      <c r="A106" s="13">
        <v>45989</v>
      </c>
      <c r="B106" s="18">
        <v>2.250999927520752</v>
      </c>
      <c r="C106" s="22">
        <v>2000</v>
      </c>
      <c r="D106" s="15">
        <v>888.4940312738247</v>
      </c>
      <c r="E106" s="15">
        <v>180193.39150365393</v>
      </c>
      <c r="F106" s="15">
        <v>405615.31121444347</v>
      </c>
      <c r="G106" s="15">
        <v>215000</v>
      </c>
      <c r="H106" s="15">
        <v>405615.31121444347</v>
      </c>
      <c r="I106" s="15">
        <v>190615.31121444347</v>
      </c>
      <c r="J106" s="15">
        <v>2.378000020980835</v>
      </c>
      <c r="K106" s="15">
        <v>2.1180000305175781</v>
      </c>
      <c r="L106" s="19">
        <v>2.8289999961853027</v>
      </c>
      <c r="M106" s="19">
        <v>1.2999999523162842</v>
      </c>
      <c r="N106" s="21">
        <v>62.197511309289077</v>
      </c>
      <c r="O106" s="21">
        <v>70.163157251790594</v>
      </c>
      <c r="P106" s="21">
        <v>72.96359919905052</v>
      </c>
      <c r="Q106" s="21">
        <v>64.562273357270726</v>
      </c>
    </row>
    <row r="107" spans="1:17" ht="12.75">
      <c r="A107" s="13">
        <v>46022</v>
      </c>
      <c r="B107" s="18">
        <v>2.4000000953674316</v>
      </c>
      <c r="C107" s="22">
        <v>2000</v>
      </c>
      <c r="D107" s="15">
        <v>833.33330021964309</v>
      </c>
      <c r="E107" s="15">
        <v>181026.72480387357</v>
      </c>
      <c r="F107" s="15">
        <v>434464.15679335035</v>
      </c>
      <c r="G107" s="15">
        <v>217000</v>
      </c>
      <c r="H107" s="15">
        <v>434464.15679335035</v>
      </c>
      <c r="I107" s="15">
        <v>217464.15679335035</v>
      </c>
      <c r="J107" s="15">
        <v>2.4330000877380371</v>
      </c>
      <c r="K107" s="15">
        <v>2.2260000705718994</v>
      </c>
      <c r="L107" s="19">
        <v>2.8289999961853027</v>
      </c>
      <c r="M107" s="19">
        <v>1.2999999523162842</v>
      </c>
      <c r="N107" s="21">
        <v>71.942453334905125</v>
      </c>
      <c r="O107" s="21">
        <v>70.756255946162113</v>
      </c>
      <c r="P107" s="21">
        <v>72.227818114754385</v>
      </c>
      <c r="Q107" s="21">
        <v>67.813131608977557</v>
      </c>
    </row>
    <row r="108" spans="1:17" ht="12.75">
      <c r="A108" s="13">
        <v>46052</v>
      </c>
      <c r="B108" s="18">
        <v>2.6019999980926514</v>
      </c>
      <c r="C108" s="22">
        <v>2000</v>
      </c>
      <c r="D108" s="15">
        <v>768.63950863415198</v>
      </c>
      <c r="E108" s="15">
        <v>181795.36431250774</v>
      </c>
      <c r="F108" s="15">
        <v>473031.53759439802</v>
      </c>
      <c r="G108" s="15">
        <v>219000</v>
      </c>
      <c r="H108" s="15">
        <v>473031.53759439802</v>
      </c>
      <c r="I108" s="15">
        <v>254031.53759439802</v>
      </c>
      <c r="J108" s="15">
        <v>2.684999942779541</v>
      </c>
      <c r="K108" s="15">
        <v>2.4119999408721924</v>
      </c>
      <c r="L108" s="19">
        <v>2.8289999961853027</v>
      </c>
      <c r="M108" s="19">
        <v>1.4229999780654907</v>
      </c>
      <c r="N108" s="21">
        <v>83.854907882845595</v>
      </c>
      <c r="O108" s="21">
        <v>75.122473258389945</v>
      </c>
      <c r="P108" s="21">
        <v>73.192703162632895</v>
      </c>
      <c r="Q108" s="21">
        <v>78.982013449904031</v>
      </c>
    </row>
    <row r="109" spans="1:17" ht="12.75">
      <c r="A109" s="13">
        <v>46080</v>
      </c>
      <c r="B109" s="18">
        <v>2.5239999294281006</v>
      </c>
      <c r="C109" s="22">
        <v>2000</v>
      </c>
      <c r="D109" s="15">
        <v>792.39304909694238</v>
      </c>
      <c r="E109" s="15">
        <v>182587.75736160469</v>
      </c>
      <c r="F109" s="15">
        <v>460851.48669512541</v>
      </c>
      <c r="G109" s="15">
        <v>221000</v>
      </c>
      <c r="H109" s="15">
        <v>460851.48669512541</v>
      </c>
      <c r="I109" s="15">
        <v>239851.48669512541</v>
      </c>
      <c r="J109" s="15">
        <v>2.6319999694824219</v>
      </c>
      <c r="K109" s="15">
        <v>2.3610000610351562</v>
      </c>
      <c r="L109" s="19">
        <v>2.8289999961853027</v>
      </c>
      <c r="M109" s="19">
        <v>1.4299999475479126</v>
      </c>
      <c r="N109" s="21">
        <v>78.198709352850372</v>
      </c>
      <c r="O109" s="21">
        <v>76.147885289876754</v>
      </c>
      <c r="P109" s="21">
        <v>74.177763871714191</v>
      </c>
      <c r="Q109" s="21">
        <v>80.088128126201894</v>
      </c>
    </row>
    <row r="110" spans="1:17" ht="12.75">
      <c r="A110" s="13">
        <v>46112</v>
      </c>
      <c r="B110" s="18">
        <v>2.2669999599456787</v>
      </c>
      <c r="C110" s="22">
        <v>2000</v>
      </c>
      <c r="D110" s="15">
        <v>882.22321805772049</v>
      </c>
      <c r="E110" s="15">
        <v>183469.9805796624</v>
      </c>
      <c r="F110" s="15">
        <v>415926.43862532912</v>
      </c>
      <c r="G110" s="15">
        <v>223000</v>
      </c>
      <c r="H110" s="15">
        <v>415926.43862532912</v>
      </c>
      <c r="I110" s="15">
        <v>192926.43862532912</v>
      </c>
      <c r="J110" s="15">
        <v>2.5239999294281006</v>
      </c>
      <c r="K110" s="15">
        <v>2.25</v>
      </c>
      <c r="L110" s="19">
        <v>2.8289999961853027</v>
      </c>
      <c r="M110" s="19">
        <v>1.4939999580383301</v>
      </c>
      <c r="N110" s="21">
        <v>57.902620211179922</v>
      </c>
      <c r="O110" s="21">
        <v>70.066130263644482</v>
      </c>
      <c r="P110" s="21">
        <v>72.807219335690959</v>
      </c>
      <c r="Q110" s="21">
        <v>64.583952119551526</v>
      </c>
    </row>
    <row r="111" spans="1:17" ht="12.75">
      <c r="A111" s="13">
        <v>46142</v>
      </c>
      <c r="B111" s="18">
        <v>2.7899999618530273</v>
      </c>
      <c r="C111" s="22">
        <v>2000</v>
      </c>
      <c r="D111" s="15">
        <v>716.84588793745536</v>
      </c>
      <c r="E111" s="15">
        <v>184186.82646759987</v>
      </c>
      <c r="F111" s="15">
        <v>513881.23881843378</v>
      </c>
      <c r="G111" s="15">
        <v>225000</v>
      </c>
      <c r="H111" s="15">
        <v>513881.23881843378</v>
      </c>
      <c r="I111" s="15">
        <v>288881.23881843378</v>
      </c>
      <c r="J111" s="15">
        <v>2.8029999732971191</v>
      </c>
      <c r="K111" s="15">
        <v>2.2599999904632568</v>
      </c>
      <c r="L111" s="19">
        <v>2.8289999961853027</v>
      </c>
      <c r="M111" s="19">
        <v>1.6579999923706055</v>
      </c>
      <c r="N111" s="21">
        <v>96.669510315522857</v>
      </c>
      <c r="O111" s="21">
        <v>78.933923614270611</v>
      </c>
      <c r="P111" s="21">
        <v>74.84945409521751</v>
      </c>
      <c r="Q111" s="21">
        <v>87.102862652376814</v>
      </c>
    </row>
    <row r="112" spans="1:17" ht="12.75">
      <c r="A112" s="13">
        <v>46171</v>
      </c>
      <c r="B112" s="18">
        <v>3.059999942779541</v>
      </c>
      <c r="C112" s="22">
        <v>2000</v>
      </c>
      <c r="D112" s="15">
        <v>653.59478346372339</v>
      </c>
      <c r="E112" s="15">
        <v>184840.42125106358</v>
      </c>
      <c r="F112" s="15">
        <v>565611.67845160083</v>
      </c>
      <c r="G112" s="15">
        <v>227000</v>
      </c>
      <c r="H112" s="15">
        <v>565611.67845160083</v>
      </c>
      <c r="I112" s="15">
        <v>338611.67845160083</v>
      </c>
      <c r="J112" s="15">
        <v>3.2209999561309814</v>
      </c>
      <c r="K112" s="15">
        <v>2.8250000476837158</v>
      </c>
      <c r="L112" s="19">
        <v>3.2209999561309814</v>
      </c>
      <c r="M112" s="19">
        <v>2.0439999103546143</v>
      </c>
      <c r="N112" s="21">
        <v>86.321154877675269</v>
      </c>
      <c r="O112" s="21">
        <v>81.396334035405502</v>
      </c>
      <c r="P112" s="21">
        <v>77.031747408613512</v>
      </c>
      <c r="Q112" s="21">
        <v>90.125507288989468</v>
      </c>
    </row>
    <row r="113" spans="1:17" ht="12.75">
      <c r="A113" s="13">
        <v>46203</v>
      </c>
      <c r="B113" s="18">
        <v>3.4470000267028809</v>
      </c>
      <c r="C113" s="22">
        <v>2000</v>
      </c>
      <c r="D113" s="15">
        <v>580.21467493663954</v>
      </c>
      <c r="E113" s="15">
        <v>185420.63592600022</v>
      </c>
      <c r="F113" s="15">
        <v>639144.93698818795</v>
      </c>
      <c r="G113" s="15">
        <v>229000</v>
      </c>
      <c r="H113" s="15">
        <v>639144.93698818795</v>
      </c>
      <c r="I113" s="15">
        <v>410144.93698818795</v>
      </c>
      <c r="J113" s="15">
        <v>3.4479999542236328</v>
      </c>
      <c r="K113" s="15">
        <v>2.8849999904632568</v>
      </c>
      <c r="L113" s="19">
        <v>3.4479999542236328</v>
      </c>
      <c r="M113" s="19">
        <v>2.1180000305175781</v>
      </c>
      <c r="N113" s="21">
        <v>99.924817475329945</v>
      </c>
      <c r="O113" s="21">
        <v>87.572495182046978</v>
      </c>
      <c r="P113" s="21">
        <v>80.545329999757996</v>
      </c>
      <c r="Q113" s="21">
        <v>101.62682554662496</v>
      </c>
    </row>
    <row r="114" spans="1:17" ht="12.75">
      <c r="A114" s="13">
        <v>46234</v>
      </c>
      <c r="B114" s="18">
        <v>2.8029999732971191</v>
      </c>
      <c r="C114" s="22">
        <v>2000</v>
      </c>
      <c r="D114" s="15">
        <v>713.52123405389671</v>
      </c>
      <c r="E114" s="15">
        <v>186134.15716005411</v>
      </c>
      <c r="F114" s="15">
        <v>521734.03754931345</v>
      </c>
      <c r="G114" s="15">
        <v>231000</v>
      </c>
      <c r="H114" s="15">
        <v>521734.03754931345</v>
      </c>
      <c r="I114" s="15">
        <v>290734.03754931345</v>
      </c>
      <c r="J114" s="15">
        <v>3.5380001068115234</v>
      </c>
      <c r="K114" s="15">
        <v>2.687000036239624</v>
      </c>
      <c r="L114" s="19">
        <v>3.5380001068115234</v>
      </c>
      <c r="M114" s="19">
        <v>2.1180000305175781</v>
      </c>
      <c r="N114" s="21">
        <v>48.239429998294135</v>
      </c>
      <c r="O114" s="21">
        <v>74.461473454129361</v>
      </c>
      <c r="P114" s="21">
        <v>78.51737781788178</v>
      </c>
      <c r="Q114" s="21">
        <v>66.349664726624525</v>
      </c>
    </row>
  </sheetData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模型一</vt:lpstr>
      <vt:lpstr>模型一计算RSI</vt:lpstr>
      <vt:lpstr>模型一计算KDJ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2015-06-05T18:19:34Z</dcterms:created>
  <dcterms:modified xsi:type="dcterms:W3CDTF">2026-08-25T03:45:21Z</dcterms:modified>
</cp:coreProperties>
</file>