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A10" i="27" l="1"/>
  <c r="AB10" i="27" s="1"/>
  <c r="AD10" i="27"/>
  <c r="AE10" i="27" s="1"/>
  <c r="AD10" i="28"/>
  <c r="AE10" i="28" s="1"/>
  <c r="AA10" i="28"/>
  <c r="AB10" i="28" s="1"/>
  <c r="AB10" i="13"/>
  <c r="AC10" i="13" s="1"/>
  <c r="Y10" i="13"/>
  <c r="Z10" i="13" s="1"/>
  <c r="AB10" i="21"/>
  <c r="AC10" i="21" s="1"/>
  <c r="Y10" i="21"/>
  <c r="Z10" i="21" s="1"/>
  <c r="AD4" i="27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A4" i="28"/>
  <c r="AB4" i="28" s="1"/>
  <c r="Y4" i="21"/>
  <c r="Z4" i="21" s="1"/>
  <c r="Y4" i="13"/>
  <c r="Z4" i="13" s="1"/>
  <c r="AA4" i="27"/>
  <c r="AB4" i="27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G5" i="28" l="1"/>
  <c r="AH5" i="28" s="1"/>
  <c r="AA11" i="28"/>
  <c r="AB11" i="28" s="1"/>
  <c r="AD11" i="28"/>
  <c r="AE11" i="28" s="1"/>
  <c r="AE5" i="13"/>
  <c r="AF5" i="13" s="1"/>
  <c r="Y11" i="13"/>
  <c r="Z11" i="13" s="1"/>
  <c r="AB11" i="13"/>
  <c r="AC11" i="13" s="1"/>
  <c r="AG5" i="27"/>
  <c r="AH5" i="27" s="1"/>
  <c r="AA11" i="27"/>
  <c r="AB11" i="27" s="1"/>
  <c r="AD11" i="27"/>
  <c r="AE11" i="27" s="1"/>
  <c r="AE5" i="21"/>
  <c r="AF5" i="21" s="1"/>
  <c r="Y11" i="21"/>
  <c r="Z11" i="21" s="1"/>
  <c r="AB11" i="21"/>
  <c r="AC11" i="21" s="1"/>
  <c r="AA5" i="27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AB7" i="28" l="1"/>
  <c r="Z7" i="21"/>
  <c r="AB7" i="27"/>
  <c r="AB7" i="22" l="1"/>
  <c r="AB7" i="23"/>
  <c r="AB12" i="13" l="1"/>
  <c r="AC12" i="13" s="1"/>
  <c r="Y12" i="13"/>
  <c r="Z12" i="13" s="1"/>
  <c r="AA12" i="27"/>
  <c r="AB12" i="27" s="1"/>
  <c r="AD12" i="27"/>
  <c r="AE12" i="27" s="1"/>
  <c r="AD12" i="28"/>
  <c r="AE12" i="28" s="1"/>
  <c r="AA12" i="28"/>
  <c r="AB12" i="28" s="1"/>
  <c r="AB12" i="21"/>
  <c r="AC12" i="21" s="1"/>
  <c r="Y12" i="21"/>
  <c r="Z12" i="21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12" i="23" l="1"/>
  <c r="AE12" i="23" s="1"/>
  <c r="AA12" i="23"/>
  <c r="AB12" i="23" s="1"/>
  <c r="AD12" i="22"/>
  <c r="AE12" i="22" s="1"/>
  <c r="AA12" i="22"/>
  <c r="AB12" i="22" s="1"/>
  <c r="AG7" i="27"/>
  <c r="AH7" i="27" s="1"/>
  <c r="AA13" i="27"/>
  <c r="AB13" i="27" s="1"/>
  <c r="AD13" i="27"/>
  <c r="AE13" i="27" s="1"/>
  <c r="AD6" i="22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G7" i="28" l="1"/>
  <c r="AH7" i="28" s="1"/>
  <c r="AA13" i="28"/>
  <c r="AB13" i="28" s="1"/>
  <c r="AD13" i="28"/>
  <c r="AE13" i="28" s="1"/>
  <c r="AH9" i="27"/>
  <c r="AH9" i="28" l="1"/>
  <c r="AF9" i="13"/>
  <c r="AF9" i="21"/>
  <c r="AA14" i="27" l="1"/>
  <c r="AB14" i="27" s="1"/>
  <c r="AD14" i="27"/>
  <c r="AE14" i="27" s="1"/>
  <c r="AD15" i="27"/>
  <c r="AE15" i="27" s="1"/>
  <c r="AB16" i="27" l="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E17" i="27" l="1"/>
  <c r="AC17" i="13" l="1"/>
  <c r="AC17" i="21"/>
  <c r="AD14" i="28" l="1"/>
  <c r="AE14" i="28" s="1"/>
  <c r="AA14" i="28"/>
  <c r="AB14" i="28" s="1"/>
  <c r="AB16" i="28" l="1"/>
  <c r="AD15" i="28" l="1"/>
  <c r="AE15" i="28" s="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E17" i="28"/>
  <c r="G3" i="27" l="1"/>
  <c r="G3" i="13" l="1"/>
  <c r="AD15" i="23"/>
  <c r="AE15" i="23" s="1"/>
  <c r="AD15" i="22"/>
  <c r="AE15" i="22" s="1"/>
  <c r="AE17" i="23" l="1"/>
  <c r="AE17" i="22"/>
  <c r="G3" i="28" l="1"/>
  <c r="I3" i="22" l="1"/>
  <c r="I3" i="23" l="1"/>
  <c r="G3" i="21" l="1"/>
  <c r="AG4" i="24" l="1"/>
  <c r="AH4" i="24" s="1"/>
  <c r="AA10" i="24"/>
  <c r="AB10" i="24" s="1"/>
  <c r="AD4" i="24"/>
  <c r="AE4" i="24" s="1"/>
  <c r="AD10" i="24"/>
  <c r="AE10" i="24" s="1"/>
  <c r="AA4" i="24"/>
  <c r="AB4" i="24" s="1"/>
  <c r="AA10" i="26"/>
  <c r="AB10" i="26" s="1"/>
  <c r="AG4" i="26"/>
  <c r="AH4" i="26" s="1"/>
  <c r="AA4" i="26"/>
  <c r="AB4" i="26" s="1"/>
  <c r="AD10" i="26"/>
  <c r="AE10" i="26" s="1"/>
  <c r="AD4" i="26"/>
  <c r="AE4" i="26" s="1"/>
  <c r="AD11" i="24" l="1"/>
  <c r="AE11" i="24" s="1"/>
  <c r="AA5" i="24"/>
  <c r="AB5" i="24" s="1"/>
  <c r="AA11" i="24"/>
  <c r="AB11" i="24" s="1"/>
  <c r="AD5" i="24"/>
  <c r="AE5" i="24" s="1"/>
  <c r="AG5" i="24"/>
  <c r="AH5" i="24" s="1"/>
  <c r="AA5" i="26"/>
  <c r="AB5" i="26" s="1"/>
  <c r="AG5" i="26"/>
  <c r="AH5" i="26" s="1"/>
  <c r="AD11" i="26"/>
  <c r="AE11" i="26" s="1"/>
  <c r="AA11" i="26"/>
  <c r="AB11" i="26" s="1"/>
  <c r="AD5" i="26"/>
  <c r="AE5" i="26" s="1"/>
  <c r="AB7" i="26" l="1"/>
  <c r="AB7" i="24"/>
  <c r="AD12" i="26" l="1"/>
  <c r="AE12" i="26" s="1"/>
  <c r="AG6" i="26"/>
  <c r="AH6" i="26" s="1"/>
  <c r="AD6" i="26"/>
  <c r="AE6" i="26" s="1"/>
  <c r="AA12" i="26"/>
  <c r="AB12" i="26" s="1"/>
  <c r="AA12" i="24"/>
  <c r="AB12" i="24" s="1"/>
  <c r="AD6" i="24"/>
  <c r="AE6" i="24" s="1"/>
  <c r="AD12" i="24"/>
  <c r="AE12" i="24" s="1"/>
  <c r="AG6" i="24"/>
  <c r="AH6" i="24" s="1"/>
  <c r="AE8" i="26" l="1"/>
  <c r="AE8" i="24" l="1"/>
  <c r="AG7" i="26" l="1"/>
  <c r="AH7" i="26" s="1"/>
  <c r="AD13" i="26"/>
  <c r="AE13" i="26" s="1"/>
  <c r="AA13" i="26"/>
  <c r="AB13" i="26" s="1"/>
  <c r="AD14" i="26" l="1"/>
  <c r="AE14" i="26" s="1"/>
  <c r="AA14" i="26"/>
  <c r="AB14" i="26" s="1"/>
  <c r="AD13" i="24" l="1"/>
  <c r="AE13" i="24" s="1"/>
  <c r="AA13" i="24"/>
  <c r="AB13" i="24" s="1"/>
  <c r="AG7" i="24"/>
  <c r="AH7" i="24" s="1"/>
  <c r="AA14" i="24" l="1"/>
  <c r="AB14" i="24" s="1"/>
  <c r="AD14" i="24"/>
  <c r="AE14" i="24" s="1"/>
  <c r="AH9" i="24" l="1"/>
  <c r="AH9" i="26"/>
  <c r="AB16" i="26" l="1"/>
  <c r="AB16" i="24"/>
  <c r="AD15" i="26" l="1"/>
  <c r="AE15" i="26" s="1"/>
  <c r="AD15" i="24"/>
  <c r="AE15" i="24" s="1"/>
  <c r="AE17" i="26" l="1"/>
  <c r="AE17" i="24"/>
  <c r="G3" i="24" l="1"/>
  <c r="G3" i="26" l="1"/>
</calcChain>
</file>

<file path=xl/sharedStrings.xml><?xml version="1.0" encoding="utf-8"?>
<sst xmlns="http://schemas.openxmlformats.org/spreadsheetml/2006/main" count="182" uniqueCount="34">
  <si>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</si>
  <si>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</si>
  <si>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</si>
  <si>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</si>
  <si>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</si>
  <si>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</si>
  <si>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</si>
  <si>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</si>
  <si>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</si>
  <si>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</si>
  <si>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</si>
  <si>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</si>
  <si>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</si>
  <si>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</si>
  <si>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</si>
  <si>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</si>
  <si>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</si>
  <si>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</si>
  <si>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</si>
  <si>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</si>
  <si>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</si>
  <si>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人工智能产业LOF</t>
    <phoneticPr fontId="6" type="noConversion"/>
  </si>
  <si>
    <t>均线</t>
    <phoneticPr fontId="6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</si>
  <si>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</si>
  <si>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</si>
  <si>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</si>
  <si>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</si>
  <si>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</si>
  <si>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</si>
  <si>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</si>
  <si>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</si>
  <si>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成交量</t>
    <phoneticPr fontId="1" type="noConversion"/>
  </si>
  <si>
    <t>成交均量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</si>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</sst>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5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5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5559424"/>
        <c:axId val="691897472"/>
      </c:lineChart>
      <c:dateAx>
        <c:axId val="62555942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897472"/>
        <c:crosses val="autoZero"/>
        <c:auto val="1"/>
        <c:lblOffset val="100"/>
        <c:baseTimeUnit val="days"/>
      </c:dateAx>
      <c:valAx>
        <c:axId val="691897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555942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05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05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3221632"/>
        <c:axId val="563223168"/>
      </c:lineChart>
      <c:dateAx>
        <c:axId val="5632216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223168"/>
        <c:crosses val="autoZero"/>
        <c:auto val="1"/>
        <c:lblOffset val="100"/>
        <c:baseTimeUnit val="days"/>
      </c:dateAx>
      <c:valAx>
        <c:axId val="563223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32216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05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05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5986688"/>
        <c:axId val="595992576"/>
      </c:lineChart>
      <c:dateAx>
        <c:axId val="59598668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992576"/>
        <c:crosses val="autoZero"/>
        <c:auto val="1"/>
        <c:lblOffset val="100"/>
        <c:baseTimeUnit val="days"/>
      </c:dateAx>
      <c:valAx>
        <c:axId val="59599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598668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05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05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133184"/>
        <c:axId val="621151360"/>
      </c:lineChart>
      <c:dateAx>
        <c:axId val="621133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151360"/>
        <c:crosses val="autoZero"/>
        <c:auto val="1"/>
        <c:lblOffset val="100"/>
        <c:baseTimeUnit val="days"/>
      </c:dateAx>
      <c:valAx>
        <c:axId val="621151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133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05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1597440"/>
        <c:axId val="621598976"/>
      </c:lineChart>
      <c:dateAx>
        <c:axId val="6215974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98976"/>
        <c:crosses val="autoZero"/>
        <c:auto val="1"/>
        <c:lblOffset val="100"/>
        <c:baseTimeUnit val="days"/>
      </c:dateAx>
      <c:valAx>
        <c:axId val="621598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15974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05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004096"/>
        <c:axId val="622005632"/>
      </c:lineChart>
      <c:dateAx>
        <c:axId val="6220040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005632"/>
        <c:crosses val="autoZero"/>
        <c:auto val="1"/>
        <c:lblOffset val="100"/>
        <c:baseTimeUnit val="days"/>
      </c:dateAx>
      <c:valAx>
        <c:axId val="62200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0040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05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705664"/>
        <c:axId val="622707456"/>
      </c:lineChart>
      <c:dateAx>
        <c:axId val="62270566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707456"/>
        <c:crosses val="autoZero"/>
        <c:auto val="1"/>
        <c:lblOffset val="100"/>
        <c:baseTimeUnit val="days"/>
      </c:dateAx>
      <c:valAx>
        <c:axId val="62270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270566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05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05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4959872"/>
        <c:axId val="624961408"/>
      </c:lineChart>
      <c:dateAx>
        <c:axId val="6249598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961408"/>
        <c:crosses val="autoZero"/>
        <c:auto val="1"/>
        <c:lblOffset val="100"/>
        <c:baseTimeUnit val="days"/>
      </c:dateAx>
      <c:valAx>
        <c:axId val="62496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49598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27</v>
      </c>
      <c r="M1" s="14" t="s">
        <v>28</v>
      </c>
      <c r="N1" s="14" t="s">
        <v>29</v>
      </c>
      <c r="O1" s="14" t="s">
        <v>30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21</v>
      </c>
      <c r="C1" s="30" t="s">
        <v>22</v>
      </c>
      <c r="D1" s="13" t="s">
        <v>31</v>
      </c>
      <c r="E1" s="13" t="s">
        <v>32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21</v>
      </c>
      <c r="C1" s="30" t="s">
        <v>22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23</v>
      </c>
      <c r="M1" s="14" t="s">
        <v>24</v>
      </c>
      <c r="N1" s="14" t="s">
        <v>25</v>
      </c>
      <c r="O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8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27</v>
      </c>
      <c r="M1" s="14" t="s">
        <v>28</v>
      </c>
      <c r="N1" s="14" t="s">
        <v>29</v>
      </c>
      <c r="O1" s="14" t="s">
        <v>30</v>
      </c>
      <c r="P1" s="14" t="s">
        <v>26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8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31</v>
      </c>
      <c r="E1" s="13" t="s">
        <v>32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33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ref="AE5:AE6" si="3">0-AD5</f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7">
        <f>VLOOKUP(Z10,Q:R,2,)</f>
        <v>0.57621376243097611</v>
      </c>
      <c r="AB10" s="1">
        <f>-AA10</f>
        <v>-0.57621376243097611</v>
      </c>
      <c r="AC10" s="6">
        <v>43098</v>
      </c>
      <c r="AD10" s="1">
        <f t="shared" ref="AD10:AD15" si="4">VLOOKUP(AC10,Q:R,2,)</f>
        <v>0.57621376243097611</v>
      </c>
      <c r="AE10" s="1">
        <f t="shared" ref="AE10:AE15" si="5">-AD10</f>
        <v>-0.57621376243097611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7">
        <f>VLOOKUP(Z11,Q:R,2,)</f>
        <v>262.72397636432083</v>
      </c>
      <c r="AB11" s="1">
        <f>-AA11</f>
        <v>-262.72397636432083</v>
      </c>
      <c r="AC11" s="6">
        <v>43462</v>
      </c>
      <c r="AD11" s="1">
        <f t="shared" si="4"/>
        <v>262.72397636432083</v>
      </c>
      <c r="AE11" s="1">
        <f t="shared" si="5"/>
        <v>-262.72397636432083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7">
        <v>498.005167388789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2026-02-01T02:59:34Z</dcterms:modified>
</cp:coreProperties>
</file>