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214" i="1" l="1"/>
  <c r="I2214" i="1"/>
  <c r="H2214" i="1"/>
  <c r="M2214" i="1"/>
  <c r="L2214" i="1"/>
  <c r="N2213" i="1" l="1"/>
  <c r="I2213" i="1"/>
  <c r="H2213" i="1"/>
  <c r="N2212" i="1"/>
  <c r="I2212" i="1"/>
  <c r="H2212" i="1"/>
  <c r="N2211" i="1"/>
  <c r="I2211" i="1"/>
  <c r="H2211" i="1"/>
  <c r="N2210" i="1"/>
  <c r="I2210" i="1"/>
  <c r="H2210" i="1"/>
  <c r="N2209" i="1"/>
  <c r="I2209" i="1"/>
  <c r="H2209" i="1"/>
  <c r="N2208" i="1"/>
  <c r="I2208" i="1"/>
  <c r="H2208" i="1"/>
  <c r="N2207" i="1"/>
  <c r="I2207" i="1"/>
  <c r="H2207" i="1"/>
  <c r="N2206" i="1"/>
  <c r="I2206" i="1"/>
  <c r="H2206" i="1"/>
  <c r="N2205" i="1"/>
  <c r="I2205" i="1"/>
  <c r="H2205" i="1"/>
  <c r="N2204" i="1"/>
  <c r="I2204" i="1"/>
  <c r="H2204" i="1"/>
  <c r="N2203" i="1"/>
  <c r="I2203" i="1"/>
  <c r="H2203" i="1"/>
  <c r="N2202" i="1"/>
  <c r="I2202" i="1"/>
  <c r="H2202" i="1"/>
  <c r="N2201" i="1"/>
  <c r="I2201" i="1"/>
  <c r="H2201" i="1"/>
  <c r="N2200" i="1"/>
  <c r="I2200" i="1"/>
  <c r="H2200" i="1"/>
  <c r="N2199" i="1"/>
  <c r="I2199" i="1"/>
  <c r="H2199" i="1"/>
  <c r="N2198" i="1"/>
  <c r="I2198" i="1"/>
  <c r="H2198" i="1"/>
  <c r="N2197" i="1"/>
  <c r="I2197" i="1"/>
  <c r="H2197" i="1"/>
  <c r="M2196" i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L2196" i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N2196" i="1" l="1"/>
  <c r="I2196" i="1"/>
  <c r="H2196" i="1"/>
  <c r="N2195" i="1" l="1"/>
  <c r="I2195" i="1"/>
  <c r="H2195" i="1"/>
  <c r="N2194" i="1"/>
  <c r="I2194" i="1"/>
  <c r="H2194" i="1"/>
  <c r="N2193" i="1"/>
  <c r="I2193" i="1"/>
  <c r="H2193" i="1"/>
  <c r="N2192" i="1"/>
  <c r="I2192" i="1"/>
  <c r="H2192" i="1"/>
  <c r="N2191" i="1"/>
  <c r="I2191" i="1"/>
  <c r="H2191" i="1"/>
  <c r="N2190" i="1"/>
  <c r="I2190" i="1"/>
  <c r="H2190" i="1"/>
  <c r="N2189" i="1"/>
  <c r="I2189" i="1"/>
  <c r="H2189" i="1"/>
  <c r="N2188" i="1"/>
  <c r="I2188" i="1"/>
  <c r="H2188" i="1"/>
  <c r="N2187" i="1"/>
  <c r="I2187" i="1"/>
  <c r="H2187" i="1"/>
  <c r="N2186" i="1"/>
  <c r="I2186" i="1"/>
  <c r="H2186" i="1"/>
  <c r="N2185" i="1"/>
  <c r="I2185" i="1"/>
  <c r="H2185" i="1"/>
  <c r="N2184" i="1"/>
  <c r="I2184" i="1"/>
  <c r="H2184" i="1"/>
  <c r="N2183" i="1"/>
  <c r="I2183" i="1"/>
  <c r="H2183" i="1"/>
  <c r="N2182" i="1"/>
  <c r="I2182" i="1"/>
  <c r="H2182" i="1"/>
  <c r="N2181" i="1"/>
  <c r="I2181" i="1"/>
  <c r="H2181" i="1"/>
  <c r="N2180" i="1"/>
  <c r="I2180" i="1"/>
  <c r="H2180" i="1"/>
  <c r="N2179" i="1"/>
  <c r="I2179" i="1"/>
  <c r="H2179" i="1"/>
  <c r="N2178" i="1"/>
  <c r="I2178" i="1"/>
  <c r="H2178" i="1"/>
  <c r="N2177" i="1"/>
  <c r="I2177" i="1"/>
  <c r="H2177" i="1"/>
  <c r="N2176" i="1"/>
  <c r="I2176" i="1"/>
  <c r="H2176" i="1"/>
  <c r="M2175" i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L2175" i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N2175" i="1" l="1"/>
  <c r="I2175" i="1"/>
  <c r="H2175" i="1"/>
  <c r="N2174" i="1" l="1"/>
  <c r="I2174" i="1"/>
  <c r="H2174" i="1"/>
  <c r="N2173" i="1"/>
  <c r="I2173" i="1"/>
  <c r="H2173" i="1"/>
  <c r="N2172" i="1"/>
  <c r="I2172" i="1"/>
  <c r="H2172" i="1"/>
  <c r="N2171" i="1"/>
  <c r="I2171" i="1"/>
  <c r="H2171" i="1"/>
  <c r="N2170" i="1"/>
  <c r="I2170" i="1"/>
  <c r="H2170" i="1"/>
  <c r="N2169" i="1"/>
  <c r="I2169" i="1"/>
  <c r="H2169" i="1"/>
  <c r="N2168" i="1"/>
  <c r="I2168" i="1"/>
  <c r="H2168" i="1"/>
  <c r="N2167" i="1"/>
  <c r="I2167" i="1"/>
  <c r="H2167" i="1"/>
  <c r="N2166" i="1"/>
  <c r="I2166" i="1"/>
  <c r="H2166" i="1"/>
  <c r="N2165" i="1"/>
  <c r="I2165" i="1"/>
  <c r="H2165" i="1"/>
  <c r="N2164" i="1"/>
  <c r="I2164" i="1"/>
  <c r="H2164" i="1"/>
  <c r="N2163" i="1"/>
  <c r="I2163" i="1"/>
  <c r="H2163" i="1"/>
  <c r="N2162" i="1"/>
  <c r="I2162" i="1"/>
  <c r="H2162" i="1"/>
  <c r="N2161" i="1"/>
  <c r="I2161" i="1"/>
  <c r="H2161" i="1"/>
  <c r="N2160" i="1"/>
  <c r="I2160" i="1"/>
  <c r="H2160" i="1"/>
  <c r="N2159" i="1"/>
  <c r="I2159" i="1"/>
  <c r="H2159" i="1"/>
  <c r="N2158" i="1"/>
  <c r="I2158" i="1"/>
  <c r="H2158" i="1"/>
  <c r="N2157" i="1"/>
  <c r="I2157" i="1"/>
  <c r="H2157" i="1"/>
  <c r="N2156" i="1"/>
  <c r="I2156" i="1"/>
  <c r="H2156" i="1"/>
  <c r="N2155" i="1"/>
  <c r="I2155" i="1"/>
  <c r="H2155" i="1"/>
  <c r="N2154" i="1"/>
  <c r="I2154" i="1"/>
  <c r="H2154" i="1"/>
  <c r="M2153" i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N2153" i="1" l="1"/>
  <c r="I2153" i="1"/>
  <c r="H2153" i="1"/>
  <c r="N2152" i="1" l="1"/>
  <c r="I2152" i="1"/>
  <c r="H2152" i="1"/>
  <c r="N2151" i="1"/>
  <c r="I2151" i="1"/>
  <c r="H2151" i="1"/>
  <c r="N2150" i="1"/>
  <c r="I2150" i="1"/>
  <c r="H2150" i="1"/>
  <c r="N2149" i="1"/>
  <c r="I2149" i="1"/>
  <c r="H2149" i="1"/>
  <c r="N2148" i="1"/>
  <c r="I2148" i="1"/>
  <c r="H2148" i="1"/>
  <c r="N2147" i="1"/>
  <c r="I2147" i="1"/>
  <c r="H2147" i="1"/>
  <c r="N2146" i="1"/>
  <c r="I2146" i="1"/>
  <c r="H2146" i="1"/>
  <c r="N2145" i="1"/>
  <c r="I2145" i="1"/>
  <c r="H2145" i="1"/>
  <c r="N2144" i="1"/>
  <c r="I2144" i="1"/>
  <c r="H2144" i="1"/>
  <c r="N2143" i="1"/>
  <c r="I2143" i="1"/>
  <c r="H2143" i="1"/>
  <c r="N2142" i="1"/>
  <c r="I2142" i="1"/>
  <c r="H2142" i="1"/>
  <c r="N2141" i="1"/>
  <c r="I2141" i="1"/>
  <c r="H2141" i="1"/>
  <c r="N2140" i="1"/>
  <c r="I2140" i="1"/>
  <c r="H2140" i="1"/>
  <c r="M2139" i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N2139" i="1" l="1"/>
  <c r="I2139" i="1"/>
  <c r="H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<sst xmlns="http://schemas.openxmlformats.org/spreadsheetml/2006/main" count="10" uniqueCount="10">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</sst>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13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212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  <c:pt idx="2173">
                  <c:v>2.3299999237060547</c:v>
                </c:pt>
                <c:pt idx="2174">
                  <c:v>2.2639999389648437</c:v>
                </c:pt>
                <c:pt idx="2175">
                  <c:v>2.2960000038146973</c:v>
                </c:pt>
                <c:pt idx="2176">
                  <c:v>2.3059999942779541</c:v>
                </c:pt>
                <c:pt idx="2177">
                  <c:v>2.4489998817443848</c:v>
                </c:pt>
                <c:pt idx="2178">
                  <c:v>2.4449999332427979</c:v>
                </c:pt>
                <c:pt idx="2179">
                  <c:v>2.500999927520752</c:v>
                </c:pt>
                <c:pt idx="2180">
                  <c:v>2.5160000324249268</c:v>
                </c:pt>
                <c:pt idx="2181">
                  <c:v>2.5639998912811279</c:v>
                </c:pt>
                <c:pt idx="2182">
                  <c:v>2.559999942779541</c:v>
                </c:pt>
                <c:pt idx="2183">
                  <c:v>2.619999885559082</c:v>
                </c:pt>
                <c:pt idx="2184">
                  <c:v>2.6700000762939453</c:v>
                </c:pt>
                <c:pt idx="2185">
                  <c:v>2.7070000171661377</c:v>
                </c:pt>
                <c:pt idx="2186">
                  <c:v>2.687999963760376</c:v>
                </c:pt>
                <c:pt idx="2187">
                  <c:v>2.7690000534057617</c:v>
                </c:pt>
                <c:pt idx="2188">
                  <c:v>2.7460000514984131</c:v>
                </c:pt>
                <c:pt idx="2189">
                  <c:v>2.7160000801086426</c:v>
                </c:pt>
                <c:pt idx="2190">
                  <c:v>2.7420001029968262</c:v>
                </c:pt>
                <c:pt idx="2191">
                  <c:v>2.6989998817443848</c:v>
                </c:pt>
                <c:pt idx="2192">
                  <c:v>2.7239999771118164</c:v>
                </c:pt>
                <c:pt idx="2193">
                  <c:v>2.7899999618530273</c:v>
                </c:pt>
                <c:pt idx="2194">
                  <c:v>2.9010000228881836</c:v>
                </c:pt>
                <c:pt idx="2195">
                  <c:v>2.9579999446868896</c:v>
                </c:pt>
                <c:pt idx="2196">
                  <c:v>2.9460000991821289</c:v>
                </c:pt>
                <c:pt idx="2197">
                  <c:v>3.0309998989105225</c:v>
                </c:pt>
                <c:pt idx="2198">
                  <c:v>3.0499999523162842</c:v>
                </c:pt>
                <c:pt idx="2199">
                  <c:v>3.1540000438690186</c:v>
                </c:pt>
                <c:pt idx="2200">
                  <c:v>3.1159999370574951</c:v>
                </c:pt>
                <c:pt idx="2201">
                  <c:v>3.0480000972747803</c:v>
                </c:pt>
                <c:pt idx="2202">
                  <c:v>3.0460000038146973</c:v>
                </c:pt>
                <c:pt idx="2203">
                  <c:v>3.0980000495910645</c:v>
                </c:pt>
                <c:pt idx="2204">
                  <c:v>3.1210000514984131</c:v>
                </c:pt>
                <c:pt idx="2205">
                  <c:v>3.0150001049041748</c:v>
                </c:pt>
                <c:pt idx="2206">
                  <c:v>3.0750000476837158</c:v>
                </c:pt>
                <c:pt idx="2207">
                  <c:v>3.1949999332427979</c:v>
                </c:pt>
                <c:pt idx="2208">
                  <c:v>3.1860001087188721</c:v>
                </c:pt>
                <c:pt idx="2209">
                  <c:v>3.125</c:v>
                </c:pt>
                <c:pt idx="2210">
                  <c:v>3.1589999198913574</c:v>
                </c:pt>
                <c:pt idx="2211">
                  <c:v>3.059999942779541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13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212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  <c:pt idx="2173">
                  <c:v>1.3127943867182885</c:v>
                </c:pt>
                <c:pt idx="2174">
                  <c:v>1.3132317226043788</c:v>
                </c:pt>
                <c:pt idx="2175">
                  <c:v>1.3136833624394939</c:v>
                </c:pt>
                <c:pt idx="2176">
                  <c:v>1.3141391808280278</c:v>
                </c:pt>
                <c:pt idx="2177">
                  <c:v>1.3146602371645368</c:v>
                </c:pt>
                <c:pt idx="2178">
                  <c:v>1.31517897956751</c:v>
                </c:pt>
                <c:pt idx="2179">
                  <c:v>1.3157229341307912</c:v>
                </c:pt>
                <c:pt idx="2180">
                  <c:v>1.3162732675091928</c:v>
                </c:pt>
                <c:pt idx="2181">
                  <c:v>1.3168450945595007</c:v>
                </c:pt>
                <c:pt idx="2182">
                  <c:v>1.3174145654015623</c:v>
                </c:pt>
                <c:pt idx="2183">
                  <c:v>1.3180109872514512</c:v>
                </c:pt>
                <c:pt idx="2184">
                  <c:v>1.3186297465599375</c:v>
                </c:pt>
                <c:pt idx="2185">
                  <c:v>1.3192648656224288</c:v>
                </c:pt>
                <c:pt idx="2186">
                  <c:v>1.3198907161474118</c:v>
                </c:pt>
                <c:pt idx="2187">
                  <c:v>1.3205530147476214</c:v>
                </c:pt>
                <c:pt idx="2188">
                  <c:v>1.321204201150888</c:v>
                </c:pt>
                <c:pt idx="2189">
                  <c:v>1.3218410942463026</c:v>
                </c:pt>
                <c:pt idx="2190">
                  <c:v>1.3224892727076218</c:v>
                </c:pt>
                <c:pt idx="2191">
                  <c:v>1.3231172428759781</c:v>
                </c:pt>
                <c:pt idx="2192">
                  <c:v>1.3237560402924102</c:v>
                </c:pt>
                <c:pt idx="2193">
                  <c:v>1.3244243374307696</c:v>
                </c:pt>
                <c:pt idx="2194">
                  <c:v>1.3251425951462401</c:v>
                </c:pt>
                <c:pt idx="2195">
                  <c:v>1.3258861549593277</c:v>
                </c:pt>
                <c:pt idx="2196">
                  <c:v>1.3266235759626153</c:v>
                </c:pt>
                <c:pt idx="2197">
                  <c:v>1.3273989974016271</c:v>
                </c:pt>
                <c:pt idx="2198">
                  <c:v>1.328182353906818</c:v>
                </c:pt>
                <c:pt idx="2199">
                  <c:v>1.329012271038619</c:v>
                </c:pt>
                <c:pt idx="2200">
                  <c:v>1.3298241691149566</c:v>
                </c:pt>
                <c:pt idx="2201">
                  <c:v>1.3306044488280173</c:v>
                </c:pt>
                <c:pt idx="2202">
                  <c:v>1.3313831122665041</c:v>
                </c:pt>
                <c:pt idx="2203">
                  <c:v>1.3321846626010434</c:v>
                </c:pt>
                <c:pt idx="2204">
                  <c:v>1.3329959167456682</c:v>
                </c:pt>
                <c:pt idx="2205">
                  <c:v>1.3337583846460119</c:v>
                </c:pt>
                <c:pt idx="2206">
                  <c:v>1.3345473477919285</c:v>
                </c:pt>
                <c:pt idx="2207">
                  <c:v>1.3353899440715711</c:v>
                </c:pt>
                <c:pt idx="2208">
                  <c:v>1.3362277033131498</c:v>
                </c:pt>
                <c:pt idx="2209">
                  <c:v>1.3370371025424197</c:v>
                </c:pt>
                <c:pt idx="2210">
                  <c:v>1.337861147235929</c:v>
                </c:pt>
                <c:pt idx="2211">
                  <c:v>1.3386396909952163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782208"/>
        <c:axId val="394232960"/>
      </c:lineChart>
      <c:dateAx>
        <c:axId val="3927822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94232960"/>
        <c:crosses val="autoZero"/>
        <c:auto val="1"/>
        <c:lblOffset val="100"/>
        <c:baseTimeUnit val="days"/>
      </c:dateAx>
      <c:valAx>
        <c:axId val="394232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92782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214"/>
  <sheetViews>
    <sheetView tabSelected="1" topLeftCell="A2202" workbookViewId="0">
      <selection activeCell="A2215" sqref="A2215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ht="14.25" x14ac:dyDescent="0.2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J111" s="4">
        <v>46171</v>
      </c>
      <c r="K111" s="4">
        <v>46148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ht="14.25" x14ac:dyDescent="0.2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J112" s="4">
        <v>46171</v>
      </c>
      <c r="K112" s="4">
        <v>46148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214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4" si="232">IF(A2154&lt;&gt;$J$109,MAX(L2153,VLOOKUP(A2154,A:C,3)),)</f>
        <v>2.5239999294281006</v>
      </c>
      <c r="M2154">
        <f t="shared" ref="M2154:M2174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>VLOOKUP(K110,A:C,3)</f>
        <v>2.4939999580383301</v>
      </c>
      <c r="M2175">
        <f>VLOOKUP(K110,A:D,4)</f>
        <v>2.2869999408721924</v>
      </c>
      <c r="N2175">
        <f>SUM($F$3:F2175)/H2175</f>
        <v>1866104.3575090601</v>
      </c>
    </row>
    <row r="2176" spans="1:14" x14ac:dyDescent="0.15">
      <c r="A2176" s="2">
        <v>46113</v>
      </c>
      <c r="B2176">
        <v>2.2869999408721924</v>
      </c>
      <c r="C2176">
        <v>2.4939999580383301</v>
      </c>
      <c r="D2176">
        <v>2.2869999408721924</v>
      </c>
      <c r="E2176">
        <v>2.3299999237060547</v>
      </c>
      <c r="F2176">
        <v>723551</v>
      </c>
      <c r="G2176">
        <v>7235.509765625</v>
      </c>
      <c r="H2176">
        <f t="shared" si="221"/>
        <v>2174</v>
      </c>
      <c r="I2176">
        <f>SUM($E$3:E2176)/H2176</f>
        <v>1.3127943867182885</v>
      </c>
      <c r="L2176">
        <f t="shared" ref="L2176:L2195" si="234">IF(A2176&lt;&gt;$J$110,MAX(L2175,VLOOKUP(A2176,A:C,3)),)</f>
        <v>2.4939999580383301</v>
      </c>
      <c r="M2176">
        <f t="shared" ref="M2176:M2195" si="235">IF(A2176&lt;&gt;$J$110,MIN(M2175,VLOOKUP(A2176,A:D,4)),)</f>
        <v>2.2869999408721924</v>
      </c>
      <c r="N2176">
        <f>SUM($F$3:F2176)/H2176</f>
        <v>1865578.8039867468</v>
      </c>
    </row>
    <row r="2177" spans="1:14" x14ac:dyDescent="0.15">
      <c r="A2177" s="2">
        <v>46114</v>
      </c>
      <c r="B2177">
        <v>2.3350000381469727</v>
      </c>
      <c r="C2177">
        <v>2.3350000381469727</v>
      </c>
      <c r="D2177">
        <v>2.2599999904632568</v>
      </c>
      <c r="E2177">
        <v>2.2639999389648437</v>
      </c>
      <c r="F2177">
        <v>497172.03125</v>
      </c>
      <c r="G2177">
        <v>4971.72021484375</v>
      </c>
      <c r="H2177">
        <f t="shared" si="221"/>
        <v>2175</v>
      </c>
      <c r="I2177">
        <f>SUM($E$3:E2177)/H2177</f>
        <v>1.3132317226043788</v>
      </c>
      <c r="L2177">
        <f t="shared" si="234"/>
        <v>2.4939999580383301</v>
      </c>
      <c r="M2177">
        <f t="shared" si="235"/>
        <v>2.2599999904632568</v>
      </c>
      <c r="N2177">
        <f>SUM($F$3:F2177)/H2177</f>
        <v>1864949.6514475574</v>
      </c>
    </row>
    <row r="2178" spans="1:14" x14ac:dyDescent="0.15">
      <c r="A2178" s="2">
        <v>46115</v>
      </c>
      <c r="B2178">
        <v>2.2639999389648437</v>
      </c>
      <c r="C2178">
        <v>2.3039999008178711</v>
      </c>
      <c r="D2178">
        <v>2.2639999389648437</v>
      </c>
      <c r="E2178">
        <v>2.2960000038146973</v>
      </c>
      <c r="F2178">
        <v>743142</v>
      </c>
      <c r="G2178">
        <v>7431.419921875</v>
      </c>
      <c r="H2178">
        <f t="shared" si="221"/>
        <v>2176</v>
      </c>
      <c r="I2178">
        <f>SUM($E$3:E2178)/H2178</f>
        <v>1.3136833624394939</v>
      </c>
      <c r="L2178">
        <f t="shared" si="234"/>
        <v>2.4939999580383301</v>
      </c>
      <c r="M2178">
        <f t="shared" si="235"/>
        <v>2.2599999904632568</v>
      </c>
      <c r="N2178">
        <f>SUM($F$3:F2178)/H2178</f>
        <v>1864434.1148430319</v>
      </c>
    </row>
    <row r="2179" spans="1:14" x14ac:dyDescent="0.15">
      <c r="A2179" s="2">
        <v>46119</v>
      </c>
      <c r="B2179">
        <v>2.2620000839233398</v>
      </c>
      <c r="C2179">
        <v>2.3190000057220459</v>
      </c>
      <c r="D2179">
        <v>2.2620000839233398</v>
      </c>
      <c r="E2179">
        <v>2.3059999942779541</v>
      </c>
      <c r="F2179">
        <v>322658</v>
      </c>
      <c r="G2179">
        <v>3226.580078125</v>
      </c>
      <c r="H2179">
        <f t="shared" si="221"/>
        <v>2177</v>
      </c>
      <c r="I2179">
        <f>SUM($E$3:E2179)/H2179</f>
        <v>1.3141391808280278</v>
      </c>
      <c r="L2179">
        <f t="shared" si="234"/>
        <v>2.4939999580383301</v>
      </c>
      <c r="M2179">
        <f t="shared" si="235"/>
        <v>2.2599999904632568</v>
      </c>
      <c r="N2179">
        <f>SUM($F$3:F2179)/H2179</f>
        <v>1863725.903490325</v>
      </c>
    </row>
    <row r="2180" spans="1:14" x14ac:dyDescent="0.15">
      <c r="A2180" s="2">
        <v>46120</v>
      </c>
      <c r="B2180">
        <v>2.3399999141693115</v>
      </c>
      <c r="C2180">
        <v>2.4500000476837158</v>
      </c>
      <c r="D2180">
        <v>2.3399999141693115</v>
      </c>
      <c r="E2180">
        <v>2.4489998817443848</v>
      </c>
      <c r="F2180">
        <v>1031141</v>
      </c>
      <c r="G2180">
        <v>10311.41015625</v>
      </c>
      <c r="H2180">
        <f t="shared" si="221"/>
        <v>2178</v>
      </c>
      <c r="I2180">
        <f>SUM($E$3:E2180)/H2180</f>
        <v>1.3146602371645368</v>
      </c>
      <c r="L2180">
        <f t="shared" si="234"/>
        <v>2.4939999580383301</v>
      </c>
      <c r="M2180">
        <f t="shared" si="235"/>
        <v>2.2599999904632568</v>
      </c>
      <c r="N2180">
        <f>SUM($F$3:F2180)/H2180</f>
        <v>1863343.6331030475</v>
      </c>
    </row>
    <row r="2181" spans="1:14" x14ac:dyDescent="0.15">
      <c r="A2181" s="2">
        <v>46121</v>
      </c>
      <c r="B2181">
        <v>2.4489998817443848</v>
      </c>
      <c r="C2181">
        <v>2.4600000381469727</v>
      </c>
      <c r="D2181">
        <v>2.4010000228881836</v>
      </c>
      <c r="E2181">
        <v>2.4449999332427979</v>
      </c>
      <c r="F2181">
        <v>632247</v>
      </c>
      <c r="G2181">
        <v>6322.47021484375</v>
      </c>
      <c r="H2181">
        <f t="shared" si="221"/>
        <v>2179</v>
      </c>
      <c r="I2181">
        <f>SUM($E$3:E2181)/H2181</f>
        <v>1.31517897956751</v>
      </c>
      <c r="L2181">
        <f t="shared" si="234"/>
        <v>2.4939999580383301</v>
      </c>
      <c r="M2181">
        <f t="shared" si="235"/>
        <v>2.2599999904632568</v>
      </c>
      <c r="N2181">
        <f>SUM($F$3:F2181)/H2181</f>
        <v>1862778.6507106184</v>
      </c>
    </row>
    <row r="2182" spans="1:14" x14ac:dyDescent="0.15">
      <c r="A2182" s="2">
        <v>46122</v>
      </c>
      <c r="B2182">
        <v>2.4479999542236328</v>
      </c>
      <c r="C2182">
        <v>2.5130000114440918</v>
      </c>
      <c r="D2182">
        <v>2.4479999542236328</v>
      </c>
      <c r="E2182">
        <v>2.500999927520752</v>
      </c>
      <c r="F2182">
        <v>1207691</v>
      </c>
      <c r="G2182">
        <v>12076.91015625</v>
      </c>
      <c r="H2182">
        <f t="shared" si="221"/>
        <v>2180</v>
      </c>
      <c r="I2182">
        <f>SUM($E$3:E2182)/H2182</f>
        <v>1.3157229341307912</v>
      </c>
      <c r="L2182">
        <f t="shared" si="234"/>
        <v>2.5130000114440918</v>
      </c>
      <c r="M2182">
        <f t="shared" si="235"/>
        <v>2.2599999904632568</v>
      </c>
      <c r="N2182">
        <f>SUM($F$3:F2182)/H2182</f>
        <v>1862478.1517882741</v>
      </c>
    </row>
    <row r="2183" spans="1:14" x14ac:dyDescent="0.15">
      <c r="A2183" s="2">
        <v>46125</v>
      </c>
      <c r="B2183">
        <v>2.497999906539917</v>
      </c>
      <c r="C2183">
        <v>2.5409998893737793</v>
      </c>
      <c r="D2183">
        <v>2.4730000495910645</v>
      </c>
      <c r="E2183">
        <v>2.5160000324249268</v>
      </c>
      <c r="F2183">
        <v>548332</v>
      </c>
      <c r="G2183">
        <v>5483.31982421875</v>
      </c>
      <c r="H2183">
        <f t="shared" si="221"/>
        <v>2181</v>
      </c>
      <c r="I2183">
        <f>SUM($E$3:E2183)/H2183</f>
        <v>1.3162732675091928</v>
      </c>
      <c r="L2183">
        <f t="shared" si="234"/>
        <v>2.5409998893737793</v>
      </c>
      <c r="M2183">
        <f t="shared" si="235"/>
        <v>2.2599999904632568</v>
      </c>
      <c r="N2183">
        <f>SUM($F$3:F2183)/H2183</f>
        <v>1861875.6088484353</v>
      </c>
    </row>
    <row r="2184" spans="1:14" x14ac:dyDescent="0.15">
      <c r="A2184" s="2">
        <v>46126</v>
      </c>
      <c r="B2184">
        <v>2.5309998989105225</v>
      </c>
      <c r="C2184">
        <v>2.5820000171661377</v>
      </c>
      <c r="D2184">
        <v>2.5309998989105225</v>
      </c>
      <c r="E2184">
        <v>2.5639998912811279</v>
      </c>
      <c r="F2184">
        <v>1511234</v>
      </c>
      <c r="G2184">
        <v>15112.33984375</v>
      </c>
      <c r="H2184">
        <f t="shared" si="221"/>
        <v>2182</v>
      </c>
      <c r="I2184">
        <f>SUM($E$3:E2184)/H2184</f>
        <v>1.3168450945595007</v>
      </c>
      <c r="L2184">
        <f t="shared" si="234"/>
        <v>2.5820000171661377</v>
      </c>
      <c r="M2184">
        <f t="shared" si="235"/>
        <v>2.2599999904632568</v>
      </c>
      <c r="N2184">
        <f>SUM($F$3:F2184)/H2184</f>
        <v>1861714.9115024919</v>
      </c>
    </row>
    <row r="2185" spans="1:14" x14ac:dyDescent="0.15">
      <c r="A2185" s="2">
        <v>46127</v>
      </c>
      <c r="B2185">
        <v>2.5880000591278076</v>
      </c>
      <c r="C2185">
        <v>2.5980000495910645</v>
      </c>
      <c r="D2185">
        <v>2.5290000438690186</v>
      </c>
      <c r="E2185">
        <v>2.559999942779541</v>
      </c>
      <c r="F2185">
        <v>621553</v>
      </c>
      <c r="G2185">
        <v>6215.52978515625</v>
      </c>
      <c r="H2185">
        <f t="shared" si="221"/>
        <v>2183</v>
      </c>
      <c r="I2185">
        <f>SUM($E$3:E2185)/H2185</f>
        <v>1.3174145654015623</v>
      </c>
      <c r="L2185">
        <f t="shared" si="234"/>
        <v>2.5980000495910645</v>
      </c>
      <c r="M2185">
        <f t="shared" si="235"/>
        <v>2.2599999904632568</v>
      </c>
      <c r="N2185">
        <f>SUM($F$3:F2185)/H2185</f>
        <v>1861146.8116804569</v>
      </c>
    </row>
    <row r="2186" spans="1:14" x14ac:dyDescent="0.15">
      <c r="A2186" s="2">
        <v>46128</v>
      </c>
      <c r="B2186">
        <v>2.5409998893737793</v>
      </c>
      <c r="C2186">
        <v>2.619999885559082</v>
      </c>
      <c r="D2186">
        <v>2.5409998893737793</v>
      </c>
      <c r="E2186">
        <v>2.619999885559082</v>
      </c>
      <c r="F2186">
        <v>1228850</v>
      </c>
      <c r="G2186">
        <v>12288.5</v>
      </c>
      <c r="H2186">
        <f t="shared" si="221"/>
        <v>2184</v>
      </c>
      <c r="I2186">
        <f>SUM($E$3:E2186)/H2186</f>
        <v>1.3180109872514512</v>
      </c>
      <c r="L2186">
        <f t="shared" si="234"/>
        <v>2.619999885559082</v>
      </c>
      <c r="M2186">
        <f t="shared" si="235"/>
        <v>2.2599999904632568</v>
      </c>
      <c r="N2186">
        <f>SUM($F$3:F2186)/H2186</f>
        <v>1860857.2984882956</v>
      </c>
    </row>
    <row r="2187" spans="1:14" x14ac:dyDescent="0.15">
      <c r="A2187" s="2">
        <v>46129</v>
      </c>
      <c r="B2187">
        <v>2.6210000514984131</v>
      </c>
      <c r="C2187">
        <v>2.6770000457763672</v>
      </c>
      <c r="D2187">
        <v>2.6210000514984131</v>
      </c>
      <c r="E2187">
        <v>2.6700000762939453</v>
      </c>
      <c r="F2187">
        <v>1458827</v>
      </c>
      <c r="G2187">
        <v>14588.26953125</v>
      </c>
      <c r="H2187">
        <f t="shared" si="221"/>
        <v>2185</v>
      </c>
      <c r="I2187">
        <f>SUM($E$3:E2187)/H2187</f>
        <v>1.3186297465599375</v>
      </c>
      <c r="L2187">
        <f t="shared" si="234"/>
        <v>2.6770000457763672</v>
      </c>
      <c r="M2187">
        <f t="shared" si="235"/>
        <v>2.2599999904632568</v>
      </c>
      <c r="N2187">
        <f>SUM($F$3:F2187)/H2187</f>
        <v>1860673.3029283467</v>
      </c>
    </row>
    <row r="2188" spans="1:14" x14ac:dyDescent="0.15">
      <c r="A2188" s="2">
        <v>46132</v>
      </c>
      <c r="B2188">
        <v>2.6700000762939453</v>
      </c>
      <c r="C2188">
        <v>2.7239999771118164</v>
      </c>
      <c r="D2188">
        <v>2.6700000762939453</v>
      </c>
      <c r="E2188">
        <v>2.7070000171661377</v>
      </c>
      <c r="F2188">
        <v>929359</v>
      </c>
      <c r="G2188">
        <v>9293.58984375</v>
      </c>
      <c r="H2188">
        <f t="shared" si="221"/>
        <v>2186</v>
      </c>
      <c r="I2188">
        <f>SUM($E$3:E2188)/H2188</f>
        <v>1.3192648656224288</v>
      </c>
      <c r="L2188">
        <f t="shared" si="234"/>
        <v>2.7239999771118164</v>
      </c>
      <c r="M2188">
        <f t="shared" si="235"/>
        <v>2.2599999904632568</v>
      </c>
      <c r="N2188">
        <f>SUM($F$3:F2188)/H2188</f>
        <v>1860247.2671081598</v>
      </c>
    </row>
    <row r="2189" spans="1:14" x14ac:dyDescent="0.15">
      <c r="A2189" s="2">
        <v>46133</v>
      </c>
      <c r="B2189">
        <v>2.7039999961853027</v>
      </c>
      <c r="C2189">
        <v>2.7039999961853027</v>
      </c>
      <c r="D2189">
        <v>2.6459999084472656</v>
      </c>
      <c r="E2189">
        <v>2.687999963760376</v>
      </c>
      <c r="F2189">
        <v>849700</v>
      </c>
      <c r="G2189">
        <v>8497</v>
      </c>
      <c r="H2189">
        <f t="shared" si="221"/>
        <v>2187</v>
      </c>
      <c r="I2189">
        <f>SUM($E$3:E2189)/H2189</f>
        <v>1.3198907161474118</v>
      </c>
      <c r="L2189">
        <f t="shared" si="234"/>
        <v>2.7239999771118164</v>
      </c>
      <c r="M2189">
        <f t="shared" si="235"/>
        <v>2.2599999904632568</v>
      </c>
      <c r="N2189">
        <f>SUM($F$3:F2189)/H2189</f>
        <v>1859785.1970271775</v>
      </c>
    </row>
    <row r="2190" spans="1:14" x14ac:dyDescent="0.15">
      <c r="A2190" s="2">
        <v>46134</v>
      </c>
      <c r="B2190">
        <v>2.6500000953674316</v>
      </c>
      <c r="C2190">
        <v>2.7699999809265137</v>
      </c>
      <c r="D2190">
        <v>2.6500000953674316</v>
      </c>
      <c r="E2190">
        <v>2.7690000534057617</v>
      </c>
      <c r="F2190">
        <v>1213443</v>
      </c>
      <c r="G2190">
        <v>12134.4296875</v>
      </c>
      <c r="H2190">
        <f t="shared" si="221"/>
        <v>2188</v>
      </c>
      <c r="I2190">
        <f>SUM($E$3:E2190)/H2190</f>
        <v>1.3205530147476214</v>
      </c>
      <c r="L2190">
        <f t="shared" si="234"/>
        <v>2.7699999809265137</v>
      </c>
      <c r="M2190">
        <f t="shared" si="235"/>
        <v>2.2599999904632568</v>
      </c>
      <c r="N2190">
        <f>SUM($F$3:F2190)/H2190</f>
        <v>1859489.7938292676</v>
      </c>
    </row>
    <row r="2191" spans="1:14" x14ac:dyDescent="0.15">
      <c r="A2191" s="2">
        <v>46135</v>
      </c>
      <c r="B2191">
        <v>2.7809998989105225</v>
      </c>
      <c r="C2191">
        <v>2.8029999732971191</v>
      </c>
      <c r="D2191">
        <v>2.7249999046325684</v>
      </c>
      <c r="E2191">
        <v>2.7460000514984131</v>
      </c>
      <c r="F2191">
        <v>1035259.9375</v>
      </c>
      <c r="G2191">
        <v>10352.599609375</v>
      </c>
      <c r="H2191">
        <f t="shared" si="221"/>
        <v>2189</v>
      </c>
      <c r="I2191">
        <f>SUM($E$3:E2191)/H2191</f>
        <v>1.321204201150888</v>
      </c>
      <c r="L2191">
        <f t="shared" si="234"/>
        <v>2.8029999732971191</v>
      </c>
      <c r="M2191">
        <f t="shared" si="235"/>
        <v>2.2599999904632568</v>
      </c>
      <c r="N2191">
        <f>SUM($F$3:F2191)/H2191</f>
        <v>1859113.261231584</v>
      </c>
    </row>
    <row r="2192" spans="1:14" x14ac:dyDescent="0.15">
      <c r="A2192" s="2">
        <v>46136</v>
      </c>
      <c r="B2192">
        <v>2.7379999160766602</v>
      </c>
      <c r="C2192">
        <v>2.7379999160766602</v>
      </c>
      <c r="D2192">
        <v>2.6719999313354492</v>
      </c>
      <c r="E2192">
        <v>2.7160000801086426</v>
      </c>
      <c r="F2192">
        <v>715188</v>
      </c>
      <c r="G2192">
        <v>7151.8798828125</v>
      </c>
      <c r="H2192">
        <f t="shared" si="221"/>
        <v>2190</v>
      </c>
      <c r="I2192">
        <f>SUM($E$3:E2192)/H2192</f>
        <v>1.3218410942463026</v>
      </c>
      <c r="L2192">
        <f t="shared" si="234"/>
        <v>2.8029999732971191</v>
      </c>
      <c r="M2192">
        <f t="shared" si="235"/>
        <v>2.2599999904632568</v>
      </c>
      <c r="N2192">
        <f>SUM($F$3:F2192)/H2192</f>
        <v>1858590.9209296519</v>
      </c>
    </row>
    <row r="2193" spans="1:14" x14ac:dyDescent="0.15">
      <c r="A2193" s="2">
        <v>46139</v>
      </c>
      <c r="B2193">
        <v>2.7100000381469727</v>
      </c>
      <c r="C2193">
        <v>2.7630000114440918</v>
      </c>
      <c r="D2193">
        <v>2.7049999237060547</v>
      </c>
      <c r="E2193">
        <v>2.7420001029968262</v>
      </c>
      <c r="F2193">
        <v>767093</v>
      </c>
      <c r="G2193">
        <v>7670.93017578125</v>
      </c>
      <c r="H2193">
        <f t="shared" si="221"/>
        <v>2191</v>
      </c>
      <c r="I2193">
        <f>SUM($E$3:E2193)/H2193</f>
        <v>1.3224892727076218</v>
      </c>
      <c r="L2193">
        <f t="shared" si="234"/>
        <v>2.8029999732971191</v>
      </c>
      <c r="M2193">
        <f t="shared" si="235"/>
        <v>2.2599999904632568</v>
      </c>
      <c r="N2193">
        <f>SUM($F$3:F2193)/H2193</f>
        <v>1858092.7475289537</v>
      </c>
    </row>
    <row r="2194" spans="1:14" x14ac:dyDescent="0.15">
      <c r="A2194" s="2">
        <v>46140</v>
      </c>
      <c r="B2194">
        <v>2.75</v>
      </c>
      <c r="C2194">
        <v>2.750999927520752</v>
      </c>
      <c r="D2194">
        <v>2.6809999942779541</v>
      </c>
      <c r="E2194">
        <v>2.6989998817443848</v>
      </c>
      <c r="F2194">
        <v>621185</v>
      </c>
      <c r="G2194">
        <v>6211.85009765625</v>
      </c>
      <c r="H2194">
        <f t="shared" si="221"/>
        <v>2192</v>
      </c>
      <c r="I2194">
        <f>SUM($E$3:E2194)/H2194</f>
        <v>1.3231172428759781</v>
      </c>
      <c r="L2194">
        <f t="shared" si="234"/>
        <v>2.8029999732971191</v>
      </c>
      <c r="M2194">
        <f t="shared" si="235"/>
        <v>2.2599999904632568</v>
      </c>
      <c r="N2194">
        <f>SUM($F$3:F2194)/H2194</f>
        <v>1857528.4647974167</v>
      </c>
    </row>
    <row r="2195" spans="1:14" x14ac:dyDescent="0.15">
      <c r="A2195" s="2">
        <v>46141</v>
      </c>
      <c r="B2195">
        <v>2.7000000476837158</v>
      </c>
      <c r="C2195">
        <v>2.7369999885559082</v>
      </c>
      <c r="D2195">
        <v>2.6710000038146973</v>
      </c>
      <c r="E2195">
        <v>2.7239999771118164</v>
      </c>
      <c r="F2195">
        <v>532924</v>
      </c>
      <c r="G2195">
        <v>5329.240234375</v>
      </c>
      <c r="H2195">
        <f t="shared" si="221"/>
        <v>2193</v>
      </c>
      <c r="I2195">
        <f>SUM($E$3:E2195)/H2195</f>
        <v>1.3237560402924102</v>
      </c>
      <c r="L2195">
        <f t="shared" si="234"/>
        <v>2.8029999732971191</v>
      </c>
      <c r="M2195">
        <f t="shared" si="235"/>
        <v>2.2599999904632568</v>
      </c>
      <c r="N2195">
        <f>SUM($F$3:F2195)/H2195</f>
        <v>1856924.4499935876</v>
      </c>
    </row>
    <row r="2196" spans="1:14" x14ac:dyDescent="0.15">
      <c r="A2196" s="2">
        <v>46142</v>
      </c>
      <c r="B2196">
        <v>2.7100000381469727</v>
      </c>
      <c r="C2196">
        <v>2.7950000762939453</v>
      </c>
      <c r="D2196">
        <v>2.7100000381469727</v>
      </c>
      <c r="E2196">
        <v>2.7899999618530273</v>
      </c>
      <c r="F2196">
        <v>1395013</v>
      </c>
      <c r="G2196">
        <v>13950.1298828125</v>
      </c>
      <c r="H2196">
        <f t="shared" si="221"/>
        <v>2194</v>
      </c>
      <c r="I2196">
        <f>SUM($E$3:E2196)/H2196</f>
        <v>1.3244243374307696</v>
      </c>
      <c r="L2196">
        <f>VLOOKUP(K111,A:C,3)</f>
        <v>2.9500000476837158</v>
      </c>
      <c r="M2196">
        <f>VLOOKUP(K111,A:D,4)</f>
        <v>2.8250000476837158</v>
      </c>
      <c r="N2196">
        <f>SUM($F$3:F2196)/H2196</f>
        <v>1856713.9160601357</v>
      </c>
    </row>
    <row r="2197" spans="1:14" x14ac:dyDescent="0.15">
      <c r="A2197" s="2">
        <v>46148</v>
      </c>
      <c r="B2197">
        <v>2.8250000476837158</v>
      </c>
      <c r="C2197">
        <v>2.9500000476837158</v>
      </c>
      <c r="D2197">
        <v>2.8250000476837158</v>
      </c>
      <c r="E2197">
        <v>2.9010000228881836</v>
      </c>
      <c r="F2197">
        <v>1808005.125</v>
      </c>
      <c r="G2197">
        <v>18080.05078125</v>
      </c>
      <c r="H2197">
        <f t="shared" si="221"/>
        <v>2195</v>
      </c>
      <c r="I2197">
        <f>SUM($E$3:E2197)/H2197</f>
        <v>1.3251425951462401</v>
      </c>
      <c r="L2197">
        <f t="shared" ref="L2197:L2214" si="236">IF(A2197&lt;&gt;$J$111,MAX(L2196,VLOOKUP(A2197,A:C,3)),)</f>
        <v>2.9500000476837158</v>
      </c>
      <c r="M2197">
        <f t="shared" ref="M2197:M2214" si="237">IF(A2197&lt;&gt;$J$111,MIN(M2196,VLOOKUP(A2197,A:D,4)),)</f>
        <v>2.8250000476837158</v>
      </c>
      <c r="N2197">
        <f>SUM($F$3:F2197)/H2197</f>
        <v>1856691.7252669418</v>
      </c>
    </row>
    <row r="2198" spans="1:14" x14ac:dyDescent="0.15">
      <c r="A2198" s="2">
        <v>46149</v>
      </c>
      <c r="B2198">
        <v>2.8819999694824219</v>
      </c>
      <c r="C2198">
        <v>2.9579999446868896</v>
      </c>
      <c r="D2198">
        <v>2.8670001029968262</v>
      </c>
      <c r="E2198">
        <v>2.9579999446868896</v>
      </c>
      <c r="F2198">
        <v>1196838</v>
      </c>
      <c r="G2198">
        <v>11968.3798828125</v>
      </c>
      <c r="H2198">
        <f t="shared" si="221"/>
        <v>2196</v>
      </c>
      <c r="I2198">
        <f>SUM($E$3:E2198)/H2198</f>
        <v>1.3258861549593277</v>
      </c>
      <c r="L2198">
        <f t="shared" si="236"/>
        <v>2.9579999446868896</v>
      </c>
      <c r="M2198">
        <f t="shared" si="237"/>
        <v>2.8250000476837158</v>
      </c>
      <c r="N2198">
        <f>SUM($F$3:F2198)/H2198</f>
        <v>1856391.2454284779</v>
      </c>
    </row>
    <row r="2199" spans="1:14" x14ac:dyDescent="0.15">
      <c r="A2199" s="2">
        <v>46150</v>
      </c>
      <c r="B2199">
        <v>2.940000057220459</v>
      </c>
      <c r="C2199">
        <v>2.9570000171661377</v>
      </c>
      <c r="D2199">
        <v>2.9010000228881836</v>
      </c>
      <c r="E2199">
        <v>2.9460000991821289</v>
      </c>
      <c r="F2199">
        <v>716251</v>
      </c>
      <c r="G2199">
        <v>7162.509765625</v>
      </c>
      <c r="H2199">
        <f t="shared" si="221"/>
        <v>2197</v>
      </c>
      <c r="I2199">
        <f>SUM($E$3:E2199)/H2199</f>
        <v>1.3266235759626153</v>
      </c>
      <c r="L2199">
        <f t="shared" si="236"/>
        <v>2.9579999446868896</v>
      </c>
      <c r="M2199">
        <f t="shared" si="237"/>
        <v>2.8250000476837158</v>
      </c>
      <c r="N2199">
        <f>SUM($F$3:F2199)/H2199</f>
        <v>1855872.2921988792</v>
      </c>
    </row>
    <row r="2200" spans="1:14" x14ac:dyDescent="0.15">
      <c r="A2200" s="2">
        <v>46153</v>
      </c>
      <c r="B2200">
        <v>2.9500000476837158</v>
      </c>
      <c r="C2200">
        <v>3.0309998989105225</v>
      </c>
      <c r="D2200">
        <v>2.940000057220459</v>
      </c>
      <c r="E2200">
        <v>3.0309998989105225</v>
      </c>
      <c r="F2200">
        <v>966662</v>
      </c>
      <c r="G2200">
        <v>9666.6201171875</v>
      </c>
      <c r="H2200">
        <f t="shared" si="221"/>
        <v>2198</v>
      </c>
      <c r="I2200">
        <f>SUM($E$3:E2200)/H2200</f>
        <v>1.3273989974016271</v>
      </c>
      <c r="L2200">
        <f t="shared" si="236"/>
        <v>3.0309998989105225</v>
      </c>
      <c r="M2200">
        <f t="shared" si="237"/>
        <v>2.8250000476837158</v>
      </c>
      <c r="N2200">
        <f>SUM($F$3:F2200)/H2200</f>
        <v>1855467.7379258133</v>
      </c>
    </row>
    <row r="2201" spans="1:14" x14ac:dyDescent="0.15">
      <c r="A2201" s="2">
        <v>46154</v>
      </c>
      <c r="B2201">
        <v>3.062000036239624</v>
      </c>
      <c r="C2201">
        <v>3.0710000991821289</v>
      </c>
      <c r="D2201">
        <v>3.005000114440918</v>
      </c>
      <c r="E2201">
        <v>3.0499999523162842</v>
      </c>
      <c r="F2201">
        <v>834763</v>
      </c>
      <c r="G2201">
        <v>8347.6298828125</v>
      </c>
      <c r="H2201">
        <f t="shared" si="221"/>
        <v>2199</v>
      </c>
      <c r="I2201">
        <f>SUM($E$3:E2201)/H2201</f>
        <v>1.328182353906818</v>
      </c>
      <c r="L2201">
        <f t="shared" si="236"/>
        <v>3.0710000991821289</v>
      </c>
      <c r="M2201">
        <f t="shared" si="237"/>
        <v>2.8250000476837158</v>
      </c>
      <c r="N2201">
        <f>SUM($F$3:F2201)/H2201</f>
        <v>1855003.570241445</v>
      </c>
    </row>
    <row r="2202" spans="1:14" x14ac:dyDescent="0.15">
      <c r="A2202" s="2">
        <v>46155</v>
      </c>
      <c r="B2202">
        <v>3.000999927520752</v>
      </c>
      <c r="C2202">
        <v>3.1549999713897705</v>
      </c>
      <c r="D2202">
        <v>2.997999906539917</v>
      </c>
      <c r="E2202">
        <v>3.1540000438690186</v>
      </c>
      <c r="F2202">
        <v>1252436</v>
      </c>
      <c r="G2202">
        <v>12524.3603515625</v>
      </c>
      <c r="H2202">
        <f t="shared" si="221"/>
        <v>2200</v>
      </c>
      <c r="I2202">
        <f>SUM($E$3:E2202)/H2202</f>
        <v>1.329012271038619</v>
      </c>
      <c r="L2202">
        <f t="shared" si="236"/>
        <v>3.1549999713897705</v>
      </c>
      <c r="M2202">
        <f t="shared" si="237"/>
        <v>2.8250000476837158</v>
      </c>
      <c r="N2202">
        <f>SUM($F$3:F2202)/H2202</f>
        <v>1854729.6758913351</v>
      </c>
    </row>
    <row r="2203" spans="1:14" x14ac:dyDescent="0.15">
      <c r="A2203" s="2">
        <v>46156</v>
      </c>
      <c r="B2203">
        <v>3.1719999313354492</v>
      </c>
      <c r="C2203">
        <v>3.2100000381469727</v>
      </c>
      <c r="D2203">
        <v>3.0840001106262207</v>
      </c>
      <c r="E2203">
        <v>3.1159999370574951</v>
      </c>
      <c r="F2203">
        <v>994140.0625</v>
      </c>
      <c r="G2203">
        <v>9941.400390625</v>
      </c>
      <c r="H2203">
        <f t="shared" si="221"/>
        <v>2201</v>
      </c>
      <c r="I2203">
        <f>SUM($E$3:E2203)/H2203</f>
        <v>1.3298241691149566</v>
      </c>
      <c r="L2203">
        <f t="shared" si="236"/>
        <v>3.2100000381469727</v>
      </c>
      <c r="M2203">
        <f t="shared" si="237"/>
        <v>2.8250000476837158</v>
      </c>
      <c r="N2203">
        <f>SUM($F$3:F2203)/H2203</f>
        <v>1854338.6765213255</v>
      </c>
    </row>
    <row r="2204" spans="1:14" x14ac:dyDescent="0.15">
      <c r="A2204" s="2">
        <v>46157</v>
      </c>
      <c r="B2204">
        <v>3.0510001182556152</v>
      </c>
      <c r="C2204">
        <v>3.1410000324249268</v>
      </c>
      <c r="D2204">
        <v>3.0109999179840088</v>
      </c>
      <c r="E2204">
        <v>3.0480000972747803</v>
      </c>
      <c r="F2204">
        <v>1432323</v>
      </c>
      <c r="G2204">
        <v>14323.23046875</v>
      </c>
      <c r="H2204">
        <f t="shared" si="221"/>
        <v>2202</v>
      </c>
      <c r="I2204">
        <f>SUM($E$3:E2204)/H2204</f>
        <v>1.3306044488280173</v>
      </c>
      <c r="L2204">
        <f t="shared" si="236"/>
        <v>3.2100000381469727</v>
      </c>
      <c r="M2204">
        <f t="shared" si="237"/>
        <v>2.8250000476837158</v>
      </c>
      <c r="N2204">
        <f>SUM($F$3:F2204)/H2204</f>
        <v>1854147.0254420696</v>
      </c>
    </row>
    <row r="2205" spans="1:14" x14ac:dyDescent="0.15">
      <c r="A2205" s="2">
        <v>46160</v>
      </c>
      <c r="B2205">
        <v>3.0199999809265137</v>
      </c>
      <c r="C2205">
        <v>3.0980000495910645</v>
      </c>
      <c r="D2205">
        <v>2.997999906539917</v>
      </c>
      <c r="E2205">
        <v>3.0460000038146973</v>
      </c>
      <c r="F2205">
        <v>2128923</v>
      </c>
      <c r="G2205">
        <v>21289.23046875</v>
      </c>
      <c r="H2205">
        <f t="shared" si="221"/>
        <v>2203</v>
      </c>
      <c r="I2205">
        <f>SUM($E$3:E2205)/H2205</f>
        <v>1.3313831122665041</v>
      </c>
      <c r="L2205">
        <f t="shared" si="236"/>
        <v>3.2100000381469727</v>
      </c>
      <c r="M2205">
        <f t="shared" si="237"/>
        <v>2.8250000476837158</v>
      </c>
      <c r="N2205">
        <f>SUM($F$3:F2205)/H2205</f>
        <v>1854271.7535285689</v>
      </c>
    </row>
    <row r="2206" spans="1:14" x14ac:dyDescent="0.15">
      <c r="A2206" s="2">
        <v>46161</v>
      </c>
      <c r="B2206">
        <v>3.0469999313354492</v>
      </c>
      <c r="C2206">
        <v>3.0989999771118164</v>
      </c>
      <c r="D2206">
        <v>2.9630000591278076</v>
      </c>
      <c r="E2206">
        <v>3.0980000495910645</v>
      </c>
      <c r="F2206">
        <v>1066721</v>
      </c>
      <c r="G2206">
        <v>10667.2099609375</v>
      </c>
      <c r="H2206">
        <f t="shared" si="221"/>
        <v>2204</v>
      </c>
      <c r="I2206">
        <f>SUM($E$3:E2206)/H2206</f>
        <v>1.3321846626010434</v>
      </c>
      <c r="L2206">
        <f t="shared" si="236"/>
        <v>3.2100000381469727</v>
      </c>
      <c r="M2206">
        <f t="shared" si="237"/>
        <v>2.8250000476837158</v>
      </c>
      <c r="N2206">
        <f>SUM($F$3:F2206)/H2206</f>
        <v>1853914.4256004707</v>
      </c>
    </row>
    <row r="2207" spans="1:14" x14ac:dyDescent="0.15">
      <c r="A2207" s="2">
        <v>46162</v>
      </c>
      <c r="B2207">
        <v>3.065000057220459</v>
      </c>
      <c r="C2207">
        <v>3.1500000953674316</v>
      </c>
      <c r="D2207">
        <v>3.065000057220459</v>
      </c>
      <c r="E2207">
        <v>3.1210000514984131</v>
      </c>
      <c r="F2207">
        <v>1783825</v>
      </c>
      <c r="G2207">
        <v>17838.25</v>
      </c>
      <c r="H2207">
        <f t="shared" si="221"/>
        <v>2205</v>
      </c>
      <c r="I2207">
        <f>SUM($E$3:E2207)/H2207</f>
        <v>1.3329959167456682</v>
      </c>
      <c r="L2207">
        <f t="shared" si="236"/>
        <v>3.2100000381469727</v>
      </c>
      <c r="M2207">
        <f t="shared" si="237"/>
        <v>2.8250000476837158</v>
      </c>
      <c r="N2207">
        <f>SUM($F$3:F2207)/H2207</f>
        <v>1853882.6390128969</v>
      </c>
    </row>
    <row r="2208" spans="1:14" x14ac:dyDescent="0.15">
      <c r="A2208" s="2">
        <v>46163</v>
      </c>
      <c r="B2208">
        <v>3.1310000419616699</v>
      </c>
      <c r="C2208">
        <v>3.1630001068115234</v>
      </c>
      <c r="D2208">
        <v>3</v>
      </c>
      <c r="E2208">
        <v>3.0150001049041748</v>
      </c>
      <c r="F2208">
        <v>1327355</v>
      </c>
      <c r="G2208">
        <v>13273.5498046875</v>
      </c>
      <c r="H2208">
        <f t="shared" si="221"/>
        <v>2206</v>
      </c>
      <c r="I2208">
        <f>SUM($E$3:E2208)/H2208</f>
        <v>1.3337583846460119</v>
      </c>
      <c r="L2208">
        <f t="shared" si="236"/>
        <v>3.2100000381469727</v>
      </c>
      <c r="M2208">
        <f t="shared" si="237"/>
        <v>2.8250000476837158</v>
      </c>
      <c r="N2208">
        <f>SUM($F$3:F2208)/H2208</f>
        <v>1853643.9592128003</v>
      </c>
    </row>
    <row r="2209" spans="1:14" x14ac:dyDescent="0.15">
      <c r="A2209" s="2">
        <v>46164</v>
      </c>
      <c r="B2209">
        <v>2.9849998950958252</v>
      </c>
      <c r="C2209">
        <v>3.0899999141693115</v>
      </c>
      <c r="D2209">
        <v>2.9849998950958252</v>
      </c>
      <c r="E2209">
        <v>3.0750000476837158</v>
      </c>
      <c r="F2209">
        <v>1054795</v>
      </c>
      <c r="G2209">
        <v>10547.9501953125</v>
      </c>
      <c r="H2209">
        <f t="shared" si="221"/>
        <v>2207</v>
      </c>
      <c r="I2209">
        <f>SUM($E$3:E2209)/H2209</f>
        <v>1.3345473477919285</v>
      </c>
      <c r="L2209">
        <f t="shared" si="236"/>
        <v>3.2100000381469727</v>
      </c>
      <c r="M2209">
        <f t="shared" si="237"/>
        <v>2.8250000476837158</v>
      </c>
      <c r="N2209">
        <f>SUM($F$3:F2209)/H2209</f>
        <v>1853281.9977451009</v>
      </c>
    </row>
    <row r="2210" spans="1:14" x14ac:dyDescent="0.15">
      <c r="A2210" s="2">
        <v>46167</v>
      </c>
      <c r="B2210">
        <v>3.1289999485015869</v>
      </c>
      <c r="C2210">
        <v>3.1949999332427979</v>
      </c>
      <c r="D2210">
        <v>3.0720000267028809</v>
      </c>
      <c r="E2210">
        <v>3.1949999332427979</v>
      </c>
      <c r="F2210">
        <v>1385084</v>
      </c>
      <c r="G2210">
        <v>13850.83984375</v>
      </c>
      <c r="H2210">
        <f t="shared" si="221"/>
        <v>2208</v>
      </c>
      <c r="I2210">
        <f>SUM($E$3:E2210)/H2210</f>
        <v>1.3353899440715711</v>
      </c>
      <c r="L2210">
        <f t="shared" si="236"/>
        <v>3.2100000381469727</v>
      </c>
      <c r="M2210">
        <f t="shared" si="237"/>
        <v>2.8250000476837158</v>
      </c>
      <c r="N2210">
        <f>SUM($F$3:F2210)/H2210</f>
        <v>1853069.95155047</v>
      </c>
    </row>
    <row r="2211" spans="1:14" x14ac:dyDescent="0.15">
      <c r="A2211" s="2">
        <v>46168</v>
      </c>
      <c r="B2211">
        <v>3.1749999523162842</v>
      </c>
      <c r="C2211">
        <v>3.1930000782012939</v>
      </c>
      <c r="D2211">
        <v>3.119999885559082</v>
      </c>
      <c r="E2211">
        <v>3.1860001087188721</v>
      </c>
      <c r="F2211">
        <v>827973.0625</v>
      </c>
      <c r="G2211">
        <v>8279.73046875</v>
      </c>
      <c r="H2211">
        <f t="shared" si="221"/>
        <v>2209</v>
      </c>
      <c r="I2211">
        <f>SUM($E$3:E2211)/H2211</f>
        <v>1.3362277033131498</v>
      </c>
      <c r="L2211">
        <f t="shared" si="236"/>
        <v>3.2100000381469727</v>
      </c>
      <c r="M2211">
        <f t="shared" si="237"/>
        <v>2.8250000476837158</v>
      </c>
      <c r="N2211">
        <f>SUM($F$3:F2211)/H2211</f>
        <v>1852605.8968247792</v>
      </c>
    </row>
    <row r="2212" spans="1:14" x14ac:dyDescent="0.15">
      <c r="A2212" s="2">
        <v>46169</v>
      </c>
      <c r="B2212">
        <v>3.1540000438690186</v>
      </c>
      <c r="C2212">
        <v>3.2209999561309814</v>
      </c>
      <c r="D2212">
        <v>3.1059999465942383</v>
      </c>
      <c r="E2212">
        <v>3.125</v>
      </c>
      <c r="F2212">
        <v>966680.9375</v>
      </c>
      <c r="G2212">
        <v>9666.8095703125</v>
      </c>
      <c r="H2212">
        <f t="shared" si="221"/>
        <v>2210</v>
      </c>
      <c r="I2212">
        <f>SUM($E$3:E2212)/H2212</f>
        <v>1.3370371025424197</v>
      </c>
      <c r="L2212">
        <f t="shared" si="236"/>
        <v>3.2209999561309814</v>
      </c>
      <c r="M2212">
        <f t="shared" si="237"/>
        <v>2.8250000476837158</v>
      </c>
      <c r="N2212">
        <f>SUM($F$3:F2212)/H2212</f>
        <v>1852205.0258024605</v>
      </c>
    </row>
    <row r="2213" spans="1:14" x14ac:dyDescent="0.15">
      <c r="A2213" s="2">
        <v>46170</v>
      </c>
      <c r="B2213">
        <v>3.0910000801086426</v>
      </c>
      <c r="C2213">
        <v>3.1800000667572021</v>
      </c>
      <c r="D2213">
        <v>3.0680000782012939</v>
      </c>
      <c r="E2213">
        <v>3.1589999198913574</v>
      </c>
      <c r="F2213">
        <v>955034</v>
      </c>
      <c r="G2213">
        <v>9550.33984375</v>
      </c>
      <c r="H2213">
        <f t="shared" si="221"/>
        <v>2211</v>
      </c>
      <c r="I2213">
        <f>SUM($E$3:E2213)/H2213</f>
        <v>1.337861147235929</v>
      </c>
      <c r="L2213">
        <f t="shared" si="236"/>
        <v>3.2209999561309814</v>
      </c>
      <c r="M2213">
        <f t="shared" si="237"/>
        <v>2.8250000476837158</v>
      </c>
      <c r="N2213">
        <f>SUM($F$3:F2213)/H2213</f>
        <v>1851799.2496713875</v>
      </c>
    </row>
    <row r="2214" spans="1:14" x14ac:dyDescent="0.15">
      <c r="A2214" s="2">
        <v>46171</v>
      </c>
      <c r="B2214">
        <v>3.2039999961853027</v>
      </c>
      <c r="C2214">
        <v>3.2039999961853027</v>
      </c>
      <c r="D2214">
        <v>3.0499999523162842</v>
      </c>
      <c r="E2214">
        <v>3.059999942779541</v>
      </c>
      <c r="F2214">
        <v>1204034</v>
      </c>
      <c r="G2214">
        <v>12040.33984375</v>
      </c>
      <c r="H2214">
        <f t="shared" si="221"/>
        <v>2212</v>
      </c>
      <c r="I2214">
        <f>SUM($E$3:E2214)/H2214</f>
        <v>1.3386396909952163</v>
      </c>
      <c r="L2214">
        <f t="shared" si="236"/>
        <v>0</v>
      </c>
      <c r="M2214">
        <f t="shared" si="237"/>
        <v>0</v>
      </c>
      <c r="N2214">
        <f>SUM($F$3:F2214)/H2214</f>
        <v>1851506.4082384438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2026-05-30T07:28:55Z</dcterms:modified>
</cp:coreProperties>
</file>