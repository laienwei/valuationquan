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279" i="1" l="1"/>
  <c r="I2279" i="1"/>
  <c r="H2279" i="1"/>
  <c r="M2279" i="1"/>
  <c r="L2279" i="1"/>
  <c r="N2278" i="1" l="1"/>
  <c r="I2278" i="1"/>
  <c r="H2278" i="1"/>
  <c r="N2277" i="1"/>
  <c r="I2277" i="1"/>
  <c r="H2277" i="1"/>
  <c r="N2276" i="1"/>
  <c r="I2276" i="1"/>
  <c r="H2276" i="1"/>
  <c r="N2275" i="1"/>
  <c r="I2275" i="1"/>
  <c r="H2275" i="1"/>
  <c r="N2274" i="1"/>
  <c r="I2274" i="1"/>
  <c r="H2274" i="1"/>
  <c r="N2273" i="1"/>
  <c r="I2273" i="1"/>
  <c r="H2273" i="1"/>
  <c r="N2272" i="1"/>
  <c r="I2272" i="1"/>
  <c r="H2272" i="1"/>
  <c r="N2271" i="1"/>
  <c r="I2271" i="1"/>
  <c r="H2271" i="1"/>
  <c r="N2270" i="1"/>
  <c r="I2270" i="1"/>
  <c r="H2270" i="1"/>
  <c r="N2269" i="1"/>
  <c r="I2269" i="1"/>
  <c r="H2269" i="1"/>
  <c r="N2268" i="1"/>
  <c r="I2268" i="1"/>
  <c r="H2268" i="1"/>
  <c r="N2267" i="1"/>
  <c r="I2267" i="1"/>
  <c r="H2267" i="1"/>
  <c r="N2266" i="1"/>
  <c r="I2266" i="1"/>
  <c r="H2266" i="1"/>
  <c r="N2265" i="1"/>
  <c r="I2265" i="1"/>
  <c r="H2265" i="1"/>
  <c r="N2264" i="1"/>
  <c r="I2264" i="1"/>
  <c r="H2264" i="1"/>
  <c r="N2263" i="1"/>
  <c r="I2263" i="1"/>
  <c r="H2263" i="1"/>
  <c r="N2262" i="1"/>
  <c r="I2262" i="1"/>
  <c r="H2262" i="1"/>
  <c r="N2261" i="1"/>
  <c r="I2261" i="1"/>
  <c r="H2261" i="1"/>
  <c r="N2260" i="1"/>
  <c r="I2260" i="1"/>
  <c r="H2260" i="1"/>
  <c r="N2259" i="1"/>
  <c r="I2259" i="1"/>
  <c r="H2259" i="1"/>
  <c r="M2258" i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L2258" i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4" i="1" s="1"/>
  <c r="L2275" i="1" s="1"/>
  <c r="L2276" i="1" s="1"/>
  <c r="L2277" i="1" s="1"/>
  <c r="L2278" i="1" s="1"/>
  <c r="M2235" i="1" l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L2235" i="1"/>
  <c r="L2236" i="1" s="1"/>
  <c r="L2237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M2214" i="1" l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L2214" i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2" i="1" s="1"/>
  <c r="L2233" i="1" s="1"/>
  <c r="L2234" i="1" s="1"/>
  <c r="M2196" i="1" l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L2196" i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M2175" i="1" l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L2175" i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M2153" i="1" l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L2153" i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M2139" i="1" l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L2139" i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M2119" i="1" l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L2119" i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M2096" i="1" l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L2096" i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M2076" i="1" l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M2059" i="1" l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M2037" i="1" l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M2016" i="1" l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M1993" i="1" l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H1993" i="1" s="1"/>
  <c r="I1991" i="1"/>
  <c r="N1991" i="1"/>
  <c r="H1994" i="1" l="1"/>
  <c r="N1993" i="1"/>
  <c r="I1993" i="1"/>
  <c r="N1992" i="1"/>
  <c r="I1992" i="1"/>
  <c r="H1995" i="1" l="1"/>
  <c r="I1994" i="1"/>
  <c r="N1994" i="1"/>
  <c r="N1995" i="1" l="1"/>
  <c r="H1996" i="1"/>
  <c r="I1995" i="1"/>
  <c r="H1997" i="1" l="1"/>
  <c r="I1996" i="1"/>
  <c r="N1996" i="1"/>
  <c r="N1997" i="1" l="1"/>
  <c r="H1998" i="1"/>
  <c r="I1997" i="1"/>
  <c r="H1999" i="1" l="1"/>
  <c r="I1998" i="1"/>
  <c r="N1998" i="1"/>
  <c r="N1999" i="1" l="1"/>
  <c r="H2000" i="1"/>
  <c r="I1999" i="1"/>
  <c r="H2001" i="1" l="1"/>
  <c r="I2000" i="1"/>
  <c r="N2000" i="1"/>
  <c r="N2001" i="1" l="1"/>
  <c r="H2002" i="1"/>
  <c r="I2001" i="1"/>
  <c r="H2003" i="1" l="1"/>
  <c r="I2002" i="1"/>
  <c r="N2002" i="1"/>
  <c r="N2003" i="1" l="1"/>
  <c r="H2004" i="1"/>
  <c r="I2003" i="1"/>
  <c r="H2005" i="1" l="1"/>
  <c r="I2004" i="1"/>
  <c r="N2004" i="1"/>
  <c r="N2005" i="1" l="1"/>
  <c r="H2006" i="1"/>
  <c r="I2005" i="1"/>
  <c r="H2007" i="1" l="1"/>
  <c r="I2006" i="1"/>
  <c r="N2006" i="1"/>
  <c r="N2007" i="1" l="1"/>
  <c r="H2008" i="1"/>
  <c r="I2007" i="1"/>
  <c r="H2009" i="1" l="1"/>
  <c r="I2008" i="1"/>
  <c r="N2008" i="1"/>
  <c r="N2009" i="1" l="1"/>
  <c r="H2010" i="1"/>
  <c r="I2009" i="1"/>
  <c r="H2011" i="1" l="1"/>
  <c r="I2010" i="1"/>
  <c r="N2010" i="1"/>
  <c r="N2011" i="1" l="1"/>
  <c r="H2012" i="1"/>
  <c r="I2011" i="1"/>
  <c r="H2013" i="1" l="1"/>
  <c r="I2012" i="1"/>
  <c r="N2012" i="1"/>
  <c r="N2013" i="1" l="1"/>
  <c r="H2014" i="1"/>
  <c r="I2013" i="1"/>
  <c r="H2015" i="1" l="1"/>
  <c r="I2014" i="1"/>
  <c r="N2014" i="1"/>
  <c r="H2016" i="1" l="1"/>
  <c r="N2015" i="1"/>
  <c r="I2015" i="1"/>
  <c r="H2017" i="1" l="1"/>
  <c r="N2016" i="1"/>
  <c r="I2016" i="1"/>
  <c r="H2018" i="1" l="1"/>
  <c r="I2017" i="1"/>
  <c r="N2017" i="1"/>
  <c r="N2018" i="1" l="1"/>
  <c r="H2019" i="1"/>
  <c r="I2018" i="1"/>
  <c r="H2020" i="1" l="1"/>
  <c r="I2019" i="1"/>
  <c r="N2019" i="1"/>
  <c r="N2020" i="1" l="1"/>
  <c r="H2021" i="1"/>
  <c r="I2020" i="1"/>
  <c r="H2022" i="1" l="1"/>
  <c r="I2021" i="1"/>
  <c r="N2021" i="1"/>
  <c r="N2022" i="1" l="1"/>
  <c r="H2023" i="1"/>
  <c r="I2022" i="1"/>
  <c r="H2024" i="1" l="1"/>
  <c r="I2023" i="1"/>
  <c r="N2023" i="1"/>
  <c r="N2024" i="1" l="1"/>
  <c r="H2025" i="1"/>
  <c r="I2024" i="1"/>
  <c r="H2026" i="1" l="1"/>
  <c r="I2025" i="1"/>
  <c r="N2025" i="1"/>
  <c r="N2026" i="1" l="1"/>
  <c r="H2027" i="1"/>
  <c r="I2026" i="1"/>
  <c r="H2028" i="1" l="1"/>
  <c r="I2027" i="1"/>
  <c r="N2027" i="1"/>
  <c r="N2028" i="1" l="1"/>
  <c r="H2029" i="1"/>
  <c r="I2028" i="1"/>
  <c r="H2030" i="1" l="1"/>
  <c r="I2029" i="1"/>
  <c r="N2029" i="1"/>
  <c r="N2030" i="1" l="1"/>
  <c r="H2031" i="1"/>
  <c r="I2030" i="1"/>
  <c r="H2032" i="1" l="1"/>
  <c r="I2031" i="1"/>
  <c r="N2031" i="1"/>
  <c r="N2032" i="1" l="1"/>
  <c r="H2033" i="1"/>
  <c r="I2032" i="1"/>
  <c r="H2034" i="1" l="1"/>
  <c r="I2033" i="1"/>
  <c r="N2033" i="1"/>
  <c r="N2034" i="1" l="1"/>
  <c r="H2035" i="1"/>
  <c r="I2034" i="1"/>
  <c r="H2036" i="1" l="1"/>
  <c r="I2035" i="1"/>
  <c r="N2035" i="1"/>
  <c r="H2037" i="1" l="1"/>
  <c r="N2036" i="1"/>
  <c r="I2036" i="1"/>
  <c r="H2038" i="1" l="1"/>
  <c r="N2037" i="1"/>
  <c r="I2037" i="1"/>
  <c r="N2038" i="1" l="1"/>
  <c r="H2039" i="1"/>
  <c r="I2038" i="1"/>
  <c r="H2040" i="1" l="1"/>
  <c r="I2039" i="1"/>
  <c r="N2039" i="1"/>
  <c r="N2040" i="1" l="1"/>
  <c r="H2041" i="1"/>
  <c r="I2040" i="1"/>
  <c r="H2042" i="1" l="1"/>
  <c r="I2041" i="1"/>
  <c r="N2041" i="1"/>
  <c r="N2042" i="1" l="1"/>
  <c r="H2043" i="1"/>
  <c r="I2042" i="1"/>
  <c r="H2044" i="1" l="1"/>
  <c r="I2043" i="1"/>
  <c r="N2043" i="1"/>
  <c r="N2044" i="1" l="1"/>
  <c r="H2045" i="1"/>
  <c r="I2044" i="1"/>
  <c r="H2046" i="1" l="1"/>
  <c r="I2045" i="1"/>
  <c r="N2045" i="1"/>
  <c r="N2046" i="1" l="1"/>
  <c r="H2047" i="1"/>
  <c r="I2046" i="1"/>
  <c r="H2048" i="1" l="1"/>
  <c r="I2047" i="1"/>
  <c r="N2047" i="1"/>
  <c r="N2048" i="1" l="1"/>
  <c r="H2049" i="1"/>
  <c r="I2048" i="1"/>
  <c r="H2050" i="1" l="1"/>
  <c r="I2049" i="1"/>
  <c r="N2049" i="1"/>
  <c r="N2050" i="1" l="1"/>
  <c r="H2051" i="1"/>
  <c r="I2050" i="1"/>
  <c r="H2052" i="1" l="1"/>
  <c r="I2051" i="1"/>
  <c r="N2051" i="1"/>
  <c r="N2052" i="1" l="1"/>
  <c r="H2053" i="1"/>
  <c r="I2052" i="1"/>
  <c r="H2054" i="1" l="1"/>
  <c r="I2053" i="1"/>
  <c r="N2053" i="1"/>
  <c r="N2054" i="1" l="1"/>
  <c r="H2055" i="1"/>
  <c r="I2054" i="1"/>
  <c r="H2056" i="1" l="1"/>
  <c r="I2055" i="1"/>
  <c r="N2055" i="1"/>
  <c r="N2056" i="1" l="1"/>
  <c r="H2057" i="1"/>
  <c r="I2056" i="1"/>
  <c r="H2058" i="1" l="1"/>
  <c r="I2057" i="1"/>
  <c r="N2057" i="1"/>
  <c r="H2059" i="1" l="1"/>
  <c r="N2058" i="1"/>
  <c r="I2058" i="1"/>
  <c r="H2060" i="1" l="1"/>
  <c r="N2059" i="1"/>
  <c r="I2059" i="1"/>
  <c r="H2061" i="1" l="1"/>
  <c r="I2060" i="1"/>
  <c r="N2060" i="1"/>
  <c r="N2061" i="1" l="1"/>
  <c r="H2062" i="1"/>
  <c r="I2061" i="1"/>
  <c r="H2063" i="1" l="1"/>
  <c r="I2062" i="1"/>
  <c r="N2062" i="1"/>
  <c r="N2063" i="1" l="1"/>
  <c r="H2064" i="1"/>
  <c r="I2063" i="1"/>
  <c r="H2065" i="1" l="1"/>
  <c r="I2064" i="1"/>
  <c r="N2064" i="1"/>
  <c r="N2065" i="1" l="1"/>
  <c r="H2066" i="1"/>
  <c r="I2065" i="1"/>
  <c r="H2067" i="1" l="1"/>
  <c r="I2066" i="1"/>
  <c r="N2066" i="1"/>
  <c r="N2067" i="1" l="1"/>
  <c r="H2068" i="1"/>
  <c r="I2067" i="1"/>
  <c r="H2069" i="1" l="1"/>
  <c r="I2068" i="1"/>
  <c r="N2068" i="1"/>
  <c r="N2069" i="1" l="1"/>
  <c r="H2070" i="1"/>
  <c r="I2069" i="1"/>
  <c r="H2071" i="1" l="1"/>
  <c r="I2070" i="1"/>
  <c r="N2070" i="1"/>
  <c r="N2071" i="1" l="1"/>
  <c r="H2072" i="1"/>
  <c r="I2071" i="1"/>
  <c r="H2073" i="1" l="1"/>
  <c r="I2072" i="1"/>
  <c r="N2072" i="1"/>
  <c r="N2073" i="1" l="1"/>
  <c r="H2074" i="1"/>
  <c r="I2073" i="1"/>
  <c r="H2075" i="1" l="1"/>
  <c r="I2074" i="1"/>
  <c r="N2074" i="1"/>
  <c r="H2076" i="1" l="1"/>
  <c r="N2075" i="1"/>
  <c r="I2075" i="1"/>
  <c r="H2077" i="1" l="1"/>
  <c r="N2076" i="1"/>
  <c r="I2076" i="1"/>
  <c r="N2077" i="1" l="1"/>
  <c r="H2078" i="1"/>
  <c r="I2077" i="1"/>
  <c r="H2079" i="1" l="1"/>
  <c r="I2078" i="1"/>
  <c r="N2078" i="1"/>
  <c r="N2079" i="1" l="1"/>
  <c r="H2080" i="1"/>
  <c r="I2079" i="1"/>
  <c r="H2081" i="1" l="1"/>
  <c r="I2080" i="1"/>
  <c r="N2080" i="1"/>
  <c r="N2081" i="1" l="1"/>
  <c r="H2082" i="1"/>
  <c r="I2081" i="1"/>
  <c r="H2083" i="1" l="1"/>
  <c r="I2082" i="1"/>
  <c r="N2082" i="1"/>
  <c r="N2083" i="1" l="1"/>
  <c r="H2084" i="1"/>
  <c r="I2083" i="1"/>
  <c r="H2085" i="1" l="1"/>
  <c r="I2084" i="1"/>
  <c r="N2084" i="1"/>
  <c r="N2085" i="1" l="1"/>
  <c r="H2086" i="1"/>
  <c r="I2085" i="1"/>
  <c r="H2087" i="1" l="1"/>
  <c r="I2086" i="1"/>
  <c r="N2086" i="1"/>
  <c r="N2087" i="1" l="1"/>
  <c r="H2088" i="1"/>
  <c r="I2087" i="1"/>
  <c r="H2089" i="1" l="1"/>
  <c r="I2088" i="1"/>
  <c r="N2088" i="1"/>
  <c r="N2089" i="1" l="1"/>
  <c r="H2090" i="1"/>
  <c r="I2089" i="1"/>
  <c r="H2091" i="1" l="1"/>
  <c r="I2090" i="1"/>
  <c r="N2090" i="1"/>
  <c r="N2091" i="1" l="1"/>
  <c r="H2092" i="1"/>
  <c r="I2091" i="1"/>
  <c r="H2093" i="1" l="1"/>
  <c r="I2092" i="1"/>
  <c r="N2092" i="1"/>
  <c r="N2093" i="1" l="1"/>
  <c r="H2094" i="1"/>
  <c r="I2093" i="1"/>
  <c r="H2095" i="1" l="1"/>
  <c r="I2094" i="1"/>
  <c r="N2094" i="1"/>
  <c r="H2096" i="1" l="1"/>
  <c r="N2095" i="1"/>
  <c r="I2095" i="1"/>
  <c r="H2097" i="1" l="1"/>
  <c r="N2096" i="1"/>
  <c r="I2096" i="1"/>
  <c r="H2098" i="1" l="1"/>
  <c r="I2097" i="1"/>
  <c r="N2097" i="1"/>
  <c r="N2098" i="1" l="1"/>
  <c r="H2099" i="1"/>
  <c r="I2098" i="1"/>
  <c r="H2100" i="1" l="1"/>
  <c r="I2099" i="1"/>
  <c r="N2099" i="1"/>
  <c r="N2100" i="1" l="1"/>
  <c r="H2101" i="1"/>
  <c r="I2100" i="1"/>
  <c r="H2102" i="1" l="1"/>
  <c r="I2101" i="1"/>
  <c r="N2101" i="1"/>
  <c r="N2102" i="1" l="1"/>
  <c r="H2103" i="1"/>
  <c r="I2102" i="1"/>
  <c r="H2104" i="1" l="1"/>
  <c r="I2103" i="1"/>
  <c r="N2103" i="1"/>
  <c r="N2104" i="1" l="1"/>
  <c r="H2105" i="1"/>
  <c r="I2104" i="1"/>
  <c r="H2106" i="1" l="1"/>
  <c r="I2105" i="1"/>
  <c r="N2105" i="1"/>
  <c r="N2106" i="1" l="1"/>
  <c r="H2107" i="1"/>
  <c r="I2106" i="1"/>
  <c r="H2108" i="1" l="1"/>
  <c r="I2107" i="1"/>
  <c r="N2107" i="1"/>
  <c r="N2108" i="1" l="1"/>
  <c r="H2109" i="1"/>
  <c r="I2108" i="1"/>
  <c r="H2110" i="1" l="1"/>
  <c r="I2109" i="1"/>
  <c r="N2109" i="1"/>
  <c r="N2110" i="1" l="1"/>
  <c r="H2111" i="1"/>
  <c r="I2110" i="1"/>
  <c r="H2112" i="1" l="1"/>
  <c r="I2111" i="1"/>
  <c r="N2111" i="1"/>
  <c r="N2112" i="1" l="1"/>
  <c r="H2113" i="1"/>
  <c r="I2112" i="1"/>
  <c r="H2114" i="1" l="1"/>
  <c r="I2113" i="1"/>
  <c r="N2113" i="1"/>
  <c r="N2114" i="1" l="1"/>
  <c r="H2115" i="1"/>
  <c r="I2114" i="1"/>
  <c r="H2116" i="1" l="1"/>
  <c r="I2115" i="1"/>
  <c r="N2115" i="1"/>
  <c r="N2116" i="1" l="1"/>
  <c r="H2117" i="1"/>
  <c r="I2116" i="1"/>
  <c r="H2118" i="1" l="1"/>
  <c r="I2117" i="1"/>
  <c r="N2117" i="1"/>
  <c r="H2119" i="1" l="1"/>
  <c r="N2118" i="1"/>
  <c r="I2118" i="1"/>
  <c r="H2120" i="1" l="1"/>
  <c r="N2119" i="1"/>
  <c r="I2119" i="1"/>
  <c r="N2120" i="1" l="1"/>
  <c r="H2121" i="1"/>
  <c r="I2120" i="1"/>
  <c r="H2122" i="1" l="1"/>
  <c r="I2121" i="1"/>
  <c r="N2121" i="1"/>
  <c r="N2122" i="1" l="1"/>
  <c r="H2123" i="1"/>
  <c r="I2122" i="1"/>
  <c r="H2124" i="1" l="1"/>
  <c r="I2123" i="1"/>
  <c r="N2123" i="1"/>
  <c r="N2124" i="1" l="1"/>
  <c r="H2125" i="1"/>
  <c r="I2124" i="1"/>
  <c r="H2126" i="1" l="1"/>
  <c r="I2125" i="1"/>
  <c r="N2125" i="1"/>
  <c r="N2126" i="1" l="1"/>
  <c r="H2127" i="1"/>
  <c r="I2126" i="1"/>
  <c r="H2128" i="1" l="1"/>
  <c r="I2127" i="1"/>
  <c r="N2127" i="1"/>
  <c r="N2128" i="1" l="1"/>
  <c r="H2129" i="1"/>
  <c r="I2128" i="1"/>
  <c r="H2130" i="1" l="1"/>
  <c r="I2129" i="1"/>
  <c r="N2129" i="1"/>
  <c r="N2130" i="1" l="1"/>
  <c r="H2131" i="1"/>
  <c r="I2130" i="1"/>
  <c r="H2132" i="1" l="1"/>
  <c r="I2131" i="1"/>
  <c r="N2131" i="1"/>
  <c r="N2132" i="1" l="1"/>
  <c r="H2133" i="1"/>
  <c r="I2132" i="1"/>
  <c r="H2134" i="1" l="1"/>
  <c r="I2133" i="1"/>
  <c r="N2133" i="1"/>
  <c r="N2134" i="1" l="1"/>
  <c r="H2135" i="1"/>
  <c r="I2134" i="1"/>
  <c r="H2136" i="1" l="1"/>
  <c r="I2135" i="1"/>
  <c r="N2135" i="1"/>
  <c r="N2136" i="1" l="1"/>
  <c r="H2137" i="1"/>
  <c r="I2136" i="1"/>
  <c r="H2138" i="1" l="1"/>
  <c r="I2137" i="1"/>
  <c r="N2137" i="1"/>
  <c r="H2139" i="1" l="1"/>
  <c r="N2138" i="1"/>
  <c r="I2138" i="1"/>
  <c r="H2140" i="1" l="1"/>
  <c r="N2139" i="1"/>
  <c r="I2139" i="1"/>
  <c r="N2140" i="1" l="1"/>
  <c r="H2141" i="1"/>
  <c r="I2140" i="1"/>
  <c r="H2142" i="1" l="1"/>
  <c r="I2141" i="1"/>
  <c r="N2141" i="1"/>
  <c r="N2142" i="1" l="1"/>
  <c r="H2143" i="1"/>
  <c r="I2142" i="1"/>
  <c r="H2144" i="1" l="1"/>
  <c r="I2143" i="1"/>
  <c r="N2143" i="1"/>
  <c r="N2144" i="1" l="1"/>
  <c r="H2145" i="1"/>
  <c r="I2144" i="1"/>
  <c r="H2146" i="1" l="1"/>
  <c r="I2145" i="1"/>
  <c r="N2145" i="1"/>
  <c r="N2146" i="1" l="1"/>
  <c r="H2147" i="1"/>
  <c r="I2146" i="1"/>
  <c r="H2148" i="1" l="1"/>
  <c r="I2147" i="1"/>
  <c r="N2147" i="1"/>
  <c r="N2148" i="1" l="1"/>
  <c r="H2149" i="1"/>
  <c r="I2148" i="1"/>
  <c r="H2150" i="1" l="1"/>
  <c r="I2149" i="1"/>
  <c r="N2149" i="1"/>
  <c r="N2150" i="1" l="1"/>
  <c r="H2151" i="1"/>
  <c r="I2150" i="1"/>
  <c r="H2152" i="1" l="1"/>
  <c r="I2151" i="1"/>
  <c r="N2151" i="1"/>
  <c r="H2153" i="1" l="1"/>
  <c r="N2152" i="1"/>
  <c r="I2152" i="1"/>
  <c r="H2154" i="1" l="1"/>
  <c r="N2153" i="1"/>
  <c r="I2153" i="1"/>
  <c r="N2154" i="1" l="1"/>
  <c r="H2155" i="1"/>
  <c r="I2154" i="1"/>
  <c r="H2156" i="1" l="1"/>
  <c r="I2155" i="1"/>
  <c r="N2155" i="1"/>
  <c r="N2156" i="1" l="1"/>
  <c r="H2157" i="1"/>
  <c r="I2156" i="1"/>
  <c r="H2158" i="1" l="1"/>
  <c r="I2157" i="1"/>
  <c r="N2157" i="1"/>
  <c r="N2158" i="1" l="1"/>
  <c r="H2159" i="1"/>
  <c r="I2158" i="1"/>
  <c r="H2160" i="1" l="1"/>
  <c r="I2159" i="1"/>
  <c r="N2159" i="1"/>
  <c r="N2160" i="1" l="1"/>
  <c r="H2161" i="1"/>
  <c r="I2160" i="1"/>
  <c r="H2162" i="1" l="1"/>
  <c r="I2161" i="1"/>
  <c r="N2161" i="1"/>
  <c r="N2162" i="1" l="1"/>
  <c r="H2163" i="1"/>
  <c r="I2162" i="1"/>
  <c r="H2164" i="1" l="1"/>
  <c r="I2163" i="1"/>
  <c r="N2163" i="1"/>
  <c r="N2164" i="1" l="1"/>
  <c r="H2165" i="1"/>
  <c r="I2164" i="1"/>
  <c r="H2166" i="1" l="1"/>
  <c r="I2165" i="1"/>
  <c r="N2165" i="1"/>
  <c r="N2166" i="1" l="1"/>
  <c r="H2167" i="1"/>
  <c r="I2166" i="1"/>
  <c r="H2168" i="1" l="1"/>
  <c r="I2167" i="1"/>
  <c r="N2167" i="1"/>
  <c r="N2168" i="1" l="1"/>
  <c r="H2169" i="1"/>
  <c r="I2168" i="1"/>
  <c r="H2170" i="1" l="1"/>
  <c r="I2169" i="1"/>
  <c r="N2169" i="1"/>
  <c r="N2170" i="1" l="1"/>
  <c r="H2171" i="1"/>
  <c r="I2170" i="1"/>
  <c r="H2172" i="1" l="1"/>
  <c r="I2171" i="1"/>
  <c r="N2171" i="1"/>
  <c r="N2172" i="1" l="1"/>
  <c r="H2173" i="1"/>
  <c r="I2172" i="1"/>
  <c r="H2174" i="1" l="1"/>
  <c r="I2173" i="1"/>
  <c r="N2173" i="1"/>
  <c r="H2175" i="1" l="1"/>
  <c r="N2174" i="1"/>
  <c r="I2174" i="1"/>
  <c r="H2176" i="1" l="1"/>
  <c r="N2175" i="1"/>
  <c r="I2175" i="1"/>
  <c r="H2177" i="1" l="1"/>
  <c r="I2176" i="1"/>
  <c r="N2176" i="1"/>
  <c r="N2177" i="1" l="1"/>
  <c r="H2178" i="1"/>
  <c r="I2177" i="1"/>
  <c r="H2179" i="1" l="1"/>
  <c r="I2178" i="1"/>
  <c r="N2178" i="1"/>
  <c r="N2179" i="1" l="1"/>
  <c r="H2180" i="1"/>
  <c r="I2179" i="1"/>
  <c r="H2181" i="1" l="1"/>
  <c r="I2180" i="1"/>
  <c r="N2180" i="1"/>
  <c r="N2181" i="1" l="1"/>
  <c r="H2182" i="1"/>
  <c r="I2181" i="1"/>
  <c r="H2183" i="1" l="1"/>
  <c r="I2182" i="1"/>
  <c r="N2182" i="1"/>
  <c r="N2183" i="1" l="1"/>
  <c r="H2184" i="1"/>
  <c r="I2183" i="1"/>
  <c r="H2185" i="1" l="1"/>
  <c r="I2184" i="1"/>
  <c r="N2184" i="1"/>
  <c r="N2185" i="1" l="1"/>
  <c r="H2186" i="1"/>
  <c r="I2185" i="1"/>
  <c r="H2187" i="1" l="1"/>
  <c r="I2186" i="1"/>
  <c r="N2186" i="1"/>
  <c r="N2187" i="1" l="1"/>
  <c r="H2188" i="1"/>
  <c r="I2187" i="1"/>
  <c r="H2189" i="1" l="1"/>
  <c r="I2188" i="1"/>
  <c r="N2188" i="1"/>
  <c r="N2189" i="1" l="1"/>
  <c r="H2190" i="1"/>
  <c r="I2189" i="1"/>
  <c r="H2191" i="1" l="1"/>
  <c r="I2190" i="1"/>
  <c r="N2190" i="1"/>
  <c r="N2191" i="1" l="1"/>
  <c r="H2192" i="1"/>
  <c r="I2191" i="1"/>
  <c r="H2193" i="1" l="1"/>
  <c r="I2192" i="1"/>
  <c r="N2192" i="1"/>
  <c r="N2193" i="1" l="1"/>
  <c r="H2194" i="1"/>
  <c r="I2193" i="1"/>
  <c r="H2195" i="1" l="1"/>
  <c r="I2194" i="1"/>
  <c r="N2194" i="1"/>
  <c r="H2196" i="1" l="1"/>
  <c r="N2195" i="1"/>
  <c r="I2195" i="1"/>
  <c r="H2197" i="1" l="1"/>
  <c r="N2196" i="1"/>
  <c r="I2196" i="1"/>
  <c r="N2197" i="1" l="1"/>
  <c r="H2198" i="1"/>
  <c r="I2197" i="1"/>
  <c r="H2199" i="1" l="1"/>
  <c r="I2198" i="1"/>
  <c r="N2198" i="1"/>
  <c r="N2199" i="1" l="1"/>
  <c r="H2200" i="1"/>
  <c r="I2199" i="1"/>
  <c r="H2201" i="1" l="1"/>
  <c r="I2200" i="1"/>
  <c r="N2200" i="1"/>
  <c r="N2201" i="1" l="1"/>
  <c r="H2202" i="1"/>
  <c r="I2201" i="1"/>
  <c r="H2203" i="1" l="1"/>
  <c r="I2202" i="1"/>
  <c r="N2202" i="1"/>
  <c r="N2203" i="1" l="1"/>
  <c r="H2204" i="1"/>
  <c r="I2203" i="1"/>
  <c r="H2205" i="1" l="1"/>
  <c r="I2204" i="1"/>
  <c r="N2204" i="1"/>
  <c r="N2205" i="1" l="1"/>
  <c r="H2206" i="1"/>
  <c r="I2205" i="1"/>
  <c r="H2207" i="1" l="1"/>
  <c r="I2206" i="1"/>
  <c r="N2206" i="1"/>
  <c r="N2207" i="1" l="1"/>
  <c r="H2208" i="1"/>
  <c r="I2207" i="1"/>
  <c r="H2209" i="1" l="1"/>
  <c r="I2208" i="1"/>
  <c r="N2208" i="1"/>
  <c r="N2209" i="1" l="1"/>
  <c r="H2210" i="1"/>
  <c r="I2209" i="1"/>
  <c r="H2211" i="1" l="1"/>
  <c r="I2210" i="1"/>
  <c r="N2210" i="1"/>
  <c r="N2211" i="1" l="1"/>
  <c r="H2212" i="1"/>
  <c r="I2211" i="1"/>
  <c r="H2213" i="1" l="1"/>
  <c r="I2212" i="1"/>
  <c r="N2212" i="1"/>
  <c r="H2214" i="1" l="1"/>
  <c r="N2213" i="1"/>
  <c r="I2213" i="1"/>
  <c r="H2215" i="1" l="1"/>
  <c r="N2214" i="1"/>
  <c r="I2214" i="1"/>
  <c r="H2216" i="1" l="1"/>
  <c r="I2215" i="1"/>
  <c r="N2215" i="1"/>
  <c r="N2216" i="1" l="1"/>
  <c r="H2217" i="1"/>
  <c r="I2216" i="1"/>
  <c r="H2218" i="1" l="1"/>
  <c r="I2217" i="1"/>
  <c r="N2217" i="1"/>
  <c r="N2218" i="1" l="1"/>
  <c r="H2219" i="1"/>
  <c r="I2218" i="1"/>
  <c r="H2220" i="1" l="1"/>
  <c r="I2219" i="1"/>
  <c r="N2219" i="1"/>
  <c r="N2220" i="1" l="1"/>
  <c r="H2221" i="1"/>
  <c r="I2220" i="1"/>
  <c r="H2222" i="1" l="1"/>
  <c r="I2221" i="1"/>
  <c r="N2221" i="1"/>
  <c r="N2222" i="1" l="1"/>
  <c r="H2223" i="1"/>
  <c r="I2222" i="1"/>
  <c r="H2224" i="1" l="1"/>
  <c r="I2223" i="1"/>
  <c r="N2223" i="1"/>
  <c r="N2224" i="1" l="1"/>
  <c r="H2225" i="1"/>
  <c r="I2224" i="1"/>
  <c r="H2226" i="1" l="1"/>
  <c r="I2225" i="1"/>
  <c r="N2225" i="1"/>
  <c r="N2226" i="1" l="1"/>
  <c r="H2227" i="1"/>
  <c r="I2226" i="1"/>
  <c r="H2228" i="1" l="1"/>
  <c r="I2227" i="1"/>
  <c r="N2227" i="1"/>
  <c r="N2228" i="1" l="1"/>
  <c r="H2229" i="1"/>
  <c r="I2228" i="1"/>
  <c r="H2230" i="1" l="1"/>
  <c r="I2229" i="1"/>
  <c r="N2229" i="1"/>
  <c r="N2230" i="1" l="1"/>
  <c r="H2231" i="1"/>
  <c r="I2230" i="1"/>
  <c r="H2232" i="1" l="1"/>
  <c r="I2231" i="1"/>
  <c r="N2231" i="1"/>
  <c r="N2232" i="1" l="1"/>
  <c r="H2233" i="1"/>
  <c r="I2232" i="1"/>
  <c r="H2234" i="1" l="1"/>
  <c r="I2233" i="1"/>
  <c r="N2233" i="1"/>
  <c r="H2235" i="1" l="1"/>
  <c r="N2234" i="1"/>
  <c r="I2234" i="1"/>
  <c r="H2236" i="1" l="1"/>
  <c r="N2235" i="1"/>
  <c r="I2235" i="1"/>
  <c r="H2237" i="1" l="1"/>
  <c r="I2236" i="1"/>
  <c r="N2236" i="1"/>
  <c r="N2237" i="1" l="1"/>
  <c r="H2238" i="1"/>
  <c r="I2237" i="1"/>
  <c r="H2239" i="1" l="1"/>
  <c r="I2238" i="1"/>
  <c r="N2238" i="1"/>
  <c r="N2239" i="1" l="1"/>
  <c r="H2240" i="1"/>
  <c r="I2239" i="1"/>
  <c r="H2241" i="1" l="1"/>
  <c r="I2240" i="1"/>
  <c r="N2240" i="1"/>
  <c r="N2241" i="1" l="1"/>
  <c r="H2242" i="1"/>
  <c r="I2241" i="1"/>
  <c r="H2243" i="1" l="1"/>
  <c r="I2242" i="1"/>
  <c r="N2242" i="1"/>
  <c r="N2243" i="1" l="1"/>
  <c r="H2244" i="1"/>
  <c r="I2243" i="1"/>
  <c r="H2245" i="1" l="1"/>
  <c r="I2244" i="1"/>
  <c r="N2244" i="1"/>
  <c r="N2245" i="1" l="1"/>
  <c r="H2246" i="1"/>
  <c r="I2245" i="1"/>
  <c r="H2247" i="1" l="1"/>
  <c r="I2246" i="1"/>
  <c r="N2246" i="1"/>
  <c r="N2247" i="1" l="1"/>
  <c r="H2248" i="1"/>
  <c r="I2247" i="1"/>
  <c r="H2249" i="1" l="1"/>
  <c r="I2248" i="1"/>
  <c r="N2248" i="1"/>
  <c r="N2249" i="1" l="1"/>
  <c r="H2250" i="1"/>
  <c r="I2249" i="1"/>
  <c r="H2251" i="1" l="1"/>
  <c r="I2250" i="1"/>
  <c r="N2250" i="1"/>
  <c r="N2251" i="1" l="1"/>
  <c r="H2252" i="1"/>
  <c r="I2251" i="1"/>
  <c r="H2253" i="1" l="1"/>
  <c r="I2252" i="1"/>
  <c r="N2252" i="1"/>
  <c r="N2253" i="1" l="1"/>
  <c r="H2254" i="1"/>
  <c r="I2253" i="1"/>
  <c r="H2255" i="1" l="1"/>
  <c r="I2254" i="1"/>
  <c r="N2254" i="1"/>
  <c r="N2255" i="1" l="1"/>
  <c r="H2256" i="1"/>
  <c r="I2255" i="1"/>
  <c r="H2257" i="1" l="1"/>
  <c r="I2256" i="1"/>
  <c r="N2256" i="1"/>
  <c r="H2258" i="1" l="1"/>
  <c r="N2257" i="1"/>
  <c r="I2257" i="1"/>
  <c r="N2258" i="1" l="1"/>
  <c r="I2258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<sst xmlns="http://schemas.openxmlformats.org/spreadsheetml/2006/main" count="10" uniqueCount="10">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</sst>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278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  <c:pt idx="2194">
                  <c:v>46148</c:v>
                </c:pt>
                <c:pt idx="2195">
                  <c:v>46149</c:v>
                </c:pt>
                <c:pt idx="2196">
                  <c:v>46150</c:v>
                </c:pt>
                <c:pt idx="2197">
                  <c:v>46153</c:v>
                </c:pt>
                <c:pt idx="2198">
                  <c:v>46154</c:v>
                </c:pt>
                <c:pt idx="2199">
                  <c:v>46155</c:v>
                </c:pt>
                <c:pt idx="2200">
                  <c:v>46156</c:v>
                </c:pt>
                <c:pt idx="2201">
                  <c:v>46157</c:v>
                </c:pt>
                <c:pt idx="2202">
                  <c:v>46160</c:v>
                </c:pt>
                <c:pt idx="2203">
                  <c:v>46161</c:v>
                </c:pt>
                <c:pt idx="2204">
                  <c:v>46162</c:v>
                </c:pt>
                <c:pt idx="2205">
                  <c:v>46163</c:v>
                </c:pt>
                <c:pt idx="2206">
                  <c:v>46164</c:v>
                </c:pt>
                <c:pt idx="2207">
                  <c:v>46167</c:v>
                </c:pt>
                <c:pt idx="2208">
                  <c:v>46168</c:v>
                </c:pt>
                <c:pt idx="2209">
                  <c:v>46169</c:v>
                </c:pt>
                <c:pt idx="2210">
                  <c:v>46170</c:v>
                </c:pt>
                <c:pt idx="2211">
                  <c:v>46171</c:v>
                </c:pt>
                <c:pt idx="2212">
                  <c:v>46174</c:v>
                </c:pt>
                <c:pt idx="2213">
                  <c:v>46175</c:v>
                </c:pt>
                <c:pt idx="2214">
                  <c:v>46176</c:v>
                </c:pt>
                <c:pt idx="2215">
                  <c:v>46177</c:v>
                </c:pt>
                <c:pt idx="2216">
                  <c:v>46178</c:v>
                </c:pt>
                <c:pt idx="2217">
                  <c:v>46181</c:v>
                </c:pt>
                <c:pt idx="2218">
                  <c:v>46182</c:v>
                </c:pt>
                <c:pt idx="2219">
                  <c:v>46183</c:v>
                </c:pt>
                <c:pt idx="2220">
                  <c:v>46184</c:v>
                </c:pt>
                <c:pt idx="2221">
                  <c:v>46185</c:v>
                </c:pt>
                <c:pt idx="2222">
                  <c:v>46188</c:v>
                </c:pt>
                <c:pt idx="2223">
                  <c:v>46189</c:v>
                </c:pt>
                <c:pt idx="2224">
                  <c:v>46190</c:v>
                </c:pt>
                <c:pt idx="2225">
                  <c:v>46191</c:v>
                </c:pt>
                <c:pt idx="2226">
                  <c:v>46195</c:v>
                </c:pt>
                <c:pt idx="2227">
                  <c:v>46196</c:v>
                </c:pt>
                <c:pt idx="2228">
                  <c:v>46197</c:v>
                </c:pt>
                <c:pt idx="2229">
                  <c:v>46198</c:v>
                </c:pt>
                <c:pt idx="2230">
                  <c:v>46199</c:v>
                </c:pt>
                <c:pt idx="2231">
                  <c:v>46202</c:v>
                </c:pt>
                <c:pt idx="2232">
                  <c:v>46203</c:v>
                </c:pt>
                <c:pt idx="2233">
                  <c:v>46204</c:v>
                </c:pt>
                <c:pt idx="2234">
                  <c:v>46205</c:v>
                </c:pt>
                <c:pt idx="2235">
                  <c:v>46206</c:v>
                </c:pt>
                <c:pt idx="2236">
                  <c:v>46209</c:v>
                </c:pt>
                <c:pt idx="2237">
                  <c:v>46210</c:v>
                </c:pt>
                <c:pt idx="2238">
                  <c:v>46211</c:v>
                </c:pt>
                <c:pt idx="2239">
                  <c:v>46212</c:v>
                </c:pt>
                <c:pt idx="2240">
                  <c:v>46213</c:v>
                </c:pt>
                <c:pt idx="2241">
                  <c:v>46216</c:v>
                </c:pt>
                <c:pt idx="2242">
                  <c:v>46217</c:v>
                </c:pt>
                <c:pt idx="2243">
                  <c:v>46218</c:v>
                </c:pt>
                <c:pt idx="2244">
                  <c:v>46219</c:v>
                </c:pt>
                <c:pt idx="2245">
                  <c:v>46220</c:v>
                </c:pt>
                <c:pt idx="2246">
                  <c:v>46223</c:v>
                </c:pt>
                <c:pt idx="2247">
                  <c:v>46224</c:v>
                </c:pt>
                <c:pt idx="2248">
                  <c:v>46225</c:v>
                </c:pt>
                <c:pt idx="2249">
                  <c:v>46226</c:v>
                </c:pt>
                <c:pt idx="2250">
                  <c:v>46227</c:v>
                </c:pt>
                <c:pt idx="2251">
                  <c:v>46230</c:v>
                </c:pt>
                <c:pt idx="2252">
                  <c:v>46231</c:v>
                </c:pt>
                <c:pt idx="2253">
                  <c:v>46232</c:v>
                </c:pt>
                <c:pt idx="2254">
                  <c:v>46233</c:v>
                </c:pt>
                <c:pt idx="2255">
                  <c:v>46234</c:v>
                </c:pt>
                <c:pt idx="2256">
                  <c:v>46237</c:v>
                </c:pt>
                <c:pt idx="2257">
                  <c:v>46238</c:v>
                </c:pt>
                <c:pt idx="2258">
                  <c:v>46239</c:v>
                </c:pt>
                <c:pt idx="2259">
                  <c:v>46240</c:v>
                </c:pt>
                <c:pt idx="2260">
                  <c:v>46241</c:v>
                </c:pt>
                <c:pt idx="2261">
                  <c:v>46244</c:v>
                </c:pt>
                <c:pt idx="2262">
                  <c:v>46245</c:v>
                </c:pt>
                <c:pt idx="2263">
                  <c:v>46246</c:v>
                </c:pt>
                <c:pt idx="2264">
                  <c:v>46247</c:v>
                </c:pt>
                <c:pt idx="2265">
                  <c:v>46248</c:v>
                </c:pt>
                <c:pt idx="2266">
                  <c:v>46251</c:v>
                </c:pt>
                <c:pt idx="2267">
                  <c:v>46252</c:v>
                </c:pt>
                <c:pt idx="2268">
                  <c:v>46253</c:v>
                </c:pt>
                <c:pt idx="2269">
                  <c:v>46254</c:v>
                </c:pt>
                <c:pt idx="2270">
                  <c:v>46255</c:v>
                </c:pt>
                <c:pt idx="2271">
                  <c:v>46258</c:v>
                </c:pt>
                <c:pt idx="2272">
                  <c:v>46259</c:v>
                </c:pt>
                <c:pt idx="2273">
                  <c:v>46260</c:v>
                </c:pt>
                <c:pt idx="2274">
                  <c:v>46261</c:v>
                </c:pt>
                <c:pt idx="2275">
                  <c:v>46262</c:v>
                </c:pt>
                <c:pt idx="2276">
                  <c:v>46265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277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  <c:pt idx="2094">
                  <c:v>2.2999999523162842</c:v>
                </c:pt>
                <c:pt idx="2095">
                  <c:v>2.2850000858306885</c:v>
                </c:pt>
                <c:pt idx="2096">
                  <c:v>2.2669999599456787</c:v>
                </c:pt>
                <c:pt idx="2097">
                  <c:v>2.2829999923706055</c:v>
                </c:pt>
                <c:pt idx="2098">
                  <c:v>2.2860000133514404</c:v>
                </c:pt>
                <c:pt idx="2099">
                  <c:v>2.3540000915527344</c:v>
                </c:pt>
                <c:pt idx="2100">
                  <c:v>2.3849999904632568</c:v>
                </c:pt>
                <c:pt idx="2101">
                  <c:v>2.3870000839233398</c:v>
                </c:pt>
                <c:pt idx="2102">
                  <c:v>2.3399999141693115</c:v>
                </c:pt>
                <c:pt idx="2103">
                  <c:v>2.3559999465942383</c:v>
                </c:pt>
                <c:pt idx="2104">
                  <c:v>2.3199999332427979</c:v>
                </c:pt>
                <c:pt idx="2105">
                  <c:v>2.2650001049041748</c:v>
                </c:pt>
                <c:pt idx="2106">
                  <c:v>2.3389999866485596</c:v>
                </c:pt>
                <c:pt idx="2107">
                  <c:v>2.3139998912811279</c:v>
                </c:pt>
                <c:pt idx="2108">
                  <c:v>2.3159999847412109</c:v>
                </c:pt>
                <c:pt idx="2109">
                  <c:v>2.3670001029968262</c:v>
                </c:pt>
                <c:pt idx="2110">
                  <c:v>2.3659999370574951</c:v>
                </c:pt>
                <c:pt idx="2111">
                  <c:v>2.3849999904632568</c:v>
                </c:pt>
                <c:pt idx="2112">
                  <c:v>2.3929998874664307</c:v>
                </c:pt>
                <c:pt idx="2113">
                  <c:v>2.3870000839233398</c:v>
                </c:pt>
                <c:pt idx="2114">
                  <c:v>2.3929998874664307</c:v>
                </c:pt>
                <c:pt idx="2115">
                  <c:v>2.4189999103546143</c:v>
                </c:pt>
                <c:pt idx="2116">
                  <c:v>2.4000000953674316</c:v>
                </c:pt>
                <c:pt idx="2117">
                  <c:v>2.4600000381469727</c:v>
                </c:pt>
                <c:pt idx="2118">
                  <c:v>2.4869999885559082</c:v>
                </c:pt>
                <c:pt idx="2119">
                  <c:v>2.4869999885559082</c:v>
                </c:pt>
                <c:pt idx="2120">
                  <c:v>2.4960000514984131</c:v>
                </c:pt>
                <c:pt idx="2121">
                  <c:v>2.5420000553131104</c:v>
                </c:pt>
                <c:pt idx="2122">
                  <c:v>2.6530001163482666</c:v>
                </c:pt>
                <c:pt idx="2123">
                  <c:v>2.5969998836517334</c:v>
                </c:pt>
                <c:pt idx="2124">
                  <c:v>2.6289999485015869</c:v>
                </c:pt>
                <c:pt idx="2125">
                  <c:v>2.625</c:v>
                </c:pt>
                <c:pt idx="2126">
                  <c:v>2.6119999885559082</c:v>
                </c:pt>
                <c:pt idx="2127">
                  <c:v>2.5820000171661377</c:v>
                </c:pt>
                <c:pt idx="2128">
                  <c:v>2.5299999713897705</c:v>
                </c:pt>
                <c:pt idx="2129">
                  <c:v>2.5899999141693115</c:v>
                </c:pt>
                <c:pt idx="2130">
                  <c:v>2.6159999370574951</c:v>
                </c:pt>
                <c:pt idx="2131">
                  <c:v>2.6029999256134033</c:v>
                </c:pt>
                <c:pt idx="2132">
                  <c:v>2.5840001106262207</c:v>
                </c:pt>
                <c:pt idx="2133">
                  <c:v>2.6110000610351562</c:v>
                </c:pt>
                <c:pt idx="2134">
                  <c:v>2.6159999370574951</c:v>
                </c:pt>
                <c:pt idx="2135">
                  <c:v>2.5729999542236328</c:v>
                </c:pt>
                <c:pt idx="2136">
                  <c:v>2.6019999980926514</c:v>
                </c:pt>
                <c:pt idx="2137">
                  <c:v>2.5309998989105225</c:v>
                </c:pt>
                <c:pt idx="2138">
                  <c:v>2.5450000762939453</c:v>
                </c:pt>
                <c:pt idx="2139">
                  <c:v>2.4749999046325684</c:v>
                </c:pt>
                <c:pt idx="2140">
                  <c:v>2.437000036239624</c:v>
                </c:pt>
                <c:pt idx="2141">
                  <c:v>2.4040000438690186</c:v>
                </c:pt>
                <c:pt idx="2142">
                  <c:v>2.4839999675750732</c:v>
                </c:pt>
                <c:pt idx="2143">
                  <c:v>2.5079998970031738</c:v>
                </c:pt>
                <c:pt idx="2144">
                  <c:v>2.4749999046325684</c:v>
                </c:pt>
                <c:pt idx="2145">
                  <c:v>2.5150001049041748</c:v>
                </c:pt>
                <c:pt idx="2146">
                  <c:v>2.505000114440918</c:v>
                </c:pt>
                <c:pt idx="2147">
                  <c:v>2.5179998874664307</c:v>
                </c:pt>
                <c:pt idx="2148">
                  <c:v>2.5039999485015869</c:v>
                </c:pt>
                <c:pt idx="2149">
                  <c:v>2.5309998989105225</c:v>
                </c:pt>
                <c:pt idx="2150">
                  <c:v>2.5239999294281006</c:v>
                </c:pt>
                <c:pt idx="2151">
                  <c:v>2.5079998970031738</c:v>
                </c:pt>
                <c:pt idx="2152">
                  <c:v>2.4279999732971191</c:v>
                </c:pt>
                <c:pt idx="2153">
                  <c:v>2.3889999389648437</c:v>
                </c:pt>
                <c:pt idx="2154">
                  <c:v>2.434999942779541</c:v>
                </c:pt>
                <c:pt idx="2155">
                  <c:v>2.434999942779541</c:v>
                </c:pt>
                <c:pt idx="2156">
                  <c:v>2.4300000667572021</c:v>
                </c:pt>
                <c:pt idx="2157">
                  <c:v>2.4649999141693115</c:v>
                </c:pt>
                <c:pt idx="2158">
                  <c:v>2.4389998912811279</c:v>
                </c:pt>
                <c:pt idx="2159">
                  <c:v>2.4240000247955322</c:v>
                </c:pt>
                <c:pt idx="2160">
                  <c:v>2.3959999084472656</c:v>
                </c:pt>
                <c:pt idx="2161">
                  <c:v>2.4010000228881836</c:v>
                </c:pt>
                <c:pt idx="2162">
                  <c:v>2.3559999465942383</c:v>
                </c:pt>
                <c:pt idx="2163">
                  <c:v>2.4289999008178711</c:v>
                </c:pt>
                <c:pt idx="2164">
                  <c:v>2.3959999084472656</c:v>
                </c:pt>
                <c:pt idx="2165">
                  <c:v>2.3840000629425049</c:v>
                </c:pt>
                <c:pt idx="2166">
                  <c:v>2.2950000762939453</c:v>
                </c:pt>
                <c:pt idx="2167">
                  <c:v>2.315000057220459</c:v>
                </c:pt>
                <c:pt idx="2168">
                  <c:v>2.372999906539917</c:v>
                </c:pt>
                <c:pt idx="2169">
                  <c:v>2.3210000991821289</c:v>
                </c:pt>
                <c:pt idx="2170">
                  <c:v>2.315000057220459</c:v>
                </c:pt>
                <c:pt idx="2171">
                  <c:v>2.3080000877380371</c:v>
                </c:pt>
                <c:pt idx="2172">
                  <c:v>2.2669999599456787</c:v>
                </c:pt>
                <c:pt idx="2173">
                  <c:v>2.3299999237060547</c:v>
                </c:pt>
                <c:pt idx="2174">
                  <c:v>2.2639999389648437</c:v>
                </c:pt>
                <c:pt idx="2175">
                  <c:v>2.2960000038146973</c:v>
                </c:pt>
                <c:pt idx="2176">
                  <c:v>2.3059999942779541</c:v>
                </c:pt>
                <c:pt idx="2177">
                  <c:v>2.4489998817443848</c:v>
                </c:pt>
                <c:pt idx="2178">
                  <c:v>2.4449999332427979</c:v>
                </c:pt>
                <c:pt idx="2179">
                  <c:v>2.500999927520752</c:v>
                </c:pt>
                <c:pt idx="2180">
                  <c:v>2.5160000324249268</c:v>
                </c:pt>
                <c:pt idx="2181">
                  <c:v>2.5639998912811279</c:v>
                </c:pt>
                <c:pt idx="2182">
                  <c:v>2.559999942779541</c:v>
                </c:pt>
                <c:pt idx="2183">
                  <c:v>2.619999885559082</c:v>
                </c:pt>
                <c:pt idx="2184">
                  <c:v>2.6700000762939453</c:v>
                </c:pt>
                <c:pt idx="2185">
                  <c:v>2.7070000171661377</c:v>
                </c:pt>
                <c:pt idx="2186">
                  <c:v>2.687999963760376</c:v>
                </c:pt>
                <c:pt idx="2187">
                  <c:v>2.7690000534057617</c:v>
                </c:pt>
                <c:pt idx="2188">
                  <c:v>2.7460000514984131</c:v>
                </c:pt>
                <c:pt idx="2189">
                  <c:v>2.7160000801086426</c:v>
                </c:pt>
                <c:pt idx="2190">
                  <c:v>2.7420001029968262</c:v>
                </c:pt>
                <c:pt idx="2191">
                  <c:v>2.6989998817443848</c:v>
                </c:pt>
                <c:pt idx="2192">
                  <c:v>2.7239999771118164</c:v>
                </c:pt>
                <c:pt idx="2193">
                  <c:v>2.7899999618530273</c:v>
                </c:pt>
                <c:pt idx="2194">
                  <c:v>2.9010000228881836</c:v>
                </c:pt>
                <c:pt idx="2195">
                  <c:v>2.9579999446868896</c:v>
                </c:pt>
                <c:pt idx="2196">
                  <c:v>2.9460000991821289</c:v>
                </c:pt>
                <c:pt idx="2197">
                  <c:v>3.0309998989105225</c:v>
                </c:pt>
                <c:pt idx="2198">
                  <c:v>3.0499999523162842</c:v>
                </c:pt>
                <c:pt idx="2199">
                  <c:v>3.1540000438690186</c:v>
                </c:pt>
                <c:pt idx="2200">
                  <c:v>3.1159999370574951</c:v>
                </c:pt>
                <c:pt idx="2201">
                  <c:v>3.0480000972747803</c:v>
                </c:pt>
                <c:pt idx="2202">
                  <c:v>3.0460000038146973</c:v>
                </c:pt>
                <c:pt idx="2203">
                  <c:v>3.0980000495910645</c:v>
                </c:pt>
                <c:pt idx="2204">
                  <c:v>3.1210000514984131</c:v>
                </c:pt>
                <c:pt idx="2205">
                  <c:v>3.0150001049041748</c:v>
                </c:pt>
                <c:pt idx="2206">
                  <c:v>3.0750000476837158</c:v>
                </c:pt>
                <c:pt idx="2207">
                  <c:v>3.1949999332427979</c:v>
                </c:pt>
                <c:pt idx="2208">
                  <c:v>3.1860001087188721</c:v>
                </c:pt>
                <c:pt idx="2209">
                  <c:v>3.125</c:v>
                </c:pt>
                <c:pt idx="2210">
                  <c:v>3.1589999198913574</c:v>
                </c:pt>
                <c:pt idx="2211">
                  <c:v>3.059999942779541</c:v>
                </c:pt>
                <c:pt idx="2212">
                  <c:v>2.9909999370574951</c:v>
                </c:pt>
                <c:pt idx="2213">
                  <c:v>3.065000057220459</c:v>
                </c:pt>
                <c:pt idx="2214">
                  <c:v>3.1589999198913574</c:v>
                </c:pt>
                <c:pt idx="2215">
                  <c:v>3.1410000324249268</c:v>
                </c:pt>
                <c:pt idx="2216">
                  <c:v>3.0520000457763672</c:v>
                </c:pt>
                <c:pt idx="2217">
                  <c:v>2.9279999732971191</c:v>
                </c:pt>
                <c:pt idx="2218">
                  <c:v>3.0269999504089355</c:v>
                </c:pt>
                <c:pt idx="2219">
                  <c:v>3.0079998970031738</c:v>
                </c:pt>
                <c:pt idx="2220">
                  <c:v>2.8970000743865967</c:v>
                </c:pt>
                <c:pt idx="2221">
                  <c:v>2.9100000858306885</c:v>
                </c:pt>
                <c:pt idx="2222">
                  <c:v>3.0350000858306885</c:v>
                </c:pt>
                <c:pt idx="2223">
                  <c:v>3.0450000762939453</c:v>
                </c:pt>
                <c:pt idx="2224">
                  <c:v>3.1099998950958252</c:v>
                </c:pt>
                <c:pt idx="2225">
                  <c:v>3.255000114440918</c:v>
                </c:pt>
                <c:pt idx="2226">
                  <c:v>3.2799999713897705</c:v>
                </c:pt>
                <c:pt idx="2227">
                  <c:v>3.1800000667572021</c:v>
                </c:pt>
                <c:pt idx="2228">
                  <c:v>3.255000114440918</c:v>
                </c:pt>
                <c:pt idx="2229">
                  <c:v>3.3589999675750732</c:v>
                </c:pt>
                <c:pt idx="2230">
                  <c:v>3.247999906539917</c:v>
                </c:pt>
                <c:pt idx="2231">
                  <c:v>3.2709999084472656</c:v>
                </c:pt>
                <c:pt idx="2232">
                  <c:v>3.4470000267028809</c:v>
                </c:pt>
                <c:pt idx="2233">
                  <c:v>3.377000093460083</c:v>
                </c:pt>
                <c:pt idx="2234">
                  <c:v>3.1640000343322754</c:v>
                </c:pt>
                <c:pt idx="2235">
                  <c:v>3.190000057220459</c:v>
                </c:pt>
                <c:pt idx="2236">
                  <c:v>3.1760001182556152</c:v>
                </c:pt>
                <c:pt idx="2237">
                  <c:v>3.1670000553131104</c:v>
                </c:pt>
                <c:pt idx="2238">
                  <c:v>3.2119998931884766</c:v>
                </c:pt>
                <c:pt idx="2239">
                  <c:v>3.369999885559082</c:v>
                </c:pt>
                <c:pt idx="2240">
                  <c:v>3.2950000762939453</c:v>
                </c:pt>
                <c:pt idx="2241">
                  <c:v>3.2200000286102295</c:v>
                </c:pt>
                <c:pt idx="2242">
                  <c:v>3.2349998950958252</c:v>
                </c:pt>
                <c:pt idx="2243">
                  <c:v>3.1800000667572021</c:v>
                </c:pt>
                <c:pt idx="2244">
                  <c:v>3.0889999866485596</c:v>
                </c:pt>
                <c:pt idx="2245">
                  <c:v>2.9089999198913574</c:v>
                </c:pt>
                <c:pt idx="2246">
                  <c:v>2.9309999942779541</c:v>
                </c:pt>
                <c:pt idx="2247">
                  <c:v>3.119999885559082</c:v>
                </c:pt>
                <c:pt idx="2248">
                  <c:v>3.0959999561309814</c:v>
                </c:pt>
                <c:pt idx="2249">
                  <c:v>3.0329999923706055</c:v>
                </c:pt>
                <c:pt idx="2250">
                  <c:v>2.9790000915527344</c:v>
                </c:pt>
                <c:pt idx="2251">
                  <c:v>2.994999885559082</c:v>
                </c:pt>
                <c:pt idx="2252">
                  <c:v>2.869999885559082</c:v>
                </c:pt>
                <c:pt idx="2253">
                  <c:v>2.8090000152587891</c:v>
                </c:pt>
                <c:pt idx="2254">
                  <c:v>2.7219998836517334</c:v>
                </c:pt>
                <c:pt idx="2255">
                  <c:v>2.8029999732971191</c:v>
                </c:pt>
                <c:pt idx="2256">
                  <c:v>2.744999885559082</c:v>
                </c:pt>
                <c:pt idx="2257">
                  <c:v>2.8629999160766602</c:v>
                </c:pt>
                <c:pt idx="2258">
                  <c:v>2.9159998893737793</c:v>
                </c:pt>
                <c:pt idx="2259">
                  <c:v>2.9130001068115234</c:v>
                </c:pt>
                <c:pt idx="2260">
                  <c:v>2.9210000038146973</c:v>
                </c:pt>
                <c:pt idx="2261">
                  <c:v>2.8650000095367432</c:v>
                </c:pt>
                <c:pt idx="2262">
                  <c:v>2.8570001125335693</c:v>
                </c:pt>
                <c:pt idx="2263">
                  <c:v>2.8870000839233398</c:v>
                </c:pt>
                <c:pt idx="2264">
                  <c:v>2.869999885559082</c:v>
                </c:pt>
                <c:pt idx="2265">
                  <c:v>2.8959999084472656</c:v>
                </c:pt>
                <c:pt idx="2266">
                  <c:v>2.9809999465942383</c:v>
                </c:pt>
                <c:pt idx="2267">
                  <c:v>2.9440000057220459</c:v>
                </c:pt>
                <c:pt idx="2268">
                  <c:v>2.7720000743865967</c:v>
                </c:pt>
                <c:pt idx="2269">
                  <c:v>2.750999927520752</c:v>
                </c:pt>
                <c:pt idx="2270">
                  <c:v>2.7839999198913574</c:v>
                </c:pt>
                <c:pt idx="2271">
                  <c:v>2.7060000896453857</c:v>
                </c:pt>
                <c:pt idx="2272">
                  <c:v>2.7179999351501465</c:v>
                </c:pt>
                <c:pt idx="2273">
                  <c:v>2.7070000171661377</c:v>
                </c:pt>
                <c:pt idx="2274">
                  <c:v>2.7690000534057617</c:v>
                </c:pt>
                <c:pt idx="2275">
                  <c:v>2.75</c:v>
                </c:pt>
                <c:pt idx="2276">
                  <c:v>2.8069999217987061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278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  <c:pt idx="2194">
                  <c:v>46148</c:v>
                </c:pt>
                <c:pt idx="2195">
                  <c:v>46149</c:v>
                </c:pt>
                <c:pt idx="2196">
                  <c:v>46150</c:v>
                </c:pt>
                <c:pt idx="2197">
                  <c:v>46153</c:v>
                </c:pt>
                <c:pt idx="2198">
                  <c:v>46154</c:v>
                </c:pt>
                <c:pt idx="2199">
                  <c:v>46155</c:v>
                </c:pt>
                <c:pt idx="2200">
                  <c:v>46156</c:v>
                </c:pt>
                <c:pt idx="2201">
                  <c:v>46157</c:v>
                </c:pt>
                <c:pt idx="2202">
                  <c:v>46160</c:v>
                </c:pt>
                <c:pt idx="2203">
                  <c:v>46161</c:v>
                </c:pt>
                <c:pt idx="2204">
                  <c:v>46162</c:v>
                </c:pt>
                <c:pt idx="2205">
                  <c:v>46163</c:v>
                </c:pt>
                <c:pt idx="2206">
                  <c:v>46164</c:v>
                </c:pt>
                <c:pt idx="2207">
                  <c:v>46167</c:v>
                </c:pt>
                <c:pt idx="2208">
                  <c:v>46168</c:v>
                </c:pt>
                <c:pt idx="2209">
                  <c:v>46169</c:v>
                </c:pt>
                <c:pt idx="2210">
                  <c:v>46170</c:v>
                </c:pt>
                <c:pt idx="2211">
                  <c:v>46171</c:v>
                </c:pt>
                <c:pt idx="2212">
                  <c:v>46174</c:v>
                </c:pt>
                <c:pt idx="2213">
                  <c:v>46175</c:v>
                </c:pt>
                <c:pt idx="2214">
                  <c:v>46176</c:v>
                </c:pt>
                <c:pt idx="2215">
                  <c:v>46177</c:v>
                </c:pt>
                <c:pt idx="2216">
                  <c:v>46178</c:v>
                </c:pt>
                <c:pt idx="2217">
                  <c:v>46181</c:v>
                </c:pt>
                <c:pt idx="2218">
                  <c:v>46182</c:v>
                </c:pt>
                <c:pt idx="2219">
                  <c:v>46183</c:v>
                </c:pt>
                <c:pt idx="2220">
                  <c:v>46184</c:v>
                </c:pt>
                <c:pt idx="2221">
                  <c:v>46185</c:v>
                </c:pt>
                <c:pt idx="2222">
                  <c:v>46188</c:v>
                </c:pt>
                <c:pt idx="2223">
                  <c:v>46189</c:v>
                </c:pt>
                <c:pt idx="2224">
                  <c:v>46190</c:v>
                </c:pt>
                <c:pt idx="2225">
                  <c:v>46191</c:v>
                </c:pt>
                <c:pt idx="2226">
                  <c:v>46195</c:v>
                </c:pt>
                <c:pt idx="2227">
                  <c:v>46196</c:v>
                </c:pt>
                <c:pt idx="2228">
                  <c:v>46197</c:v>
                </c:pt>
                <c:pt idx="2229">
                  <c:v>46198</c:v>
                </c:pt>
                <c:pt idx="2230">
                  <c:v>46199</c:v>
                </c:pt>
                <c:pt idx="2231">
                  <c:v>46202</c:v>
                </c:pt>
                <c:pt idx="2232">
                  <c:v>46203</c:v>
                </c:pt>
                <c:pt idx="2233">
                  <c:v>46204</c:v>
                </c:pt>
                <c:pt idx="2234">
                  <c:v>46205</c:v>
                </c:pt>
                <c:pt idx="2235">
                  <c:v>46206</c:v>
                </c:pt>
                <c:pt idx="2236">
                  <c:v>46209</c:v>
                </c:pt>
                <c:pt idx="2237">
                  <c:v>46210</c:v>
                </c:pt>
                <c:pt idx="2238">
                  <c:v>46211</c:v>
                </c:pt>
                <c:pt idx="2239">
                  <c:v>46212</c:v>
                </c:pt>
                <c:pt idx="2240">
                  <c:v>46213</c:v>
                </c:pt>
                <c:pt idx="2241">
                  <c:v>46216</c:v>
                </c:pt>
                <c:pt idx="2242">
                  <c:v>46217</c:v>
                </c:pt>
                <c:pt idx="2243">
                  <c:v>46218</c:v>
                </c:pt>
                <c:pt idx="2244">
                  <c:v>46219</c:v>
                </c:pt>
                <c:pt idx="2245">
                  <c:v>46220</c:v>
                </c:pt>
                <c:pt idx="2246">
                  <c:v>46223</c:v>
                </c:pt>
                <c:pt idx="2247">
                  <c:v>46224</c:v>
                </c:pt>
                <c:pt idx="2248">
                  <c:v>46225</c:v>
                </c:pt>
                <c:pt idx="2249">
                  <c:v>46226</c:v>
                </c:pt>
                <c:pt idx="2250">
                  <c:v>46227</c:v>
                </c:pt>
                <c:pt idx="2251">
                  <c:v>46230</c:v>
                </c:pt>
                <c:pt idx="2252">
                  <c:v>46231</c:v>
                </c:pt>
                <c:pt idx="2253">
                  <c:v>46232</c:v>
                </c:pt>
                <c:pt idx="2254">
                  <c:v>46233</c:v>
                </c:pt>
                <c:pt idx="2255">
                  <c:v>46234</c:v>
                </c:pt>
                <c:pt idx="2256">
                  <c:v>46237</c:v>
                </c:pt>
                <c:pt idx="2257">
                  <c:v>46238</c:v>
                </c:pt>
                <c:pt idx="2258">
                  <c:v>46239</c:v>
                </c:pt>
                <c:pt idx="2259">
                  <c:v>46240</c:v>
                </c:pt>
                <c:pt idx="2260">
                  <c:v>46241</c:v>
                </c:pt>
                <c:pt idx="2261">
                  <c:v>46244</c:v>
                </c:pt>
                <c:pt idx="2262">
                  <c:v>46245</c:v>
                </c:pt>
                <c:pt idx="2263">
                  <c:v>46246</c:v>
                </c:pt>
                <c:pt idx="2264">
                  <c:v>46247</c:v>
                </c:pt>
                <c:pt idx="2265">
                  <c:v>46248</c:v>
                </c:pt>
                <c:pt idx="2266">
                  <c:v>46251</c:v>
                </c:pt>
                <c:pt idx="2267">
                  <c:v>46252</c:v>
                </c:pt>
                <c:pt idx="2268">
                  <c:v>46253</c:v>
                </c:pt>
                <c:pt idx="2269">
                  <c:v>46254</c:v>
                </c:pt>
                <c:pt idx="2270">
                  <c:v>46255</c:v>
                </c:pt>
                <c:pt idx="2271">
                  <c:v>46258</c:v>
                </c:pt>
                <c:pt idx="2272">
                  <c:v>46259</c:v>
                </c:pt>
                <c:pt idx="2273">
                  <c:v>46260</c:v>
                </c:pt>
                <c:pt idx="2274">
                  <c:v>46261</c:v>
                </c:pt>
                <c:pt idx="2275">
                  <c:v>46262</c:v>
                </c:pt>
                <c:pt idx="2276">
                  <c:v>46265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277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  <c:pt idx="2094">
                  <c:v>1.2702233879920122</c:v>
                </c:pt>
                <c:pt idx="2095">
                  <c:v>1.2707075371799124</c:v>
                </c:pt>
                <c:pt idx="2096">
                  <c:v>1.271182640862681</c:v>
                </c:pt>
                <c:pt idx="2097">
                  <c:v>1.2716649179606352</c:v>
                </c:pt>
                <c:pt idx="2098">
                  <c:v>1.2721481647902639</c:v>
                </c:pt>
                <c:pt idx="2099">
                  <c:v>1.2726633323744365</c:v>
                </c:pt>
                <c:pt idx="2100">
                  <c:v>1.2731927643868539</c:v>
                </c:pt>
                <c:pt idx="2101">
                  <c:v>1.2737226441773088</c:v>
                </c:pt>
                <c:pt idx="2102">
                  <c:v>1.2742296709343188</c:v>
                </c:pt>
                <c:pt idx="2103">
                  <c:v>1.2747438203048798</c:v>
                </c:pt>
                <c:pt idx="2104">
                  <c:v>1.2752403790283657</c:v>
                </c:pt>
                <c:pt idx="2105">
                  <c:v>1.2757103504081737</c:v>
                </c:pt>
                <c:pt idx="2106">
                  <c:v>1.2762149966522365</c:v>
                </c:pt>
                <c:pt idx="2107">
                  <c:v>1.276707304477013</c:v>
                </c:pt>
                <c:pt idx="2108">
                  <c:v>1.2772000937990919</c:v>
                </c:pt>
                <c:pt idx="2109">
                  <c:v>1.2777165866944462</c:v>
                </c:pt>
                <c:pt idx="2110">
                  <c:v>1.2782321164672379</c:v>
                </c:pt>
                <c:pt idx="2111">
                  <c:v>1.2787561542863648</c:v>
                </c:pt>
                <c:pt idx="2112">
                  <c:v>1.2792834821298007</c:v>
                </c:pt>
                <c:pt idx="2113">
                  <c:v>1.2798074729537332</c:v>
                </c:pt>
                <c:pt idx="2114">
                  <c:v>1.280333805064614</c:v>
                </c:pt>
                <c:pt idx="2115">
                  <c:v>1.2808719270425393</c:v>
                </c:pt>
                <c:pt idx="2116">
                  <c:v>1.2814005657616347</c:v>
                </c:pt>
                <c:pt idx="2117">
                  <c:v>1.2819570338789081</c:v>
                </c:pt>
                <c:pt idx="2118">
                  <c:v>1.2825257186144801</c:v>
                </c:pt>
                <c:pt idx="2119">
                  <c:v>1.2830938668550185</c:v>
                </c:pt>
                <c:pt idx="2120">
                  <c:v>1.2836657226705035</c:v>
                </c:pt>
                <c:pt idx="2121">
                  <c:v>1.28425871717222</c:v>
                </c:pt>
                <c:pt idx="2122">
                  <c:v>1.2849034375674984</c:v>
                </c:pt>
                <c:pt idx="2123">
                  <c:v>1.2855211854234703</c:v>
                </c:pt>
                <c:pt idx="2124">
                  <c:v>1.2861534107237422</c:v>
                </c:pt>
                <c:pt idx="2125">
                  <c:v>1.2867831598250012</c:v>
                </c:pt>
                <c:pt idx="2126">
                  <c:v>1.2874062048784713</c:v>
                </c:pt>
                <c:pt idx="2127">
                  <c:v>1.2880145666323659</c:v>
                </c:pt>
                <c:pt idx="2128">
                  <c:v>1.2885979322522614</c:v>
                </c:pt>
                <c:pt idx="2129">
                  <c:v>1.2892089190982317</c:v>
                </c:pt>
                <c:pt idx="2130">
                  <c:v>1.2898315333722623</c:v>
                </c:pt>
                <c:pt idx="2131">
                  <c:v>1.2904474660140266</c:v>
                </c:pt>
                <c:pt idx="2132">
                  <c:v>1.2910539135736196</c:v>
                </c:pt>
                <c:pt idx="2133">
                  <c:v>1.2916724450391592</c:v>
                </c:pt>
                <c:pt idx="2134">
                  <c:v>1.2922927389464278</c:v>
                </c:pt>
                <c:pt idx="2135">
                  <c:v>1.2928923209760519</c:v>
                </c:pt>
                <c:pt idx="2136">
                  <c:v>1.293504912308348</c:v>
                </c:pt>
                <c:pt idx="2137">
                  <c:v>1.2940837219372545</c:v>
                </c:pt>
                <c:pt idx="2138">
                  <c:v>1.2946685355671548</c:v>
                </c:pt>
                <c:pt idx="2139">
                  <c:v>1.2952200922816715</c:v>
                </c:pt>
                <c:pt idx="2140">
                  <c:v>1.2957533851093024</c:v>
                </c:pt>
                <c:pt idx="2141">
                  <c:v>1.2962707738388821</c:v>
                </c:pt>
                <c:pt idx="2142">
                  <c:v>1.296825010513514</c:v>
                </c:pt>
                <c:pt idx="2143">
                  <c:v>1.2973899241732572</c:v>
                </c:pt>
                <c:pt idx="2144">
                  <c:v>1.2979389264951497</c:v>
                </c:pt>
                <c:pt idx="2145">
                  <c:v>1.298506056587605</c:v>
                </c:pt>
                <c:pt idx="2146">
                  <c:v>1.299068000722609</c:v>
                </c:pt>
                <c:pt idx="2147">
                  <c:v>1.2996354736680202</c:v>
                </c:pt>
                <c:pt idx="2148">
                  <c:v>1.3001959038564026</c:v>
                </c:pt>
                <c:pt idx="2149">
                  <c:v>1.3007683708308464</c:v>
                </c:pt>
                <c:pt idx="2150">
                  <c:v>1.3013370512393063</c:v>
                </c:pt>
                <c:pt idx="2151">
                  <c:v>1.3018977681750703</c:v>
                </c:pt>
                <c:pt idx="2152">
                  <c:v>1.3024208068212022</c:v>
                </c:pt>
                <c:pt idx="2153">
                  <c:v>1.3029252539577592</c:v>
                </c:pt>
                <c:pt idx="2154">
                  <c:v>1.3034505786393469</c:v>
                </c:pt>
                <c:pt idx="2155">
                  <c:v>1.3039754160067589</c:v>
                </c:pt>
                <c:pt idx="2156">
                  <c:v>1.3044974487609315</c:v>
                </c:pt>
                <c:pt idx="2157">
                  <c:v>1.3050352163537993</c:v>
                </c:pt>
                <c:pt idx="2158">
                  <c:v>1.3055604431601573</c:v>
                </c:pt>
                <c:pt idx="2159">
                  <c:v>1.3060782392627663</c:v>
                </c:pt>
                <c:pt idx="2160">
                  <c:v>1.3065825991281919</c:v>
                </c:pt>
                <c:pt idx="2161">
                  <c:v>1.3070888051521325</c:v>
                </c:pt>
                <c:pt idx="2162">
                  <c:v>1.3075737386433217</c:v>
                </c:pt>
                <c:pt idx="2163">
                  <c:v>1.3080919577570809</c:v>
                </c:pt>
                <c:pt idx="2164">
                  <c:v>1.3085944556557829</c:v>
                </c:pt>
                <c:pt idx="2165">
                  <c:v>1.3090909494726282</c:v>
                </c:pt>
                <c:pt idx="2166">
                  <c:v>1.3095459144596246</c:v>
                </c:pt>
                <c:pt idx="2167">
                  <c:v>1.3100096848206766</c:v>
                </c:pt>
                <c:pt idx="2168">
                  <c:v>1.3104997679104504</c:v>
                </c:pt>
                <c:pt idx="2169">
                  <c:v>1.3109654362658751</c:v>
                </c:pt>
                <c:pt idx="2170">
                  <c:v>1.3114279119088759</c:v>
                </c:pt>
                <c:pt idx="2171">
                  <c:v>1.3118867388774897</c:v>
                </c:pt>
                <c:pt idx="2172">
                  <c:v>1.3123262755645897</c:v>
                </c:pt>
                <c:pt idx="2173">
                  <c:v>1.3127943867182885</c:v>
                </c:pt>
                <c:pt idx="2174">
                  <c:v>1.3132317226043788</c:v>
                </c:pt>
                <c:pt idx="2175">
                  <c:v>1.3136833624394939</c:v>
                </c:pt>
                <c:pt idx="2176">
                  <c:v>1.3141391808280278</c:v>
                </c:pt>
                <c:pt idx="2177">
                  <c:v>1.3146602371645368</c:v>
                </c:pt>
                <c:pt idx="2178">
                  <c:v>1.31517897956751</c:v>
                </c:pt>
                <c:pt idx="2179">
                  <c:v>1.3157229341307912</c:v>
                </c:pt>
                <c:pt idx="2180">
                  <c:v>1.3162732675091928</c:v>
                </c:pt>
                <c:pt idx="2181">
                  <c:v>1.3168450945595007</c:v>
                </c:pt>
                <c:pt idx="2182">
                  <c:v>1.3174145654015623</c:v>
                </c:pt>
                <c:pt idx="2183">
                  <c:v>1.3180109872514512</c:v>
                </c:pt>
                <c:pt idx="2184">
                  <c:v>1.3186297465599375</c:v>
                </c:pt>
                <c:pt idx="2185">
                  <c:v>1.3192648656224288</c:v>
                </c:pt>
                <c:pt idx="2186">
                  <c:v>1.3198907161474118</c:v>
                </c:pt>
                <c:pt idx="2187">
                  <c:v>1.3205530147476214</c:v>
                </c:pt>
                <c:pt idx="2188">
                  <c:v>1.321204201150888</c:v>
                </c:pt>
                <c:pt idx="2189">
                  <c:v>1.3218410942463026</c:v>
                </c:pt>
                <c:pt idx="2190">
                  <c:v>1.3224892727076218</c:v>
                </c:pt>
                <c:pt idx="2191">
                  <c:v>1.3231172428759781</c:v>
                </c:pt>
                <c:pt idx="2192">
                  <c:v>1.3237560402924102</c:v>
                </c:pt>
                <c:pt idx="2193">
                  <c:v>1.3244243374307696</c:v>
                </c:pt>
                <c:pt idx="2194">
                  <c:v>1.3251425951462401</c:v>
                </c:pt>
                <c:pt idx="2195">
                  <c:v>1.3258861549593277</c:v>
                </c:pt>
                <c:pt idx="2196">
                  <c:v>1.3266235759626153</c:v>
                </c:pt>
                <c:pt idx="2197">
                  <c:v>1.3273989974016271</c:v>
                </c:pt>
                <c:pt idx="2198">
                  <c:v>1.328182353906818</c:v>
                </c:pt>
                <c:pt idx="2199">
                  <c:v>1.329012271038619</c:v>
                </c:pt>
                <c:pt idx="2200">
                  <c:v>1.3298241691149566</c:v>
                </c:pt>
                <c:pt idx="2201">
                  <c:v>1.3306044488280173</c:v>
                </c:pt>
                <c:pt idx="2202">
                  <c:v>1.3313831122665041</c:v>
                </c:pt>
                <c:pt idx="2203">
                  <c:v>1.3321846626010434</c:v>
                </c:pt>
                <c:pt idx="2204">
                  <c:v>1.3329959167456682</c:v>
                </c:pt>
                <c:pt idx="2205">
                  <c:v>1.3337583846460119</c:v>
                </c:pt>
                <c:pt idx="2206">
                  <c:v>1.3345473477919285</c:v>
                </c:pt>
                <c:pt idx="2207">
                  <c:v>1.3353899440715711</c:v>
                </c:pt>
                <c:pt idx="2208">
                  <c:v>1.3362277033131498</c:v>
                </c:pt>
                <c:pt idx="2209">
                  <c:v>1.3370371025424197</c:v>
                </c:pt>
                <c:pt idx="2210">
                  <c:v>1.337861147235929</c:v>
                </c:pt>
                <c:pt idx="2211">
                  <c:v>1.3386396909952163</c:v>
                </c:pt>
                <c:pt idx="2212">
                  <c:v>1.3393863517480689</c:v>
                </c:pt>
                <c:pt idx="2213">
                  <c:v>1.3401657617324736</c:v>
                </c:pt>
                <c:pt idx="2214">
                  <c:v>1.3409869058219359</c:v>
                </c:pt>
                <c:pt idx="2215">
                  <c:v>1.3417991861137242</c:v>
                </c:pt>
                <c:pt idx="2216">
                  <c:v>1.3425705892980555</c:v>
                </c:pt>
                <c:pt idx="2217">
                  <c:v>1.3432853906434115</c:v>
                </c:pt>
                <c:pt idx="2218">
                  <c:v>1.3440441624143737</c:v>
                </c:pt>
                <c:pt idx="2219">
                  <c:v>1.3447936920245489</c:v>
                </c:pt>
                <c:pt idx="2220">
                  <c:v>1.3454925692791018</c:v>
                </c:pt>
                <c:pt idx="2221">
                  <c:v>1.3461966680714292</c:v>
                </c:pt>
                <c:pt idx="2222">
                  <c:v>1.3469563637159454</c:v>
                </c:pt>
                <c:pt idx="2223">
                  <c:v>1.3477198725795145</c:v>
                </c:pt>
                <c:pt idx="2224">
                  <c:v>1.3485119085446904</c:v>
                </c:pt>
                <c:pt idx="2225">
                  <c:v>1.3493683722490464</c:v>
                </c:pt>
                <c:pt idx="2226">
                  <c:v>1.3502352925899268</c:v>
                </c:pt>
                <c:pt idx="2227">
                  <c:v>1.3510565514652262</c:v>
                </c:pt>
                <c:pt idx="2228">
                  <c:v>1.3519107208519359</c:v>
                </c:pt>
                <c:pt idx="2229">
                  <c:v>1.3528107608728879</c:v>
                </c:pt>
                <c:pt idx="2230">
                  <c:v>1.3536602405437383</c:v>
                </c:pt>
                <c:pt idx="2231">
                  <c:v>1.3545192636924406</c:v>
                </c:pt>
                <c:pt idx="2232">
                  <c:v>1.3554563352387954</c:v>
                </c:pt>
                <c:pt idx="2233">
                  <c:v>1.356361233966737</c:v>
                </c:pt>
                <c:pt idx="2234">
                  <c:v>1.3571700209020234</c:v>
                </c:pt>
                <c:pt idx="2235">
                  <c:v>1.3579897123315041</c:v>
                </c:pt>
                <c:pt idx="2236">
                  <c:v>1.3588024125576659</c:v>
                </c:pt>
                <c:pt idx="2237">
                  <c:v>1.3596103650343216</c:v>
                </c:pt>
                <c:pt idx="2238">
                  <c:v>1.3604376939883878</c:v>
                </c:pt>
                <c:pt idx="2239">
                  <c:v>1.3613348199667676</c:v>
                </c:pt>
                <c:pt idx="2240">
                  <c:v>1.3621976781802112</c:v>
                </c:pt>
                <c:pt idx="2241">
                  <c:v>1.3630263143757642</c:v>
                </c:pt>
                <c:pt idx="2242">
                  <c:v>1.3638608991197321</c:v>
                </c:pt>
                <c:pt idx="2243">
                  <c:v>1.3646702302996063</c:v>
                </c:pt>
                <c:pt idx="2244">
                  <c:v>1.3654383059149064</c:v>
                </c:pt>
                <c:pt idx="2245">
                  <c:v>1.366125555075181</c:v>
                </c:pt>
                <c:pt idx="2246">
                  <c:v>1.3668219833970336</c:v>
                </c:pt>
                <c:pt idx="2247">
                  <c:v>1.3676018668054686</c:v>
                </c:pt>
                <c:pt idx="2248">
                  <c:v>1.3683703852978322</c:v>
                </c:pt>
                <c:pt idx="2249">
                  <c:v>1.3691102206787533</c:v>
                </c:pt>
                <c:pt idx="2250">
                  <c:v>1.3698254094263651</c:v>
                </c:pt>
                <c:pt idx="2251">
                  <c:v>1.3705470677194969</c:v>
                </c:pt>
                <c:pt idx="2252">
                  <c:v>1.3712126038126347</c:v>
                </c:pt>
                <c:pt idx="2253">
                  <c:v>1.3718504864264085</c:v>
                </c:pt>
                <c:pt idx="2254">
                  <c:v>1.3724492223010094</c:v>
                </c:pt>
                <c:pt idx="2255">
                  <c:v>1.373083331676451</c:v>
                </c:pt>
                <c:pt idx="2256">
                  <c:v>1.3736911812794119</c:v>
                </c:pt>
                <c:pt idx="2257">
                  <c:v>1.3743507511353894</c:v>
                </c:pt>
                <c:pt idx="2258">
                  <c:v>1.3750331987397446</c:v>
                </c:pt>
                <c:pt idx="2259">
                  <c:v>1.3757137150707499</c:v>
                </c:pt>
                <c:pt idx="2260">
                  <c:v>1.3763971676531221</c:v>
                </c:pt>
                <c:pt idx="2261">
                  <c:v>1.3770552590951575</c:v>
                </c:pt>
                <c:pt idx="2262">
                  <c:v>1.3777092338425894</c:v>
                </c:pt>
                <c:pt idx="2263">
                  <c:v>1.3783758817445684</c:v>
                </c:pt>
                <c:pt idx="2264">
                  <c:v>1.3790344353886366</c:v>
                </c:pt>
                <c:pt idx="2265">
                  <c:v>1.3797038817580358</c:v>
                </c:pt>
                <c:pt idx="2266">
                  <c:v>1.3804102320292473</c:v>
                </c:pt>
                <c:pt idx="2267">
                  <c:v>1.3810996455097115</c:v>
                </c:pt>
                <c:pt idx="2268">
                  <c:v>1.3817126470208956</c:v>
                </c:pt>
                <c:pt idx="2269">
                  <c:v>1.3823158572766225</c:v>
                </c:pt>
                <c:pt idx="2270">
                  <c:v>1.382933067343824</c:v>
                </c:pt>
                <c:pt idx="2271">
                  <c:v>1.3835154031811046</c:v>
                </c:pt>
                <c:pt idx="2272">
                  <c:v>1.384102505922842</c:v>
                </c:pt>
                <c:pt idx="2273">
                  <c:v>1.3846842550482787</c:v>
                </c:pt>
                <c:pt idx="2274">
                  <c:v>1.3852927455090953</c:v>
                </c:pt>
                <c:pt idx="2275">
                  <c:v>1.3858923532659015</c:v>
                </c:pt>
                <c:pt idx="2276">
                  <c:v>1.3865164672617438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510336"/>
        <c:axId val="462270848"/>
      </c:lineChart>
      <c:dateAx>
        <c:axId val="4405103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462270848"/>
        <c:crosses val="autoZero"/>
        <c:auto val="1"/>
        <c:lblOffset val="100"/>
        <c:baseTimeUnit val="days"/>
      </c:dateAx>
      <c:valAx>
        <c:axId val="4622708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405103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279"/>
  <sheetViews>
    <sheetView tabSelected="1" topLeftCell="A2267" workbookViewId="0">
      <selection activeCell="A2280" sqref="A2280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ht="14.25" x14ac:dyDescent="0.2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J107" s="4">
        <v>46052</v>
      </c>
      <c r="K107" s="4">
        <v>46027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ht="14.25" x14ac:dyDescent="0.2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J108" s="4">
        <v>46080</v>
      </c>
      <c r="K108" s="4">
        <v>46055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ht="14.25" x14ac:dyDescent="0.2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J109" s="4">
        <v>46112</v>
      </c>
      <c r="K109" s="4">
        <v>46083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ht="14.25" x14ac:dyDescent="0.2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J110" s="4">
        <v>46142</v>
      </c>
      <c r="K110" s="4">
        <v>46113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ht="14.25" x14ac:dyDescent="0.2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J111" s="4">
        <v>46171</v>
      </c>
      <c r="K111" s="4">
        <v>46148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ht="14.25" x14ac:dyDescent="0.2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J112" s="4">
        <v>46203</v>
      </c>
      <c r="K112" s="4">
        <v>46174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ht="14.25" x14ac:dyDescent="0.2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J113" s="4">
        <v>46234</v>
      </c>
      <c r="K113" s="4">
        <v>46204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ht="14.25" x14ac:dyDescent="0.2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J114" s="4">
        <v>46265</v>
      </c>
      <c r="K114" s="4">
        <v>46237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ht="14.25" x14ac:dyDescent="0.2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J115" s="4">
        <v>46295</v>
      </c>
      <c r="K115" s="4">
        <v>46266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279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5" si="224">IF(A2077&lt;&gt;$J$105,MAX(L2076,VLOOKUP(A2077,A:C,3)),)</f>
        <v>2.3380000591278076</v>
      </c>
      <c r="M2077">
        <f t="shared" ref="M2077:M2095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>VLOOKUP(K106,A:C,3)</f>
        <v>2.3090000152587891</v>
      </c>
      <c r="M2096">
        <f>VLOOKUP(K106,A:D,4)</f>
        <v>2.2409999370574951</v>
      </c>
      <c r="N2096">
        <f>SUM($F$3:F2096)/H2096</f>
        <v>1888206.2111501612</v>
      </c>
    </row>
    <row r="2097" spans="1:14" x14ac:dyDescent="0.15">
      <c r="A2097" s="2">
        <v>45992</v>
      </c>
      <c r="B2097">
        <v>2.255000114440918</v>
      </c>
      <c r="C2097">
        <v>2.3090000152587891</v>
      </c>
      <c r="D2097">
        <v>2.2409999370574951</v>
      </c>
      <c r="E2097">
        <v>2.2999999523162842</v>
      </c>
      <c r="F2097">
        <v>2164538</v>
      </c>
      <c r="G2097">
        <v>21645.380859375</v>
      </c>
      <c r="H2097">
        <f t="shared" si="221"/>
        <v>2095</v>
      </c>
      <c r="I2097">
        <f>SUM($E$3:E2097)/H2097</f>
        <v>1.2702233879920122</v>
      </c>
      <c r="L2097">
        <f t="shared" ref="L2097:L2118" si="226">IF(A2097&lt;&gt;$J$106,MAX(L2096,VLOOKUP(A2097,A:C,3)),)</f>
        <v>2.3090000152587891</v>
      </c>
      <c r="M2097">
        <f t="shared" ref="M2097:M2118" si="227">IF(A2097&lt;&gt;$J$106,MIN(M2096,VLOOKUP(A2097,A:D,4)),)</f>
        <v>2.2409999370574951</v>
      </c>
      <c r="N2097">
        <f>SUM($F$3:F2097)/H2097</f>
        <v>1888338.111765364</v>
      </c>
    </row>
    <row r="2098" spans="1:14" x14ac:dyDescent="0.15">
      <c r="A2098" s="2">
        <v>45993</v>
      </c>
      <c r="B2098">
        <v>2.3020000457763672</v>
      </c>
      <c r="C2098">
        <v>2.3159999847412109</v>
      </c>
      <c r="D2098">
        <v>2.2750000953674316</v>
      </c>
      <c r="E2098">
        <v>2.2850000858306885</v>
      </c>
      <c r="F2098">
        <v>775101</v>
      </c>
      <c r="G2098">
        <v>7751.009765625</v>
      </c>
      <c r="H2098">
        <f t="shared" si="221"/>
        <v>2096</v>
      </c>
      <c r="I2098">
        <f>SUM($E$3:E2098)/H2098</f>
        <v>1.2707075371799124</v>
      </c>
      <c r="L2098">
        <f t="shared" si="226"/>
        <v>2.3159999847412109</v>
      </c>
      <c r="M2098">
        <f t="shared" si="227"/>
        <v>2.2409999370574951</v>
      </c>
      <c r="N2098">
        <f>SUM($F$3:F2098)/H2098</f>
        <v>1887806.9871891399</v>
      </c>
    </row>
    <row r="2099" spans="1:14" x14ac:dyDescent="0.15">
      <c r="A2099" s="2">
        <v>45994</v>
      </c>
      <c r="B2099">
        <v>2.2899999618530273</v>
      </c>
      <c r="C2099">
        <v>2.312999963760376</v>
      </c>
      <c r="D2099">
        <v>2.2569999694824219</v>
      </c>
      <c r="E2099">
        <v>2.2669999599456787</v>
      </c>
      <c r="F2099">
        <v>1628271</v>
      </c>
      <c r="G2099">
        <v>16282.7099609375</v>
      </c>
      <c r="H2099">
        <f t="shared" si="221"/>
        <v>2097</v>
      </c>
      <c r="I2099">
        <f>SUM($E$3:E2099)/H2099</f>
        <v>1.271182640862681</v>
      </c>
      <c r="L2099">
        <f t="shared" si="226"/>
        <v>2.3159999847412109</v>
      </c>
      <c r="M2099">
        <f t="shared" si="227"/>
        <v>2.2409999370574951</v>
      </c>
      <c r="N2099">
        <f>SUM($F$3:F2099)/H2099</f>
        <v>1887683.221816136</v>
      </c>
    </row>
    <row r="2100" spans="1:14" x14ac:dyDescent="0.15">
      <c r="A2100" s="2">
        <v>45995</v>
      </c>
      <c r="B2100">
        <v>2.2669999599456787</v>
      </c>
      <c r="C2100">
        <v>2.2829999923706055</v>
      </c>
      <c r="D2100">
        <v>2.2260000705718994</v>
      </c>
      <c r="E2100">
        <v>2.2829999923706055</v>
      </c>
      <c r="F2100">
        <v>1401279</v>
      </c>
      <c r="G2100">
        <v>14012.7900390625</v>
      </c>
      <c r="H2100">
        <f t="shared" si="221"/>
        <v>2098</v>
      </c>
      <c r="I2100">
        <f>SUM($E$3:E2100)/H2100</f>
        <v>1.2716649179606352</v>
      </c>
      <c r="L2100">
        <f t="shared" si="226"/>
        <v>2.3159999847412109</v>
      </c>
      <c r="M2100">
        <f t="shared" si="227"/>
        <v>2.2260000705718994</v>
      </c>
      <c r="N2100">
        <f>SUM($F$3:F2100)/H2100</f>
        <v>1887451.3799563572</v>
      </c>
    </row>
    <row r="2101" spans="1:14" x14ac:dyDescent="0.15">
      <c r="A2101" s="2">
        <v>45996</v>
      </c>
      <c r="B2101">
        <v>2.2829999923706055</v>
      </c>
      <c r="C2101">
        <v>2.2920000553131104</v>
      </c>
      <c r="D2101">
        <v>2.253000020980835</v>
      </c>
      <c r="E2101">
        <v>2.2860000133514404</v>
      </c>
      <c r="F2101">
        <v>751260</v>
      </c>
      <c r="G2101">
        <v>7512.60009765625</v>
      </c>
      <c r="H2101">
        <f t="shared" si="221"/>
        <v>2099</v>
      </c>
      <c r="I2101">
        <f>SUM($E$3:E2101)/H2101</f>
        <v>1.2721481647902639</v>
      </c>
      <c r="L2101">
        <f t="shared" si="226"/>
        <v>2.3159999847412109</v>
      </c>
      <c r="M2101">
        <f t="shared" si="227"/>
        <v>2.2260000705718994</v>
      </c>
      <c r="N2101">
        <f>SUM($F$3:F2101)/H2101</f>
        <v>1886910.0786795795</v>
      </c>
    </row>
    <row r="2102" spans="1:14" x14ac:dyDescent="0.15">
      <c r="A2102" s="2">
        <v>45999</v>
      </c>
      <c r="B2102">
        <v>2.2860000133514404</v>
      </c>
      <c r="C2102">
        <v>2.375</v>
      </c>
      <c r="D2102">
        <v>2.2799999713897705</v>
      </c>
      <c r="E2102">
        <v>2.3540000915527344</v>
      </c>
      <c r="F2102">
        <v>3262775</v>
      </c>
      <c r="G2102">
        <v>32627.75</v>
      </c>
      <c r="H2102">
        <f t="shared" si="221"/>
        <v>2100</v>
      </c>
      <c r="I2102">
        <f>SUM($E$3:E2102)/H2102</f>
        <v>1.2726633323744365</v>
      </c>
      <c r="L2102">
        <f t="shared" si="226"/>
        <v>2.375</v>
      </c>
      <c r="M2102">
        <f t="shared" si="227"/>
        <v>2.2260000705718994</v>
      </c>
      <c r="N2102">
        <f>SUM($F$3:F2102)/H2102</f>
        <v>1887565.2524516368</v>
      </c>
    </row>
    <row r="2103" spans="1:14" x14ac:dyDescent="0.15">
      <c r="A2103" s="2">
        <v>46000</v>
      </c>
      <c r="B2103">
        <v>2.3540000915527344</v>
      </c>
      <c r="C2103">
        <v>2.4019999504089355</v>
      </c>
      <c r="D2103">
        <v>2.3499999046325684</v>
      </c>
      <c r="E2103">
        <v>2.3849999904632568</v>
      </c>
      <c r="F2103">
        <v>4027498.75</v>
      </c>
      <c r="G2103">
        <v>40274.98828125</v>
      </c>
      <c r="H2103">
        <f t="shared" si="221"/>
        <v>2101</v>
      </c>
      <c r="I2103">
        <f>SUM($E$3:E2103)/H2103</f>
        <v>1.2731927643868539</v>
      </c>
      <c r="L2103">
        <f t="shared" si="226"/>
        <v>2.4019999504089355</v>
      </c>
      <c r="M2103">
        <f t="shared" si="227"/>
        <v>2.2260000705718994</v>
      </c>
      <c r="N2103">
        <f>SUM($F$3:F2103)/H2103</f>
        <v>1888583.7833881187</v>
      </c>
    </row>
    <row r="2104" spans="1:14" x14ac:dyDescent="0.15">
      <c r="A2104" s="2">
        <v>46001</v>
      </c>
      <c r="B2104">
        <v>2.3819999694824219</v>
      </c>
      <c r="C2104">
        <v>2.3970000743865967</v>
      </c>
      <c r="D2104">
        <v>2.3210000991821289</v>
      </c>
      <c r="E2104">
        <v>2.3870000839233398</v>
      </c>
      <c r="F2104">
        <v>1664485</v>
      </c>
      <c r="G2104">
        <v>16644.849609375</v>
      </c>
      <c r="H2104">
        <f t="shared" si="221"/>
        <v>2102</v>
      </c>
      <c r="I2104">
        <f>SUM($E$3:E2104)/H2104</f>
        <v>1.2737226441773088</v>
      </c>
      <c r="L2104">
        <f t="shared" si="226"/>
        <v>2.4019999504089355</v>
      </c>
      <c r="M2104">
        <f t="shared" si="227"/>
        <v>2.2260000705718994</v>
      </c>
      <c r="N2104">
        <f>SUM($F$3:F2104)/H2104</f>
        <v>1888477.1712171445</v>
      </c>
    </row>
    <row r="2105" spans="1:14" x14ac:dyDescent="0.15">
      <c r="A2105" s="2">
        <v>46002</v>
      </c>
      <c r="B2105">
        <v>2.3870000839233398</v>
      </c>
      <c r="C2105">
        <v>2.3980000019073486</v>
      </c>
      <c r="D2105">
        <v>2.3369998931884766</v>
      </c>
      <c r="E2105">
        <v>2.3399999141693115</v>
      </c>
      <c r="F2105">
        <v>1243069</v>
      </c>
      <c r="G2105">
        <v>12430.6904296875</v>
      </c>
      <c r="H2105">
        <f t="shared" si="221"/>
        <v>2103</v>
      </c>
      <c r="I2105">
        <f>SUM($E$3:E2105)/H2105</f>
        <v>1.2742296709343188</v>
      </c>
      <c r="L2105">
        <f t="shared" si="226"/>
        <v>2.4019999504089355</v>
      </c>
      <c r="M2105">
        <f t="shared" si="227"/>
        <v>2.2260000705718994</v>
      </c>
      <c r="N2105">
        <f>SUM($F$3:F2105)/H2105</f>
        <v>1888170.2724196089</v>
      </c>
    </row>
    <row r="2106" spans="1:14" x14ac:dyDescent="0.15">
      <c r="A2106" s="2">
        <v>46003</v>
      </c>
      <c r="B2106">
        <v>2.3399999141693115</v>
      </c>
      <c r="C2106">
        <v>2.375</v>
      </c>
      <c r="D2106">
        <v>2.3229999542236328</v>
      </c>
      <c r="E2106">
        <v>2.3559999465942383</v>
      </c>
      <c r="F2106">
        <v>1093634</v>
      </c>
      <c r="G2106">
        <v>10936.33984375</v>
      </c>
      <c r="H2106">
        <f t="shared" si="221"/>
        <v>2104</v>
      </c>
      <c r="I2106">
        <f>SUM($E$3:E2106)/H2106</f>
        <v>1.2747438203048798</v>
      </c>
      <c r="L2106">
        <f t="shared" si="226"/>
        <v>2.4019999504089355</v>
      </c>
      <c r="M2106">
        <f t="shared" si="227"/>
        <v>2.2260000705718994</v>
      </c>
      <c r="N2106">
        <f>SUM($F$3:F2106)/H2106</f>
        <v>1887792.6411114247</v>
      </c>
    </row>
    <row r="2107" spans="1:14" x14ac:dyDescent="0.15">
      <c r="A2107" s="2">
        <v>46006</v>
      </c>
      <c r="B2107">
        <v>2.3540000915527344</v>
      </c>
      <c r="C2107">
        <v>2.3640000820159912</v>
      </c>
      <c r="D2107">
        <v>2.3180000782012939</v>
      </c>
      <c r="E2107">
        <v>2.3199999332427979</v>
      </c>
      <c r="F2107">
        <v>733349</v>
      </c>
      <c r="G2107">
        <v>7333.490234375</v>
      </c>
      <c r="H2107">
        <f t="shared" si="221"/>
        <v>2105</v>
      </c>
      <c r="I2107">
        <f>SUM($E$3:E2107)/H2107</f>
        <v>1.2752403790283657</v>
      </c>
      <c r="L2107">
        <f t="shared" si="226"/>
        <v>2.4019999504089355</v>
      </c>
      <c r="M2107">
        <f t="shared" si="227"/>
        <v>2.2260000705718994</v>
      </c>
      <c r="N2107">
        <f>SUM($F$3:F2107)/H2107</f>
        <v>1887244.2118282362</v>
      </c>
    </row>
    <row r="2108" spans="1:14" x14ac:dyDescent="0.15">
      <c r="A2108" s="2">
        <v>46007</v>
      </c>
      <c r="B2108">
        <v>2.3199999332427979</v>
      </c>
      <c r="C2108">
        <v>2.3199999332427979</v>
      </c>
      <c r="D2108">
        <v>2.2590000629425049</v>
      </c>
      <c r="E2108">
        <v>2.2650001049041748</v>
      </c>
      <c r="F2108">
        <v>1152364</v>
      </c>
      <c r="G2108">
        <v>11523.6396484375</v>
      </c>
      <c r="H2108">
        <f t="shared" si="221"/>
        <v>2106</v>
      </c>
      <c r="I2108">
        <f>SUM($E$3:E2108)/H2108</f>
        <v>1.2757103504081737</v>
      </c>
      <c r="L2108">
        <f t="shared" si="226"/>
        <v>2.4019999504089355</v>
      </c>
      <c r="M2108">
        <f t="shared" si="227"/>
        <v>2.2260000705718994</v>
      </c>
      <c r="N2108">
        <f>SUM($F$3:F2108)/H2108</f>
        <v>1886895.2658587073</v>
      </c>
    </row>
    <row r="2109" spans="1:14" x14ac:dyDescent="0.15">
      <c r="A2109" s="2">
        <v>46008</v>
      </c>
      <c r="B2109">
        <v>2.2660000324249268</v>
      </c>
      <c r="C2109">
        <v>2.3389999866485596</v>
      </c>
      <c r="D2109">
        <v>2.2650001049041748</v>
      </c>
      <c r="E2109">
        <v>2.3389999866485596</v>
      </c>
      <c r="F2109">
        <v>1272464</v>
      </c>
      <c r="G2109">
        <v>12724.6396484375</v>
      </c>
      <c r="H2109">
        <f t="shared" si="221"/>
        <v>2107</v>
      </c>
      <c r="I2109">
        <f>SUM($E$3:E2109)/H2109</f>
        <v>1.2762149966522365</v>
      </c>
      <c r="L2109">
        <f t="shared" si="226"/>
        <v>2.4019999504089355</v>
      </c>
      <c r="M2109">
        <f t="shared" si="227"/>
        <v>2.2260000705718994</v>
      </c>
      <c r="N2109">
        <f>SUM($F$3:F2109)/H2109</f>
        <v>1886603.6515891966</v>
      </c>
    </row>
    <row r="2110" spans="1:14" x14ac:dyDescent="0.15">
      <c r="A2110" s="2">
        <v>46009</v>
      </c>
      <c r="B2110">
        <v>2.3389999866485596</v>
      </c>
      <c r="C2110">
        <v>2.3389999866485596</v>
      </c>
      <c r="D2110">
        <v>2.3110001087188721</v>
      </c>
      <c r="E2110">
        <v>2.3139998912811279</v>
      </c>
      <c r="F2110">
        <v>1416359</v>
      </c>
      <c r="G2110">
        <v>14163.58984375</v>
      </c>
      <c r="H2110">
        <f t="shared" si="221"/>
        <v>2108</v>
      </c>
      <c r="I2110">
        <f>SUM($E$3:E2110)/H2110</f>
        <v>1.276707304477013</v>
      </c>
      <c r="L2110">
        <f t="shared" si="226"/>
        <v>2.4019999504089355</v>
      </c>
      <c r="M2110">
        <f t="shared" si="227"/>
        <v>2.2260000705718994</v>
      </c>
      <c r="N2110">
        <f>SUM($F$3:F2110)/H2110</f>
        <v>1886380.5753787654</v>
      </c>
    </row>
    <row r="2111" spans="1:14" x14ac:dyDescent="0.15">
      <c r="A2111" s="2">
        <v>46010</v>
      </c>
      <c r="B2111">
        <v>2.3199999332427979</v>
      </c>
      <c r="C2111">
        <v>2.375</v>
      </c>
      <c r="D2111">
        <v>2.3159999847412109</v>
      </c>
      <c r="E2111">
        <v>2.3159999847412109</v>
      </c>
      <c r="F2111">
        <v>1178035</v>
      </c>
      <c r="G2111">
        <v>11780.349609375</v>
      </c>
      <c r="H2111">
        <f t="shared" si="221"/>
        <v>2109</v>
      </c>
      <c r="I2111">
        <f>SUM($E$3:E2111)/H2111</f>
        <v>1.2772000937990919</v>
      </c>
      <c r="L2111">
        <f t="shared" si="226"/>
        <v>2.4019999504089355</v>
      </c>
      <c r="M2111">
        <f t="shared" si="227"/>
        <v>2.2260000705718994</v>
      </c>
      <c r="N2111">
        <f>SUM($F$3:F2111)/H2111</f>
        <v>1886044.7073961296</v>
      </c>
    </row>
    <row r="2112" spans="1:14" x14ac:dyDescent="0.15">
      <c r="A2112" s="2">
        <v>46013</v>
      </c>
      <c r="B2112">
        <v>2.3350000381469727</v>
      </c>
      <c r="C2112">
        <v>2.375</v>
      </c>
      <c r="D2112">
        <v>2.3350000381469727</v>
      </c>
      <c r="E2112">
        <v>2.3670001029968262</v>
      </c>
      <c r="F2112">
        <v>1548793</v>
      </c>
      <c r="G2112">
        <v>15487.9296875</v>
      </c>
      <c r="H2112">
        <f t="shared" si="221"/>
        <v>2110</v>
      </c>
      <c r="I2112">
        <f>SUM($E$3:E2112)/H2112</f>
        <v>1.2777165866944462</v>
      </c>
      <c r="L2112">
        <f t="shared" si="226"/>
        <v>2.4019999504089355</v>
      </c>
      <c r="M2112">
        <f t="shared" si="227"/>
        <v>2.2260000705718994</v>
      </c>
      <c r="N2112">
        <f>SUM($F$3:F2112)/H2112</f>
        <v>1885884.8724637146</v>
      </c>
    </row>
    <row r="2113" spans="1:14" x14ac:dyDescent="0.15">
      <c r="A2113" s="2">
        <v>46014</v>
      </c>
      <c r="B2113">
        <v>2.375999927520752</v>
      </c>
      <c r="C2113">
        <v>2.3849999904632568</v>
      </c>
      <c r="D2113">
        <v>2.3519999980926514</v>
      </c>
      <c r="E2113">
        <v>2.3659999370574951</v>
      </c>
      <c r="F2113">
        <v>1250677</v>
      </c>
      <c r="G2113">
        <v>12506.76953125</v>
      </c>
      <c r="H2113">
        <f t="shared" si="221"/>
        <v>2111</v>
      </c>
      <c r="I2113">
        <f>SUM($E$3:E2113)/H2113</f>
        <v>1.2782321164672379</v>
      </c>
      <c r="L2113">
        <f t="shared" si="226"/>
        <v>2.4019999504089355</v>
      </c>
      <c r="M2113">
        <f t="shared" si="227"/>
        <v>2.2260000705718994</v>
      </c>
      <c r="N2113">
        <f>SUM($F$3:F2113)/H2113</f>
        <v>1885583.9686870854</v>
      </c>
    </row>
    <row r="2114" spans="1:14" x14ac:dyDescent="0.15">
      <c r="A2114" s="2">
        <v>46015</v>
      </c>
      <c r="B2114">
        <v>2.3659999370574951</v>
      </c>
      <c r="C2114">
        <v>2.3859999179840088</v>
      </c>
      <c r="D2114">
        <v>2.3599998950958252</v>
      </c>
      <c r="E2114">
        <v>2.3849999904632568</v>
      </c>
      <c r="F2114">
        <v>1084241</v>
      </c>
      <c r="G2114">
        <v>10842.41015625</v>
      </c>
      <c r="H2114">
        <f t="shared" si="221"/>
        <v>2112</v>
      </c>
      <c r="I2114">
        <f>SUM($E$3:E2114)/H2114</f>
        <v>1.2787561542863648</v>
      </c>
      <c r="L2114">
        <f t="shared" si="226"/>
        <v>2.4019999504089355</v>
      </c>
      <c r="M2114">
        <f t="shared" si="227"/>
        <v>2.2260000705718994</v>
      </c>
      <c r="N2114">
        <f>SUM($F$3:F2114)/H2114</f>
        <v>1885204.5449329724</v>
      </c>
    </row>
    <row r="2115" spans="1:14" x14ac:dyDescent="0.15">
      <c r="A2115" s="2">
        <v>46016</v>
      </c>
      <c r="B2115">
        <v>2.3849999904632568</v>
      </c>
      <c r="C2115">
        <v>2.4030001163482666</v>
      </c>
      <c r="D2115">
        <v>2.3659999370574951</v>
      </c>
      <c r="E2115">
        <v>2.3929998874664307</v>
      </c>
      <c r="F2115">
        <v>904211.0625</v>
      </c>
      <c r="G2115">
        <v>9042.1103515625</v>
      </c>
      <c r="H2115">
        <f t="shared" si="221"/>
        <v>2113</v>
      </c>
      <c r="I2115">
        <f>SUM($E$3:E2115)/H2115</f>
        <v>1.2792834821298007</v>
      </c>
      <c r="L2115">
        <f t="shared" si="226"/>
        <v>2.4030001163482666</v>
      </c>
      <c r="M2115">
        <f t="shared" si="227"/>
        <v>2.2260000705718994</v>
      </c>
      <c r="N2115">
        <f>SUM($F$3:F2115)/H2115</f>
        <v>1884740.2792053656</v>
      </c>
    </row>
    <row r="2116" spans="1:14" x14ac:dyDescent="0.15">
      <c r="A2116" s="2">
        <v>46017</v>
      </c>
      <c r="B2116">
        <v>2.3929998874664307</v>
      </c>
      <c r="C2116">
        <v>2.4030001163482666</v>
      </c>
      <c r="D2116">
        <v>2.369999885559082</v>
      </c>
      <c r="E2116">
        <v>2.3870000839233398</v>
      </c>
      <c r="F2116">
        <v>1319619</v>
      </c>
      <c r="G2116">
        <v>13196.1904296875</v>
      </c>
      <c r="H2116">
        <f t="shared" si="221"/>
        <v>2114</v>
      </c>
      <c r="I2116">
        <f>SUM($E$3:E2116)/H2116</f>
        <v>1.2798074729537332</v>
      </c>
      <c r="L2116">
        <f t="shared" si="226"/>
        <v>2.4030001163482666</v>
      </c>
      <c r="M2116">
        <f t="shared" si="227"/>
        <v>2.2260000705718994</v>
      </c>
      <c r="N2116">
        <f>SUM($F$3:F2116)/H2116</f>
        <v>1884472.9559890905</v>
      </c>
    </row>
    <row r="2117" spans="1:14" x14ac:dyDescent="0.15">
      <c r="A2117" s="2">
        <v>46020</v>
      </c>
      <c r="B2117">
        <v>2.3880000114440918</v>
      </c>
      <c r="C2117">
        <v>2.4119999408721924</v>
      </c>
      <c r="D2117">
        <v>2.380000114440918</v>
      </c>
      <c r="E2117">
        <v>2.3929998874664307</v>
      </c>
      <c r="F2117">
        <v>787495</v>
      </c>
      <c r="G2117">
        <v>7874.9501953125</v>
      </c>
      <c r="H2117">
        <f t="shared" si="221"/>
        <v>2115</v>
      </c>
      <c r="I2117">
        <f>SUM($E$3:E2117)/H2117</f>
        <v>1.280333805064614</v>
      </c>
      <c r="L2117">
        <f t="shared" si="226"/>
        <v>2.4119999408721924</v>
      </c>
      <c r="M2117">
        <f t="shared" si="227"/>
        <v>2.2260000705718994</v>
      </c>
      <c r="N2117">
        <f>SUM($F$3:F2117)/H2117</f>
        <v>1883954.2902888593</v>
      </c>
    </row>
    <row r="2118" spans="1:14" x14ac:dyDescent="0.15">
      <c r="A2118" s="2">
        <v>46021</v>
      </c>
      <c r="B2118">
        <v>2.3889999389648437</v>
      </c>
      <c r="C2118">
        <v>2.4260001182556152</v>
      </c>
      <c r="D2118">
        <v>2.3859999179840088</v>
      </c>
      <c r="E2118">
        <v>2.4189999103546143</v>
      </c>
      <c r="F2118">
        <v>2124198</v>
      </c>
      <c r="G2118">
        <v>21241.98046875</v>
      </c>
      <c r="H2118">
        <f t="shared" si="221"/>
        <v>2116</v>
      </c>
      <c r="I2118">
        <f>SUM($E$3:E2118)/H2118</f>
        <v>1.2808719270425393</v>
      </c>
      <c r="L2118">
        <f t="shared" si="226"/>
        <v>2.4260001182556152</v>
      </c>
      <c r="M2118">
        <f t="shared" si="227"/>
        <v>2.2260000705718994</v>
      </c>
      <c r="N2118">
        <f>SUM($F$3:F2118)/H2118</f>
        <v>1884067.8270136756</v>
      </c>
    </row>
    <row r="2119" spans="1:14" x14ac:dyDescent="0.15">
      <c r="A2119" s="2">
        <v>46022</v>
      </c>
      <c r="B2119">
        <v>2.4210000038146973</v>
      </c>
      <c r="C2119">
        <v>2.4330000877380371</v>
      </c>
      <c r="D2119">
        <v>2.3880000114440918</v>
      </c>
      <c r="E2119">
        <v>2.4000000953674316</v>
      </c>
      <c r="F2119">
        <v>1994182</v>
      </c>
      <c r="G2119">
        <v>19941.8203125</v>
      </c>
      <c r="H2119">
        <f t="shared" si="221"/>
        <v>2117</v>
      </c>
      <c r="I2119">
        <f>SUM($E$3:E2119)/H2119</f>
        <v>1.2814005657616347</v>
      </c>
      <c r="L2119">
        <f>VLOOKUP(K107,A:C,3)</f>
        <v>2.4619998931884766</v>
      </c>
      <c r="M2119">
        <f>VLOOKUP(K107,A:D,4)</f>
        <v>2.4119999408721924</v>
      </c>
      <c r="N2119">
        <f>SUM($F$3:F2119)/H2119</f>
        <v>1884119.8412663853</v>
      </c>
    </row>
    <row r="2120" spans="1:14" x14ac:dyDescent="0.15">
      <c r="A2120" s="2">
        <v>46027</v>
      </c>
      <c r="B2120">
        <v>2.4119999408721924</v>
      </c>
      <c r="C2120">
        <v>2.4619998931884766</v>
      </c>
      <c r="D2120">
        <v>2.4119999408721924</v>
      </c>
      <c r="E2120">
        <v>2.4600000381469727</v>
      </c>
      <c r="F2120">
        <v>1657968</v>
      </c>
      <c r="G2120">
        <v>16579.6796875</v>
      </c>
      <c r="H2120">
        <f t="shared" si="221"/>
        <v>2118</v>
      </c>
      <c r="I2120">
        <f>SUM($E$3:E2120)/H2120</f>
        <v>1.2819570338789081</v>
      </c>
      <c r="L2120">
        <f t="shared" ref="L2120:L2138" si="228">IF(A2120&lt;&gt;$J$107,MAX(L2119,VLOOKUP(A2120,A:C,3)),)</f>
        <v>2.4619998931884766</v>
      </c>
      <c r="M2120">
        <f t="shared" ref="M2120:M2138" si="229">IF(A2120&lt;&gt;$J$107,MIN(M2119,VLOOKUP(A2120,A:D,4)),)</f>
        <v>2.4119999408721924</v>
      </c>
      <c r="N2120">
        <f>SUM($F$3:F2120)/H2120</f>
        <v>1884013.0651373642</v>
      </c>
    </row>
    <row r="2121" spans="1:14" x14ac:dyDescent="0.15">
      <c r="A2121" s="2">
        <v>46028</v>
      </c>
      <c r="B2121">
        <v>2.4660000801086426</v>
      </c>
      <c r="C2121">
        <v>2.4869999885559082</v>
      </c>
      <c r="D2121">
        <v>2.4440000057220459</v>
      </c>
      <c r="E2121">
        <v>2.4869999885559082</v>
      </c>
      <c r="F2121">
        <v>1716786</v>
      </c>
      <c r="G2121">
        <v>17167.859375</v>
      </c>
      <c r="H2121">
        <f t="shared" si="221"/>
        <v>2119</v>
      </c>
      <c r="I2121">
        <f>SUM($E$3:E2121)/H2121</f>
        <v>1.2825257186144801</v>
      </c>
      <c r="L2121">
        <f t="shared" si="228"/>
        <v>2.4869999885559082</v>
      </c>
      <c r="M2121">
        <f t="shared" si="229"/>
        <v>2.4119999408721924</v>
      </c>
      <c r="N2121">
        <f>SUM($F$3:F2121)/H2121</f>
        <v>1883934.1472208295</v>
      </c>
    </row>
    <row r="2122" spans="1:14" x14ac:dyDescent="0.15">
      <c r="A2122" s="2">
        <v>46029</v>
      </c>
      <c r="B2122">
        <v>2.4909999370574951</v>
      </c>
      <c r="C2122">
        <v>2.5099999904632568</v>
      </c>
      <c r="D2122">
        <v>2.4719998836517334</v>
      </c>
      <c r="E2122">
        <v>2.4869999885559082</v>
      </c>
      <c r="F2122">
        <v>1784313.125</v>
      </c>
      <c r="G2122">
        <v>17843.130859375</v>
      </c>
      <c r="H2122">
        <f t="shared" si="221"/>
        <v>2120</v>
      </c>
      <c r="I2122">
        <f>SUM($E$3:E2122)/H2122</f>
        <v>1.2830938668550185</v>
      </c>
      <c r="L2122">
        <f t="shared" si="228"/>
        <v>2.5099999904632568</v>
      </c>
      <c r="M2122">
        <f t="shared" si="229"/>
        <v>2.4119999408721924</v>
      </c>
      <c r="N2122">
        <f>SUM($F$3:F2122)/H2122</f>
        <v>1883887.156172612</v>
      </c>
    </row>
    <row r="2123" spans="1:14" x14ac:dyDescent="0.15">
      <c r="A2123" s="2">
        <v>46030</v>
      </c>
      <c r="B2123">
        <v>2.4860000610351562</v>
      </c>
      <c r="C2123">
        <v>2.5250000953674316</v>
      </c>
      <c r="D2123">
        <v>2.4820001125335693</v>
      </c>
      <c r="E2123">
        <v>2.4960000514984131</v>
      </c>
      <c r="F2123">
        <v>1016109.9375</v>
      </c>
      <c r="G2123">
        <v>10161.099609375</v>
      </c>
      <c r="H2123">
        <f t="shared" si="221"/>
        <v>2121</v>
      </c>
      <c r="I2123">
        <f>SUM($E$3:E2123)/H2123</f>
        <v>1.2836657226705035</v>
      </c>
      <c r="L2123">
        <f t="shared" si="228"/>
        <v>2.5250000953674316</v>
      </c>
      <c r="M2123">
        <f t="shared" si="229"/>
        <v>2.4119999408721924</v>
      </c>
      <c r="N2123">
        <f>SUM($F$3:F2123)/H2123</f>
        <v>1883478.020284506</v>
      </c>
    </row>
    <row r="2124" spans="1:14" x14ac:dyDescent="0.15">
      <c r="A2124" s="2">
        <v>46031</v>
      </c>
      <c r="B2124">
        <v>2.494999885559082</v>
      </c>
      <c r="C2124">
        <v>2.5429999828338623</v>
      </c>
      <c r="D2124">
        <v>2.4600000381469727</v>
      </c>
      <c r="E2124">
        <v>2.5420000553131104</v>
      </c>
      <c r="F2124">
        <v>1825768</v>
      </c>
      <c r="G2124">
        <v>18257.6796875</v>
      </c>
      <c r="H2124">
        <f t="shared" si="221"/>
        <v>2122</v>
      </c>
      <c r="I2124">
        <f>SUM($E$3:E2124)/H2124</f>
        <v>1.28425871717222</v>
      </c>
      <c r="L2124">
        <f t="shared" si="228"/>
        <v>2.5429999828338623</v>
      </c>
      <c r="M2124">
        <f t="shared" si="229"/>
        <v>2.4119999408721924</v>
      </c>
      <c r="N2124">
        <f>SUM($F$3:F2124)/H2124</f>
        <v>1883450.8242334768</v>
      </c>
    </row>
    <row r="2125" spans="1:14" x14ac:dyDescent="0.15">
      <c r="A2125" s="2">
        <v>46034</v>
      </c>
      <c r="B2125">
        <v>2.5450000762939453</v>
      </c>
      <c r="C2125">
        <v>2.6549999713897705</v>
      </c>
      <c r="D2125">
        <v>2.5450000762939453</v>
      </c>
      <c r="E2125">
        <v>2.6530001163482666</v>
      </c>
      <c r="F2125">
        <v>3388459</v>
      </c>
      <c r="G2125">
        <v>33884.58984375</v>
      </c>
      <c r="H2125">
        <f t="shared" si="221"/>
        <v>2123</v>
      </c>
      <c r="I2125">
        <f>SUM($E$3:E2125)/H2125</f>
        <v>1.2849034375674984</v>
      </c>
      <c r="L2125">
        <f t="shared" si="228"/>
        <v>2.6549999713897705</v>
      </c>
      <c r="M2125">
        <f t="shared" si="229"/>
        <v>2.4119999408721924</v>
      </c>
      <c r="N2125">
        <f>SUM($F$3:F2125)/H2125</f>
        <v>1884159.7305809879</v>
      </c>
    </row>
    <row r="2126" spans="1:14" x14ac:dyDescent="0.15">
      <c r="A2126" s="2">
        <v>46035</v>
      </c>
      <c r="B2126">
        <v>2.6549999713897705</v>
      </c>
      <c r="C2126">
        <v>2.684999942779541</v>
      </c>
      <c r="D2126">
        <v>2.5799999237060547</v>
      </c>
      <c r="E2126">
        <v>2.5969998836517334</v>
      </c>
      <c r="F2126">
        <v>2978832</v>
      </c>
      <c r="G2126">
        <v>29788.3203125</v>
      </c>
      <c r="H2126">
        <f t="shared" si="221"/>
        <v>2124</v>
      </c>
      <c r="I2126">
        <f>SUM($E$3:E2126)/H2126</f>
        <v>1.2855211854234703</v>
      </c>
      <c r="L2126">
        <f t="shared" si="228"/>
        <v>2.684999942779541</v>
      </c>
      <c r="M2126">
        <f t="shared" si="229"/>
        <v>2.4119999408721924</v>
      </c>
      <c r="N2126">
        <f>SUM($F$3:F2126)/H2126</f>
        <v>1884675.1130053848</v>
      </c>
    </row>
    <row r="2127" spans="1:14" x14ac:dyDescent="0.15">
      <c r="A2127" s="2">
        <v>46036</v>
      </c>
      <c r="B2127">
        <v>2.5769999027252197</v>
      </c>
      <c r="C2127">
        <v>2.6429998874664307</v>
      </c>
      <c r="D2127">
        <v>2.5699999332427979</v>
      </c>
      <c r="E2127">
        <v>2.6289999485015869</v>
      </c>
      <c r="F2127">
        <v>2672476</v>
      </c>
      <c r="G2127">
        <v>26724.759765625</v>
      </c>
      <c r="H2127">
        <f t="shared" si="221"/>
        <v>2125</v>
      </c>
      <c r="I2127">
        <f>SUM($E$3:E2127)/H2127</f>
        <v>1.2861534107237422</v>
      </c>
      <c r="L2127">
        <f t="shared" si="228"/>
        <v>2.684999942779541</v>
      </c>
      <c r="M2127">
        <f t="shared" si="229"/>
        <v>2.4119999408721924</v>
      </c>
      <c r="N2127">
        <f>SUM($F$3:F2127)/H2127</f>
        <v>1885045.8428345588</v>
      </c>
    </row>
    <row r="2128" spans="1:14" x14ac:dyDescent="0.15">
      <c r="A2128" s="2">
        <v>46037</v>
      </c>
      <c r="B2128">
        <v>2.6189999580383301</v>
      </c>
      <c r="C2128">
        <v>2.625</v>
      </c>
      <c r="D2128">
        <v>2.5810000896453857</v>
      </c>
      <c r="E2128">
        <v>2.625</v>
      </c>
      <c r="F2128">
        <v>1968026</v>
      </c>
      <c r="G2128">
        <v>19680.259765625</v>
      </c>
      <c r="H2128">
        <f t="shared" si="221"/>
        <v>2126</v>
      </c>
      <c r="I2128">
        <f>SUM($E$3:E2128)/H2128</f>
        <v>1.2867831598250012</v>
      </c>
      <c r="L2128">
        <f t="shared" si="228"/>
        <v>2.684999942779541</v>
      </c>
      <c r="M2128">
        <f t="shared" si="229"/>
        <v>2.4119999408721924</v>
      </c>
      <c r="N2128">
        <f>SUM($F$3:F2128)/H2128</f>
        <v>1885084.8739526987</v>
      </c>
    </row>
    <row r="2129" spans="1:14" x14ac:dyDescent="0.15">
      <c r="A2129" s="2">
        <v>46038</v>
      </c>
      <c r="B2129">
        <v>2.6310000419616699</v>
      </c>
      <c r="C2129">
        <v>2.6410000324249268</v>
      </c>
      <c r="D2129">
        <v>2.6019999980926514</v>
      </c>
      <c r="E2129">
        <v>2.6119999885559082</v>
      </c>
      <c r="F2129">
        <v>1684406</v>
      </c>
      <c r="G2129">
        <v>16844.060546875</v>
      </c>
      <c r="H2129">
        <f t="shared" si="221"/>
        <v>2127</v>
      </c>
      <c r="I2129">
        <f>SUM($E$3:E2129)/H2129</f>
        <v>1.2874062048784713</v>
      </c>
      <c r="L2129">
        <f t="shared" si="228"/>
        <v>2.684999942779541</v>
      </c>
      <c r="M2129">
        <f t="shared" si="229"/>
        <v>2.4119999408721924</v>
      </c>
      <c r="N2129">
        <f>SUM($F$3:F2129)/H2129</f>
        <v>1884990.5256339621</v>
      </c>
    </row>
    <row r="2130" spans="1:14" x14ac:dyDescent="0.15">
      <c r="A2130" s="2">
        <v>46041</v>
      </c>
      <c r="B2130">
        <v>2.630000114440918</v>
      </c>
      <c r="C2130">
        <v>2.630000114440918</v>
      </c>
      <c r="D2130">
        <v>2.5810000896453857</v>
      </c>
      <c r="E2130">
        <v>2.5820000171661377</v>
      </c>
      <c r="F2130">
        <v>1640890</v>
      </c>
      <c r="G2130">
        <v>16408.900390625</v>
      </c>
      <c r="H2130">
        <f t="shared" si="221"/>
        <v>2128</v>
      </c>
      <c r="I2130">
        <f>SUM($E$3:E2130)/H2130</f>
        <v>1.2880145666323659</v>
      </c>
      <c r="L2130">
        <f t="shared" si="228"/>
        <v>2.684999942779541</v>
      </c>
      <c r="M2130">
        <f t="shared" si="229"/>
        <v>2.4119999408721924</v>
      </c>
      <c r="N2130">
        <f>SUM($F$3:F2130)/H2130</f>
        <v>1884875.8167403371</v>
      </c>
    </row>
    <row r="2131" spans="1:14" x14ac:dyDescent="0.15">
      <c r="A2131" s="2">
        <v>46042</v>
      </c>
      <c r="B2131">
        <v>2.5840001106262207</v>
      </c>
      <c r="C2131">
        <v>2.5989999771118164</v>
      </c>
      <c r="D2131">
        <v>2.5209999084472656</v>
      </c>
      <c r="E2131">
        <v>2.5299999713897705</v>
      </c>
      <c r="F2131">
        <v>1545969</v>
      </c>
      <c r="G2131">
        <v>15459.6904296875</v>
      </c>
      <c r="H2131">
        <f t="shared" si="221"/>
        <v>2129</v>
      </c>
      <c r="I2131">
        <f>SUM($E$3:E2131)/H2131</f>
        <v>1.2885979322522614</v>
      </c>
      <c r="L2131">
        <f t="shared" si="228"/>
        <v>2.684999942779541</v>
      </c>
      <c r="M2131">
        <f t="shared" si="229"/>
        <v>2.4119999408721924</v>
      </c>
      <c r="N2131">
        <f>SUM($F$3:F2131)/H2131</f>
        <v>1884716.6308235968</v>
      </c>
    </row>
    <row r="2132" spans="1:14" x14ac:dyDescent="0.15">
      <c r="A2132" s="2">
        <v>46043</v>
      </c>
      <c r="B2132">
        <v>2.5260000228881836</v>
      </c>
      <c r="C2132">
        <v>2.6070001125335693</v>
      </c>
      <c r="D2132">
        <v>2.5199999809265137</v>
      </c>
      <c r="E2132">
        <v>2.5899999141693115</v>
      </c>
      <c r="F2132">
        <v>2087902.875</v>
      </c>
      <c r="G2132">
        <v>20879.029296875</v>
      </c>
      <c r="H2132">
        <f t="shared" si="221"/>
        <v>2130</v>
      </c>
      <c r="I2132">
        <f>SUM($E$3:E2132)/H2132</f>
        <v>1.2892089190982317</v>
      </c>
      <c r="L2132">
        <f t="shared" si="228"/>
        <v>2.684999942779541</v>
      </c>
      <c r="M2132">
        <f t="shared" si="229"/>
        <v>2.4119999408721924</v>
      </c>
      <c r="N2132">
        <f>SUM($F$3:F2132)/H2132</f>
        <v>1884812.0234264964</v>
      </c>
    </row>
    <row r="2133" spans="1:14" x14ac:dyDescent="0.15">
      <c r="A2133" s="2">
        <v>46044</v>
      </c>
      <c r="B2133">
        <v>2.6059999465942383</v>
      </c>
      <c r="C2133">
        <v>2.630000114440918</v>
      </c>
      <c r="D2133">
        <v>2.5829999446868896</v>
      </c>
      <c r="E2133">
        <v>2.6159999370574951</v>
      </c>
      <c r="F2133">
        <v>1396219</v>
      </c>
      <c r="G2133">
        <v>13962.1904296875</v>
      </c>
      <c r="H2133">
        <f t="shared" si="221"/>
        <v>2131</v>
      </c>
      <c r="I2133">
        <f>SUM($E$3:E2133)/H2133</f>
        <v>1.2898315333722623</v>
      </c>
      <c r="L2133">
        <f t="shared" si="228"/>
        <v>2.684999942779541</v>
      </c>
      <c r="M2133">
        <f t="shared" si="229"/>
        <v>2.4119999408721924</v>
      </c>
      <c r="N2133">
        <f>SUM($F$3:F2133)/H2133</f>
        <v>1884582.7446731287</v>
      </c>
    </row>
    <row r="2134" spans="1:14" x14ac:dyDescent="0.15">
      <c r="A2134" s="2">
        <v>46045</v>
      </c>
      <c r="B2134">
        <v>2.6159999370574951</v>
      </c>
      <c r="C2134">
        <v>2.619999885559082</v>
      </c>
      <c r="D2134">
        <v>2.5840001106262207</v>
      </c>
      <c r="E2134">
        <v>2.6029999256134033</v>
      </c>
      <c r="F2134">
        <v>1234931</v>
      </c>
      <c r="G2134">
        <v>12349.3095703125</v>
      </c>
      <c r="H2134">
        <f t="shared" si="221"/>
        <v>2132</v>
      </c>
      <c r="I2134">
        <f>SUM($E$3:E2134)/H2134</f>
        <v>1.2904474660140266</v>
      </c>
      <c r="L2134">
        <f t="shared" si="228"/>
        <v>2.684999942779541</v>
      </c>
      <c r="M2134">
        <f t="shared" si="229"/>
        <v>2.4119999408721924</v>
      </c>
      <c r="N2134">
        <f>SUM($F$3:F2134)/H2134</f>
        <v>1884278.0299711246</v>
      </c>
    </row>
    <row r="2135" spans="1:14" x14ac:dyDescent="0.15">
      <c r="A2135" s="2">
        <v>46048</v>
      </c>
      <c r="B2135">
        <v>2.6019999980926514</v>
      </c>
      <c r="C2135">
        <v>2.6349999904632568</v>
      </c>
      <c r="D2135">
        <v>2.5680000782012939</v>
      </c>
      <c r="E2135">
        <v>2.5840001106262207</v>
      </c>
      <c r="F2135">
        <v>1515825</v>
      </c>
      <c r="G2135">
        <v>15158.25</v>
      </c>
      <c r="H2135">
        <f t="shared" si="221"/>
        <v>2133</v>
      </c>
      <c r="I2135">
        <f>SUM($E$3:E2135)/H2135</f>
        <v>1.2910539135736196</v>
      </c>
      <c r="L2135">
        <f t="shared" si="228"/>
        <v>2.684999942779541</v>
      </c>
      <c r="M2135">
        <f t="shared" si="229"/>
        <v>2.4119999408721924</v>
      </c>
      <c r="N2135">
        <f>SUM($F$3:F2135)/H2135</f>
        <v>1884105.2906228025</v>
      </c>
    </row>
    <row r="2136" spans="1:14" x14ac:dyDescent="0.15">
      <c r="A2136" s="2">
        <v>46049</v>
      </c>
      <c r="B2136">
        <v>2.5840001106262207</v>
      </c>
      <c r="C2136">
        <v>2.621999979019165</v>
      </c>
      <c r="D2136">
        <v>2.5510001182556152</v>
      </c>
      <c r="E2136">
        <v>2.6110000610351562</v>
      </c>
      <c r="F2136">
        <v>1465559</v>
      </c>
      <c r="G2136">
        <v>14655.58984375</v>
      </c>
      <c r="H2136">
        <f t="shared" si="221"/>
        <v>2134</v>
      </c>
      <c r="I2136">
        <f>SUM($E$3:E2136)/H2136</f>
        <v>1.2916724450391592</v>
      </c>
      <c r="L2136">
        <f t="shared" si="228"/>
        <v>2.684999942779541</v>
      </c>
      <c r="M2136">
        <f t="shared" si="229"/>
        <v>2.4119999408721924</v>
      </c>
      <c r="N2136">
        <f>SUM($F$3:F2136)/H2136</f>
        <v>1883909.1583404113</v>
      </c>
    </row>
    <row r="2137" spans="1:14" x14ac:dyDescent="0.15">
      <c r="A2137" s="2">
        <v>46050</v>
      </c>
      <c r="B2137">
        <v>2.6119999885559082</v>
      </c>
      <c r="C2137">
        <v>2.6510000228881836</v>
      </c>
      <c r="D2137">
        <v>2.5999999046325684</v>
      </c>
      <c r="E2137">
        <v>2.6159999370574951</v>
      </c>
      <c r="F2137">
        <v>1736424</v>
      </c>
      <c r="G2137">
        <v>17364.240234375</v>
      </c>
      <c r="H2137">
        <f t="shared" si="221"/>
        <v>2135</v>
      </c>
      <c r="I2137">
        <f>SUM($E$3:E2137)/H2137</f>
        <v>1.2922927389464278</v>
      </c>
      <c r="L2137">
        <f t="shared" si="228"/>
        <v>2.684999942779541</v>
      </c>
      <c r="M2137">
        <f t="shared" si="229"/>
        <v>2.4119999408721924</v>
      </c>
      <c r="N2137">
        <f>SUM($F$3:F2137)/H2137</f>
        <v>1883840.0786409543</v>
      </c>
    </row>
    <row r="2138" spans="1:14" x14ac:dyDescent="0.15">
      <c r="A2138" s="2">
        <v>46051</v>
      </c>
      <c r="B2138">
        <v>2.6180000305175781</v>
      </c>
      <c r="C2138">
        <v>2.6400001049041748</v>
      </c>
      <c r="D2138">
        <v>2.5680000782012939</v>
      </c>
      <c r="E2138">
        <v>2.5729999542236328</v>
      </c>
      <c r="F2138">
        <v>3014480</v>
      </c>
      <c r="G2138">
        <v>30144.80078125</v>
      </c>
      <c r="H2138">
        <f t="shared" si="221"/>
        <v>2136</v>
      </c>
      <c r="I2138">
        <f>SUM($E$3:E2138)/H2138</f>
        <v>1.2928923209760519</v>
      </c>
      <c r="L2138">
        <f t="shared" si="228"/>
        <v>2.684999942779541</v>
      </c>
      <c r="M2138">
        <f t="shared" si="229"/>
        <v>2.4119999408721924</v>
      </c>
      <c r="N2138">
        <f>SUM($F$3:F2138)/H2138</f>
        <v>1884369.404446834</v>
      </c>
    </row>
    <row r="2139" spans="1:14" x14ac:dyDescent="0.15">
      <c r="A2139" s="2">
        <v>46052</v>
      </c>
      <c r="B2139">
        <v>2.5710000991821289</v>
      </c>
      <c r="C2139">
        <v>2.6110000610351562</v>
      </c>
      <c r="D2139">
        <v>2.5199999809265137</v>
      </c>
      <c r="E2139">
        <v>2.6019999980926514</v>
      </c>
      <c r="F2139">
        <v>1392651</v>
      </c>
      <c r="G2139">
        <v>13926.509765625</v>
      </c>
      <c r="H2139">
        <f t="shared" si="221"/>
        <v>2137</v>
      </c>
      <c r="I2139">
        <f>SUM($E$3:E2139)/H2139</f>
        <v>1.293504912308348</v>
      </c>
      <c r="L2139">
        <f>VLOOKUP(K108,A:C,3)</f>
        <v>2.6319999694824219</v>
      </c>
      <c r="M2139">
        <f>VLOOKUP(K108,A:D,4)</f>
        <v>2.5290000438690186</v>
      </c>
      <c r="N2139">
        <f>SUM($F$3:F2139)/H2139</f>
        <v>1884139.3069248656</v>
      </c>
    </row>
    <row r="2140" spans="1:14" x14ac:dyDescent="0.15">
      <c r="A2140" s="2">
        <v>46055</v>
      </c>
      <c r="B2140">
        <v>2.5989999771118164</v>
      </c>
      <c r="C2140">
        <v>2.6319999694824219</v>
      </c>
      <c r="D2140">
        <v>2.5290000438690186</v>
      </c>
      <c r="E2140">
        <v>2.5309998989105225</v>
      </c>
      <c r="F2140">
        <v>772697</v>
      </c>
      <c r="G2140">
        <v>7726.97021484375</v>
      </c>
      <c r="H2140">
        <f t="shared" si="221"/>
        <v>2138</v>
      </c>
      <c r="I2140">
        <f>SUM($E$3:E2140)/H2140</f>
        <v>1.2940837219372545</v>
      </c>
      <c r="L2140">
        <f t="shared" ref="L2140:L2152" si="230">IF(A2140&lt;&gt;$J$108,MAX(L2139,VLOOKUP(A2140,A:C,3)),)</f>
        <v>2.6319999694824219</v>
      </c>
      <c r="M2140">
        <f t="shared" ref="M2140:M2152" si="231">IF(A2140&lt;&gt;$J$108,MIN(M2139,VLOOKUP(A2140,A:D,4)),)</f>
        <v>2.5290000438690186</v>
      </c>
      <c r="N2140">
        <f>SUM($F$3:F2140)/H2140</f>
        <v>1883619.4555184459</v>
      </c>
    </row>
    <row r="2141" spans="1:14" x14ac:dyDescent="0.15">
      <c r="A2141" s="2">
        <v>46056</v>
      </c>
      <c r="B2141">
        <v>2.5329999923706055</v>
      </c>
      <c r="C2141">
        <v>2.5999999046325684</v>
      </c>
      <c r="D2141">
        <v>2.4800000190734863</v>
      </c>
      <c r="E2141">
        <v>2.5450000762939453</v>
      </c>
      <c r="F2141">
        <v>1150066</v>
      </c>
      <c r="G2141">
        <v>11500.66015625</v>
      </c>
      <c r="H2141">
        <f t="shared" si="221"/>
        <v>2139</v>
      </c>
      <c r="I2141">
        <f>SUM($E$3:E2141)/H2141</f>
        <v>1.2946685355671548</v>
      </c>
      <c r="L2141">
        <f t="shared" si="230"/>
        <v>2.6319999694824219</v>
      </c>
      <c r="M2141">
        <f t="shared" si="231"/>
        <v>2.4800000190734863</v>
      </c>
      <c r="N2141">
        <f>SUM($F$3:F2141)/H2141</f>
        <v>1883276.5132765018</v>
      </c>
    </row>
    <row r="2142" spans="1:14" x14ac:dyDescent="0.15">
      <c r="A2142" s="2">
        <v>46057</v>
      </c>
      <c r="B2142">
        <v>2.5429999828338623</v>
      </c>
      <c r="C2142">
        <v>2.5429999828338623</v>
      </c>
      <c r="D2142">
        <v>2.440000057220459</v>
      </c>
      <c r="E2142">
        <v>2.4749999046325684</v>
      </c>
      <c r="F2142">
        <v>1808574</v>
      </c>
      <c r="G2142">
        <v>18085.740234375</v>
      </c>
      <c r="H2142">
        <f t="shared" si="221"/>
        <v>2140</v>
      </c>
      <c r="I2142">
        <f>SUM($E$3:E2142)/H2142</f>
        <v>1.2952200922816715</v>
      </c>
      <c r="L2142">
        <f t="shared" si="230"/>
        <v>2.6319999694824219</v>
      </c>
      <c r="M2142">
        <f t="shared" si="231"/>
        <v>2.440000057220459</v>
      </c>
      <c r="N2142">
        <f>SUM($F$3:F2142)/H2142</f>
        <v>1883241.6055600175</v>
      </c>
    </row>
    <row r="2143" spans="1:14" x14ac:dyDescent="0.15">
      <c r="A2143" s="2">
        <v>46058</v>
      </c>
      <c r="B2143">
        <v>2.4460000991821289</v>
      </c>
      <c r="C2143">
        <v>2.4679999351501465</v>
      </c>
      <c r="D2143">
        <v>2.4289999008178711</v>
      </c>
      <c r="E2143">
        <v>2.437000036239624</v>
      </c>
      <c r="F2143">
        <v>777965</v>
      </c>
      <c r="G2143">
        <v>7779.64990234375</v>
      </c>
      <c r="H2143">
        <f t="shared" si="221"/>
        <v>2141</v>
      </c>
      <c r="I2143">
        <f>SUM($E$3:E2143)/H2143</f>
        <v>1.2957533851093024</v>
      </c>
      <c r="L2143">
        <f t="shared" si="230"/>
        <v>2.6319999694824219</v>
      </c>
      <c r="M2143">
        <f t="shared" si="231"/>
        <v>2.4289999008178711</v>
      </c>
      <c r="N2143">
        <f>SUM($F$3:F2143)/H2143</f>
        <v>1882725.3624000174</v>
      </c>
    </row>
    <row r="2144" spans="1:14" x14ac:dyDescent="0.15">
      <c r="A2144" s="2">
        <v>46059</v>
      </c>
      <c r="B2144">
        <v>2.4279999732971191</v>
      </c>
      <c r="C2144">
        <v>2.437000036239624</v>
      </c>
      <c r="D2144">
        <v>2.3819999694824219</v>
      </c>
      <c r="E2144">
        <v>2.4040000438690186</v>
      </c>
      <c r="F2144">
        <v>868112</v>
      </c>
      <c r="G2144">
        <v>8681.1201171875</v>
      </c>
      <c r="H2144">
        <f t="shared" si="221"/>
        <v>2142</v>
      </c>
      <c r="I2144">
        <f>SUM($E$3:E2144)/H2144</f>
        <v>1.2962707738388821</v>
      </c>
      <c r="L2144">
        <f t="shared" si="230"/>
        <v>2.6319999694824219</v>
      </c>
      <c r="M2144">
        <f t="shared" si="231"/>
        <v>2.3819999694824219</v>
      </c>
      <c r="N2144">
        <f>SUM($F$3:F2144)/H2144</f>
        <v>1882251.6866939485</v>
      </c>
    </row>
    <row r="2145" spans="1:14" x14ac:dyDescent="0.15">
      <c r="A2145" s="2">
        <v>46062</v>
      </c>
      <c r="B2145">
        <v>2.4809999465942383</v>
      </c>
      <c r="C2145">
        <v>2.4849998950958252</v>
      </c>
      <c r="D2145">
        <v>2.434999942779541</v>
      </c>
      <c r="E2145">
        <v>2.4839999675750732</v>
      </c>
      <c r="F2145">
        <v>811323</v>
      </c>
      <c r="G2145">
        <v>8113.22998046875</v>
      </c>
      <c r="H2145">
        <f t="shared" si="221"/>
        <v>2143</v>
      </c>
      <c r="I2145">
        <f>SUM($E$3:E2145)/H2145</f>
        <v>1.296825010513514</v>
      </c>
      <c r="L2145">
        <f t="shared" si="230"/>
        <v>2.6319999694824219</v>
      </c>
      <c r="M2145">
        <f t="shared" si="231"/>
        <v>2.3819999694824219</v>
      </c>
      <c r="N2145">
        <f>SUM($F$3:F2145)/H2145</f>
        <v>1881751.9532890515</v>
      </c>
    </row>
    <row r="2146" spans="1:14" x14ac:dyDescent="0.15">
      <c r="A2146" s="2">
        <v>46063</v>
      </c>
      <c r="B2146">
        <v>2.502000093460083</v>
      </c>
      <c r="C2146">
        <v>2.5220000743865967</v>
      </c>
      <c r="D2146">
        <v>2.4860000610351562</v>
      </c>
      <c r="E2146">
        <v>2.5079998970031738</v>
      </c>
      <c r="F2146">
        <v>718903</v>
      </c>
      <c r="G2146">
        <v>7189.02978515625</v>
      </c>
      <c r="H2146">
        <f t="shared" si="221"/>
        <v>2144</v>
      </c>
      <c r="I2146">
        <f>SUM($E$3:E2146)/H2146</f>
        <v>1.2973899241732572</v>
      </c>
      <c r="L2146">
        <f t="shared" si="230"/>
        <v>2.6319999694824219</v>
      </c>
      <c r="M2146">
        <f t="shared" si="231"/>
        <v>2.3819999694824219</v>
      </c>
      <c r="N2146">
        <f>SUM($F$3:F2146)/H2146</f>
        <v>1881209.5797100922</v>
      </c>
    </row>
    <row r="2147" spans="1:14" x14ac:dyDescent="0.15">
      <c r="A2147" s="2">
        <v>46064</v>
      </c>
      <c r="B2147">
        <v>2.5060000419616699</v>
      </c>
      <c r="C2147">
        <v>2.5060000419616699</v>
      </c>
      <c r="D2147">
        <v>2.4670000076293945</v>
      </c>
      <c r="E2147">
        <v>2.4749999046325684</v>
      </c>
      <c r="F2147">
        <v>742592</v>
      </c>
      <c r="G2147">
        <v>7425.919921875</v>
      </c>
      <c r="H2147">
        <f t="shared" si="221"/>
        <v>2145</v>
      </c>
      <c r="I2147">
        <f>SUM($E$3:E2147)/H2147</f>
        <v>1.2979389264951497</v>
      </c>
      <c r="L2147">
        <f t="shared" si="230"/>
        <v>2.6319999694824219</v>
      </c>
      <c r="M2147">
        <f t="shared" si="231"/>
        <v>2.3819999694824219</v>
      </c>
      <c r="N2147">
        <f>SUM($F$3:F2147)/H2147</f>
        <v>1880678.7556636073</v>
      </c>
    </row>
    <row r="2148" spans="1:14" x14ac:dyDescent="0.15">
      <c r="A2148" s="2">
        <v>46065</v>
      </c>
      <c r="B2148">
        <v>2.5150001049041748</v>
      </c>
      <c r="C2148">
        <v>2.5150001049041748</v>
      </c>
      <c r="D2148">
        <v>2.4679999351501465</v>
      </c>
      <c r="E2148">
        <v>2.5150001049041748</v>
      </c>
      <c r="F2148">
        <v>794128</v>
      </c>
      <c r="G2148">
        <v>7941.27978515625</v>
      </c>
      <c r="H2148">
        <f t="shared" si="221"/>
        <v>2146</v>
      </c>
      <c r="I2148">
        <f>SUM($E$3:E2148)/H2148</f>
        <v>1.298506056587605</v>
      </c>
      <c r="L2148">
        <f t="shared" si="230"/>
        <v>2.6319999694824219</v>
      </c>
      <c r="M2148">
        <f t="shared" si="231"/>
        <v>2.3819999694824219</v>
      </c>
      <c r="N2148">
        <f>SUM($F$3:F2148)/H2148</f>
        <v>1880172.4412387873</v>
      </c>
    </row>
    <row r="2149" spans="1:14" x14ac:dyDescent="0.15">
      <c r="A2149" s="2">
        <v>46066</v>
      </c>
      <c r="B2149">
        <v>2.5130000114440918</v>
      </c>
      <c r="C2149">
        <v>2.5280001163482666</v>
      </c>
      <c r="D2149">
        <v>2.3610000610351562</v>
      </c>
      <c r="E2149">
        <v>2.505000114440918</v>
      </c>
      <c r="F2149">
        <v>1047801.9375</v>
      </c>
      <c r="G2149">
        <v>10478.01953125</v>
      </c>
      <c r="H2149">
        <f t="shared" si="221"/>
        <v>2147</v>
      </c>
      <c r="I2149">
        <f>SUM($E$3:E2149)/H2149</f>
        <v>1.299068000722609</v>
      </c>
      <c r="L2149">
        <f t="shared" si="230"/>
        <v>2.6319999694824219</v>
      </c>
      <c r="M2149">
        <f t="shared" si="231"/>
        <v>2.3610000610351562</v>
      </c>
      <c r="N2149">
        <f>SUM($F$3:F2149)/H2149</f>
        <v>1879784.7512044422</v>
      </c>
    </row>
    <row r="2150" spans="1:14" x14ac:dyDescent="0.15">
      <c r="A2150" s="2">
        <v>46077</v>
      </c>
      <c r="B2150">
        <v>2.5550000667572021</v>
      </c>
      <c r="C2150">
        <v>2.562999963760376</v>
      </c>
      <c r="D2150">
        <v>2.503000020980835</v>
      </c>
      <c r="E2150">
        <v>2.5179998874664307</v>
      </c>
      <c r="F2150">
        <v>1187564</v>
      </c>
      <c r="G2150">
        <v>11875.6396484375</v>
      </c>
      <c r="H2150">
        <f t="shared" si="221"/>
        <v>2148</v>
      </c>
      <c r="I2150">
        <f>SUM($E$3:E2150)/H2150</f>
        <v>1.2996354736680202</v>
      </c>
      <c r="L2150">
        <f t="shared" si="230"/>
        <v>2.6319999694824219</v>
      </c>
      <c r="M2150">
        <f t="shared" si="231"/>
        <v>2.3610000610351562</v>
      </c>
      <c r="N2150">
        <f>SUM($F$3:F2150)/H2150</f>
        <v>1879462.488284887</v>
      </c>
    </row>
    <row r="2151" spans="1:14" x14ac:dyDescent="0.15">
      <c r="A2151" s="2">
        <v>46078</v>
      </c>
      <c r="B2151">
        <v>2.5099999904632568</v>
      </c>
      <c r="C2151">
        <v>2.5179998874664307</v>
      </c>
      <c r="D2151">
        <v>2.4839999675750732</v>
      </c>
      <c r="E2151">
        <v>2.5039999485015869</v>
      </c>
      <c r="F2151">
        <v>663081</v>
      </c>
      <c r="G2151">
        <v>6630.81005859375</v>
      </c>
      <c r="H2151">
        <f t="shared" si="221"/>
        <v>2149</v>
      </c>
      <c r="I2151">
        <f>SUM($E$3:E2151)/H2151</f>
        <v>1.3001959038564026</v>
      </c>
      <c r="L2151">
        <f t="shared" si="230"/>
        <v>2.6319999694824219</v>
      </c>
      <c r="M2151">
        <f t="shared" si="231"/>
        <v>2.3610000610351562</v>
      </c>
      <c r="N2151">
        <f>SUM($F$3:F2151)/H2151</f>
        <v>1878896.4661870347</v>
      </c>
    </row>
    <row r="2152" spans="1:14" x14ac:dyDescent="0.15">
      <c r="A2152" s="2">
        <v>46079</v>
      </c>
      <c r="B2152">
        <v>2.505000114440918</v>
      </c>
      <c r="C2152">
        <v>2.5380001068115234</v>
      </c>
      <c r="D2152">
        <v>2.4920001029968262</v>
      </c>
      <c r="E2152">
        <v>2.5309998989105225</v>
      </c>
      <c r="F2152">
        <v>670585</v>
      </c>
      <c r="G2152">
        <v>6705.85009765625</v>
      </c>
      <c r="H2152">
        <f t="shared" si="221"/>
        <v>2150</v>
      </c>
      <c r="I2152">
        <f>SUM($E$3:E2152)/H2152</f>
        <v>1.3007683708308464</v>
      </c>
      <c r="L2152">
        <f t="shared" si="230"/>
        <v>2.6319999694824219</v>
      </c>
      <c r="M2152">
        <f t="shared" si="231"/>
        <v>2.3610000610351562</v>
      </c>
      <c r="N2152">
        <f>SUM($F$3:F2152)/H2152</f>
        <v>1878334.4608539245</v>
      </c>
    </row>
    <row r="2153" spans="1:14" x14ac:dyDescent="0.15">
      <c r="A2153" s="2">
        <v>46080</v>
      </c>
      <c r="B2153">
        <v>2.5199999809265137</v>
      </c>
      <c r="C2153">
        <v>2.5360000133514404</v>
      </c>
      <c r="D2153">
        <v>2.499000072479248</v>
      </c>
      <c r="E2153">
        <v>2.5239999294281006</v>
      </c>
      <c r="F2153">
        <v>665022</v>
      </c>
      <c r="G2153">
        <v>6650.22021484375</v>
      </c>
      <c r="H2153">
        <f t="shared" si="221"/>
        <v>2151</v>
      </c>
      <c r="I2153">
        <f>SUM($E$3:E2153)/H2153</f>
        <v>1.3013370512393063</v>
      </c>
      <c r="L2153">
        <f>VLOOKUP(K109,A:C,3)</f>
        <v>2.5239999294281006</v>
      </c>
      <c r="M2153">
        <f>VLOOKUP(K109,A:D,4)</f>
        <v>2.4809999465942383</v>
      </c>
      <c r="N2153">
        <f>SUM($F$3:F2153)/H2153</f>
        <v>1877770.3918344665</v>
      </c>
    </row>
    <row r="2154" spans="1:14" x14ac:dyDescent="0.15">
      <c r="A2154" s="2">
        <v>46083</v>
      </c>
      <c r="B2154">
        <v>2.502000093460083</v>
      </c>
      <c r="C2154">
        <v>2.5239999294281006</v>
      </c>
      <c r="D2154">
        <v>2.4809999465942383</v>
      </c>
      <c r="E2154">
        <v>2.5079998970031738</v>
      </c>
      <c r="F2154">
        <v>907105</v>
      </c>
      <c r="G2154">
        <v>9071.0498046875</v>
      </c>
      <c r="H2154">
        <f t="shared" si="221"/>
        <v>2152</v>
      </c>
      <c r="I2154">
        <f>SUM($E$3:E2154)/H2154</f>
        <v>1.3018977681750703</v>
      </c>
      <c r="L2154">
        <f t="shared" ref="L2154:L2174" si="232">IF(A2154&lt;&gt;$J$109,MAX(L2153,VLOOKUP(A2154,A:C,3)),)</f>
        <v>2.5239999294281006</v>
      </c>
      <c r="M2154">
        <f t="shared" ref="M2154:M2174" si="233">IF(A2154&lt;&gt;$J$109,MIN(M2153,VLOOKUP(A2154,A:D,4)),)</f>
        <v>2.4809999465942383</v>
      </c>
      <c r="N2154">
        <f>SUM($F$3:F2154)/H2154</f>
        <v>1877319.3391430937</v>
      </c>
    </row>
    <row r="2155" spans="1:14" x14ac:dyDescent="0.15">
      <c r="A2155" s="2">
        <v>46084</v>
      </c>
      <c r="B2155">
        <v>2.5060000419616699</v>
      </c>
      <c r="C2155">
        <v>2.5239999294281006</v>
      </c>
      <c r="D2155">
        <v>2.4110000133514404</v>
      </c>
      <c r="E2155">
        <v>2.4279999732971191</v>
      </c>
      <c r="F2155">
        <v>1072615</v>
      </c>
      <c r="G2155">
        <v>10726.150390625</v>
      </c>
      <c r="H2155">
        <f t="shared" si="221"/>
        <v>2153</v>
      </c>
      <c r="I2155">
        <f>SUM($E$3:E2155)/H2155</f>
        <v>1.3024208068212022</v>
      </c>
      <c r="L2155">
        <f t="shared" si="232"/>
        <v>2.5239999294281006</v>
      </c>
      <c r="M2155">
        <f t="shared" si="233"/>
        <v>2.4110000133514404</v>
      </c>
      <c r="N2155">
        <f>SUM($F$3:F2155)/H2155</f>
        <v>1876945.5795800916</v>
      </c>
    </row>
    <row r="2156" spans="1:14" x14ac:dyDescent="0.15">
      <c r="A2156" s="2">
        <v>46085</v>
      </c>
      <c r="B2156">
        <v>2.3570001125335693</v>
      </c>
      <c r="C2156">
        <v>2.4330000877380371</v>
      </c>
      <c r="D2156">
        <v>2.3570001125335693</v>
      </c>
      <c r="E2156">
        <v>2.3889999389648437</v>
      </c>
      <c r="F2156">
        <v>695993</v>
      </c>
      <c r="G2156">
        <v>6959.93017578125</v>
      </c>
      <c r="H2156">
        <f t="shared" si="221"/>
        <v>2154</v>
      </c>
      <c r="I2156">
        <f>SUM($E$3:E2156)/H2156</f>
        <v>1.3029252539577592</v>
      </c>
      <c r="L2156">
        <f t="shared" si="232"/>
        <v>2.5239999294281006</v>
      </c>
      <c r="M2156">
        <f t="shared" si="233"/>
        <v>2.3570001125335693</v>
      </c>
      <c r="N2156">
        <f>SUM($F$3:F2156)/H2156</f>
        <v>1876397.3193295903</v>
      </c>
    </row>
    <row r="2157" spans="1:14" x14ac:dyDescent="0.15">
      <c r="A2157" s="2">
        <v>46086</v>
      </c>
      <c r="B2157">
        <v>2.3949999809265137</v>
      </c>
      <c r="C2157">
        <v>2.4600000381469727</v>
      </c>
      <c r="D2157">
        <v>2.3949999809265137</v>
      </c>
      <c r="E2157">
        <v>2.434999942779541</v>
      </c>
      <c r="F2157">
        <v>719858</v>
      </c>
      <c r="G2157">
        <v>7198.580078125</v>
      </c>
      <c r="H2157">
        <f t="shared" si="221"/>
        <v>2155</v>
      </c>
      <c r="I2157">
        <f>SUM($E$3:E2157)/H2157</f>
        <v>1.3034505786393469</v>
      </c>
      <c r="L2157">
        <f t="shared" si="232"/>
        <v>2.5239999294281006</v>
      </c>
      <c r="M2157">
        <f t="shared" si="233"/>
        <v>2.3570001125335693</v>
      </c>
      <c r="N2157">
        <f>SUM($F$3:F2157)/H2157</f>
        <v>1875860.642151247</v>
      </c>
    </row>
    <row r="2158" spans="1:14" x14ac:dyDescent="0.15">
      <c r="A2158" s="2">
        <v>46087</v>
      </c>
      <c r="B2158">
        <v>2.4330000877380371</v>
      </c>
      <c r="C2158">
        <v>2.4500000476837158</v>
      </c>
      <c r="D2158">
        <v>2.4049999713897705</v>
      </c>
      <c r="E2158">
        <v>2.434999942779541</v>
      </c>
      <c r="F2158">
        <v>602664</v>
      </c>
      <c r="G2158">
        <v>6026.64013671875</v>
      </c>
      <c r="H2158">
        <f t="shared" si="221"/>
        <v>2156</v>
      </c>
      <c r="I2158">
        <f>SUM($E$3:E2158)/H2158</f>
        <v>1.3039754160067589</v>
      </c>
      <c r="L2158">
        <f t="shared" si="232"/>
        <v>2.5239999294281006</v>
      </c>
      <c r="M2158">
        <f t="shared" si="233"/>
        <v>2.3570001125335693</v>
      </c>
      <c r="N2158">
        <f>SUM($F$3:F2158)/H2158</f>
        <v>1875270.1056752957</v>
      </c>
    </row>
    <row r="2159" spans="1:14" x14ac:dyDescent="0.15">
      <c r="A2159" s="2">
        <v>46090</v>
      </c>
      <c r="B2159">
        <v>2.4230000972747803</v>
      </c>
      <c r="C2159">
        <v>2.4319999217987061</v>
      </c>
      <c r="D2159">
        <v>2.3350000381469727</v>
      </c>
      <c r="E2159">
        <v>2.4300000667572021</v>
      </c>
      <c r="F2159">
        <v>846240.0625</v>
      </c>
      <c r="G2159">
        <v>8462.400390625</v>
      </c>
      <c r="H2159">
        <f t="shared" si="221"/>
        <v>2157</v>
      </c>
      <c r="I2159">
        <f>SUM($E$3:E2159)/H2159</f>
        <v>1.3044974487609315</v>
      </c>
      <c r="L2159">
        <f t="shared" si="232"/>
        <v>2.5239999294281006</v>
      </c>
      <c r="M2159">
        <f t="shared" si="233"/>
        <v>2.3350000381469727</v>
      </c>
      <c r="N2159">
        <f>SUM($F$3:F2159)/H2159</f>
        <v>1874793.0402867119</v>
      </c>
    </row>
    <row r="2160" spans="1:14" x14ac:dyDescent="0.15">
      <c r="A2160" s="2">
        <v>46091</v>
      </c>
      <c r="B2160">
        <v>2.434999942779541</v>
      </c>
      <c r="C2160">
        <v>2.4779999256134033</v>
      </c>
      <c r="D2160">
        <v>2.434999942779541</v>
      </c>
      <c r="E2160">
        <v>2.4649999141693115</v>
      </c>
      <c r="F2160">
        <v>793772</v>
      </c>
      <c r="G2160">
        <v>7937.72021484375</v>
      </c>
      <c r="H2160">
        <f t="shared" si="221"/>
        <v>2158</v>
      </c>
      <c r="I2160">
        <f>SUM($E$3:E2160)/H2160</f>
        <v>1.3050352163537993</v>
      </c>
      <c r="L2160">
        <f t="shared" si="232"/>
        <v>2.5239999294281006</v>
      </c>
      <c r="M2160">
        <f t="shared" si="233"/>
        <v>2.3350000381469727</v>
      </c>
      <c r="N2160">
        <f>SUM($F$3:F2160)/H2160</f>
        <v>1874292.1037527514</v>
      </c>
    </row>
    <row r="2161" spans="1:14" x14ac:dyDescent="0.15">
      <c r="A2161" s="2">
        <v>46092</v>
      </c>
      <c r="B2161">
        <v>2.4700000286102295</v>
      </c>
      <c r="C2161">
        <v>2.4839999675750732</v>
      </c>
      <c r="D2161">
        <v>2.437999963760376</v>
      </c>
      <c r="E2161">
        <v>2.4389998912811279</v>
      </c>
      <c r="F2161">
        <v>512848</v>
      </c>
      <c r="G2161">
        <v>5128.47998046875</v>
      </c>
      <c r="H2161">
        <f t="shared" si="221"/>
        <v>2159</v>
      </c>
      <c r="I2161">
        <f>SUM($E$3:E2161)/H2161</f>
        <v>1.3055604431601573</v>
      </c>
      <c r="L2161">
        <f t="shared" si="232"/>
        <v>2.5239999294281006</v>
      </c>
      <c r="M2161">
        <f t="shared" si="233"/>
        <v>2.3350000381469727</v>
      </c>
      <c r="N2161">
        <f>SUM($F$3:F2161)/H2161</f>
        <v>1873661.5136166918</v>
      </c>
    </row>
    <row r="2162" spans="1:14" x14ac:dyDescent="0.15">
      <c r="A2162" s="2">
        <v>46093</v>
      </c>
      <c r="B2162">
        <v>2.4409999847412109</v>
      </c>
      <c r="C2162">
        <v>2.4630000591278076</v>
      </c>
      <c r="D2162">
        <v>2.4140000343322754</v>
      </c>
      <c r="E2162">
        <v>2.4240000247955322</v>
      </c>
      <c r="F2162">
        <v>715425</v>
      </c>
      <c r="G2162">
        <v>7154.25</v>
      </c>
      <c r="H2162">
        <f t="shared" si="221"/>
        <v>2160</v>
      </c>
      <c r="I2162">
        <f>SUM($E$3:E2162)/H2162</f>
        <v>1.3060782392627663</v>
      </c>
      <c r="L2162">
        <f t="shared" si="232"/>
        <v>2.5239999294281006</v>
      </c>
      <c r="M2162">
        <f t="shared" si="233"/>
        <v>2.3350000381469727</v>
      </c>
      <c r="N2162">
        <f>SUM($F$3:F2162)/H2162</f>
        <v>1873125.2930085359</v>
      </c>
    </row>
    <row r="2163" spans="1:14" x14ac:dyDescent="0.15">
      <c r="A2163" s="2">
        <v>46094</v>
      </c>
      <c r="B2163">
        <v>2.4240000247955322</v>
      </c>
      <c r="C2163">
        <v>2.4240000247955322</v>
      </c>
      <c r="D2163">
        <v>2.3929998874664307</v>
      </c>
      <c r="E2163">
        <v>2.3959999084472656</v>
      </c>
      <c r="F2163">
        <v>516794</v>
      </c>
      <c r="G2163">
        <v>5167.93994140625</v>
      </c>
      <c r="H2163">
        <f t="shared" si="221"/>
        <v>2161</v>
      </c>
      <c r="I2163">
        <f>SUM($E$3:E2163)/H2163</f>
        <v>1.3065825991281919</v>
      </c>
      <c r="L2163">
        <f t="shared" si="232"/>
        <v>2.5239999294281006</v>
      </c>
      <c r="M2163">
        <f t="shared" si="233"/>
        <v>2.3350000381469727</v>
      </c>
      <c r="N2163">
        <f>SUM($F$3:F2163)/H2163</f>
        <v>1872497.6524287078</v>
      </c>
    </row>
    <row r="2164" spans="1:14" x14ac:dyDescent="0.15">
      <c r="A2164" s="2">
        <v>46097</v>
      </c>
      <c r="B2164">
        <v>2.3940000534057617</v>
      </c>
      <c r="C2164">
        <v>2.4119999408721924</v>
      </c>
      <c r="D2164">
        <v>2.3619999885559082</v>
      </c>
      <c r="E2164">
        <v>2.4010000228881836</v>
      </c>
      <c r="F2164">
        <v>693159</v>
      </c>
      <c r="G2164">
        <v>6931.58984375</v>
      </c>
      <c r="H2164">
        <f t="shared" si="221"/>
        <v>2162</v>
      </c>
      <c r="I2164">
        <f>SUM($E$3:E2164)/H2164</f>
        <v>1.3070888051521325</v>
      </c>
      <c r="L2164">
        <f t="shared" si="232"/>
        <v>2.5239999294281006</v>
      </c>
      <c r="M2164">
        <f t="shared" si="233"/>
        <v>2.3350000381469727</v>
      </c>
      <c r="N2164">
        <f>SUM($F$3:F2164)/H2164</f>
        <v>1871952.1673905817</v>
      </c>
    </row>
    <row r="2165" spans="1:14" x14ac:dyDescent="0.15">
      <c r="A2165" s="2">
        <v>46098</v>
      </c>
      <c r="B2165">
        <v>2.4200000762939453</v>
      </c>
      <c r="C2165">
        <v>2.4249999523162842</v>
      </c>
      <c r="D2165">
        <v>2.3559999465942383</v>
      </c>
      <c r="E2165">
        <v>2.3559999465942383</v>
      </c>
      <c r="F2165">
        <v>524910</v>
      </c>
      <c r="G2165">
        <v>5249.10009765625</v>
      </c>
      <c r="H2165">
        <f t="shared" si="221"/>
        <v>2163</v>
      </c>
      <c r="I2165">
        <f>SUM($E$3:E2165)/H2165</f>
        <v>1.3075737386433217</v>
      </c>
      <c r="L2165">
        <f t="shared" si="232"/>
        <v>2.5239999294281006</v>
      </c>
      <c r="M2165">
        <f t="shared" si="233"/>
        <v>2.3350000381469727</v>
      </c>
      <c r="N2165">
        <f>SUM($F$3:F2165)/H2165</f>
        <v>1871329.4017098648</v>
      </c>
    </row>
    <row r="2166" spans="1:14" x14ac:dyDescent="0.15">
      <c r="A2166" s="2">
        <v>46099</v>
      </c>
      <c r="B2166">
        <v>2.3550000190734863</v>
      </c>
      <c r="C2166">
        <v>2.4289999008178711</v>
      </c>
      <c r="D2166">
        <v>2.3550000190734863</v>
      </c>
      <c r="E2166">
        <v>2.4289999008178711</v>
      </c>
      <c r="F2166">
        <v>964045</v>
      </c>
      <c r="G2166">
        <v>9640.4501953125</v>
      </c>
      <c r="H2166">
        <f t="shared" si="221"/>
        <v>2164</v>
      </c>
      <c r="I2166">
        <f>SUM($E$3:E2166)/H2166</f>
        <v>1.3080919577570809</v>
      </c>
      <c r="L2166">
        <f t="shared" si="232"/>
        <v>2.5239999294281006</v>
      </c>
      <c r="M2166">
        <f t="shared" si="233"/>
        <v>2.3350000381469727</v>
      </c>
      <c r="N2166">
        <f>SUM($F$3:F2166)/H2166</f>
        <v>1870910.139047337</v>
      </c>
    </row>
    <row r="2167" spans="1:14" x14ac:dyDescent="0.15">
      <c r="A2167" s="2">
        <v>46100</v>
      </c>
      <c r="B2167">
        <v>2.4159998893737793</v>
      </c>
      <c r="C2167">
        <v>2.4289999008178711</v>
      </c>
      <c r="D2167">
        <v>2.3870000839233398</v>
      </c>
      <c r="E2167">
        <v>2.3959999084472656</v>
      </c>
      <c r="F2167">
        <v>950359</v>
      </c>
      <c r="G2167">
        <v>9503.58984375</v>
      </c>
      <c r="H2167">
        <f t="shared" si="221"/>
        <v>2165</v>
      </c>
      <c r="I2167">
        <f>SUM($E$3:E2167)/H2167</f>
        <v>1.3085944556557829</v>
      </c>
      <c r="L2167">
        <f t="shared" si="232"/>
        <v>2.5239999294281006</v>
      </c>
      <c r="M2167">
        <f t="shared" si="233"/>
        <v>2.3350000381469727</v>
      </c>
      <c r="N2167">
        <f>SUM($F$3:F2167)/H2167</f>
        <v>1870484.9422163684</v>
      </c>
    </row>
    <row r="2168" spans="1:14" x14ac:dyDescent="0.15">
      <c r="A2168" s="2">
        <v>46101</v>
      </c>
      <c r="B2168">
        <v>2.3959999084472656</v>
      </c>
      <c r="C2168">
        <v>2.4440000057220459</v>
      </c>
      <c r="D2168">
        <v>2.375999927520752</v>
      </c>
      <c r="E2168">
        <v>2.3840000629425049</v>
      </c>
      <c r="F2168">
        <v>785964</v>
      </c>
      <c r="G2168">
        <v>7859.64013671875</v>
      </c>
      <c r="H2168">
        <f t="shared" si="221"/>
        <v>2166</v>
      </c>
      <c r="I2168">
        <f>SUM($E$3:E2168)/H2168</f>
        <v>1.3090909494726282</v>
      </c>
      <c r="L2168">
        <f t="shared" si="232"/>
        <v>2.5239999294281006</v>
      </c>
      <c r="M2168">
        <f t="shared" si="233"/>
        <v>2.3350000381469727</v>
      </c>
      <c r="N2168">
        <f>SUM($F$3:F2168)/H2168</f>
        <v>1869984.2400269795</v>
      </c>
    </row>
    <row r="2169" spans="1:14" x14ac:dyDescent="0.15">
      <c r="A2169" s="2">
        <v>46104</v>
      </c>
      <c r="B2169">
        <v>2.3329999446868896</v>
      </c>
      <c r="C2169">
        <v>2.375</v>
      </c>
      <c r="D2169">
        <v>2.2739999294281006</v>
      </c>
      <c r="E2169">
        <v>2.2950000762939453</v>
      </c>
      <c r="F2169">
        <v>1366533</v>
      </c>
      <c r="G2169">
        <v>13665.330078125</v>
      </c>
      <c r="H2169">
        <f t="shared" si="221"/>
        <v>2167</v>
      </c>
      <c r="I2169">
        <f>SUM($E$3:E2169)/H2169</f>
        <v>1.3095459144596246</v>
      </c>
      <c r="L2169">
        <f t="shared" si="232"/>
        <v>2.5239999294281006</v>
      </c>
      <c r="M2169">
        <f t="shared" si="233"/>
        <v>2.2739999294281006</v>
      </c>
      <c r="N2169">
        <f>SUM($F$3:F2169)/H2169</f>
        <v>1869751.913658716</v>
      </c>
    </row>
    <row r="2170" spans="1:14" x14ac:dyDescent="0.15">
      <c r="A2170" s="2">
        <v>46105</v>
      </c>
      <c r="B2170">
        <v>2.312999963760376</v>
      </c>
      <c r="C2170">
        <v>2.3190000057220459</v>
      </c>
      <c r="D2170">
        <v>2.25</v>
      </c>
      <c r="E2170">
        <v>2.315000057220459</v>
      </c>
      <c r="F2170">
        <v>726482</v>
      </c>
      <c r="G2170">
        <v>7264.81982421875</v>
      </c>
      <c r="H2170">
        <f t="shared" si="221"/>
        <v>2168</v>
      </c>
      <c r="I2170">
        <f>SUM($E$3:E2170)/H2170</f>
        <v>1.3100096848206766</v>
      </c>
      <c r="L2170">
        <f t="shared" si="232"/>
        <v>2.5239999294281006</v>
      </c>
      <c r="M2170">
        <f t="shared" si="233"/>
        <v>2.25</v>
      </c>
      <c r="N2170">
        <f>SUM($F$3:F2170)/H2170</f>
        <v>1869224.5751376557</v>
      </c>
    </row>
    <row r="2171" spans="1:14" x14ac:dyDescent="0.15">
      <c r="A2171" s="2">
        <v>46106</v>
      </c>
      <c r="B2171">
        <v>2.3229999542236328</v>
      </c>
      <c r="C2171">
        <v>2.3880000114440918</v>
      </c>
      <c r="D2171">
        <v>2.3229999542236328</v>
      </c>
      <c r="E2171">
        <v>2.372999906539917</v>
      </c>
      <c r="F2171">
        <v>615919</v>
      </c>
      <c r="G2171">
        <v>6159.18994140625</v>
      </c>
      <c r="H2171">
        <f t="shared" si="221"/>
        <v>2169</v>
      </c>
      <c r="I2171">
        <f>SUM($E$3:E2171)/H2171</f>
        <v>1.3104997679104504</v>
      </c>
      <c r="L2171">
        <f t="shared" si="232"/>
        <v>2.5239999294281006</v>
      </c>
      <c r="M2171">
        <f t="shared" si="233"/>
        <v>2.25</v>
      </c>
      <c r="N2171">
        <f>SUM($F$3:F2171)/H2171</f>
        <v>1868646.7486853101</v>
      </c>
    </row>
    <row r="2172" spans="1:14" x14ac:dyDescent="0.15">
      <c r="A2172" s="2">
        <v>46107</v>
      </c>
      <c r="B2172">
        <v>2.380000114440918</v>
      </c>
      <c r="C2172">
        <v>2.3840000629425049</v>
      </c>
      <c r="D2172">
        <v>2.3139998912811279</v>
      </c>
      <c r="E2172">
        <v>2.3210000991821289</v>
      </c>
      <c r="F2172">
        <v>444500</v>
      </c>
      <c r="G2172">
        <v>4445</v>
      </c>
      <c r="H2172">
        <f t="shared" si="221"/>
        <v>2170</v>
      </c>
      <c r="I2172">
        <f>SUM($E$3:E2172)/H2172</f>
        <v>1.3109654362658751</v>
      </c>
      <c r="L2172">
        <f t="shared" si="232"/>
        <v>2.5239999294281006</v>
      </c>
      <c r="M2172">
        <f t="shared" si="233"/>
        <v>2.25</v>
      </c>
      <c r="N2172">
        <f>SUM($F$3:F2172)/H2172</f>
        <v>1867990.459861031</v>
      </c>
    </row>
    <row r="2173" spans="1:14" x14ac:dyDescent="0.15">
      <c r="A2173" s="2">
        <v>46108</v>
      </c>
      <c r="B2173">
        <v>2.3050000667572021</v>
      </c>
      <c r="C2173">
        <v>2.3280000686645508</v>
      </c>
      <c r="D2173">
        <v>2.2780001163482666</v>
      </c>
      <c r="E2173">
        <v>2.315000057220459</v>
      </c>
      <c r="F2173">
        <v>410181.96875</v>
      </c>
      <c r="G2173">
        <v>4101.81982421875</v>
      </c>
      <c r="H2173">
        <f t="shared" si="221"/>
        <v>2171</v>
      </c>
      <c r="I2173">
        <f>SUM($E$3:E2173)/H2173</f>
        <v>1.3114279119088759</v>
      </c>
      <c r="L2173">
        <f t="shared" si="232"/>
        <v>2.5239999294281006</v>
      </c>
      <c r="M2173">
        <f t="shared" si="233"/>
        <v>2.25</v>
      </c>
      <c r="N2173">
        <f>SUM($F$3:F2173)/H2173</f>
        <v>1867318.9681562355</v>
      </c>
    </row>
    <row r="2174" spans="1:14" x14ac:dyDescent="0.15">
      <c r="A2174" s="2">
        <v>46111</v>
      </c>
      <c r="B2174">
        <v>2.3259999752044678</v>
      </c>
      <c r="C2174">
        <v>2.3259999752044678</v>
      </c>
      <c r="D2174">
        <v>2.2699999809265137</v>
      </c>
      <c r="E2174">
        <v>2.3080000877380371</v>
      </c>
      <c r="F2174">
        <v>560307</v>
      </c>
      <c r="G2174">
        <v>5603.06982421875</v>
      </c>
      <c r="H2174">
        <f t="shared" si="221"/>
        <v>2172</v>
      </c>
      <c r="I2174">
        <f>SUM($E$3:E2174)/H2174</f>
        <v>1.3118867388774897</v>
      </c>
      <c r="L2174">
        <f t="shared" si="232"/>
        <v>2.5239999294281006</v>
      </c>
      <c r="M2174">
        <f t="shared" si="233"/>
        <v>2.25</v>
      </c>
      <c r="N2174">
        <f>SUM($F$3:F2174)/H2174</f>
        <v>1866717.2131064399</v>
      </c>
    </row>
    <row r="2175" spans="1:14" x14ac:dyDescent="0.15">
      <c r="A2175" s="2">
        <v>46112</v>
      </c>
      <c r="B2175">
        <v>2.3080000877380371</v>
      </c>
      <c r="C2175">
        <v>2.315000057220459</v>
      </c>
      <c r="D2175">
        <v>2.2620000839233398</v>
      </c>
      <c r="E2175">
        <v>2.2669999599456787</v>
      </c>
      <c r="F2175">
        <v>534982</v>
      </c>
      <c r="G2175">
        <v>5349.81982421875</v>
      </c>
      <c r="H2175">
        <f t="shared" si="221"/>
        <v>2173</v>
      </c>
      <c r="I2175">
        <f>SUM($E$3:E2175)/H2175</f>
        <v>1.3123262755645897</v>
      </c>
      <c r="L2175">
        <f>VLOOKUP(K110,A:C,3)</f>
        <v>2.4939999580383301</v>
      </c>
      <c r="M2175">
        <f>VLOOKUP(K110,A:D,4)</f>
        <v>2.2869999408721924</v>
      </c>
      <c r="N2175">
        <f>SUM($F$3:F2175)/H2175</f>
        <v>1866104.3575090601</v>
      </c>
    </row>
    <row r="2176" spans="1:14" x14ac:dyDescent="0.15">
      <c r="A2176" s="2">
        <v>46113</v>
      </c>
      <c r="B2176">
        <v>2.2869999408721924</v>
      </c>
      <c r="C2176">
        <v>2.4939999580383301</v>
      </c>
      <c r="D2176">
        <v>2.2869999408721924</v>
      </c>
      <c r="E2176">
        <v>2.3299999237060547</v>
      </c>
      <c r="F2176">
        <v>723551</v>
      </c>
      <c r="G2176">
        <v>7235.509765625</v>
      </c>
      <c r="H2176">
        <f t="shared" si="221"/>
        <v>2174</v>
      </c>
      <c r="I2176">
        <f>SUM($E$3:E2176)/H2176</f>
        <v>1.3127943867182885</v>
      </c>
      <c r="L2176">
        <f t="shared" ref="L2176:L2195" si="234">IF(A2176&lt;&gt;$J$110,MAX(L2175,VLOOKUP(A2176,A:C,3)),)</f>
        <v>2.4939999580383301</v>
      </c>
      <c r="M2176">
        <f t="shared" ref="M2176:M2195" si="235">IF(A2176&lt;&gt;$J$110,MIN(M2175,VLOOKUP(A2176,A:D,4)),)</f>
        <v>2.2869999408721924</v>
      </c>
      <c r="N2176">
        <f>SUM($F$3:F2176)/H2176</f>
        <v>1865578.8039867468</v>
      </c>
    </row>
    <row r="2177" spans="1:14" x14ac:dyDescent="0.15">
      <c r="A2177" s="2">
        <v>46114</v>
      </c>
      <c r="B2177">
        <v>2.3350000381469727</v>
      </c>
      <c r="C2177">
        <v>2.3350000381469727</v>
      </c>
      <c r="D2177">
        <v>2.2599999904632568</v>
      </c>
      <c r="E2177">
        <v>2.2639999389648437</v>
      </c>
      <c r="F2177">
        <v>497172.03125</v>
      </c>
      <c r="G2177">
        <v>4971.72021484375</v>
      </c>
      <c r="H2177">
        <f t="shared" si="221"/>
        <v>2175</v>
      </c>
      <c r="I2177">
        <f>SUM($E$3:E2177)/H2177</f>
        <v>1.3132317226043788</v>
      </c>
      <c r="L2177">
        <f t="shared" si="234"/>
        <v>2.4939999580383301</v>
      </c>
      <c r="M2177">
        <f t="shared" si="235"/>
        <v>2.2599999904632568</v>
      </c>
      <c r="N2177">
        <f>SUM($F$3:F2177)/H2177</f>
        <v>1864949.6514475574</v>
      </c>
    </row>
    <row r="2178" spans="1:14" x14ac:dyDescent="0.15">
      <c r="A2178" s="2">
        <v>46115</v>
      </c>
      <c r="B2178">
        <v>2.2639999389648437</v>
      </c>
      <c r="C2178">
        <v>2.3039999008178711</v>
      </c>
      <c r="D2178">
        <v>2.2639999389648437</v>
      </c>
      <c r="E2178">
        <v>2.2960000038146973</v>
      </c>
      <c r="F2178">
        <v>743142</v>
      </c>
      <c r="G2178">
        <v>7431.419921875</v>
      </c>
      <c r="H2178">
        <f t="shared" si="221"/>
        <v>2176</v>
      </c>
      <c r="I2178">
        <f>SUM($E$3:E2178)/H2178</f>
        <v>1.3136833624394939</v>
      </c>
      <c r="L2178">
        <f t="shared" si="234"/>
        <v>2.4939999580383301</v>
      </c>
      <c r="M2178">
        <f t="shared" si="235"/>
        <v>2.2599999904632568</v>
      </c>
      <c r="N2178">
        <f>SUM($F$3:F2178)/H2178</f>
        <v>1864434.1148430319</v>
      </c>
    </row>
    <row r="2179" spans="1:14" x14ac:dyDescent="0.15">
      <c r="A2179" s="2">
        <v>46119</v>
      </c>
      <c r="B2179">
        <v>2.2620000839233398</v>
      </c>
      <c r="C2179">
        <v>2.3190000057220459</v>
      </c>
      <c r="D2179">
        <v>2.2620000839233398</v>
      </c>
      <c r="E2179">
        <v>2.3059999942779541</v>
      </c>
      <c r="F2179">
        <v>322658</v>
      </c>
      <c r="G2179">
        <v>3226.580078125</v>
      </c>
      <c r="H2179">
        <f t="shared" si="221"/>
        <v>2177</v>
      </c>
      <c r="I2179">
        <f>SUM($E$3:E2179)/H2179</f>
        <v>1.3141391808280278</v>
      </c>
      <c r="L2179">
        <f t="shared" si="234"/>
        <v>2.4939999580383301</v>
      </c>
      <c r="M2179">
        <f t="shared" si="235"/>
        <v>2.2599999904632568</v>
      </c>
      <c r="N2179">
        <f>SUM($F$3:F2179)/H2179</f>
        <v>1863725.903490325</v>
      </c>
    </row>
    <row r="2180" spans="1:14" x14ac:dyDescent="0.15">
      <c r="A2180" s="2">
        <v>46120</v>
      </c>
      <c r="B2180">
        <v>2.3399999141693115</v>
      </c>
      <c r="C2180">
        <v>2.4500000476837158</v>
      </c>
      <c r="D2180">
        <v>2.3399999141693115</v>
      </c>
      <c r="E2180">
        <v>2.4489998817443848</v>
      </c>
      <c r="F2180">
        <v>1031141</v>
      </c>
      <c r="G2180">
        <v>10311.41015625</v>
      </c>
      <c r="H2180">
        <f t="shared" si="221"/>
        <v>2178</v>
      </c>
      <c r="I2180">
        <f>SUM($E$3:E2180)/H2180</f>
        <v>1.3146602371645368</v>
      </c>
      <c r="L2180">
        <f t="shared" si="234"/>
        <v>2.4939999580383301</v>
      </c>
      <c r="M2180">
        <f t="shared" si="235"/>
        <v>2.2599999904632568</v>
      </c>
      <c r="N2180">
        <f>SUM($F$3:F2180)/H2180</f>
        <v>1863343.6331030475</v>
      </c>
    </row>
    <row r="2181" spans="1:14" x14ac:dyDescent="0.15">
      <c r="A2181" s="2">
        <v>46121</v>
      </c>
      <c r="B2181">
        <v>2.4489998817443848</v>
      </c>
      <c r="C2181">
        <v>2.4600000381469727</v>
      </c>
      <c r="D2181">
        <v>2.4010000228881836</v>
      </c>
      <c r="E2181">
        <v>2.4449999332427979</v>
      </c>
      <c r="F2181">
        <v>632247</v>
      </c>
      <c r="G2181">
        <v>6322.47021484375</v>
      </c>
      <c r="H2181">
        <f t="shared" si="221"/>
        <v>2179</v>
      </c>
      <c r="I2181">
        <f>SUM($E$3:E2181)/H2181</f>
        <v>1.31517897956751</v>
      </c>
      <c r="L2181">
        <f t="shared" si="234"/>
        <v>2.4939999580383301</v>
      </c>
      <c r="M2181">
        <f t="shared" si="235"/>
        <v>2.2599999904632568</v>
      </c>
      <c r="N2181">
        <f>SUM($F$3:F2181)/H2181</f>
        <v>1862778.6507106184</v>
      </c>
    </row>
    <row r="2182" spans="1:14" x14ac:dyDescent="0.15">
      <c r="A2182" s="2">
        <v>46122</v>
      </c>
      <c r="B2182">
        <v>2.4479999542236328</v>
      </c>
      <c r="C2182">
        <v>2.5130000114440918</v>
      </c>
      <c r="D2182">
        <v>2.4479999542236328</v>
      </c>
      <c r="E2182">
        <v>2.500999927520752</v>
      </c>
      <c r="F2182">
        <v>1207691</v>
      </c>
      <c r="G2182">
        <v>12076.91015625</v>
      </c>
      <c r="H2182">
        <f t="shared" si="221"/>
        <v>2180</v>
      </c>
      <c r="I2182">
        <f>SUM($E$3:E2182)/H2182</f>
        <v>1.3157229341307912</v>
      </c>
      <c r="L2182">
        <f t="shared" si="234"/>
        <v>2.5130000114440918</v>
      </c>
      <c r="M2182">
        <f t="shared" si="235"/>
        <v>2.2599999904632568</v>
      </c>
      <c r="N2182">
        <f>SUM($F$3:F2182)/H2182</f>
        <v>1862478.1517882741</v>
      </c>
    </row>
    <row r="2183" spans="1:14" x14ac:dyDescent="0.15">
      <c r="A2183" s="2">
        <v>46125</v>
      </c>
      <c r="B2183">
        <v>2.497999906539917</v>
      </c>
      <c r="C2183">
        <v>2.5409998893737793</v>
      </c>
      <c r="D2183">
        <v>2.4730000495910645</v>
      </c>
      <c r="E2183">
        <v>2.5160000324249268</v>
      </c>
      <c r="F2183">
        <v>548332</v>
      </c>
      <c r="G2183">
        <v>5483.31982421875</v>
      </c>
      <c r="H2183">
        <f t="shared" si="221"/>
        <v>2181</v>
      </c>
      <c r="I2183">
        <f>SUM($E$3:E2183)/H2183</f>
        <v>1.3162732675091928</v>
      </c>
      <c r="L2183">
        <f t="shared" si="234"/>
        <v>2.5409998893737793</v>
      </c>
      <c r="M2183">
        <f t="shared" si="235"/>
        <v>2.2599999904632568</v>
      </c>
      <c r="N2183">
        <f>SUM($F$3:F2183)/H2183</f>
        <v>1861875.6088484353</v>
      </c>
    </row>
    <row r="2184" spans="1:14" x14ac:dyDescent="0.15">
      <c r="A2184" s="2">
        <v>46126</v>
      </c>
      <c r="B2184">
        <v>2.5309998989105225</v>
      </c>
      <c r="C2184">
        <v>2.5820000171661377</v>
      </c>
      <c r="D2184">
        <v>2.5309998989105225</v>
      </c>
      <c r="E2184">
        <v>2.5639998912811279</v>
      </c>
      <c r="F2184">
        <v>1511234</v>
      </c>
      <c r="G2184">
        <v>15112.33984375</v>
      </c>
      <c r="H2184">
        <f t="shared" si="221"/>
        <v>2182</v>
      </c>
      <c r="I2184">
        <f>SUM($E$3:E2184)/H2184</f>
        <v>1.3168450945595007</v>
      </c>
      <c r="L2184">
        <f t="shared" si="234"/>
        <v>2.5820000171661377</v>
      </c>
      <c r="M2184">
        <f t="shared" si="235"/>
        <v>2.2599999904632568</v>
      </c>
      <c r="N2184">
        <f>SUM($F$3:F2184)/H2184</f>
        <v>1861714.9115024919</v>
      </c>
    </row>
    <row r="2185" spans="1:14" x14ac:dyDescent="0.15">
      <c r="A2185" s="2">
        <v>46127</v>
      </c>
      <c r="B2185">
        <v>2.5880000591278076</v>
      </c>
      <c r="C2185">
        <v>2.5980000495910645</v>
      </c>
      <c r="D2185">
        <v>2.5290000438690186</v>
      </c>
      <c r="E2185">
        <v>2.559999942779541</v>
      </c>
      <c r="F2185">
        <v>621553</v>
      </c>
      <c r="G2185">
        <v>6215.52978515625</v>
      </c>
      <c r="H2185">
        <f t="shared" si="221"/>
        <v>2183</v>
      </c>
      <c r="I2185">
        <f>SUM($E$3:E2185)/H2185</f>
        <v>1.3174145654015623</v>
      </c>
      <c r="L2185">
        <f t="shared" si="234"/>
        <v>2.5980000495910645</v>
      </c>
      <c r="M2185">
        <f t="shared" si="235"/>
        <v>2.2599999904632568</v>
      </c>
      <c r="N2185">
        <f>SUM($F$3:F2185)/H2185</f>
        <v>1861146.8116804569</v>
      </c>
    </row>
    <row r="2186" spans="1:14" x14ac:dyDescent="0.15">
      <c r="A2186" s="2">
        <v>46128</v>
      </c>
      <c r="B2186">
        <v>2.5409998893737793</v>
      </c>
      <c r="C2186">
        <v>2.619999885559082</v>
      </c>
      <c r="D2186">
        <v>2.5409998893737793</v>
      </c>
      <c r="E2186">
        <v>2.619999885559082</v>
      </c>
      <c r="F2186">
        <v>1228850</v>
      </c>
      <c r="G2186">
        <v>12288.5</v>
      </c>
      <c r="H2186">
        <f t="shared" si="221"/>
        <v>2184</v>
      </c>
      <c r="I2186">
        <f>SUM($E$3:E2186)/H2186</f>
        <v>1.3180109872514512</v>
      </c>
      <c r="L2186">
        <f t="shared" si="234"/>
        <v>2.619999885559082</v>
      </c>
      <c r="M2186">
        <f t="shared" si="235"/>
        <v>2.2599999904632568</v>
      </c>
      <c r="N2186">
        <f>SUM($F$3:F2186)/H2186</f>
        <v>1860857.2984882956</v>
      </c>
    </row>
    <row r="2187" spans="1:14" x14ac:dyDescent="0.15">
      <c r="A2187" s="2">
        <v>46129</v>
      </c>
      <c r="B2187">
        <v>2.6210000514984131</v>
      </c>
      <c r="C2187">
        <v>2.6770000457763672</v>
      </c>
      <c r="D2187">
        <v>2.6210000514984131</v>
      </c>
      <c r="E2187">
        <v>2.6700000762939453</v>
      </c>
      <c r="F2187">
        <v>1458827</v>
      </c>
      <c r="G2187">
        <v>14588.26953125</v>
      </c>
      <c r="H2187">
        <f t="shared" si="221"/>
        <v>2185</v>
      </c>
      <c r="I2187">
        <f>SUM($E$3:E2187)/H2187</f>
        <v>1.3186297465599375</v>
      </c>
      <c r="L2187">
        <f t="shared" si="234"/>
        <v>2.6770000457763672</v>
      </c>
      <c r="M2187">
        <f t="shared" si="235"/>
        <v>2.2599999904632568</v>
      </c>
      <c r="N2187">
        <f>SUM($F$3:F2187)/H2187</f>
        <v>1860673.3029283467</v>
      </c>
    </row>
    <row r="2188" spans="1:14" x14ac:dyDescent="0.15">
      <c r="A2188" s="2">
        <v>46132</v>
      </c>
      <c r="B2188">
        <v>2.6700000762939453</v>
      </c>
      <c r="C2188">
        <v>2.7239999771118164</v>
      </c>
      <c r="D2188">
        <v>2.6700000762939453</v>
      </c>
      <c r="E2188">
        <v>2.7070000171661377</v>
      </c>
      <c r="F2188">
        <v>929359</v>
      </c>
      <c r="G2188">
        <v>9293.58984375</v>
      </c>
      <c r="H2188">
        <f t="shared" si="221"/>
        <v>2186</v>
      </c>
      <c r="I2188">
        <f>SUM($E$3:E2188)/H2188</f>
        <v>1.3192648656224288</v>
      </c>
      <c r="L2188">
        <f t="shared" si="234"/>
        <v>2.7239999771118164</v>
      </c>
      <c r="M2188">
        <f t="shared" si="235"/>
        <v>2.2599999904632568</v>
      </c>
      <c r="N2188">
        <f>SUM($F$3:F2188)/H2188</f>
        <v>1860247.2671081598</v>
      </c>
    </row>
    <row r="2189" spans="1:14" x14ac:dyDescent="0.15">
      <c r="A2189" s="2">
        <v>46133</v>
      </c>
      <c r="B2189">
        <v>2.7039999961853027</v>
      </c>
      <c r="C2189">
        <v>2.7039999961853027</v>
      </c>
      <c r="D2189">
        <v>2.6459999084472656</v>
      </c>
      <c r="E2189">
        <v>2.687999963760376</v>
      </c>
      <c r="F2189">
        <v>849700</v>
      </c>
      <c r="G2189">
        <v>8497</v>
      </c>
      <c r="H2189">
        <f t="shared" si="221"/>
        <v>2187</v>
      </c>
      <c r="I2189">
        <f>SUM($E$3:E2189)/H2189</f>
        <v>1.3198907161474118</v>
      </c>
      <c r="L2189">
        <f t="shared" si="234"/>
        <v>2.7239999771118164</v>
      </c>
      <c r="M2189">
        <f t="shared" si="235"/>
        <v>2.2599999904632568</v>
      </c>
      <c r="N2189">
        <f>SUM($F$3:F2189)/H2189</f>
        <v>1859785.1970271775</v>
      </c>
    </row>
    <row r="2190" spans="1:14" x14ac:dyDescent="0.15">
      <c r="A2190" s="2">
        <v>46134</v>
      </c>
      <c r="B2190">
        <v>2.6500000953674316</v>
      </c>
      <c r="C2190">
        <v>2.7699999809265137</v>
      </c>
      <c r="D2190">
        <v>2.6500000953674316</v>
      </c>
      <c r="E2190">
        <v>2.7690000534057617</v>
      </c>
      <c r="F2190">
        <v>1213443</v>
      </c>
      <c r="G2190">
        <v>12134.4296875</v>
      </c>
      <c r="H2190">
        <f t="shared" si="221"/>
        <v>2188</v>
      </c>
      <c r="I2190">
        <f>SUM($E$3:E2190)/H2190</f>
        <v>1.3205530147476214</v>
      </c>
      <c r="L2190">
        <f t="shared" si="234"/>
        <v>2.7699999809265137</v>
      </c>
      <c r="M2190">
        <f t="shared" si="235"/>
        <v>2.2599999904632568</v>
      </c>
      <c r="N2190">
        <f>SUM($F$3:F2190)/H2190</f>
        <v>1859489.7938292676</v>
      </c>
    </row>
    <row r="2191" spans="1:14" x14ac:dyDescent="0.15">
      <c r="A2191" s="2">
        <v>46135</v>
      </c>
      <c r="B2191">
        <v>2.7809998989105225</v>
      </c>
      <c r="C2191">
        <v>2.8029999732971191</v>
      </c>
      <c r="D2191">
        <v>2.7249999046325684</v>
      </c>
      <c r="E2191">
        <v>2.7460000514984131</v>
      </c>
      <c r="F2191">
        <v>1035259.9375</v>
      </c>
      <c r="G2191">
        <v>10352.599609375</v>
      </c>
      <c r="H2191">
        <f t="shared" si="221"/>
        <v>2189</v>
      </c>
      <c r="I2191">
        <f>SUM($E$3:E2191)/H2191</f>
        <v>1.321204201150888</v>
      </c>
      <c r="L2191">
        <f t="shared" si="234"/>
        <v>2.8029999732971191</v>
      </c>
      <c r="M2191">
        <f t="shared" si="235"/>
        <v>2.2599999904632568</v>
      </c>
      <c r="N2191">
        <f>SUM($F$3:F2191)/H2191</f>
        <v>1859113.261231584</v>
      </c>
    </row>
    <row r="2192" spans="1:14" x14ac:dyDescent="0.15">
      <c r="A2192" s="2">
        <v>46136</v>
      </c>
      <c r="B2192">
        <v>2.7379999160766602</v>
      </c>
      <c r="C2192">
        <v>2.7379999160766602</v>
      </c>
      <c r="D2192">
        <v>2.6719999313354492</v>
      </c>
      <c r="E2192">
        <v>2.7160000801086426</v>
      </c>
      <c r="F2192">
        <v>715188</v>
      </c>
      <c r="G2192">
        <v>7151.8798828125</v>
      </c>
      <c r="H2192">
        <f t="shared" si="221"/>
        <v>2190</v>
      </c>
      <c r="I2192">
        <f>SUM($E$3:E2192)/H2192</f>
        <v>1.3218410942463026</v>
      </c>
      <c r="L2192">
        <f t="shared" si="234"/>
        <v>2.8029999732971191</v>
      </c>
      <c r="M2192">
        <f t="shared" si="235"/>
        <v>2.2599999904632568</v>
      </c>
      <c r="N2192">
        <f>SUM($F$3:F2192)/H2192</f>
        <v>1858590.9209296519</v>
      </c>
    </row>
    <row r="2193" spans="1:14" x14ac:dyDescent="0.15">
      <c r="A2193" s="2">
        <v>46139</v>
      </c>
      <c r="B2193">
        <v>2.7100000381469727</v>
      </c>
      <c r="C2193">
        <v>2.7630000114440918</v>
      </c>
      <c r="D2193">
        <v>2.7049999237060547</v>
      </c>
      <c r="E2193">
        <v>2.7420001029968262</v>
      </c>
      <c r="F2193">
        <v>767093</v>
      </c>
      <c r="G2193">
        <v>7670.93017578125</v>
      </c>
      <c r="H2193">
        <f t="shared" si="221"/>
        <v>2191</v>
      </c>
      <c r="I2193">
        <f>SUM($E$3:E2193)/H2193</f>
        <v>1.3224892727076218</v>
      </c>
      <c r="L2193">
        <f t="shared" si="234"/>
        <v>2.8029999732971191</v>
      </c>
      <c r="M2193">
        <f t="shared" si="235"/>
        <v>2.2599999904632568</v>
      </c>
      <c r="N2193">
        <f>SUM($F$3:F2193)/H2193</f>
        <v>1858092.7475289537</v>
      </c>
    </row>
    <row r="2194" spans="1:14" x14ac:dyDescent="0.15">
      <c r="A2194" s="2">
        <v>46140</v>
      </c>
      <c r="B2194">
        <v>2.75</v>
      </c>
      <c r="C2194">
        <v>2.750999927520752</v>
      </c>
      <c r="D2194">
        <v>2.6809999942779541</v>
      </c>
      <c r="E2194">
        <v>2.6989998817443848</v>
      </c>
      <c r="F2194">
        <v>621185</v>
      </c>
      <c r="G2194">
        <v>6211.85009765625</v>
      </c>
      <c r="H2194">
        <f t="shared" si="221"/>
        <v>2192</v>
      </c>
      <c r="I2194">
        <f>SUM($E$3:E2194)/H2194</f>
        <v>1.3231172428759781</v>
      </c>
      <c r="L2194">
        <f t="shared" si="234"/>
        <v>2.8029999732971191</v>
      </c>
      <c r="M2194">
        <f t="shared" si="235"/>
        <v>2.2599999904632568</v>
      </c>
      <c r="N2194">
        <f>SUM($F$3:F2194)/H2194</f>
        <v>1857528.4647974167</v>
      </c>
    </row>
    <row r="2195" spans="1:14" x14ac:dyDescent="0.15">
      <c r="A2195" s="2">
        <v>46141</v>
      </c>
      <c r="B2195">
        <v>2.7000000476837158</v>
      </c>
      <c r="C2195">
        <v>2.7369999885559082</v>
      </c>
      <c r="D2195">
        <v>2.6710000038146973</v>
      </c>
      <c r="E2195">
        <v>2.7239999771118164</v>
      </c>
      <c r="F2195">
        <v>532924</v>
      </c>
      <c r="G2195">
        <v>5329.240234375</v>
      </c>
      <c r="H2195">
        <f t="shared" si="221"/>
        <v>2193</v>
      </c>
      <c r="I2195">
        <f>SUM($E$3:E2195)/H2195</f>
        <v>1.3237560402924102</v>
      </c>
      <c r="L2195">
        <f t="shared" si="234"/>
        <v>2.8029999732971191</v>
      </c>
      <c r="M2195">
        <f t="shared" si="235"/>
        <v>2.2599999904632568</v>
      </c>
      <c r="N2195">
        <f>SUM($F$3:F2195)/H2195</f>
        <v>1856924.4499935876</v>
      </c>
    </row>
    <row r="2196" spans="1:14" x14ac:dyDescent="0.15">
      <c r="A2196" s="2">
        <v>46142</v>
      </c>
      <c r="B2196">
        <v>2.7100000381469727</v>
      </c>
      <c r="C2196">
        <v>2.7950000762939453</v>
      </c>
      <c r="D2196">
        <v>2.7100000381469727</v>
      </c>
      <c r="E2196">
        <v>2.7899999618530273</v>
      </c>
      <c r="F2196">
        <v>1395013</v>
      </c>
      <c r="G2196">
        <v>13950.1298828125</v>
      </c>
      <c r="H2196">
        <f t="shared" si="221"/>
        <v>2194</v>
      </c>
      <c r="I2196">
        <f>SUM($E$3:E2196)/H2196</f>
        <v>1.3244243374307696</v>
      </c>
      <c r="L2196">
        <f>VLOOKUP(K111,A:C,3)</f>
        <v>2.9500000476837158</v>
      </c>
      <c r="M2196">
        <f>VLOOKUP(K111,A:D,4)</f>
        <v>2.8250000476837158</v>
      </c>
      <c r="N2196">
        <f>SUM($F$3:F2196)/H2196</f>
        <v>1856713.9160601357</v>
      </c>
    </row>
    <row r="2197" spans="1:14" x14ac:dyDescent="0.15">
      <c r="A2197" s="2">
        <v>46148</v>
      </c>
      <c r="B2197">
        <v>2.8250000476837158</v>
      </c>
      <c r="C2197">
        <v>2.9500000476837158</v>
      </c>
      <c r="D2197">
        <v>2.8250000476837158</v>
      </c>
      <c r="E2197">
        <v>2.9010000228881836</v>
      </c>
      <c r="F2197">
        <v>1808005.125</v>
      </c>
      <c r="G2197">
        <v>18080.05078125</v>
      </c>
      <c r="H2197">
        <f t="shared" si="221"/>
        <v>2195</v>
      </c>
      <c r="I2197">
        <f>SUM($E$3:E2197)/H2197</f>
        <v>1.3251425951462401</v>
      </c>
      <c r="L2197">
        <f t="shared" ref="L2197:L2213" si="236">IF(A2197&lt;&gt;$J$111,MAX(L2196,VLOOKUP(A2197,A:C,3)),)</f>
        <v>2.9500000476837158</v>
      </c>
      <c r="M2197">
        <f t="shared" ref="M2197:M2213" si="237">IF(A2197&lt;&gt;$J$111,MIN(M2196,VLOOKUP(A2197,A:D,4)),)</f>
        <v>2.8250000476837158</v>
      </c>
      <c r="N2197">
        <f>SUM($F$3:F2197)/H2197</f>
        <v>1856691.7252669418</v>
      </c>
    </row>
    <row r="2198" spans="1:14" x14ac:dyDescent="0.15">
      <c r="A2198" s="2">
        <v>46149</v>
      </c>
      <c r="B2198">
        <v>2.8819999694824219</v>
      </c>
      <c r="C2198">
        <v>2.9579999446868896</v>
      </c>
      <c r="D2198">
        <v>2.8670001029968262</v>
      </c>
      <c r="E2198">
        <v>2.9579999446868896</v>
      </c>
      <c r="F2198">
        <v>1196838</v>
      </c>
      <c r="G2198">
        <v>11968.3798828125</v>
      </c>
      <c r="H2198">
        <f t="shared" si="221"/>
        <v>2196</v>
      </c>
      <c r="I2198">
        <f>SUM($E$3:E2198)/H2198</f>
        <v>1.3258861549593277</v>
      </c>
      <c r="L2198">
        <f t="shared" si="236"/>
        <v>2.9579999446868896</v>
      </c>
      <c r="M2198">
        <f t="shared" si="237"/>
        <v>2.8250000476837158</v>
      </c>
      <c r="N2198">
        <f>SUM($F$3:F2198)/H2198</f>
        <v>1856391.2454284779</v>
      </c>
    </row>
    <row r="2199" spans="1:14" x14ac:dyDescent="0.15">
      <c r="A2199" s="2">
        <v>46150</v>
      </c>
      <c r="B2199">
        <v>2.940000057220459</v>
      </c>
      <c r="C2199">
        <v>2.9570000171661377</v>
      </c>
      <c r="D2199">
        <v>2.9010000228881836</v>
      </c>
      <c r="E2199">
        <v>2.9460000991821289</v>
      </c>
      <c r="F2199">
        <v>716251</v>
      </c>
      <c r="G2199">
        <v>7162.509765625</v>
      </c>
      <c r="H2199">
        <f t="shared" si="221"/>
        <v>2197</v>
      </c>
      <c r="I2199">
        <f>SUM($E$3:E2199)/H2199</f>
        <v>1.3266235759626153</v>
      </c>
      <c r="L2199">
        <f t="shared" si="236"/>
        <v>2.9579999446868896</v>
      </c>
      <c r="M2199">
        <f t="shared" si="237"/>
        <v>2.8250000476837158</v>
      </c>
      <c r="N2199">
        <f>SUM($F$3:F2199)/H2199</f>
        <v>1855872.2921988792</v>
      </c>
    </row>
    <row r="2200" spans="1:14" x14ac:dyDescent="0.15">
      <c r="A2200" s="2">
        <v>46153</v>
      </c>
      <c r="B2200">
        <v>2.9500000476837158</v>
      </c>
      <c r="C2200">
        <v>3.0309998989105225</v>
      </c>
      <c r="D2200">
        <v>2.940000057220459</v>
      </c>
      <c r="E2200">
        <v>3.0309998989105225</v>
      </c>
      <c r="F2200">
        <v>966662</v>
      </c>
      <c r="G2200">
        <v>9666.6201171875</v>
      </c>
      <c r="H2200">
        <f t="shared" si="221"/>
        <v>2198</v>
      </c>
      <c r="I2200">
        <f>SUM($E$3:E2200)/H2200</f>
        <v>1.3273989974016271</v>
      </c>
      <c r="L2200">
        <f t="shared" si="236"/>
        <v>3.0309998989105225</v>
      </c>
      <c r="M2200">
        <f t="shared" si="237"/>
        <v>2.8250000476837158</v>
      </c>
      <c r="N2200">
        <f>SUM($F$3:F2200)/H2200</f>
        <v>1855467.7379258133</v>
      </c>
    </row>
    <row r="2201" spans="1:14" x14ac:dyDescent="0.15">
      <c r="A2201" s="2">
        <v>46154</v>
      </c>
      <c r="B2201">
        <v>3.062000036239624</v>
      </c>
      <c r="C2201">
        <v>3.0710000991821289</v>
      </c>
      <c r="D2201">
        <v>3.005000114440918</v>
      </c>
      <c r="E2201">
        <v>3.0499999523162842</v>
      </c>
      <c r="F2201">
        <v>834763</v>
      </c>
      <c r="G2201">
        <v>8347.6298828125</v>
      </c>
      <c r="H2201">
        <f t="shared" si="221"/>
        <v>2199</v>
      </c>
      <c r="I2201">
        <f>SUM($E$3:E2201)/H2201</f>
        <v>1.328182353906818</v>
      </c>
      <c r="L2201">
        <f t="shared" si="236"/>
        <v>3.0710000991821289</v>
      </c>
      <c r="M2201">
        <f t="shared" si="237"/>
        <v>2.8250000476837158</v>
      </c>
      <c r="N2201">
        <f>SUM($F$3:F2201)/H2201</f>
        <v>1855003.570241445</v>
      </c>
    </row>
    <row r="2202" spans="1:14" x14ac:dyDescent="0.15">
      <c r="A2202" s="2">
        <v>46155</v>
      </c>
      <c r="B2202">
        <v>3.000999927520752</v>
      </c>
      <c r="C2202">
        <v>3.1549999713897705</v>
      </c>
      <c r="D2202">
        <v>2.997999906539917</v>
      </c>
      <c r="E2202">
        <v>3.1540000438690186</v>
      </c>
      <c r="F2202">
        <v>1252436</v>
      </c>
      <c r="G2202">
        <v>12524.3603515625</v>
      </c>
      <c r="H2202">
        <f t="shared" si="221"/>
        <v>2200</v>
      </c>
      <c r="I2202">
        <f>SUM($E$3:E2202)/H2202</f>
        <v>1.329012271038619</v>
      </c>
      <c r="L2202">
        <f t="shared" si="236"/>
        <v>3.1549999713897705</v>
      </c>
      <c r="M2202">
        <f t="shared" si="237"/>
        <v>2.8250000476837158</v>
      </c>
      <c r="N2202">
        <f>SUM($F$3:F2202)/H2202</f>
        <v>1854729.6758913351</v>
      </c>
    </row>
    <row r="2203" spans="1:14" x14ac:dyDescent="0.15">
      <c r="A2203" s="2">
        <v>46156</v>
      </c>
      <c r="B2203">
        <v>3.1719999313354492</v>
      </c>
      <c r="C2203">
        <v>3.2100000381469727</v>
      </c>
      <c r="D2203">
        <v>3.0840001106262207</v>
      </c>
      <c r="E2203">
        <v>3.1159999370574951</v>
      </c>
      <c r="F2203">
        <v>994140.0625</v>
      </c>
      <c r="G2203">
        <v>9941.400390625</v>
      </c>
      <c r="H2203">
        <f t="shared" si="221"/>
        <v>2201</v>
      </c>
      <c r="I2203">
        <f>SUM($E$3:E2203)/H2203</f>
        <v>1.3298241691149566</v>
      </c>
      <c r="L2203">
        <f t="shared" si="236"/>
        <v>3.2100000381469727</v>
      </c>
      <c r="M2203">
        <f t="shared" si="237"/>
        <v>2.8250000476837158</v>
      </c>
      <c r="N2203">
        <f>SUM($F$3:F2203)/H2203</f>
        <v>1854338.6765213255</v>
      </c>
    </row>
    <row r="2204" spans="1:14" x14ac:dyDescent="0.15">
      <c r="A2204" s="2">
        <v>46157</v>
      </c>
      <c r="B2204">
        <v>3.0510001182556152</v>
      </c>
      <c r="C2204">
        <v>3.1410000324249268</v>
      </c>
      <c r="D2204">
        <v>3.0109999179840088</v>
      </c>
      <c r="E2204">
        <v>3.0480000972747803</v>
      </c>
      <c r="F2204">
        <v>1432323</v>
      </c>
      <c r="G2204">
        <v>14323.23046875</v>
      </c>
      <c r="H2204">
        <f t="shared" si="221"/>
        <v>2202</v>
      </c>
      <c r="I2204">
        <f>SUM($E$3:E2204)/H2204</f>
        <v>1.3306044488280173</v>
      </c>
      <c r="L2204">
        <f t="shared" si="236"/>
        <v>3.2100000381469727</v>
      </c>
      <c r="M2204">
        <f t="shared" si="237"/>
        <v>2.8250000476837158</v>
      </c>
      <c r="N2204">
        <f>SUM($F$3:F2204)/H2204</f>
        <v>1854147.0254420696</v>
      </c>
    </row>
    <row r="2205" spans="1:14" x14ac:dyDescent="0.15">
      <c r="A2205" s="2">
        <v>46160</v>
      </c>
      <c r="B2205">
        <v>3.0199999809265137</v>
      </c>
      <c r="C2205">
        <v>3.0980000495910645</v>
      </c>
      <c r="D2205">
        <v>2.997999906539917</v>
      </c>
      <c r="E2205">
        <v>3.0460000038146973</v>
      </c>
      <c r="F2205">
        <v>2128923</v>
      </c>
      <c r="G2205">
        <v>21289.23046875</v>
      </c>
      <c r="H2205">
        <f t="shared" si="221"/>
        <v>2203</v>
      </c>
      <c r="I2205">
        <f>SUM($E$3:E2205)/H2205</f>
        <v>1.3313831122665041</v>
      </c>
      <c r="L2205">
        <f t="shared" si="236"/>
        <v>3.2100000381469727</v>
      </c>
      <c r="M2205">
        <f t="shared" si="237"/>
        <v>2.8250000476837158</v>
      </c>
      <c r="N2205">
        <f>SUM($F$3:F2205)/H2205</f>
        <v>1854271.7535285689</v>
      </c>
    </row>
    <row r="2206" spans="1:14" x14ac:dyDescent="0.15">
      <c r="A2206" s="2">
        <v>46161</v>
      </c>
      <c r="B2206">
        <v>3.0469999313354492</v>
      </c>
      <c r="C2206">
        <v>3.0989999771118164</v>
      </c>
      <c r="D2206">
        <v>2.9630000591278076</v>
      </c>
      <c r="E2206">
        <v>3.0980000495910645</v>
      </c>
      <c r="F2206">
        <v>1066721</v>
      </c>
      <c r="G2206">
        <v>10667.2099609375</v>
      </c>
      <c r="H2206">
        <f t="shared" si="221"/>
        <v>2204</v>
      </c>
      <c r="I2206">
        <f>SUM($E$3:E2206)/H2206</f>
        <v>1.3321846626010434</v>
      </c>
      <c r="L2206">
        <f t="shared" si="236"/>
        <v>3.2100000381469727</v>
      </c>
      <c r="M2206">
        <f t="shared" si="237"/>
        <v>2.8250000476837158</v>
      </c>
      <c r="N2206">
        <f>SUM($F$3:F2206)/H2206</f>
        <v>1853914.4256004707</v>
      </c>
    </row>
    <row r="2207" spans="1:14" x14ac:dyDescent="0.15">
      <c r="A2207" s="2">
        <v>46162</v>
      </c>
      <c r="B2207">
        <v>3.065000057220459</v>
      </c>
      <c r="C2207">
        <v>3.1500000953674316</v>
      </c>
      <c r="D2207">
        <v>3.065000057220459</v>
      </c>
      <c r="E2207">
        <v>3.1210000514984131</v>
      </c>
      <c r="F2207">
        <v>1783825</v>
      </c>
      <c r="G2207">
        <v>17838.25</v>
      </c>
      <c r="H2207">
        <f t="shared" si="221"/>
        <v>2205</v>
      </c>
      <c r="I2207">
        <f>SUM($E$3:E2207)/H2207</f>
        <v>1.3329959167456682</v>
      </c>
      <c r="L2207">
        <f t="shared" si="236"/>
        <v>3.2100000381469727</v>
      </c>
      <c r="M2207">
        <f t="shared" si="237"/>
        <v>2.8250000476837158</v>
      </c>
      <c r="N2207">
        <f>SUM($F$3:F2207)/H2207</f>
        <v>1853882.6390128969</v>
      </c>
    </row>
    <row r="2208" spans="1:14" x14ac:dyDescent="0.15">
      <c r="A2208" s="2">
        <v>46163</v>
      </c>
      <c r="B2208">
        <v>3.1310000419616699</v>
      </c>
      <c r="C2208">
        <v>3.1630001068115234</v>
      </c>
      <c r="D2208">
        <v>3</v>
      </c>
      <c r="E2208">
        <v>3.0150001049041748</v>
      </c>
      <c r="F2208">
        <v>1327355</v>
      </c>
      <c r="G2208">
        <v>13273.5498046875</v>
      </c>
      <c r="H2208">
        <f t="shared" si="221"/>
        <v>2206</v>
      </c>
      <c r="I2208">
        <f>SUM($E$3:E2208)/H2208</f>
        <v>1.3337583846460119</v>
      </c>
      <c r="L2208">
        <f t="shared" si="236"/>
        <v>3.2100000381469727</v>
      </c>
      <c r="M2208">
        <f t="shared" si="237"/>
        <v>2.8250000476837158</v>
      </c>
      <c r="N2208">
        <f>SUM($F$3:F2208)/H2208</f>
        <v>1853643.9592128003</v>
      </c>
    </row>
    <row r="2209" spans="1:14" x14ac:dyDescent="0.15">
      <c r="A2209" s="2">
        <v>46164</v>
      </c>
      <c r="B2209">
        <v>2.9849998950958252</v>
      </c>
      <c r="C2209">
        <v>3.0899999141693115</v>
      </c>
      <c r="D2209">
        <v>2.9849998950958252</v>
      </c>
      <c r="E2209">
        <v>3.0750000476837158</v>
      </c>
      <c r="F2209">
        <v>1054795</v>
      </c>
      <c r="G2209">
        <v>10547.9501953125</v>
      </c>
      <c r="H2209">
        <f t="shared" si="221"/>
        <v>2207</v>
      </c>
      <c r="I2209">
        <f>SUM($E$3:E2209)/H2209</f>
        <v>1.3345473477919285</v>
      </c>
      <c r="L2209">
        <f t="shared" si="236"/>
        <v>3.2100000381469727</v>
      </c>
      <c r="M2209">
        <f t="shared" si="237"/>
        <v>2.8250000476837158</v>
      </c>
      <c r="N2209">
        <f>SUM($F$3:F2209)/H2209</f>
        <v>1853281.9977451009</v>
      </c>
    </row>
    <row r="2210" spans="1:14" x14ac:dyDescent="0.15">
      <c r="A2210" s="2">
        <v>46167</v>
      </c>
      <c r="B2210">
        <v>3.1289999485015869</v>
      </c>
      <c r="C2210">
        <v>3.1949999332427979</v>
      </c>
      <c r="D2210">
        <v>3.0720000267028809</v>
      </c>
      <c r="E2210">
        <v>3.1949999332427979</v>
      </c>
      <c r="F2210">
        <v>1385084</v>
      </c>
      <c r="G2210">
        <v>13850.83984375</v>
      </c>
      <c r="H2210">
        <f t="shared" si="221"/>
        <v>2208</v>
      </c>
      <c r="I2210">
        <f>SUM($E$3:E2210)/H2210</f>
        <v>1.3353899440715711</v>
      </c>
      <c r="L2210">
        <f t="shared" si="236"/>
        <v>3.2100000381469727</v>
      </c>
      <c r="M2210">
        <f t="shared" si="237"/>
        <v>2.8250000476837158</v>
      </c>
      <c r="N2210">
        <f>SUM($F$3:F2210)/H2210</f>
        <v>1853069.95155047</v>
      </c>
    </row>
    <row r="2211" spans="1:14" x14ac:dyDescent="0.15">
      <c r="A2211" s="2">
        <v>46168</v>
      </c>
      <c r="B2211">
        <v>3.1749999523162842</v>
      </c>
      <c r="C2211">
        <v>3.1930000782012939</v>
      </c>
      <c r="D2211">
        <v>3.119999885559082</v>
      </c>
      <c r="E2211">
        <v>3.1860001087188721</v>
      </c>
      <c r="F2211">
        <v>827973.0625</v>
      </c>
      <c r="G2211">
        <v>8279.73046875</v>
      </c>
      <c r="H2211">
        <f t="shared" si="221"/>
        <v>2209</v>
      </c>
      <c r="I2211">
        <f>SUM($E$3:E2211)/H2211</f>
        <v>1.3362277033131498</v>
      </c>
      <c r="L2211">
        <f t="shared" si="236"/>
        <v>3.2100000381469727</v>
      </c>
      <c r="M2211">
        <f t="shared" si="237"/>
        <v>2.8250000476837158</v>
      </c>
      <c r="N2211">
        <f>SUM($F$3:F2211)/H2211</f>
        <v>1852605.8968247792</v>
      </c>
    </row>
    <row r="2212" spans="1:14" x14ac:dyDescent="0.15">
      <c r="A2212" s="2">
        <v>46169</v>
      </c>
      <c r="B2212">
        <v>3.1540000438690186</v>
      </c>
      <c r="C2212">
        <v>3.2209999561309814</v>
      </c>
      <c r="D2212">
        <v>3.1059999465942383</v>
      </c>
      <c r="E2212">
        <v>3.125</v>
      </c>
      <c r="F2212">
        <v>966680.9375</v>
      </c>
      <c r="G2212">
        <v>9666.8095703125</v>
      </c>
      <c r="H2212">
        <f t="shared" si="221"/>
        <v>2210</v>
      </c>
      <c r="I2212">
        <f>SUM($E$3:E2212)/H2212</f>
        <v>1.3370371025424197</v>
      </c>
      <c r="L2212">
        <f t="shared" si="236"/>
        <v>3.2209999561309814</v>
      </c>
      <c r="M2212">
        <f t="shared" si="237"/>
        <v>2.8250000476837158</v>
      </c>
      <c r="N2212">
        <f>SUM($F$3:F2212)/H2212</f>
        <v>1852205.0258024605</v>
      </c>
    </row>
    <row r="2213" spans="1:14" x14ac:dyDescent="0.15">
      <c r="A2213" s="2">
        <v>46170</v>
      </c>
      <c r="B2213">
        <v>3.0910000801086426</v>
      </c>
      <c r="C2213">
        <v>3.1800000667572021</v>
      </c>
      <c r="D2213">
        <v>3.0680000782012939</v>
      </c>
      <c r="E2213">
        <v>3.1589999198913574</v>
      </c>
      <c r="F2213">
        <v>955034</v>
      </c>
      <c r="G2213">
        <v>9550.33984375</v>
      </c>
      <c r="H2213">
        <f t="shared" si="221"/>
        <v>2211</v>
      </c>
      <c r="I2213">
        <f>SUM($E$3:E2213)/H2213</f>
        <v>1.337861147235929</v>
      </c>
      <c r="L2213">
        <f t="shared" si="236"/>
        <v>3.2209999561309814</v>
      </c>
      <c r="M2213">
        <f t="shared" si="237"/>
        <v>2.8250000476837158</v>
      </c>
      <c r="N2213">
        <f>SUM($F$3:F2213)/H2213</f>
        <v>1851799.2496713875</v>
      </c>
    </row>
    <row r="2214" spans="1:14" x14ac:dyDescent="0.15">
      <c r="A2214" s="2">
        <v>46171</v>
      </c>
      <c r="B2214">
        <v>3.2039999961853027</v>
      </c>
      <c r="C2214">
        <v>3.2039999961853027</v>
      </c>
      <c r="D2214">
        <v>3.0499999523162842</v>
      </c>
      <c r="E2214">
        <v>3.059999942779541</v>
      </c>
      <c r="F2214">
        <v>1204034</v>
      </c>
      <c r="G2214">
        <v>12040.33984375</v>
      </c>
      <c r="H2214">
        <f t="shared" si="221"/>
        <v>2212</v>
      </c>
      <c r="I2214">
        <f>SUM($E$3:E2214)/H2214</f>
        <v>1.3386396909952163</v>
      </c>
      <c r="L2214">
        <f>VLOOKUP(K112,A:C,3)</f>
        <v>3.0899999141693115</v>
      </c>
      <c r="M2214">
        <f>VLOOKUP(K112,A:D,4)</f>
        <v>2.9849998950958252</v>
      </c>
      <c r="N2214">
        <f>SUM($F$3:F2214)/H2214</f>
        <v>1851506.4082384438</v>
      </c>
    </row>
    <row r="2215" spans="1:14" x14ac:dyDescent="0.15">
      <c r="A2215" s="2">
        <v>46174</v>
      </c>
      <c r="B2215">
        <v>3.059999942779541</v>
      </c>
      <c r="C2215">
        <v>3.0899999141693115</v>
      </c>
      <c r="D2215">
        <v>2.9849998950958252</v>
      </c>
      <c r="E2215">
        <v>2.9909999370574951</v>
      </c>
      <c r="F2215">
        <v>1468001</v>
      </c>
      <c r="G2215">
        <v>14680.009765625</v>
      </c>
      <c r="H2215">
        <f t="shared" si="221"/>
        <v>2213</v>
      </c>
      <c r="I2215">
        <f>SUM($E$3:E2215)/H2215</f>
        <v>1.3393863517480689</v>
      </c>
      <c r="L2215">
        <f t="shared" ref="L2215:L2234" si="238">IF(A2215&lt;&gt;$J$112,MAX(L2214,VLOOKUP(A2215,A:C,3)),)</f>
        <v>3.0899999141693115</v>
      </c>
      <c r="M2215">
        <f t="shared" ref="M2215:M2234" si="239">IF(A2215&lt;&gt;$J$112,MIN(M2214,VLOOKUP(A2215,A:D,4)),)</f>
        <v>2.9849998950958252</v>
      </c>
      <c r="N2215">
        <f>SUM($F$3:F2215)/H2215</f>
        <v>1851333.1116237857</v>
      </c>
    </row>
    <row r="2216" spans="1:14" x14ac:dyDescent="0.15">
      <c r="A2216" s="2">
        <v>46175</v>
      </c>
      <c r="B2216">
        <v>2.9909999370574951</v>
      </c>
      <c r="C2216">
        <v>3.0810000896453857</v>
      </c>
      <c r="D2216">
        <v>2.9730000495910645</v>
      </c>
      <c r="E2216">
        <v>3.065000057220459</v>
      </c>
      <c r="F2216">
        <v>835717</v>
      </c>
      <c r="G2216">
        <v>8357.169921875</v>
      </c>
      <c r="H2216">
        <f t="shared" si="221"/>
        <v>2214</v>
      </c>
      <c r="I2216">
        <f>SUM($E$3:E2216)/H2216</f>
        <v>1.3401657617324736</v>
      </c>
      <c r="L2216">
        <f t="shared" si="238"/>
        <v>3.0899999141693115</v>
      </c>
      <c r="M2216">
        <f t="shared" si="239"/>
        <v>2.9730000495910645</v>
      </c>
      <c r="N2216">
        <f>SUM($F$3:F2216)/H2216</f>
        <v>1850874.3870927901</v>
      </c>
    </row>
    <row r="2217" spans="1:14" x14ac:dyDescent="0.15">
      <c r="A2217" s="2">
        <v>46176</v>
      </c>
      <c r="B2217">
        <v>3.0669999122619629</v>
      </c>
      <c r="C2217">
        <v>3.2230000495910645</v>
      </c>
      <c r="D2217">
        <v>3.0669999122619629</v>
      </c>
      <c r="E2217">
        <v>3.1589999198913574</v>
      </c>
      <c r="F2217">
        <v>1537753</v>
      </c>
      <c r="G2217">
        <v>15377.5302734375</v>
      </c>
      <c r="H2217">
        <f t="shared" si="221"/>
        <v>2215</v>
      </c>
      <c r="I2217">
        <f>SUM($E$3:E2217)/H2217</f>
        <v>1.3409869058219359</v>
      </c>
      <c r="L2217">
        <f t="shared" si="238"/>
        <v>3.2230000495910645</v>
      </c>
      <c r="M2217">
        <f t="shared" si="239"/>
        <v>2.9730000495910645</v>
      </c>
      <c r="N2217">
        <f>SUM($F$3:F2217)/H2217</f>
        <v>1850733.023035412</v>
      </c>
    </row>
    <row r="2218" spans="1:14" x14ac:dyDescent="0.15">
      <c r="A2218" s="2">
        <v>46177</v>
      </c>
      <c r="B2218">
        <v>3.1489999294281006</v>
      </c>
      <c r="C2218">
        <v>3.1789999008178711</v>
      </c>
      <c r="D2218">
        <v>3.1070001125335693</v>
      </c>
      <c r="E2218">
        <v>3.1410000324249268</v>
      </c>
      <c r="F2218">
        <v>1010120</v>
      </c>
      <c r="G2218">
        <v>10101.2001953125</v>
      </c>
      <c r="H2218">
        <f t="shared" si="221"/>
        <v>2216</v>
      </c>
      <c r="I2218">
        <f>SUM($E$3:E2218)/H2218</f>
        <v>1.3417991861137242</v>
      </c>
      <c r="L2218">
        <f t="shared" si="238"/>
        <v>3.2230000495910645</v>
      </c>
      <c r="M2218">
        <f t="shared" si="239"/>
        <v>2.9730000495910645</v>
      </c>
      <c r="N2218">
        <f>SUM($F$3:F2218)/H2218</f>
        <v>1850353.685028627</v>
      </c>
    </row>
    <row r="2219" spans="1:14" x14ac:dyDescent="0.15">
      <c r="A2219" s="2">
        <v>46178</v>
      </c>
      <c r="B2219">
        <v>3.1410000324249268</v>
      </c>
      <c r="C2219">
        <v>3.1700000762939453</v>
      </c>
      <c r="D2219">
        <v>3.0199999809265137</v>
      </c>
      <c r="E2219">
        <v>3.0520000457763672</v>
      </c>
      <c r="F2219">
        <v>987155.9375</v>
      </c>
      <c r="G2219">
        <v>9871.5595703125</v>
      </c>
      <c r="H2219">
        <f t="shared" si="221"/>
        <v>2217</v>
      </c>
      <c r="I2219">
        <f>SUM($E$3:E2219)/H2219</f>
        <v>1.3425705892980555</v>
      </c>
      <c r="L2219">
        <f t="shared" si="238"/>
        <v>3.2230000495910645</v>
      </c>
      <c r="M2219">
        <f t="shared" si="239"/>
        <v>2.9730000495910645</v>
      </c>
      <c r="N2219">
        <f>SUM($F$3:F2219)/H2219</f>
        <v>1849964.3310604137</v>
      </c>
    </row>
    <row r="2220" spans="1:14" x14ac:dyDescent="0.15">
      <c r="A2220" s="2">
        <v>46181</v>
      </c>
      <c r="B2220">
        <v>3.0309998989105225</v>
      </c>
      <c r="C2220">
        <v>3.0309998989105225</v>
      </c>
      <c r="D2220">
        <v>2.9010000228881836</v>
      </c>
      <c r="E2220">
        <v>2.9279999732971191</v>
      </c>
      <c r="F2220">
        <v>809143</v>
      </c>
      <c r="G2220">
        <v>8091.43017578125</v>
      </c>
      <c r="H2220">
        <f t="shared" si="221"/>
        <v>2218</v>
      </c>
      <c r="I2220">
        <f>SUM($E$3:E2220)/H2220</f>
        <v>1.3432853906434115</v>
      </c>
      <c r="L2220">
        <f t="shared" si="238"/>
        <v>3.2230000495910645</v>
      </c>
      <c r="M2220">
        <f t="shared" si="239"/>
        <v>2.9010000228881836</v>
      </c>
      <c r="N2220">
        <f>SUM($F$3:F2220)/H2220</f>
        <v>1849495.0698651657</v>
      </c>
    </row>
    <row r="2221" spans="1:14" x14ac:dyDescent="0.15">
      <c r="A2221" s="2">
        <v>46182</v>
      </c>
      <c r="B2221">
        <v>2.9409999847412109</v>
      </c>
      <c r="C2221">
        <v>3.0280001163482666</v>
      </c>
      <c r="D2221">
        <v>2.9409999847412109</v>
      </c>
      <c r="E2221">
        <v>3.0269999504089355</v>
      </c>
      <c r="F2221">
        <v>816435</v>
      </c>
      <c r="G2221">
        <v>8164.35009765625</v>
      </c>
      <c r="H2221">
        <f t="shared" si="221"/>
        <v>2219</v>
      </c>
      <c r="I2221">
        <f>SUM($E$3:E2221)/H2221</f>
        <v>1.3440441624143737</v>
      </c>
      <c r="L2221">
        <f t="shared" si="238"/>
        <v>3.2230000495910645</v>
      </c>
      <c r="M2221">
        <f t="shared" si="239"/>
        <v>2.9010000228881836</v>
      </c>
      <c r="N2221">
        <f>SUM($F$3:F2221)/H2221</f>
        <v>1849029.5177832076</v>
      </c>
    </row>
    <row r="2222" spans="1:14" x14ac:dyDescent="0.15">
      <c r="A2222" s="2">
        <v>46183</v>
      </c>
      <c r="B2222">
        <v>2.9900000095367432</v>
      </c>
      <c r="C2222">
        <v>3.0569999217987061</v>
      </c>
      <c r="D2222">
        <v>2.9500000476837158</v>
      </c>
      <c r="E2222">
        <v>3.0079998970031738</v>
      </c>
      <c r="F2222">
        <v>682365</v>
      </c>
      <c r="G2222">
        <v>6823.64990234375</v>
      </c>
      <c r="H2222">
        <f t="shared" si="221"/>
        <v>2220</v>
      </c>
      <c r="I2222">
        <f>SUM($E$3:E2222)/H2222</f>
        <v>1.3447936920245489</v>
      </c>
      <c r="L2222">
        <f t="shared" si="238"/>
        <v>3.2230000495910645</v>
      </c>
      <c r="M2222">
        <f t="shared" si="239"/>
        <v>2.9010000228881836</v>
      </c>
      <c r="N2222">
        <f>SUM($F$3:F2222)/H2222</f>
        <v>1848503.9932256476</v>
      </c>
    </row>
    <row r="2223" spans="1:14" x14ac:dyDescent="0.15">
      <c r="A2223" s="2">
        <v>46184</v>
      </c>
      <c r="B2223">
        <v>2.9660000801086426</v>
      </c>
      <c r="C2223">
        <v>2.997999906539917</v>
      </c>
      <c r="D2223">
        <v>2.8849999904632568</v>
      </c>
      <c r="E2223">
        <v>2.8970000743865967</v>
      </c>
      <c r="F2223">
        <v>783159</v>
      </c>
      <c r="G2223">
        <v>7831.58984375</v>
      </c>
      <c r="H2223">
        <f t="shared" si="221"/>
        <v>2221</v>
      </c>
      <c r="I2223">
        <f>SUM($E$3:E2223)/H2223</f>
        <v>1.3454925692791018</v>
      </c>
      <c r="L2223">
        <f t="shared" si="238"/>
        <v>3.2230000495910645</v>
      </c>
      <c r="M2223">
        <f t="shared" si="239"/>
        <v>2.8849999904632568</v>
      </c>
      <c r="N2223">
        <f>SUM($F$3:F2223)/H2223</f>
        <v>1848024.3241607102</v>
      </c>
    </row>
    <row r="2224" spans="1:14" x14ac:dyDescent="0.15">
      <c r="A2224" s="2">
        <v>46185</v>
      </c>
      <c r="B2224">
        <v>2.9300000667572021</v>
      </c>
      <c r="C2224">
        <v>2.9809999465942383</v>
      </c>
      <c r="D2224">
        <v>2.9000000953674316</v>
      </c>
      <c r="E2224">
        <v>2.9100000858306885</v>
      </c>
      <c r="F2224">
        <v>523831</v>
      </c>
      <c r="G2224">
        <v>5238.31005859375</v>
      </c>
      <c r="H2224">
        <f t="shared" si="221"/>
        <v>2222</v>
      </c>
      <c r="I2224">
        <f>SUM($E$3:E2224)/H2224</f>
        <v>1.3461966680714292</v>
      </c>
      <c r="L2224">
        <f t="shared" si="238"/>
        <v>3.2230000495910645</v>
      </c>
      <c r="M2224">
        <f t="shared" si="239"/>
        <v>2.8849999904632568</v>
      </c>
      <c r="N2224">
        <f>SUM($F$3:F2224)/H2224</f>
        <v>1847428.3775701788</v>
      </c>
    </row>
    <row r="2225" spans="1:14" x14ac:dyDescent="0.15">
      <c r="A2225" s="2">
        <v>46188</v>
      </c>
      <c r="B2225">
        <v>2.9100000858306885</v>
      </c>
      <c r="C2225">
        <v>3.0380001068115234</v>
      </c>
      <c r="D2225">
        <v>2.8940000534057617</v>
      </c>
      <c r="E2225">
        <v>3.0350000858306885</v>
      </c>
      <c r="F2225">
        <v>834407</v>
      </c>
      <c r="G2225">
        <v>8344.0703125</v>
      </c>
      <c r="H2225">
        <f t="shared" si="221"/>
        <v>2223</v>
      </c>
      <c r="I2225">
        <f>SUM($E$3:E2225)/H2225</f>
        <v>1.3469563637159454</v>
      </c>
      <c r="L2225">
        <f t="shared" si="238"/>
        <v>3.2230000495910645</v>
      </c>
      <c r="M2225">
        <f t="shared" si="239"/>
        <v>2.8849999904632568</v>
      </c>
      <c r="N2225">
        <f>SUM($F$3:F2225)/H2225</f>
        <v>1846972.677445316</v>
      </c>
    </row>
    <row r="2226" spans="1:14" x14ac:dyDescent="0.15">
      <c r="A2226" s="2">
        <v>46189</v>
      </c>
      <c r="B2226">
        <v>3.0999999046325684</v>
      </c>
      <c r="C2226">
        <v>3.0999999046325684</v>
      </c>
      <c r="D2226">
        <v>3.005000114440918</v>
      </c>
      <c r="E2226">
        <v>3.0450000762939453</v>
      </c>
      <c r="F2226">
        <v>641720</v>
      </c>
      <c r="G2226">
        <v>6417.2001953125</v>
      </c>
      <c r="H2226">
        <f t="shared" si="221"/>
        <v>2224</v>
      </c>
      <c r="I2226">
        <f>SUM($E$3:E2226)/H2226</f>
        <v>1.3477198725795145</v>
      </c>
      <c r="L2226">
        <f t="shared" si="238"/>
        <v>3.2230000495910645</v>
      </c>
      <c r="M2226">
        <f t="shared" si="239"/>
        <v>2.8849999904632568</v>
      </c>
      <c r="N2226">
        <f>SUM($F$3:F2226)/H2226</f>
        <v>1846430.7472845942</v>
      </c>
    </row>
    <row r="2227" spans="1:14" x14ac:dyDescent="0.15">
      <c r="A2227" s="2">
        <v>46190</v>
      </c>
      <c r="B2227">
        <v>3.0439999103546143</v>
      </c>
      <c r="C2227">
        <v>3.1099998950958252</v>
      </c>
      <c r="D2227">
        <v>2.9900000095367432</v>
      </c>
      <c r="E2227">
        <v>3.1099998950958252</v>
      </c>
      <c r="F2227">
        <v>1108229</v>
      </c>
      <c r="G2227">
        <v>11082.2900390625</v>
      </c>
      <c r="H2227">
        <f t="shared" si="221"/>
        <v>2225</v>
      </c>
      <c r="I2227">
        <f>SUM($E$3:E2227)/H2227</f>
        <v>1.3485119085446904</v>
      </c>
      <c r="L2227">
        <f t="shared" si="238"/>
        <v>3.2230000495910645</v>
      </c>
      <c r="M2227">
        <f t="shared" si="239"/>
        <v>2.8849999904632568</v>
      </c>
      <c r="N2227">
        <f>SUM($F$3:F2227)/H2227</f>
        <v>1846098.9712183988</v>
      </c>
    </row>
    <row r="2228" spans="1:14" x14ac:dyDescent="0.15">
      <c r="A2228" s="2">
        <v>46191</v>
      </c>
      <c r="B2228">
        <v>3.1150000095367432</v>
      </c>
      <c r="C2228">
        <v>3.2869999408721924</v>
      </c>
      <c r="D2228">
        <v>3.1119999885559082</v>
      </c>
      <c r="E2228">
        <v>3.255000114440918</v>
      </c>
      <c r="F2228">
        <v>1578859</v>
      </c>
      <c r="G2228">
        <v>15788.58984375</v>
      </c>
      <c r="H2228">
        <f t="shared" si="221"/>
        <v>2226</v>
      </c>
      <c r="I2228">
        <f>SUM($E$3:E2228)/H2228</f>
        <v>1.3493683722490464</v>
      </c>
      <c r="L2228">
        <f t="shared" si="238"/>
        <v>3.2869999408721924</v>
      </c>
      <c r="M2228">
        <f t="shared" si="239"/>
        <v>2.8849999904632568</v>
      </c>
      <c r="N2228">
        <f>SUM($F$3:F2228)/H2228</f>
        <v>1845978.9173229728</v>
      </c>
    </row>
    <row r="2229" spans="1:14" x14ac:dyDescent="0.15">
      <c r="A2229" s="2">
        <v>46195</v>
      </c>
      <c r="B2229">
        <v>3.255000114440918</v>
      </c>
      <c r="C2229">
        <v>3.3159999847412109</v>
      </c>
      <c r="D2229">
        <v>3.190000057220459</v>
      </c>
      <c r="E2229">
        <v>3.2799999713897705</v>
      </c>
      <c r="F2229">
        <v>1458789</v>
      </c>
      <c r="G2229">
        <v>14587.8896484375</v>
      </c>
      <c r="H2229">
        <f t="shared" si="221"/>
        <v>2227</v>
      </c>
      <c r="I2229">
        <f>SUM($E$3:E2229)/H2229</f>
        <v>1.3502352925899268</v>
      </c>
      <c r="L2229">
        <f t="shared" si="238"/>
        <v>3.3159999847412109</v>
      </c>
      <c r="M2229">
        <f t="shared" si="239"/>
        <v>2.8849999904632568</v>
      </c>
      <c r="N2229">
        <f>SUM($F$3:F2229)/H2229</f>
        <v>1845805.055662747</v>
      </c>
    </row>
    <row r="2230" spans="1:14" x14ac:dyDescent="0.15">
      <c r="A2230" s="2">
        <v>46196</v>
      </c>
      <c r="B2230">
        <v>3.2829999923706055</v>
      </c>
      <c r="C2230">
        <v>3.2850000858306885</v>
      </c>
      <c r="D2230">
        <v>3.1500000953674316</v>
      </c>
      <c r="E2230">
        <v>3.1800000667572021</v>
      </c>
      <c r="F2230">
        <v>951505</v>
      </c>
      <c r="G2230">
        <v>9515.0498046875</v>
      </c>
      <c r="H2230">
        <f t="shared" si="221"/>
        <v>2228</v>
      </c>
      <c r="I2230">
        <f>SUM($E$3:E2230)/H2230</f>
        <v>1.3510565514652262</v>
      </c>
      <c r="L2230">
        <f t="shared" si="238"/>
        <v>3.3159999847412109</v>
      </c>
      <c r="M2230">
        <f t="shared" si="239"/>
        <v>2.8849999904632568</v>
      </c>
      <c r="N2230">
        <f>SUM($F$3:F2230)/H2230</f>
        <v>1845403.664255358</v>
      </c>
    </row>
    <row r="2231" spans="1:14" x14ac:dyDescent="0.15">
      <c r="A2231" s="2">
        <v>46197</v>
      </c>
      <c r="B2231">
        <v>3.1789999008178711</v>
      </c>
      <c r="C2231">
        <v>3.2569999694824219</v>
      </c>
      <c r="D2231">
        <v>3.130000114440918</v>
      </c>
      <c r="E2231">
        <v>3.255000114440918</v>
      </c>
      <c r="F2231">
        <v>643054</v>
      </c>
      <c r="G2231">
        <v>6430.5400390625</v>
      </c>
      <c r="H2231">
        <f t="shared" si="221"/>
        <v>2229</v>
      </c>
      <c r="I2231">
        <f>SUM($E$3:E2231)/H2231</f>
        <v>1.3519107208519359</v>
      </c>
      <c r="L2231">
        <f t="shared" si="238"/>
        <v>3.3159999847412109</v>
      </c>
      <c r="M2231">
        <f t="shared" si="239"/>
        <v>2.8849999904632568</v>
      </c>
      <c r="N2231">
        <f>SUM($F$3:F2231)/H2231</f>
        <v>1844864.2521134757</v>
      </c>
    </row>
    <row r="2232" spans="1:14" x14ac:dyDescent="0.15">
      <c r="A2232" s="2">
        <v>46198</v>
      </c>
      <c r="B2232">
        <v>3.255000114440918</v>
      </c>
      <c r="C2232">
        <v>3.3599998950958252</v>
      </c>
      <c r="D2232">
        <v>3.255000114440918</v>
      </c>
      <c r="E2232">
        <v>3.3589999675750732</v>
      </c>
      <c r="F2232">
        <v>1285264</v>
      </c>
      <c r="G2232">
        <v>12852.6396484375</v>
      </c>
      <c r="H2232">
        <f t="shared" si="221"/>
        <v>2230</v>
      </c>
      <c r="I2232">
        <f>SUM($E$3:E2232)/H2232</f>
        <v>1.3528107608728879</v>
      </c>
      <c r="L2232">
        <f t="shared" si="238"/>
        <v>3.3599998950958252</v>
      </c>
      <c r="M2232">
        <f t="shared" si="239"/>
        <v>2.8849999904632568</v>
      </c>
      <c r="N2232">
        <f>SUM($F$3:F2232)/H2232</f>
        <v>1844613.3102963846</v>
      </c>
    </row>
    <row r="2233" spans="1:14" x14ac:dyDescent="0.15">
      <c r="A2233" s="2">
        <v>46199</v>
      </c>
      <c r="B2233">
        <v>3.3589999675750732</v>
      </c>
      <c r="C2233">
        <v>3.3589999675750732</v>
      </c>
      <c r="D2233">
        <v>3.1919999122619629</v>
      </c>
      <c r="E2233">
        <v>3.247999906539917</v>
      </c>
      <c r="F2233">
        <v>935026</v>
      </c>
      <c r="G2233">
        <v>9350.259765625</v>
      </c>
      <c r="H2233">
        <f t="shared" si="221"/>
        <v>2231</v>
      </c>
      <c r="I2233">
        <f>SUM($E$3:E2233)/H2233</f>
        <v>1.3536602405437383</v>
      </c>
      <c r="L2233">
        <f t="shared" si="238"/>
        <v>3.3599998950958252</v>
      </c>
      <c r="M2233">
        <f t="shared" si="239"/>
        <v>2.8849999904632568</v>
      </c>
      <c r="N2233">
        <f>SUM($F$3:F2233)/H2233</f>
        <v>1844205.6064369958</v>
      </c>
    </row>
    <row r="2234" spans="1:14" x14ac:dyDescent="0.15">
      <c r="A2234" s="2">
        <v>46202</v>
      </c>
      <c r="B2234">
        <v>3.2119998931884766</v>
      </c>
      <c r="C2234">
        <v>3.3169999122619629</v>
      </c>
      <c r="D2234">
        <v>3.1800000667572021</v>
      </c>
      <c r="E2234">
        <v>3.2709999084472656</v>
      </c>
      <c r="F2234">
        <v>740488</v>
      </c>
      <c r="G2234">
        <v>7404.8798828125</v>
      </c>
      <c r="H2234">
        <f t="shared" si="221"/>
        <v>2232</v>
      </c>
      <c r="I2234">
        <f>SUM($E$3:E2234)/H2234</f>
        <v>1.3545192636924406</v>
      </c>
      <c r="L2234">
        <f t="shared" si="238"/>
        <v>3.3599998950958252</v>
      </c>
      <c r="M2234">
        <f t="shared" si="239"/>
        <v>2.8849999904632568</v>
      </c>
      <c r="N2234">
        <f>SUM($F$3:F2234)/H2234</f>
        <v>1843711.1093014954</v>
      </c>
    </row>
    <row r="2235" spans="1:14" x14ac:dyDescent="0.15">
      <c r="A2235" s="2">
        <v>46203</v>
      </c>
      <c r="B2235">
        <v>3.2709999084472656</v>
      </c>
      <c r="C2235">
        <v>3.4479999542236328</v>
      </c>
      <c r="D2235">
        <v>3.2709999084472656</v>
      </c>
      <c r="E2235">
        <v>3.4470000267028809</v>
      </c>
      <c r="F2235">
        <v>1519418</v>
      </c>
      <c r="G2235">
        <v>15194.1796875</v>
      </c>
      <c r="H2235">
        <f t="shared" si="221"/>
        <v>2233</v>
      </c>
      <c r="I2235">
        <f>SUM($E$3:E2235)/H2235</f>
        <v>1.3554563352387954</v>
      </c>
      <c r="L2235">
        <f>VLOOKUP(K113,A:C,3)</f>
        <v>3.5380001068115234</v>
      </c>
      <c r="M2235">
        <f>VLOOKUP(K113,A:D,4)</f>
        <v>3.3359999656677246</v>
      </c>
      <c r="N2235">
        <f>SUM($F$3:F2235)/H2235</f>
        <v>1843565.8817559057</v>
      </c>
    </row>
    <row r="2236" spans="1:14" x14ac:dyDescent="0.15">
      <c r="A2236" s="2">
        <v>46204</v>
      </c>
      <c r="B2236">
        <v>3.4470000267028809</v>
      </c>
      <c r="C2236">
        <v>3.5380001068115234</v>
      </c>
      <c r="D2236">
        <v>3.3359999656677246</v>
      </c>
      <c r="E2236">
        <v>3.377000093460083</v>
      </c>
      <c r="F2236">
        <v>1482931</v>
      </c>
      <c r="G2236">
        <v>14829.3095703125</v>
      </c>
      <c r="H2236">
        <f t="shared" si="221"/>
        <v>2234</v>
      </c>
      <c r="I2236">
        <f>SUM($E$3:E2236)/H2236</f>
        <v>1.356361233966737</v>
      </c>
      <c r="L2236">
        <f t="shared" ref="L2236:L2257" si="240">IF(A2236&lt;&gt;$J$113,MAX(L2235,VLOOKUP(A2236,A:C,3)),)</f>
        <v>3.5380001068115234</v>
      </c>
      <c r="M2236">
        <f t="shared" ref="M2236:M2257" si="241">IF(A2236&lt;&gt;$J$113,MIN(M2235,VLOOKUP(A2236,A:D,4)),)</f>
        <v>3.3359999656677246</v>
      </c>
      <c r="N2236">
        <f>SUM($F$3:F2236)/H2236</f>
        <v>1843404.4516387365</v>
      </c>
    </row>
    <row r="2237" spans="1:14" x14ac:dyDescent="0.15">
      <c r="A2237" s="2">
        <v>46205</v>
      </c>
      <c r="B2237">
        <v>3.3529999256134033</v>
      </c>
      <c r="C2237">
        <v>3.3529999256134033</v>
      </c>
      <c r="D2237">
        <v>3.1579999923706055</v>
      </c>
      <c r="E2237">
        <v>3.1640000343322754</v>
      </c>
      <c r="F2237">
        <v>1350211</v>
      </c>
      <c r="G2237">
        <v>13502.1103515625</v>
      </c>
      <c r="H2237">
        <f t="shared" si="221"/>
        <v>2235</v>
      </c>
      <c r="I2237">
        <f>SUM($E$3:E2237)/H2237</f>
        <v>1.3571700209020234</v>
      </c>
      <c r="L2237">
        <f t="shared" si="240"/>
        <v>3.5380001068115234</v>
      </c>
      <c r="M2237">
        <f t="shared" si="241"/>
        <v>3.1579999923706055</v>
      </c>
      <c r="N2237">
        <f>SUM($F$3:F2237)/H2237</f>
        <v>1843183.7834277125</v>
      </c>
    </row>
    <row r="2238" spans="1:14" x14ac:dyDescent="0.15">
      <c r="A2238" s="2">
        <v>46206</v>
      </c>
      <c r="B2238">
        <v>3.1510000228881836</v>
      </c>
      <c r="C2238">
        <v>3.2650001049041748</v>
      </c>
      <c r="D2238">
        <v>3.1319999694824219</v>
      </c>
      <c r="E2238">
        <v>3.190000057220459</v>
      </c>
      <c r="F2238">
        <v>1018549</v>
      </c>
      <c r="G2238">
        <v>10185.490234375</v>
      </c>
      <c r="H2238">
        <f t="shared" si="221"/>
        <v>2236</v>
      </c>
      <c r="I2238">
        <f>SUM($E$3:E2238)/H2238</f>
        <v>1.3579897123315041</v>
      </c>
      <c r="L2238">
        <f t="shared" si="240"/>
        <v>3.5380001068115234</v>
      </c>
      <c r="M2238">
        <f t="shared" si="241"/>
        <v>3.1319999694824219</v>
      </c>
      <c r="N2238">
        <f>SUM($F$3:F2238)/H2238</f>
        <v>1842814.9843295785</v>
      </c>
    </row>
    <row r="2239" spans="1:14" x14ac:dyDescent="0.15">
      <c r="A2239" s="2">
        <v>46209</v>
      </c>
      <c r="B2239">
        <v>3.1919999122619629</v>
      </c>
      <c r="C2239">
        <v>3.2039999961853027</v>
      </c>
      <c r="D2239">
        <v>3.0899999141693115</v>
      </c>
      <c r="E2239">
        <v>3.1760001182556152</v>
      </c>
      <c r="F2239">
        <v>586191</v>
      </c>
      <c r="G2239">
        <v>5861.91015625</v>
      </c>
      <c r="H2239">
        <f t="shared" si="221"/>
        <v>2237</v>
      </c>
      <c r="I2239">
        <f>SUM($E$3:E2239)/H2239</f>
        <v>1.3588024125576659</v>
      </c>
      <c r="L2239">
        <f t="shared" si="240"/>
        <v>3.5380001068115234</v>
      </c>
      <c r="M2239">
        <f t="shared" si="241"/>
        <v>3.0899999141693115</v>
      </c>
      <c r="N2239">
        <f>SUM($F$3:F2239)/H2239</f>
        <v>1842253.2391421266</v>
      </c>
    </row>
    <row r="2240" spans="1:14" x14ac:dyDescent="0.15">
      <c r="A2240" s="2">
        <v>46210</v>
      </c>
      <c r="B2240">
        <v>3.1449999809265137</v>
      </c>
      <c r="C2240">
        <v>3.2230000495910645</v>
      </c>
      <c r="D2240">
        <v>3.1349999904632568</v>
      </c>
      <c r="E2240">
        <v>3.1670000553131104</v>
      </c>
      <c r="F2240">
        <v>485158</v>
      </c>
      <c r="G2240">
        <v>4851.580078125</v>
      </c>
      <c r="H2240">
        <f t="shared" si="221"/>
        <v>2238</v>
      </c>
      <c r="I2240">
        <f>SUM($E$3:E2240)/H2240</f>
        <v>1.3596103650343216</v>
      </c>
      <c r="L2240">
        <f t="shared" si="240"/>
        <v>3.5380001068115234</v>
      </c>
      <c r="M2240">
        <f t="shared" si="241"/>
        <v>3.0899999141693115</v>
      </c>
      <c r="N2240">
        <f>SUM($F$3:F2240)/H2240</f>
        <v>1841646.8516358077</v>
      </c>
    </row>
    <row r="2241" spans="1:14" x14ac:dyDescent="0.15">
      <c r="A2241" s="2">
        <v>46211</v>
      </c>
      <c r="B2241">
        <v>3.1800000667572021</v>
      </c>
      <c r="C2241">
        <v>3.2569999694824219</v>
      </c>
      <c r="D2241">
        <v>3.1659998893737793</v>
      </c>
      <c r="E2241">
        <v>3.2119998931884766</v>
      </c>
      <c r="F2241">
        <v>734899</v>
      </c>
      <c r="G2241">
        <v>7348.990234375</v>
      </c>
      <c r="H2241">
        <f t="shared" si="221"/>
        <v>2239</v>
      </c>
      <c r="I2241">
        <f>SUM($E$3:E2241)/H2241</f>
        <v>1.3604376939883878</v>
      </c>
      <c r="L2241">
        <f t="shared" si="240"/>
        <v>3.5380001068115234</v>
      </c>
      <c r="M2241">
        <f t="shared" si="241"/>
        <v>3.0899999141693115</v>
      </c>
      <c r="N2241">
        <f>SUM($F$3:F2241)/H2241</f>
        <v>1841152.5471018034</v>
      </c>
    </row>
    <row r="2242" spans="1:14" x14ac:dyDescent="0.15">
      <c r="A2242" s="2">
        <v>46212</v>
      </c>
      <c r="B2242">
        <v>3.2119998931884766</v>
      </c>
      <c r="C2242">
        <v>3.369999885559082</v>
      </c>
      <c r="D2242">
        <v>3.1989998817443848</v>
      </c>
      <c r="E2242">
        <v>3.369999885559082</v>
      </c>
      <c r="F2242">
        <v>994562</v>
      </c>
      <c r="G2242">
        <v>9945.6201171875</v>
      </c>
      <c r="H2242">
        <f t="shared" si="221"/>
        <v>2240</v>
      </c>
      <c r="I2242">
        <f>SUM($E$3:E2242)/H2242</f>
        <v>1.3613348199667676</v>
      </c>
      <c r="L2242">
        <f t="shared" si="240"/>
        <v>3.5380001068115234</v>
      </c>
      <c r="M2242">
        <f t="shared" si="241"/>
        <v>3.0899999141693115</v>
      </c>
      <c r="N2242">
        <f>SUM($F$3:F2242)/H2242</f>
        <v>1840774.6048932758</v>
      </c>
    </row>
    <row r="2243" spans="1:14" x14ac:dyDescent="0.15">
      <c r="A2243" s="2">
        <v>46213</v>
      </c>
      <c r="B2243">
        <v>3.3380000591278076</v>
      </c>
      <c r="C2243">
        <v>3.4600000381469727</v>
      </c>
      <c r="D2243">
        <v>3.2899999618530273</v>
      </c>
      <c r="E2243">
        <v>3.2950000762939453</v>
      </c>
      <c r="F2243">
        <v>921784</v>
      </c>
      <c r="G2243">
        <v>9217.83984375</v>
      </c>
      <c r="H2243">
        <f t="shared" si="221"/>
        <v>2241</v>
      </c>
      <c r="I2243">
        <f>SUM($E$3:E2243)/H2243</f>
        <v>1.3621976781802112</v>
      </c>
      <c r="L2243">
        <f t="shared" si="240"/>
        <v>3.5380001068115234</v>
      </c>
      <c r="M2243">
        <f t="shared" si="241"/>
        <v>3.0899999141693115</v>
      </c>
      <c r="N2243">
        <f>SUM($F$3:F2243)/H2243</f>
        <v>1840364.5243020693</v>
      </c>
    </row>
    <row r="2244" spans="1:14" x14ac:dyDescent="0.15">
      <c r="A2244" s="2">
        <v>46216</v>
      </c>
      <c r="B2244">
        <v>3.2850000858306885</v>
      </c>
      <c r="C2244">
        <v>3.3329999446868896</v>
      </c>
      <c r="D2244">
        <v>3.1549999713897705</v>
      </c>
      <c r="E2244">
        <v>3.2200000286102295</v>
      </c>
      <c r="F2244">
        <v>888003</v>
      </c>
      <c r="G2244">
        <v>8880.0302734375</v>
      </c>
      <c r="H2244">
        <f t="shared" si="221"/>
        <v>2242</v>
      </c>
      <c r="I2244">
        <f>SUM($E$3:E2244)/H2244</f>
        <v>1.3630263143757642</v>
      </c>
      <c r="L2244">
        <f t="shared" si="240"/>
        <v>3.5380001068115234</v>
      </c>
      <c r="M2244">
        <f t="shared" si="241"/>
        <v>3.0899999141693115</v>
      </c>
      <c r="N2244">
        <f>SUM($F$3:F2244)/H2244</f>
        <v>1839939.7421770461</v>
      </c>
    </row>
    <row r="2245" spans="1:14" x14ac:dyDescent="0.15">
      <c r="A2245" s="2">
        <v>46217</v>
      </c>
      <c r="B2245">
        <v>3.1819999217987061</v>
      </c>
      <c r="C2245">
        <v>3.2420001029968262</v>
      </c>
      <c r="D2245">
        <v>3.1029999256134033</v>
      </c>
      <c r="E2245">
        <v>3.2349998950958252</v>
      </c>
      <c r="F2245">
        <v>801707</v>
      </c>
      <c r="G2245">
        <v>8017.06982421875</v>
      </c>
      <c r="H2245">
        <f t="shared" si="221"/>
        <v>2243</v>
      </c>
      <c r="I2245">
        <f>SUM($E$3:E2245)/H2245</f>
        <v>1.3638608991197321</v>
      </c>
      <c r="L2245">
        <f t="shared" si="240"/>
        <v>3.5380001068115234</v>
      </c>
      <c r="M2245">
        <f t="shared" si="241"/>
        <v>3.0899999141693115</v>
      </c>
      <c r="N2245">
        <f>SUM($F$3:F2245)/H2245</f>
        <v>1839476.865341479</v>
      </c>
    </row>
    <row r="2246" spans="1:14" x14ac:dyDescent="0.15">
      <c r="A2246" s="2">
        <v>46218</v>
      </c>
      <c r="B2246">
        <v>3.2349998950958252</v>
      </c>
      <c r="C2246">
        <v>3.2539999485015869</v>
      </c>
      <c r="D2246">
        <v>3.1449999809265137</v>
      </c>
      <c r="E2246">
        <v>3.1800000667572021</v>
      </c>
      <c r="F2246">
        <v>470447.03125</v>
      </c>
      <c r="G2246">
        <v>4704.47021484375</v>
      </c>
      <c r="H2246">
        <f t="shared" si="221"/>
        <v>2244</v>
      </c>
      <c r="I2246">
        <f>SUM($E$3:E2246)/H2246</f>
        <v>1.3646702302996063</v>
      </c>
      <c r="L2246">
        <f t="shared" si="240"/>
        <v>3.5380001068115234</v>
      </c>
      <c r="M2246">
        <f t="shared" si="241"/>
        <v>3.0899999141693115</v>
      </c>
      <c r="N2246">
        <f>SUM($F$3:F2246)/H2246</f>
        <v>1838866.7807451815</v>
      </c>
    </row>
    <row r="2247" spans="1:14" x14ac:dyDescent="0.15">
      <c r="A2247" s="2">
        <v>46219</v>
      </c>
      <c r="B2247">
        <v>3.1800000667572021</v>
      </c>
      <c r="C2247">
        <v>3.2119998931884766</v>
      </c>
      <c r="D2247">
        <v>3.059999942779541</v>
      </c>
      <c r="E2247">
        <v>3.0889999866485596</v>
      </c>
      <c r="F2247">
        <v>636165</v>
      </c>
      <c r="G2247">
        <v>6361.64990234375</v>
      </c>
      <c r="H2247">
        <f t="shared" si="221"/>
        <v>2245</v>
      </c>
      <c r="I2247">
        <f>SUM($E$3:E2247)/H2247</f>
        <v>1.3654383059149064</v>
      </c>
      <c r="L2247">
        <f t="shared" si="240"/>
        <v>3.5380001068115234</v>
      </c>
      <c r="M2247">
        <f t="shared" si="241"/>
        <v>3.059999942779541</v>
      </c>
      <c r="N2247">
        <f>SUM($F$3:F2247)/H2247</f>
        <v>1838331.0561212415</v>
      </c>
    </row>
    <row r="2248" spans="1:14" x14ac:dyDescent="0.15">
      <c r="A2248" s="2">
        <v>46220</v>
      </c>
      <c r="B2248">
        <v>3.0889999866485596</v>
      </c>
      <c r="C2248">
        <v>3.0889999866485596</v>
      </c>
      <c r="D2248">
        <v>2.8959999084472656</v>
      </c>
      <c r="E2248">
        <v>2.9089999198913574</v>
      </c>
      <c r="F2248">
        <v>918696</v>
      </c>
      <c r="G2248">
        <v>9186.9599609375</v>
      </c>
      <c r="H2248">
        <f t="shared" si="221"/>
        <v>2246</v>
      </c>
      <c r="I2248">
        <f>SUM($E$3:E2248)/H2248</f>
        <v>1.366125555075181</v>
      </c>
      <c r="L2248">
        <f t="shared" si="240"/>
        <v>3.5380001068115234</v>
      </c>
      <c r="M2248">
        <f t="shared" si="241"/>
        <v>2.8959999084472656</v>
      </c>
      <c r="N2248">
        <f>SUM($F$3:F2248)/H2248</f>
        <v>1837921.6015103238</v>
      </c>
    </row>
    <row r="2249" spans="1:14" x14ac:dyDescent="0.15">
      <c r="A2249" s="2">
        <v>46223</v>
      </c>
      <c r="B2249">
        <v>2.9389998912811279</v>
      </c>
      <c r="C2249">
        <v>2.9890000820159912</v>
      </c>
      <c r="D2249">
        <v>2.8540000915527344</v>
      </c>
      <c r="E2249">
        <v>2.9309999942779541</v>
      </c>
      <c r="F2249">
        <v>580828</v>
      </c>
      <c r="G2249">
        <v>5808.27978515625</v>
      </c>
      <c r="H2249">
        <f t="shared" si="221"/>
        <v>2247</v>
      </c>
      <c r="I2249">
        <f>SUM($E$3:E2249)/H2249</f>
        <v>1.3668219833970336</v>
      </c>
      <c r="L2249">
        <f t="shared" si="240"/>
        <v>3.5380001068115234</v>
      </c>
      <c r="M2249">
        <f t="shared" si="241"/>
        <v>2.8540000915527344</v>
      </c>
      <c r="N2249">
        <f>SUM($F$3:F2249)/H2249</f>
        <v>1837362.1473040443</v>
      </c>
    </row>
    <row r="2250" spans="1:14" x14ac:dyDescent="0.15">
      <c r="A2250" s="2">
        <v>46224</v>
      </c>
      <c r="B2250">
        <v>2.9489998817443848</v>
      </c>
      <c r="C2250">
        <v>3.121999979019165</v>
      </c>
      <c r="D2250">
        <v>2.8599998950958252</v>
      </c>
      <c r="E2250">
        <v>3.119999885559082</v>
      </c>
      <c r="F2250">
        <v>1165418</v>
      </c>
      <c r="G2250">
        <v>11654.1796875</v>
      </c>
      <c r="H2250">
        <f t="shared" si="221"/>
        <v>2248</v>
      </c>
      <c r="I2250">
        <f>SUM($E$3:E2250)/H2250</f>
        <v>1.3676018668054686</v>
      </c>
      <c r="L2250">
        <f t="shared" si="240"/>
        <v>3.5380001068115234</v>
      </c>
      <c r="M2250">
        <f t="shared" si="241"/>
        <v>2.8540000915527344</v>
      </c>
      <c r="N2250">
        <f>SUM($F$3:F2250)/H2250</f>
        <v>1837063.239765208</v>
      </c>
    </row>
    <row r="2251" spans="1:14" x14ac:dyDescent="0.15">
      <c r="A2251" s="2">
        <v>46225</v>
      </c>
      <c r="B2251">
        <v>3.1400001049041748</v>
      </c>
      <c r="C2251">
        <v>3.1760001182556152</v>
      </c>
      <c r="D2251">
        <v>2.9769999980926514</v>
      </c>
      <c r="E2251">
        <v>3.0959999561309814</v>
      </c>
      <c r="F2251">
        <v>746700</v>
      </c>
      <c r="G2251">
        <v>7467</v>
      </c>
      <c r="H2251">
        <f t="shared" si="221"/>
        <v>2249</v>
      </c>
      <c r="I2251">
        <f>SUM($E$3:E2251)/H2251</f>
        <v>1.3683703852978322</v>
      </c>
      <c r="L2251">
        <f t="shared" si="240"/>
        <v>3.5380001068115234</v>
      </c>
      <c r="M2251">
        <f t="shared" si="241"/>
        <v>2.8540000915527344</v>
      </c>
      <c r="N2251">
        <f>SUM($F$3:F2251)/H2251</f>
        <v>1836578.4184047077</v>
      </c>
    </row>
    <row r="2252" spans="1:14" x14ac:dyDescent="0.15">
      <c r="A2252" s="2">
        <v>46226</v>
      </c>
      <c r="B2252">
        <v>3.0959999561309814</v>
      </c>
      <c r="C2252">
        <v>3.121999979019165</v>
      </c>
      <c r="D2252">
        <v>3.000999927520752</v>
      </c>
      <c r="E2252">
        <v>3.0329999923706055</v>
      </c>
      <c r="F2252">
        <v>577598</v>
      </c>
      <c r="G2252">
        <v>5775.97998046875</v>
      </c>
      <c r="H2252">
        <f t="shared" si="221"/>
        <v>2250</v>
      </c>
      <c r="I2252">
        <f>SUM($E$3:E2252)/H2252</f>
        <v>1.3691102206787533</v>
      </c>
      <c r="L2252">
        <f t="shared" si="240"/>
        <v>3.5380001068115234</v>
      </c>
      <c r="M2252">
        <f t="shared" si="241"/>
        <v>2.8540000915527344</v>
      </c>
      <c r="N2252">
        <f>SUM($F$3:F2252)/H2252</f>
        <v>1836018.8715520834</v>
      </c>
    </row>
    <row r="2253" spans="1:14" x14ac:dyDescent="0.15">
      <c r="A2253" s="2">
        <v>46227</v>
      </c>
      <c r="B2253">
        <v>3</v>
      </c>
      <c r="C2253">
        <v>3.0230000019073486</v>
      </c>
      <c r="D2253">
        <v>2.934999942779541</v>
      </c>
      <c r="E2253">
        <v>2.9790000915527344</v>
      </c>
      <c r="F2253">
        <v>356459</v>
      </c>
      <c r="G2253">
        <v>3564.590087890625</v>
      </c>
      <c r="H2253">
        <f t="shared" si="221"/>
        <v>2251</v>
      </c>
      <c r="I2253">
        <f>SUM($E$3:E2253)/H2253</f>
        <v>1.3698254094263651</v>
      </c>
      <c r="L2253">
        <f t="shared" si="240"/>
        <v>3.5380001068115234</v>
      </c>
      <c r="M2253">
        <f t="shared" si="241"/>
        <v>2.8540000915527344</v>
      </c>
      <c r="N2253">
        <f>SUM($F$3:F2253)/H2253</f>
        <v>1835361.581515854</v>
      </c>
    </row>
    <row r="2254" spans="1:14" x14ac:dyDescent="0.15">
      <c r="A2254" s="2">
        <v>46230</v>
      </c>
      <c r="B2254">
        <v>2.9509999752044678</v>
      </c>
      <c r="C2254">
        <v>2.999000072479248</v>
      </c>
      <c r="D2254">
        <v>2.880000114440918</v>
      </c>
      <c r="E2254">
        <v>2.994999885559082</v>
      </c>
      <c r="F2254">
        <v>365321</v>
      </c>
      <c r="G2254">
        <v>3653.2099609375</v>
      </c>
      <c r="H2254">
        <f t="shared" si="221"/>
        <v>2252</v>
      </c>
      <c r="I2254">
        <f>SUM($E$3:E2254)/H2254</f>
        <v>1.3705470677194969</v>
      </c>
      <c r="L2254">
        <f t="shared" si="240"/>
        <v>3.5380001068115234</v>
      </c>
      <c r="M2254">
        <f t="shared" si="241"/>
        <v>2.8540000915527344</v>
      </c>
      <c r="N2254">
        <f>SUM($F$3:F2254)/H2254</f>
        <v>1834708.8103872947</v>
      </c>
    </row>
    <row r="2255" spans="1:14" x14ac:dyDescent="0.15">
      <c r="A2255" s="2">
        <v>46231</v>
      </c>
      <c r="B2255">
        <v>2.9500000476837158</v>
      </c>
      <c r="C2255">
        <v>2.9600000381469727</v>
      </c>
      <c r="D2255">
        <v>2.8469998836517334</v>
      </c>
      <c r="E2255">
        <v>2.869999885559082</v>
      </c>
      <c r="F2255">
        <v>1000332</v>
      </c>
      <c r="G2255">
        <v>10003.3203125</v>
      </c>
      <c r="H2255">
        <f t="shared" si="221"/>
        <v>2253</v>
      </c>
      <c r="I2255">
        <f>SUM($E$3:E2255)/H2255</f>
        <v>1.3712126038126347</v>
      </c>
      <c r="L2255">
        <f t="shared" si="240"/>
        <v>3.5380001068115234</v>
      </c>
      <c r="M2255">
        <f t="shared" si="241"/>
        <v>2.8469998836517334</v>
      </c>
      <c r="N2255">
        <f>SUM($F$3:F2255)/H2255</f>
        <v>1834338.4700364792</v>
      </c>
    </row>
    <row r="2256" spans="1:14" x14ac:dyDescent="0.15">
      <c r="A2256" s="2">
        <v>46232</v>
      </c>
      <c r="B2256">
        <v>2.8680000305175781</v>
      </c>
      <c r="C2256">
        <v>2.8680000305175781</v>
      </c>
      <c r="D2256">
        <v>2.7360000610351562</v>
      </c>
      <c r="E2256">
        <v>2.8090000152587891</v>
      </c>
      <c r="F2256">
        <v>714687</v>
      </c>
      <c r="G2256">
        <v>7146.8701171875</v>
      </c>
      <c r="H2256">
        <f t="shared" si="221"/>
        <v>2254</v>
      </c>
      <c r="I2256">
        <f>SUM($E$3:E2256)/H2256</f>
        <v>1.3718504864264085</v>
      </c>
      <c r="L2256">
        <f t="shared" si="240"/>
        <v>3.5380001068115234</v>
      </c>
      <c r="M2256">
        <f t="shared" si="241"/>
        <v>2.7360000610351562</v>
      </c>
      <c r="N2256">
        <f>SUM($F$3:F2256)/H2256</f>
        <v>1833841.7302538543</v>
      </c>
    </row>
    <row r="2257" spans="1:14" x14ac:dyDescent="0.15">
      <c r="A2257" s="2">
        <v>46233</v>
      </c>
      <c r="B2257">
        <v>2.7809998989105225</v>
      </c>
      <c r="C2257">
        <v>2.7980000972747803</v>
      </c>
      <c r="D2257">
        <v>2.687000036239624</v>
      </c>
      <c r="E2257">
        <v>2.7219998836517334</v>
      </c>
      <c r="F2257">
        <v>1298263</v>
      </c>
      <c r="G2257">
        <v>12982.6298828125</v>
      </c>
      <c r="H2257">
        <f t="shared" si="221"/>
        <v>2255</v>
      </c>
      <c r="I2257">
        <f>SUM($E$3:E2257)/H2257</f>
        <v>1.3724492223010094</v>
      </c>
      <c r="L2257">
        <f t="shared" si="240"/>
        <v>3.5380001068115234</v>
      </c>
      <c r="M2257">
        <f t="shared" si="241"/>
        <v>2.687000036239624</v>
      </c>
      <c r="N2257">
        <f>SUM($F$3:F2257)/H2257</f>
        <v>1833604.2230564025</v>
      </c>
    </row>
    <row r="2258" spans="1:14" x14ac:dyDescent="0.15">
      <c r="A2258" s="2">
        <v>46234</v>
      </c>
      <c r="B2258">
        <v>2.7909998893737793</v>
      </c>
      <c r="C2258">
        <v>2.8880000114440918</v>
      </c>
      <c r="D2258">
        <v>2.7909998893737793</v>
      </c>
      <c r="E2258">
        <v>2.8029999732971191</v>
      </c>
      <c r="F2258">
        <v>842345</v>
      </c>
      <c r="G2258">
        <v>8423.4501953125</v>
      </c>
      <c r="H2258">
        <f t="shared" si="221"/>
        <v>2256</v>
      </c>
      <c r="I2258">
        <f>SUM($E$3:E2258)/H2258</f>
        <v>1.373083331676451</v>
      </c>
      <c r="L2258">
        <f>VLOOKUP(K114,A:C,3)</f>
        <v>2.7890000343322754</v>
      </c>
      <c r="M2258">
        <f>VLOOKUP(K114,A:D,4)</f>
        <v>2.7409999370574951</v>
      </c>
      <c r="N2258">
        <f>SUM($F$3:F2258)/H2258</f>
        <v>1833164.83510292</v>
      </c>
    </row>
    <row r="2259" spans="1:14" x14ac:dyDescent="0.15">
      <c r="A2259" s="2">
        <v>46237</v>
      </c>
      <c r="B2259">
        <v>2.7890000343322754</v>
      </c>
      <c r="C2259">
        <v>2.7890000343322754</v>
      </c>
      <c r="D2259">
        <v>2.7409999370574951</v>
      </c>
      <c r="E2259">
        <v>2.744999885559082</v>
      </c>
      <c r="F2259">
        <v>1079390</v>
      </c>
      <c r="G2259">
        <v>10793.900390625</v>
      </c>
      <c r="H2259">
        <f t="shared" si="221"/>
        <v>2257</v>
      </c>
      <c r="I2259">
        <f>SUM($E$3:E2259)/H2259</f>
        <v>1.3736911812794119</v>
      </c>
      <c r="L2259">
        <f t="shared" ref="L2259:L2279" si="242">IF(A2259&lt;&gt;$J$114,MAX(L2258,VLOOKUP(A2259,A:C,3)),)</f>
        <v>2.7890000343322754</v>
      </c>
      <c r="M2259">
        <f t="shared" ref="M2259:M2279" si="243">IF(A2259&lt;&gt;$J$114,MIN(M2258,VLOOKUP(A2259,A:D,4)),)</f>
        <v>2.7409999370574951</v>
      </c>
      <c r="N2259">
        <f>SUM($F$3:F2259)/H2259</f>
        <v>1832830.8630891393</v>
      </c>
    </row>
    <row r="2260" spans="1:14" x14ac:dyDescent="0.15">
      <c r="A2260" s="2">
        <v>46238</v>
      </c>
      <c r="B2260">
        <v>2.7360000610351562</v>
      </c>
      <c r="C2260">
        <v>2.880000114440918</v>
      </c>
      <c r="D2260">
        <v>2.7360000610351562</v>
      </c>
      <c r="E2260">
        <v>2.8629999160766602</v>
      </c>
      <c r="F2260">
        <v>592922</v>
      </c>
      <c r="G2260">
        <v>5929.22021484375</v>
      </c>
      <c r="H2260">
        <f t="shared" si="221"/>
        <v>2258</v>
      </c>
      <c r="I2260">
        <f>SUM($E$3:E2260)/H2260</f>
        <v>1.3743507511353894</v>
      </c>
      <c r="L2260">
        <f t="shared" si="242"/>
        <v>2.880000114440918</v>
      </c>
      <c r="M2260">
        <f t="shared" si="243"/>
        <v>2.7360000610351562</v>
      </c>
      <c r="N2260">
        <f>SUM($F$3:F2260)/H2260</f>
        <v>1832281.7449035374</v>
      </c>
    </row>
    <row r="2261" spans="1:14" x14ac:dyDescent="0.15">
      <c r="A2261" s="2">
        <v>46239</v>
      </c>
      <c r="B2261">
        <v>2.8499999046325684</v>
      </c>
      <c r="C2261">
        <v>2.9489998817443848</v>
      </c>
      <c r="D2261">
        <v>2.7969999313354492</v>
      </c>
      <c r="E2261">
        <v>2.9159998893737793</v>
      </c>
      <c r="F2261">
        <v>897484</v>
      </c>
      <c r="G2261">
        <v>8974.83984375</v>
      </c>
      <c r="H2261">
        <f t="shared" si="221"/>
        <v>2259</v>
      </c>
      <c r="I2261">
        <f>SUM($E$3:E2261)/H2261</f>
        <v>1.3750331987397446</v>
      </c>
      <c r="L2261">
        <f t="shared" si="242"/>
        <v>2.9489998817443848</v>
      </c>
      <c r="M2261">
        <f t="shared" si="243"/>
        <v>2.7360000610351562</v>
      </c>
      <c r="N2261">
        <f>SUM($F$3:F2261)/H2261</f>
        <v>1831867.9344808266</v>
      </c>
    </row>
    <row r="2262" spans="1:14" x14ac:dyDescent="0.15">
      <c r="A2262" s="2">
        <v>46240</v>
      </c>
      <c r="B2262">
        <v>2.9149999618530273</v>
      </c>
      <c r="C2262">
        <v>2.9509999752044678</v>
      </c>
      <c r="D2262">
        <v>2.8310000896453857</v>
      </c>
      <c r="E2262">
        <v>2.9130001068115234</v>
      </c>
      <c r="F2262">
        <v>512985</v>
      </c>
      <c r="G2262">
        <v>5129.85009765625</v>
      </c>
      <c r="H2262">
        <f t="shared" si="221"/>
        <v>2260</v>
      </c>
      <c r="I2262">
        <f>SUM($E$3:E2262)/H2262</f>
        <v>1.3757137150707499</v>
      </c>
      <c r="L2262">
        <f t="shared" si="242"/>
        <v>2.9509999752044678</v>
      </c>
      <c r="M2262">
        <f t="shared" si="243"/>
        <v>2.7360000610351562</v>
      </c>
      <c r="N2262">
        <f>SUM($F$3:F2262)/H2262</f>
        <v>1831284.357961145</v>
      </c>
    </row>
    <row r="2263" spans="1:14" x14ac:dyDescent="0.15">
      <c r="A2263" s="2">
        <v>46241</v>
      </c>
      <c r="B2263">
        <v>2.8929998874664307</v>
      </c>
      <c r="C2263">
        <v>2.9549999237060547</v>
      </c>
      <c r="D2263">
        <v>2.8840000629425049</v>
      </c>
      <c r="E2263">
        <v>2.9210000038146973</v>
      </c>
      <c r="F2263">
        <v>647767</v>
      </c>
      <c r="G2263">
        <v>6477.669921875</v>
      </c>
      <c r="H2263">
        <f t="shared" si="221"/>
        <v>2261</v>
      </c>
      <c r="I2263">
        <f>SUM($E$3:E2263)/H2263</f>
        <v>1.3763971676531221</v>
      </c>
      <c r="L2263">
        <f t="shared" si="242"/>
        <v>2.9549999237060547</v>
      </c>
      <c r="M2263">
        <f t="shared" si="243"/>
        <v>2.7360000610351562</v>
      </c>
      <c r="N2263">
        <f>SUM($F$3:F2263)/H2263</f>
        <v>1830760.9093286986</v>
      </c>
    </row>
    <row r="2264" spans="1:14" x14ac:dyDescent="0.15">
      <c r="A2264" s="2">
        <v>46244</v>
      </c>
      <c r="B2264">
        <v>2.9249999523162842</v>
      </c>
      <c r="C2264">
        <v>2.9249999523162842</v>
      </c>
      <c r="D2264">
        <v>2.8250000476837158</v>
      </c>
      <c r="E2264">
        <v>2.8650000095367432</v>
      </c>
      <c r="F2264">
        <v>742183</v>
      </c>
      <c r="G2264">
        <v>7421.830078125</v>
      </c>
      <c r="H2264">
        <f t="shared" si="221"/>
        <v>2262</v>
      </c>
      <c r="I2264">
        <f>SUM($E$3:E2264)/H2264</f>
        <v>1.3770552590951575</v>
      </c>
      <c r="L2264">
        <f t="shared" si="242"/>
        <v>2.9549999237060547</v>
      </c>
      <c r="M2264">
        <f t="shared" si="243"/>
        <v>2.7360000610351562</v>
      </c>
      <c r="N2264">
        <f>SUM($F$3:F2264)/H2264</f>
        <v>1830279.6635686064</v>
      </c>
    </row>
    <row r="2265" spans="1:14" x14ac:dyDescent="0.15">
      <c r="A2265" s="2">
        <v>46245</v>
      </c>
      <c r="B2265">
        <v>2.8369998931884766</v>
      </c>
      <c r="C2265">
        <v>2.8910000324249268</v>
      </c>
      <c r="D2265">
        <v>2.8199999332427979</v>
      </c>
      <c r="E2265">
        <v>2.8570001125335693</v>
      </c>
      <c r="F2265">
        <v>494038</v>
      </c>
      <c r="G2265">
        <v>4940.3798828125</v>
      </c>
      <c r="H2265">
        <f t="shared" si="221"/>
        <v>2263</v>
      </c>
      <c r="I2265">
        <f>SUM($E$3:E2265)/H2265</f>
        <v>1.3777092338425894</v>
      </c>
      <c r="L2265">
        <f t="shared" si="242"/>
        <v>2.9549999237060547</v>
      </c>
      <c r="M2265">
        <f t="shared" si="243"/>
        <v>2.7360000610351562</v>
      </c>
      <c r="N2265">
        <f>SUM($F$3:F2265)/H2265</f>
        <v>1829689.1900098044</v>
      </c>
    </row>
    <row r="2266" spans="1:14" x14ac:dyDescent="0.15">
      <c r="A2266" s="2">
        <v>46246</v>
      </c>
      <c r="B2266">
        <v>2.8589999675750732</v>
      </c>
      <c r="C2266">
        <v>2.9130001068115234</v>
      </c>
      <c r="D2266">
        <v>2.8299999237060547</v>
      </c>
      <c r="E2266">
        <v>2.8870000839233398</v>
      </c>
      <c r="F2266">
        <v>1072894</v>
      </c>
      <c r="G2266">
        <v>10728.9404296875</v>
      </c>
      <c r="H2266">
        <f t="shared" si="221"/>
        <v>2264</v>
      </c>
      <c r="I2266">
        <f>SUM($E$3:E2266)/H2266</f>
        <v>1.3783758817445684</v>
      </c>
      <c r="L2266">
        <f t="shared" si="242"/>
        <v>2.9549999237060547</v>
      </c>
      <c r="M2266">
        <f t="shared" si="243"/>
        <v>2.7360000610351562</v>
      </c>
      <c r="N2266">
        <f>SUM($F$3:F2266)/H2266</f>
        <v>1829354.9165159839</v>
      </c>
    </row>
    <row r="2267" spans="1:14" x14ac:dyDescent="0.15">
      <c r="A2267" s="2">
        <v>46247</v>
      </c>
      <c r="B2267">
        <v>2.8919999599456787</v>
      </c>
      <c r="C2267">
        <v>2.9609999656677246</v>
      </c>
      <c r="D2267">
        <v>2.869999885559082</v>
      </c>
      <c r="E2267">
        <v>2.869999885559082</v>
      </c>
      <c r="F2267">
        <v>727990</v>
      </c>
      <c r="G2267">
        <v>7279.89990234375</v>
      </c>
      <c r="H2267">
        <f t="shared" si="221"/>
        <v>2265</v>
      </c>
      <c r="I2267">
        <f>SUM($E$3:E2267)/H2267</f>
        <v>1.3790344353886366</v>
      </c>
      <c r="L2267">
        <f t="shared" si="242"/>
        <v>2.9609999656677246</v>
      </c>
      <c r="M2267">
        <f t="shared" si="243"/>
        <v>2.7360000610351562</v>
      </c>
      <c r="N2267">
        <f>SUM($F$3:F2267)/H2267</f>
        <v>1828868.6626897075</v>
      </c>
    </row>
    <row r="2268" spans="1:14" x14ac:dyDescent="0.15">
      <c r="A2268" s="2">
        <v>46248</v>
      </c>
      <c r="B2268">
        <v>2.8900001049041748</v>
      </c>
      <c r="C2268">
        <v>2.9110000133514404</v>
      </c>
      <c r="D2268">
        <v>2.8550000190734863</v>
      </c>
      <c r="E2268">
        <v>2.8959999084472656</v>
      </c>
      <c r="F2268">
        <v>317292</v>
      </c>
      <c r="G2268">
        <v>3172.919921875</v>
      </c>
      <c r="H2268">
        <f t="shared" si="221"/>
        <v>2266</v>
      </c>
      <c r="I2268">
        <f>SUM($E$3:E2268)/H2268</f>
        <v>1.3797038817580358</v>
      </c>
      <c r="L2268">
        <f t="shared" si="242"/>
        <v>2.9609999656677246</v>
      </c>
      <c r="M2268">
        <f t="shared" si="243"/>
        <v>2.7360000610351562</v>
      </c>
      <c r="N2268">
        <f>SUM($F$3:F2268)/H2268</f>
        <v>1828201.5944360932</v>
      </c>
    </row>
    <row r="2269" spans="1:14" x14ac:dyDescent="0.15">
      <c r="A2269" s="2">
        <v>46251</v>
      </c>
      <c r="B2269">
        <v>2.8959999084472656</v>
      </c>
      <c r="C2269">
        <v>2.9820001125335693</v>
      </c>
      <c r="D2269">
        <v>2.8680000305175781</v>
      </c>
      <c r="E2269">
        <v>2.9809999465942383</v>
      </c>
      <c r="F2269">
        <v>897213</v>
      </c>
      <c r="G2269">
        <v>8972.1298828125</v>
      </c>
      <c r="H2269">
        <f t="shared" si="221"/>
        <v>2267</v>
      </c>
      <c r="I2269">
        <f>SUM($E$3:E2269)/H2269</f>
        <v>1.3804102320292473</v>
      </c>
      <c r="L2269">
        <f t="shared" si="242"/>
        <v>2.9820001125335693</v>
      </c>
      <c r="M2269">
        <f t="shared" si="243"/>
        <v>2.7360000610351562</v>
      </c>
      <c r="N2269">
        <f>SUM($F$3:F2269)/H2269</f>
        <v>1827790.9245664701</v>
      </c>
    </row>
    <row r="2270" spans="1:14" x14ac:dyDescent="0.15">
      <c r="A2270" s="2">
        <v>46252</v>
      </c>
      <c r="B2270">
        <v>2.9790000915527344</v>
      </c>
      <c r="C2270">
        <v>2.9809999465942383</v>
      </c>
      <c r="D2270">
        <v>2.9010000228881836</v>
      </c>
      <c r="E2270">
        <v>2.9440000057220459</v>
      </c>
      <c r="F2270">
        <v>394622</v>
      </c>
      <c r="G2270">
        <v>3946.219970703125</v>
      </c>
      <c r="H2270">
        <f t="shared" si="221"/>
        <v>2268</v>
      </c>
      <c r="I2270">
        <f>SUM($E$3:E2270)/H2270</f>
        <v>1.3810996455097115</v>
      </c>
      <c r="L2270">
        <f t="shared" si="242"/>
        <v>2.9820001125335693</v>
      </c>
      <c r="M2270">
        <f t="shared" si="243"/>
        <v>2.7360000610351562</v>
      </c>
      <c r="N2270">
        <f>SUM($F$3:F2270)/H2270</f>
        <v>1827159.0158695711</v>
      </c>
    </row>
    <row r="2271" spans="1:14" x14ac:dyDescent="0.15">
      <c r="A2271" s="2">
        <v>46253</v>
      </c>
      <c r="B2271">
        <v>2.9149999618530273</v>
      </c>
      <c r="C2271">
        <v>2.9270000457763672</v>
      </c>
      <c r="D2271">
        <v>2.75</v>
      </c>
      <c r="E2271">
        <v>2.7720000743865967</v>
      </c>
      <c r="F2271">
        <v>1191600</v>
      </c>
      <c r="G2271">
        <v>11916</v>
      </c>
      <c r="H2271">
        <f t="shared" si="221"/>
        <v>2269</v>
      </c>
      <c r="I2271">
        <f>SUM($E$3:E2271)/H2271</f>
        <v>1.3817126470208956</v>
      </c>
      <c r="L2271">
        <f t="shared" si="242"/>
        <v>2.9820001125335693</v>
      </c>
      <c r="M2271">
        <f t="shared" si="243"/>
        <v>2.7360000610351562</v>
      </c>
      <c r="N2271">
        <f>SUM($F$3:F2271)/H2271</f>
        <v>1826878.9105298314</v>
      </c>
    </row>
    <row r="2272" spans="1:14" x14ac:dyDescent="0.15">
      <c r="A2272" s="2">
        <v>46254</v>
      </c>
      <c r="B2272">
        <v>2.7730000019073486</v>
      </c>
      <c r="C2272">
        <v>2.7969999313354492</v>
      </c>
      <c r="D2272">
        <v>2.75</v>
      </c>
      <c r="E2272">
        <v>2.750999927520752</v>
      </c>
      <c r="F2272">
        <v>500385</v>
      </c>
      <c r="G2272">
        <v>5003.85009765625</v>
      </c>
      <c r="H2272">
        <f t="shared" si="221"/>
        <v>2270</v>
      </c>
      <c r="I2272">
        <f>SUM($E$3:E2272)/H2272</f>
        <v>1.3823158572766225</v>
      </c>
      <c r="L2272">
        <f t="shared" si="242"/>
        <v>2.9820001125335693</v>
      </c>
      <c r="M2272">
        <f t="shared" si="243"/>
        <v>2.7360000610351562</v>
      </c>
      <c r="N2272">
        <f>SUM($F$3:F2272)/H2272</f>
        <v>1826294.5519789371</v>
      </c>
    </row>
    <row r="2273" spans="1:14" x14ac:dyDescent="0.15">
      <c r="A2273" s="2">
        <v>46255</v>
      </c>
      <c r="B2273">
        <v>2.750999927520752</v>
      </c>
      <c r="C2273">
        <v>2.8069999217987061</v>
      </c>
      <c r="D2273">
        <v>2.7249999046325684</v>
      </c>
      <c r="E2273">
        <v>2.7839999198913574</v>
      </c>
      <c r="F2273">
        <v>225027</v>
      </c>
      <c r="G2273">
        <v>2250.27001953125</v>
      </c>
      <c r="H2273">
        <f t="shared" si="221"/>
        <v>2271</v>
      </c>
      <c r="I2273">
        <f>SUM($E$3:E2273)/H2273</f>
        <v>1.382933067343824</v>
      </c>
      <c r="L2273">
        <f t="shared" si="242"/>
        <v>2.9820001125335693</v>
      </c>
      <c r="M2273">
        <f t="shared" si="243"/>
        <v>2.7249999046325684</v>
      </c>
      <c r="N2273">
        <f>SUM($F$3:F2273)/H2273</f>
        <v>1825589.458384935</v>
      </c>
    </row>
    <row r="2274" spans="1:14" x14ac:dyDescent="0.15">
      <c r="A2274" s="2">
        <v>46258</v>
      </c>
      <c r="B2274">
        <v>2.809999942779541</v>
      </c>
      <c r="C2274">
        <v>2.809999942779541</v>
      </c>
      <c r="D2274">
        <v>2.6979999542236328</v>
      </c>
      <c r="E2274">
        <v>2.7060000896453857</v>
      </c>
      <c r="F2274">
        <v>903288.9375</v>
      </c>
      <c r="G2274">
        <v>9032.8896484375</v>
      </c>
      <c r="H2274">
        <f t="shared" si="221"/>
        <v>2272</v>
      </c>
      <c r="I2274">
        <f>SUM($E$3:E2274)/H2274</f>
        <v>1.3835154031811046</v>
      </c>
      <c r="L2274">
        <f t="shared" si="242"/>
        <v>2.9820001125335693</v>
      </c>
      <c r="M2274">
        <f t="shared" si="243"/>
        <v>2.6979999542236328</v>
      </c>
      <c r="N2274">
        <f>SUM($F$3:F2274)/H2274</f>
        <v>1825183.5162542639</v>
      </c>
    </row>
    <row r="2275" spans="1:14" x14ac:dyDescent="0.15">
      <c r="A2275" s="2">
        <v>46259</v>
      </c>
      <c r="B2275">
        <v>2.7049999237060547</v>
      </c>
      <c r="C2275">
        <v>2.7290000915527344</v>
      </c>
      <c r="D2275">
        <v>2.6789999008178711</v>
      </c>
      <c r="E2275">
        <v>2.7179999351501465</v>
      </c>
      <c r="F2275">
        <v>193008</v>
      </c>
      <c r="G2275">
        <v>1930.0799560546875</v>
      </c>
      <c r="H2275">
        <f t="shared" si="221"/>
        <v>2273</v>
      </c>
      <c r="I2275">
        <f>SUM($E$3:E2275)/H2275</f>
        <v>1.384102505922842</v>
      </c>
      <c r="L2275">
        <f t="shared" si="242"/>
        <v>2.9820001125335693</v>
      </c>
      <c r="M2275">
        <f t="shared" si="243"/>
        <v>2.6789999008178711</v>
      </c>
      <c r="N2275">
        <f>SUM($F$3:F2275)/H2275</f>
        <v>1824465.445195639</v>
      </c>
    </row>
    <row r="2276" spans="1:14" x14ac:dyDescent="0.15">
      <c r="A2276" s="2">
        <v>46260</v>
      </c>
      <c r="B2276">
        <v>2.7000000476837158</v>
      </c>
      <c r="C2276">
        <v>2.7139999866485596</v>
      </c>
      <c r="D2276">
        <v>2.6749999523162842</v>
      </c>
      <c r="E2276">
        <v>2.7070000171661377</v>
      </c>
      <c r="F2276">
        <v>559964</v>
      </c>
      <c r="G2276">
        <v>5599.64013671875</v>
      </c>
      <c r="H2276">
        <f t="shared" si="221"/>
        <v>2274</v>
      </c>
      <c r="I2276">
        <f>SUM($E$3:E2276)/H2276</f>
        <v>1.3846842550482787</v>
      </c>
      <c r="L2276">
        <f t="shared" si="242"/>
        <v>2.9820001125335693</v>
      </c>
      <c r="M2276">
        <f t="shared" si="243"/>
        <v>2.6749999523162842</v>
      </c>
      <c r="N2276">
        <f>SUM($F$3:F2276)/H2276</f>
        <v>1823909.3759585258</v>
      </c>
    </row>
    <row r="2277" spans="1:14" x14ac:dyDescent="0.15">
      <c r="A2277" s="2">
        <v>46261</v>
      </c>
      <c r="B2277">
        <v>2.7070000171661377</v>
      </c>
      <c r="C2277">
        <v>2.7699999809265137</v>
      </c>
      <c r="D2277">
        <v>2.7070000171661377</v>
      </c>
      <c r="E2277">
        <v>2.7690000534057617</v>
      </c>
      <c r="F2277">
        <v>725067</v>
      </c>
      <c r="G2277">
        <v>7250.669921875</v>
      </c>
      <c r="H2277">
        <f t="shared" si="221"/>
        <v>2275</v>
      </c>
      <c r="I2277">
        <f>SUM($E$3:E2277)/H2277</f>
        <v>1.3852927455090953</v>
      </c>
      <c r="L2277">
        <f t="shared" si="242"/>
        <v>2.9820001125335693</v>
      </c>
      <c r="M2277">
        <f t="shared" si="243"/>
        <v>2.6749999523162842</v>
      </c>
      <c r="N2277">
        <f>SUM($F$3:F2277)/H2277</f>
        <v>1823426.3683207417</v>
      </c>
    </row>
    <row r="2278" spans="1:14" x14ac:dyDescent="0.15">
      <c r="A2278" s="2">
        <v>46262</v>
      </c>
      <c r="B2278">
        <v>2.7690000534057617</v>
      </c>
      <c r="C2278">
        <v>2.8289999961853027</v>
      </c>
      <c r="D2278">
        <v>2.747999906539917</v>
      </c>
      <c r="E2278">
        <v>2.75</v>
      </c>
      <c r="F2278">
        <v>794441</v>
      </c>
      <c r="G2278">
        <v>7944.41015625</v>
      </c>
      <c r="H2278">
        <f t="shared" si="221"/>
        <v>2276</v>
      </c>
      <c r="I2278">
        <f>SUM($E$3:E2278)/H2278</f>
        <v>1.3858923532659015</v>
      </c>
      <c r="L2278">
        <f t="shared" si="242"/>
        <v>2.9820001125335693</v>
      </c>
      <c r="M2278">
        <f t="shared" si="243"/>
        <v>2.6749999523162842</v>
      </c>
      <c r="N2278">
        <f>SUM($F$3:F2278)/H2278</f>
        <v>1822974.2657863302</v>
      </c>
    </row>
    <row r="2279" spans="1:14" x14ac:dyDescent="0.15">
      <c r="A2279" s="2">
        <v>46265</v>
      </c>
      <c r="B2279">
        <v>2.75</v>
      </c>
      <c r="C2279">
        <v>2.812999963760376</v>
      </c>
      <c r="D2279">
        <v>2.6960000991821289</v>
      </c>
      <c r="E2279">
        <v>2.8069999217987061</v>
      </c>
      <c r="F2279">
        <v>934559.9375</v>
      </c>
      <c r="G2279">
        <v>9345.599609375</v>
      </c>
      <c r="H2279">
        <f t="shared" si="221"/>
        <v>2277</v>
      </c>
      <c r="I2279">
        <f>SUM($E$3:E2279)/H2279</f>
        <v>1.3865164672617438</v>
      </c>
      <c r="L2279">
        <f t="shared" si="242"/>
        <v>0</v>
      </c>
      <c r="M2279">
        <f t="shared" si="243"/>
        <v>0</v>
      </c>
      <c r="N2279">
        <f>SUM($F$3:F2279)/H2279</f>
        <v>1822584.096999204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2026-09-01T07:17:18Z</dcterms:modified>
</cp:coreProperties>
</file>