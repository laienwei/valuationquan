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updateLinks="never" codeName="ThisWorkbook"/>
  <bookViews>
    <workbookView xWindow="2685" yWindow="2685" windowWidth="15600" windowHeight="8880" activeTab="1"/>
  </bookViews>
  <sheets>
    <sheet name="model2(1)mean" sheetId="13" r:id="rId1"/>
    <sheet name="model2(1)MA250" sheetId="10" r:id="rId2"/>
  </sheets>
  <definedNames>
    <definedName name="_xlnm._FilterDatabase" localSheetId="1" hidden="1">'model2(1)MA250'!$O$1:$O$64</definedName>
    <definedName name="_xlnm._FilterDatabase" localSheetId="0" hidden="1">'model2(1)mean'!$O$1:$O$76</definedName>
    <definedName name="金额" localSheetId="1">OFFSET('model2(1)MA250'!J1,0,0,COUNTA('model2(1)MA250'!J:J)-1)</definedName>
    <definedName name="金额" localSheetId="0">OFFSET('model2(1)mean'!J1,0,0,COUNTA('model2(1)mean'!J:J)-1)</definedName>
    <definedName name="时间" localSheetId="1">OFFSET('model2(1)MA250'!A1,0,0,COUNTA('model2(1)MA250'!A:A)-1)</definedName>
    <definedName name="时间" localSheetId="0">OFFSET('model2(1)mean'!A1,0,0,COUNTA('model2(1)mean'!A:A)-1)</definedName>
    <definedName name="资产" localSheetId="1">OFFSET('model2(1)MA250'!I1,0,0,COUNTA('model2(1)MA250'!I:I)-1)</definedName>
    <definedName name="资产" localSheetId="0">OFFSET('model2(1)mean'!I1048576,0,0,COUNTA('model2(1)mean'!I:I)-1)</definedName>
    <definedName name="资金" localSheetId="1">OFFSET('model2(1)MA250'!H1,0,0,COUNTA('model2(1)MA250'!H:H)-1)</definedName>
    <definedName name="资金" localSheetId="0">OFFSET('model2(1)mean'!H1,0,0,COUNTA('model2(1)mean'!H:H)-1)</definedName>
  </definedNames>
  <calcPr calcId="145621"/>
</workbook>
</file>

<file path=xl/calcChain.xml><?xml version="1.0" encoding="utf-8"?>
<calcChain xmlns="http://schemas.openxmlformats.org/spreadsheetml/2006/main">
  <c r="AF18" i="10" l="1"/>
  <c r="AF16" i="10"/>
  <c r="AF15" i="10"/>
  <c r="AF14" i="10"/>
  <c r="AF13" i="10"/>
  <c r="AF12" i="10"/>
  <c r="AF11" i="10"/>
  <c r="AF10" i="10"/>
  <c r="Z28" i="13"/>
  <c r="Z26" i="13"/>
  <c r="Z25" i="13"/>
  <c r="Z24" i="13"/>
  <c r="Z23" i="13"/>
  <c r="Z22" i="13"/>
  <c r="Z21" i="13"/>
  <c r="Z20" i="13"/>
  <c r="Z19" i="13"/>
  <c r="AC15" i="10" l="1"/>
  <c r="AC14" i="10"/>
  <c r="AC13" i="10"/>
  <c r="AC12" i="10"/>
  <c r="AC11" i="10"/>
  <c r="AC10" i="10"/>
  <c r="AC17" i="10" s="1"/>
  <c r="AF16" i="13"/>
  <c r="AF15" i="13"/>
  <c r="AF14" i="13"/>
  <c r="AF13" i="13"/>
  <c r="AF12" i="13"/>
  <c r="AF11" i="13"/>
  <c r="AF10" i="13"/>
  <c r="AF18" i="13" s="1"/>
  <c r="Z14" i="10" l="1"/>
  <c r="Z13" i="10"/>
  <c r="Z12" i="10"/>
  <c r="Z11" i="10"/>
  <c r="Z10" i="10"/>
  <c r="AC15" i="13"/>
  <c r="AC14" i="13"/>
  <c r="AC13" i="13"/>
  <c r="AC12" i="13"/>
  <c r="AC11" i="13"/>
  <c r="AC10" i="13"/>
  <c r="AC17" i="13" s="1"/>
  <c r="Z16" i="10" l="1"/>
  <c r="AF7" i="10" l="1"/>
  <c r="AF6" i="10"/>
  <c r="AF5" i="10"/>
  <c r="AF4" i="10"/>
  <c r="Z14" i="13"/>
  <c r="Z13" i="13"/>
  <c r="Z12" i="13"/>
  <c r="Z11" i="13"/>
  <c r="Z10" i="13"/>
  <c r="Z16" i="13" l="1"/>
  <c r="AF9" i="10"/>
  <c r="AB4" i="13" l="1"/>
  <c r="AC4" i="13" s="1"/>
  <c r="AE4" i="13"/>
  <c r="AF4" i="13" s="1"/>
  <c r="Y4" i="13"/>
  <c r="Z4" i="13" s="1"/>
  <c r="AE5" i="13" l="1"/>
  <c r="AF5" i="13" s="1"/>
  <c r="Y5" i="13" l="1"/>
  <c r="Z5" i="13" s="1"/>
  <c r="AB5" i="13"/>
  <c r="AC5" i="13" s="1"/>
  <c r="AB6" i="13" l="1"/>
  <c r="AC6" i="13" s="1"/>
  <c r="AE6" i="13"/>
  <c r="AF6" i="13" s="1"/>
  <c r="AB4" i="10" l="1"/>
  <c r="AC4" i="10" s="1"/>
  <c r="Y5" i="10" l="1"/>
  <c r="Z5" i="10" s="1"/>
  <c r="AB5" i="10"/>
  <c r="AC5" i="10" s="1"/>
  <c r="Y4" i="10"/>
  <c r="Z4" i="10" s="1"/>
  <c r="Z7" i="10" l="1"/>
  <c r="AB6" i="10" l="1"/>
  <c r="AC6" i="10" s="1"/>
  <c r="Z7" i="13"/>
  <c r="AC8" i="10" l="1"/>
  <c r="AC8" i="13" l="1"/>
  <c r="AE7" i="13" l="1"/>
  <c r="AF7" i="13" s="1"/>
  <c r="AF9" i="13" l="1"/>
  <c r="G3" i="10" l="1"/>
  <c r="G3" i="13" l="1"/>
</calcChain>
</file>

<file path=xl/sharedStrings.xml><?xml version="1.0" encoding="utf-8"?>
<sst xmlns="http://schemas.openxmlformats.org/spreadsheetml/2006/main" count="40" uniqueCount="32">
  <si>
    <t>date</t>
    <phoneticPr fontId="6" type="noConversion"/>
  </si>
  <si>
    <t>Aiinduindex</t>
    <phoneticPr fontId="6" type="noConversion"/>
  </si>
  <si>
    <t>sales amount</t>
    <phoneticPr fontId="6" type="noConversion"/>
  </si>
  <si>
    <t>sales shares</t>
    <phoneticPr fontId="6" type="noConversion"/>
  </si>
  <si>
    <t>shares held</t>
    <phoneticPr fontId="6" type="noConversion"/>
  </si>
  <si>
    <t>market value</t>
    <phoneticPr fontId="6" type="noConversion"/>
  </si>
  <si>
    <t>accumulated investment</t>
    <phoneticPr fontId="6" type="noConversion"/>
  </si>
  <si>
    <t>total assets</t>
    <phoneticPr fontId="6" type="noConversion"/>
  </si>
  <si>
    <t>profit amount</t>
    <phoneticPr fontId="6" type="noConversion"/>
  </si>
  <si>
    <t>recovered funds</t>
    <phoneticPr fontId="6" type="noConversion"/>
  </si>
  <si>
    <t>Aiinduindex</t>
    <phoneticPr fontId="6" type="noConversion"/>
  </si>
  <si>
    <t>MA250</t>
    <phoneticPr fontId="6" type="noConversion"/>
  </si>
  <si>
    <t>sales amount</t>
    <phoneticPr fontId="6" type="noConversion"/>
  </si>
  <si>
    <t>sales shares</t>
    <phoneticPr fontId="6" type="noConversion"/>
  </si>
  <si>
    <t>shares held</t>
    <phoneticPr fontId="6" type="noConversion"/>
  </si>
  <si>
    <t>market value</t>
    <phoneticPr fontId="6" type="noConversion"/>
  </si>
  <si>
    <t>accumulated investment</t>
    <phoneticPr fontId="6" type="noConversion"/>
  </si>
  <si>
    <t>total assets</t>
    <phoneticPr fontId="6" type="noConversion"/>
  </si>
  <si>
    <t>profit amount</t>
    <phoneticPr fontId="6" type="noConversion"/>
  </si>
  <si>
    <t>recovered funds</t>
    <phoneticPr fontId="6" type="noConversion"/>
  </si>
  <si>
    <t>date</t>
  </si>
  <si>
    <t>investment per year</t>
  </si>
  <si>
    <t>accumulated investment</t>
  </si>
  <si>
    <t>total assets</t>
  </si>
  <si>
    <t>profit amount</t>
  </si>
  <si>
    <t>recovered funds</t>
  </si>
  <si>
    <t>absolute RR</t>
  </si>
  <si>
    <t>annualized RR</t>
  </si>
  <si>
    <t>unit:yuan</t>
    <phoneticPr fontId="17" type="noConversion"/>
  </si>
  <si>
    <t>unit:yuan</t>
    <phoneticPr fontId="17" type="noConversion"/>
  </si>
  <si>
    <t>date</t>
    <phoneticPr fontId="6" type="noConversion"/>
  </si>
  <si>
    <t>Mean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</si>
</sst>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 "/>
    <numFmt numFmtId="177" formatCode="yyyy\-mm\-dd"/>
    <numFmt numFmtId="178" formatCode="0.00_);[Red]\(0.00\)"/>
  </numFmts>
  <fonts count="1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等线"/>
      <family val="3"/>
      <charset val="134"/>
    </font>
    <font>
      <sz val="10"/>
      <color indexed="8"/>
      <name val="等线"/>
      <family val="3"/>
      <charset val="134"/>
    </font>
    <font>
      <sz val="10"/>
      <color indexed="8"/>
      <name val="Tahoma"/>
      <family val="2"/>
    </font>
    <font>
      <b/>
      <sz val="10"/>
      <name val="宋体"/>
      <family val="3"/>
      <charset val="134"/>
    </font>
    <font>
      <sz val="9"/>
      <name val="等线"/>
      <family val="3"/>
      <charset val="134"/>
    </font>
    <font>
      <b/>
      <sz val="10"/>
      <color indexed="8"/>
      <name val="等线"/>
      <family val="3"/>
      <charset val="134"/>
    </font>
    <font>
      <b/>
      <sz val="10"/>
      <color indexed="9"/>
      <name val="等线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sz val="10"/>
      <color indexed="10"/>
      <name val="Tahoma"/>
      <family val="2"/>
    </font>
    <font>
      <sz val="10"/>
      <color rgb="FFFF0000"/>
      <name val="Tahoma"/>
      <family val="2"/>
    </font>
    <font>
      <sz val="10"/>
      <color theme="1"/>
      <name val="等线"/>
      <family val="3"/>
      <charset val="134"/>
    </font>
    <font>
      <sz val="10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8">
    <xf numFmtId="0" fontId="0" fillId="0" borderId="0">
      <alignment vertical="center"/>
    </xf>
    <xf numFmtId="0" fontId="2" fillId="0" borderId="0"/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3" fillId="0" borderId="0" xfId="1" applyFont="1"/>
    <xf numFmtId="10" fontId="3" fillId="0" borderId="0" xfId="1" applyNumberFormat="1" applyFont="1"/>
    <xf numFmtId="176" fontId="3" fillId="0" borderId="0" xfId="1" applyNumberFormat="1" applyFont="1"/>
    <xf numFmtId="0" fontId="4" fillId="0" borderId="1" xfId="1" applyFont="1" applyBorder="1"/>
    <xf numFmtId="176" fontId="4" fillId="0" borderId="1" xfId="1" applyNumberFormat="1" applyFont="1" applyBorder="1"/>
    <xf numFmtId="177" fontId="4" fillId="2" borderId="1" xfId="1" applyNumberFormat="1" applyFont="1" applyFill="1" applyBorder="1" applyAlignment="1">
      <alignment horizontal="center"/>
    </xf>
    <xf numFmtId="0" fontId="4" fillId="0" borderId="0" xfId="1" applyFont="1"/>
    <xf numFmtId="10" fontId="4" fillId="0" borderId="0" xfId="1" applyNumberFormat="1" applyFont="1"/>
    <xf numFmtId="10" fontId="4" fillId="0" borderId="1" xfId="1" applyNumberFormat="1" applyFont="1" applyBorder="1"/>
    <xf numFmtId="178" fontId="4" fillId="0" borderId="1" xfId="1" applyNumberFormat="1" applyFont="1" applyBorder="1"/>
    <xf numFmtId="0" fontId="5" fillId="0" borderId="1" xfId="1" applyFont="1" applyBorder="1" applyAlignment="1">
      <alignment horizontal="center"/>
    </xf>
    <xf numFmtId="0" fontId="7" fillId="0" borderId="0" xfId="1" applyFont="1" applyAlignment="1">
      <alignment horizontal="center"/>
    </xf>
    <xf numFmtId="10" fontId="7" fillId="0" borderId="0" xfId="1" applyNumberFormat="1" applyFont="1" applyAlignment="1">
      <alignment horizontal="center"/>
    </xf>
    <xf numFmtId="0" fontId="8" fillId="3" borderId="1" xfId="1" applyFont="1" applyFill="1" applyBorder="1" applyAlignment="1">
      <alignment horizontal="center" vertical="center"/>
    </xf>
    <xf numFmtId="177" fontId="13" fillId="2" borderId="1" xfId="1" applyNumberFormat="1" applyFont="1" applyFill="1" applyBorder="1" applyAlignment="1">
      <alignment horizontal="center"/>
    </xf>
    <xf numFmtId="0" fontId="8" fillId="20" borderId="1" xfId="1" applyFont="1" applyFill="1" applyBorder="1" applyAlignment="1">
      <alignment horizontal="center" vertical="center"/>
    </xf>
    <xf numFmtId="176" fontId="8" fillId="20" borderId="1" xfId="1" applyNumberFormat="1" applyFont="1" applyFill="1" applyBorder="1" applyAlignment="1">
      <alignment horizontal="center" vertical="center"/>
    </xf>
    <xf numFmtId="0" fontId="7" fillId="20" borderId="0" xfId="1" applyFont="1" applyFill="1" applyAlignment="1">
      <alignment horizontal="center"/>
    </xf>
    <xf numFmtId="10" fontId="7" fillId="20" borderId="0" xfId="1" applyNumberFormat="1" applyFont="1" applyFill="1" applyAlignment="1">
      <alignment horizontal="center"/>
    </xf>
    <xf numFmtId="0" fontId="14" fillId="0" borderId="1" xfId="1" applyFont="1" applyBorder="1"/>
    <xf numFmtId="176" fontId="14" fillId="0" borderId="1" xfId="1" applyNumberFormat="1" applyFont="1" applyBorder="1"/>
    <xf numFmtId="176" fontId="14" fillId="2" borderId="1" xfId="1" applyNumberFormat="1" applyFont="1" applyFill="1" applyBorder="1"/>
    <xf numFmtId="0" fontId="15" fillId="20" borderId="1" xfId="1" applyFont="1" applyFill="1" applyBorder="1" applyAlignment="1">
      <alignment horizontal="left" vertical="center"/>
    </xf>
    <xf numFmtId="176" fontId="8" fillId="20" borderId="0" xfId="1" applyNumberFormat="1" applyFont="1" applyFill="1" applyAlignment="1">
      <alignment horizontal="center" vertical="center"/>
    </xf>
    <xf numFmtId="0" fontId="14" fillId="2" borderId="1" xfId="1" applyFont="1" applyFill="1" applyBorder="1"/>
    <xf numFmtId="0" fontId="5" fillId="0" borderId="1" xfId="0" applyFont="1" applyBorder="1" applyAlignment="1"/>
    <xf numFmtId="0" fontId="5" fillId="0" borderId="1" xfId="0" applyFont="1" applyBorder="1" applyAlignment="1">
      <alignment horizontal="center"/>
    </xf>
    <xf numFmtId="176" fontId="16" fillId="0" borderId="1" xfId="0" applyNumberFormat="1" applyFont="1" applyBorder="1" applyAlignment="1"/>
  </cellXfs>
  <cellStyles count="28">
    <cellStyle name="20% - 着色 1" xfId="2"/>
    <cellStyle name="20% - 着色 2" xfId="3"/>
    <cellStyle name="20% - 着色 3" xfId="4"/>
    <cellStyle name="20% - 着色 4" xfId="5"/>
    <cellStyle name="20% - 着色 5" xfId="6"/>
    <cellStyle name="20% - 着色 6" xfId="7"/>
    <cellStyle name="40% - 着色 1" xfId="8"/>
    <cellStyle name="40% - 着色 2" xfId="9"/>
    <cellStyle name="40% - 着色 3" xfId="10"/>
    <cellStyle name="40% - 着色 4" xfId="11"/>
    <cellStyle name="40% - 着色 5" xfId="12"/>
    <cellStyle name="40% - 着色 6" xfId="13"/>
    <cellStyle name="60% - 着色 1" xfId="14"/>
    <cellStyle name="60% - 着色 2" xfId="15"/>
    <cellStyle name="60% - 着色 3" xfId="16"/>
    <cellStyle name="60% - 着色 4" xfId="17"/>
    <cellStyle name="60% - 着色 5" xfId="18"/>
    <cellStyle name="60% - 着色 6" xfId="19"/>
    <cellStyle name="差_主要板块" xfId="20"/>
    <cellStyle name="常规" xfId="0" builtinId="0"/>
    <cellStyle name="常规 2" xfId="1"/>
    <cellStyle name="好_主要板块" xfId="21"/>
    <cellStyle name="着色 1" xfId="22"/>
    <cellStyle name="着色 2" xfId="23"/>
    <cellStyle name="着色 3" xfId="24"/>
    <cellStyle name="着色 4" xfId="25"/>
    <cellStyle name="着色 5" xfId="26"/>
    <cellStyle name="着色 6" xfId="27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model2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（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1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）</a:t>
            </a: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1198003327787"/>
          <c:y val="0.13636363636363635"/>
          <c:w val="0.82861896838602334"/>
          <c:h val="0.60160427807486627"/>
        </c:manualLayout>
      </c:layout>
      <c:lineChart>
        <c:grouping val="standard"/>
        <c:varyColors val="0"/>
        <c:ser>
          <c:idx val="0"/>
          <c:order val="0"/>
          <c:tx>
            <c:strRef>
              <c:f>'model2(1)mean'!$H$1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'model2(1)mean'!时间</c:f>
              <c:numCache>
                <c:formatCode>yyyy\-mm\-dd</c:formatCode>
                <c:ptCount val="112"/>
                <c:pt idx="0">
                  <c:v>42825</c:v>
                </c:pt>
                <c:pt idx="1">
                  <c:v>42853</c:v>
                </c:pt>
                <c:pt idx="2">
                  <c:v>42886</c:v>
                </c:pt>
                <c:pt idx="3">
                  <c:v>42916</c:v>
                </c:pt>
                <c:pt idx="4">
                  <c:v>42947</c:v>
                </c:pt>
                <c:pt idx="5">
                  <c:v>42978</c:v>
                </c:pt>
                <c:pt idx="6">
                  <c:v>43007</c:v>
                </c:pt>
                <c:pt idx="7">
                  <c:v>43039</c:v>
                </c:pt>
                <c:pt idx="8">
                  <c:v>43069</c:v>
                </c:pt>
                <c:pt idx="9">
                  <c:v>43098</c:v>
                </c:pt>
                <c:pt idx="10">
                  <c:v>43131</c:v>
                </c:pt>
                <c:pt idx="11">
                  <c:v>43159</c:v>
                </c:pt>
                <c:pt idx="12">
                  <c:v>43189</c:v>
                </c:pt>
                <c:pt idx="13">
                  <c:v>43217</c:v>
                </c:pt>
                <c:pt idx="14">
                  <c:v>43251</c:v>
                </c:pt>
                <c:pt idx="15">
                  <c:v>43280</c:v>
                </c:pt>
                <c:pt idx="16">
                  <c:v>43312</c:v>
                </c:pt>
                <c:pt idx="17">
                  <c:v>43343</c:v>
                </c:pt>
                <c:pt idx="18">
                  <c:v>43371</c:v>
                </c:pt>
                <c:pt idx="19">
                  <c:v>43404</c:v>
                </c:pt>
                <c:pt idx="20">
                  <c:v>43434</c:v>
                </c:pt>
                <c:pt idx="21">
                  <c:v>43462</c:v>
                </c:pt>
                <c:pt idx="22">
                  <c:v>43496</c:v>
                </c:pt>
                <c:pt idx="23">
                  <c:v>43524</c:v>
                </c:pt>
                <c:pt idx="24">
                  <c:v>43553</c:v>
                </c:pt>
                <c:pt idx="25">
                  <c:v>43585</c:v>
                </c:pt>
                <c:pt idx="26">
                  <c:v>43616</c:v>
                </c:pt>
                <c:pt idx="27">
                  <c:v>43644</c:v>
                </c:pt>
                <c:pt idx="28">
                  <c:v>43677</c:v>
                </c:pt>
                <c:pt idx="29">
                  <c:v>43707</c:v>
                </c:pt>
                <c:pt idx="30">
                  <c:v>43738</c:v>
                </c:pt>
                <c:pt idx="31">
                  <c:v>43769</c:v>
                </c:pt>
                <c:pt idx="32">
                  <c:v>43798</c:v>
                </c:pt>
                <c:pt idx="33">
                  <c:v>43830</c:v>
                </c:pt>
                <c:pt idx="34">
                  <c:v>43853</c:v>
                </c:pt>
                <c:pt idx="35">
                  <c:v>43889</c:v>
                </c:pt>
                <c:pt idx="36">
                  <c:v>43921</c:v>
                </c:pt>
                <c:pt idx="37">
                  <c:v>43951</c:v>
                </c:pt>
                <c:pt idx="38">
                  <c:v>43980</c:v>
                </c:pt>
                <c:pt idx="39">
                  <c:v>44012</c:v>
                </c:pt>
                <c:pt idx="40">
                  <c:v>44043</c:v>
                </c:pt>
                <c:pt idx="41">
                  <c:v>44074</c:v>
                </c:pt>
                <c:pt idx="42">
                  <c:v>44104</c:v>
                </c:pt>
                <c:pt idx="43">
                  <c:v>44134</c:v>
                </c:pt>
                <c:pt idx="44">
                  <c:v>44165</c:v>
                </c:pt>
                <c:pt idx="45">
                  <c:v>44196</c:v>
                </c:pt>
                <c:pt idx="46">
                  <c:v>44225</c:v>
                </c:pt>
                <c:pt idx="47">
                  <c:v>44253</c:v>
                </c:pt>
                <c:pt idx="48">
                  <c:v>44286</c:v>
                </c:pt>
                <c:pt idx="49">
                  <c:v>44316</c:v>
                </c:pt>
                <c:pt idx="50">
                  <c:v>44347</c:v>
                </c:pt>
                <c:pt idx="51">
                  <c:v>44377</c:v>
                </c:pt>
                <c:pt idx="52">
                  <c:v>44407</c:v>
                </c:pt>
                <c:pt idx="53">
                  <c:v>44439</c:v>
                </c:pt>
                <c:pt idx="54">
                  <c:v>44469</c:v>
                </c:pt>
                <c:pt idx="55">
                  <c:v>44498</c:v>
                </c:pt>
                <c:pt idx="56">
                  <c:v>44530</c:v>
                </c:pt>
                <c:pt idx="57">
                  <c:v>44561</c:v>
                </c:pt>
                <c:pt idx="58">
                  <c:v>44589</c:v>
                </c:pt>
                <c:pt idx="59">
                  <c:v>44620</c:v>
                </c:pt>
                <c:pt idx="60">
                  <c:v>44651</c:v>
                </c:pt>
                <c:pt idx="61">
                  <c:v>44680</c:v>
                </c:pt>
                <c:pt idx="62">
                  <c:v>44712</c:v>
                </c:pt>
                <c:pt idx="63">
                  <c:v>44742</c:v>
                </c:pt>
                <c:pt idx="64">
                  <c:v>44771</c:v>
                </c:pt>
                <c:pt idx="65">
                  <c:v>44804</c:v>
                </c:pt>
                <c:pt idx="66">
                  <c:v>44834</c:v>
                </c:pt>
                <c:pt idx="67">
                  <c:v>44865</c:v>
                </c:pt>
                <c:pt idx="68">
                  <c:v>44895</c:v>
                </c:pt>
                <c:pt idx="69">
                  <c:v>44925</c:v>
                </c:pt>
                <c:pt idx="70">
                  <c:v>44957</c:v>
                </c:pt>
                <c:pt idx="71">
                  <c:v>44985</c:v>
                </c:pt>
                <c:pt idx="72">
                  <c:v>45016</c:v>
                </c:pt>
                <c:pt idx="73">
                  <c:v>45044</c:v>
                </c:pt>
                <c:pt idx="74">
                  <c:v>45077</c:v>
                </c:pt>
                <c:pt idx="75">
                  <c:v>45107</c:v>
                </c:pt>
                <c:pt idx="76">
                  <c:v>45138</c:v>
                </c:pt>
                <c:pt idx="77">
                  <c:v>45169</c:v>
                </c:pt>
                <c:pt idx="78">
                  <c:v>45197</c:v>
                </c:pt>
                <c:pt idx="79">
                  <c:v>45230</c:v>
                </c:pt>
                <c:pt idx="80">
                  <c:v>45260</c:v>
                </c:pt>
                <c:pt idx="81">
                  <c:v>45289</c:v>
                </c:pt>
                <c:pt idx="82">
                  <c:v>45322</c:v>
                </c:pt>
                <c:pt idx="83">
                  <c:v>45351</c:v>
                </c:pt>
                <c:pt idx="84">
                  <c:v>45380</c:v>
                </c:pt>
                <c:pt idx="85">
                  <c:v>45412</c:v>
                </c:pt>
                <c:pt idx="86">
                  <c:v>45443</c:v>
                </c:pt>
                <c:pt idx="87">
                  <c:v>45471</c:v>
                </c:pt>
                <c:pt idx="88">
                  <c:v>45504</c:v>
                </c:pt>
                <c:pt idx="89">
                  <c:v>45534</c:v>
                </c:pt>
                <c:pt idx="90">
                  <c:v>45565</c:v>
                </c:pt>
                <c:pt idx="91">
                  <c:v>45596</c:v>
                </c:pt>
                <c:pt idx="92">
                  <c:v>45625</c:v>
                </c:pt>
                <c:pt idx="93">
                  <c:v>45657</c:v>
                </c:pt>
                <c:pt idx="94">
                  <c:v>45684</c:v>
                </c:pt>
                <c:pt idx="95">
                  <c:v>45716</c:v>
                </c:pt>
                <c:pt idx="96">
                  <c:v>45747</c:v>
                </c:pt>
                <c:pt idx="97">
                  <c:v>45777</c:v>
                </c:pt>
                <c:pt idx="98">
                  <c:v>45807</c:v>
                </c:pt>
                <c:pt idx="99">
                  <c:v>45838</c:v>
                </c:pt>
                <c:pt idx="100">
                  <c:v>45869</c:v>
                </c:pt>
                <c:pt idx="101">
                  <c:v>45898</c:v>
                </c:pt>
                <c:pt idx="102">
                  <c:v>45930</c:v>
                </c:pt>
                <c:pt idx="103">
                  <c:v>45961</c:v>
                </c:pt>
                <c:pt idx="104">
                  <c:v>45989</c:v>
                </c:pt>
                <c:pt idx="105">
                  <c:v>46022</c:v>
                </c:pt>
                <c:pt idx="106">
                  <c:v>46052</c:v>
                </c:pt>
                <c:pt idx="107">
                  <c:v>46080</c:v>
                </c:pt>
                <c:pt idx="108">
                  <c:v>46112</c:v>
                </c:pt>
                <c:pt idx="109">
                  <c:v>46142</c:v>
                </c:pt>
                <c:pt idx="110">
                  <c:v>46171</c:v>
                </c:pt>
                <c:pt idx="111">
                  <c:v>46203</c:v>
                </c:pt>
              </c:numCache>
            </c:numRef>
          </c:cat>
          <c:val>
            <c:numRef>
              <c:f>'model2(1)mean'!资金</c:f>
              <c:numCache>
                <c:formatCode>0.00_ </c:formatCode>
                <c:ptCount val="112"/>
                <c:pt idx="0">
                  <c:v>27.550142857142728</c:v>
                </c:pt>
                <c:pt idx="1">
                  <c:v>139.31725223214269</c:v>
                </c:pt>
                <c:pt idx="2">
                  <c:v>255.89543492445097</c:v>
                </c:pt>
                <c:pt idx="3">
                  <c:v>255.89543492445097</c:v>
                </c:pt>
                <c:pt idx="4">
                  <c:v>265.18417702971459</c:v>
                </c:pt>
                <c:pt idx="5">
                  <c:v>265.18417702971459</c:v>
                </c:pt>
                <c:pt idx="6">
                  <c:v>265.18417702971459</c:v>
                </c:pt>
                <c:pt idx="7">
                  <c:v>265.18417702971459</c:v>
                </c:pt>
                <c:pt idx="8">
                  <c:v>265.18417702971459</c:v>
                </c:pt>
                <c:pt idx="9">
                  <c:v>304.12500617544276</c:v>
                </c:pt>
                <c:pt idx="10">
                  <c:v>397.46818038358725</c:v>
                </c:pt>
                <c:pt idx="11">
                  <c:v>502.69741767172258</c:v>
                </c:pt>
                <c:pt idx="12">
                  <c:v>502.69741767172258</c:v>
                </c:pt>
                <c:pt idx="13">
                  <c:v>502.69741767172258</c:v>
                </c:pt>
                <c:pt idx="14">
                  <c:v>558.28026163145478</c:v>
                </c:pt>
                <c:pt idx="15">
                  <c:v>716.78969559371933</c:v>
                </c:pt>
                <c:pt idx="16">
                  <c:v>864.0840529466609</c:v>
                </c:pt>
                <c:pt idx="17">
                  <c:v>1054.2227237455593</c:v>
                </c:pt>
                <c:pt idx="18">
                  <c:v>1249.3650863110042</c:v>
                </c:pt>
                <c:pt idx="19">
                  <c:v>1570.7889738110043</c:v>
                </c:pt>
                <c:pt idx="20">
                  <c:v>1810.6996266546064</c:v>
                </c:pt>
                <c:pt idx="21">
                  <c:v>2111.9093732609417</c:v>
                </c:pt>
                <c:pt idx="22">
                  <c:v>2395.4200068816317</c:v>
                </c:pt>
                <c:pt idx="23">
                  <c:v>2397.2416290110682</c:v>
                </c:pt>
                <c:pt idx="24">
                  <c:v>2397.2416290110682</c:v>
                </c:pt>
                <c:pt idx="25">
                  <c:v>2397.2416290110682</c:v>
                </c:pt>
                <c:pt idx="26">
                  <c:v>2399.7354959241925</c:v>
                </c:pt>
                <c:pt idx="27">
                  <c:v>2399.7354959241925</c:v>
                </c:pt>
                <c:pt idx="28">
                  <c:v>2399.7354959241925</c:v>
                </c:pt>
                <c:pt idx="29">
                  <c:v>2399.7354959241925</c:v>
                </c:pt>
                <c:pt idx="30">
                  <c:v>2399.7354959241925</c:v>
                </c:pt>
                <c:pt idx="31">
                  <c:v>2399.7354959241925</c:v>
                </c:pt>
                <c:pt idx="32">
                  <c:v>2399.7354959241925</c:v>
                </c:pt>
                <c:pt idx="33">
                  <c:v>2399.7354959241925</c:v>
                </c:pt>
                <c:pt idx="34">
                  <c:v>2399.7354959241925</c:v>
                </c:pt>
                <c:pt idx="35">
                  <c:v>2399.7354959241925</c:v>
                </c:pt>
                <c:pt idx="36">
                  <c:v>2399.7354959241925</c:v>
                </c:pt>
                <c:pt idx="37">
                  <c:v>2399.7354959241925</c:v>
                </c:pt>
                <c:pt idx="38">
                  <c:v>2399.7354959241925</c:v>
                </c:pt>
                <c:pt idx="39">
                  <c:v>2399.7354959241925</c:v>
                </c:pt>
                <c:pt idx="40">
                  <c:v>2399.7354959241925</c:v>
                </c:pt>
                <c:pt idx="41">
                  <c:v>2399.7354959241925</c:v>
                </c:pt>
                <c:pt idx="42">
                  <c:v>2399.7354959241925</c:v>
                </c:pt>
                <c:pt idx="43">
                  <c:v>2399.7354959241925</c:v>
                </c:pt>
                <c:pt idx="44">
                  <c:v>2399.7354959241925</c:v>
                </c:pt>
                <c:pt idx="45">
                  <c:v>2399.7354959241925</c:v>
                </c:pt>
                <c:pt idx="46">
                  <c:v>2399.7354959241925</c:v>
                </c:pt>
                <c:pt idx="47">
                  <c:v>2399.7354959241925</c:v>
                </c:pt>
                <c:pt idx="48">
                  <c:v>2399.7354959241925</c:v>
                </c:pt>
                <c:pt idx="49">
                  <c:v>2399.7354959241925</c:v>
                </c:pt>
                <c:pt idx="50">
                  <c:v>2399.7354959241925</c:v>
                </c:pt>
                <c:pt idx="51">
                  <c:v>2399.7354959241925</c:v>
                </c:pt>
                <c:pt idx="52">
                  <c:v>2399.7354959241925</c:v>
                </c:pt>
                <c:pt idx="53">
                  <c:v>2399.7354959241925</c:v>
                </c:pt>
                <c:pt idx="54">
                  <c:v>2399.7354959241925</c:v>
                </c:pt>
                <c:pt idx="55">
                  <c:v>2399.7354959241925</c:v>
                </c:pt>
                <c:pt idx="56">
                  <c:v>2399.7354959241925</c:v>
                </c:pt>
                <c:pt idx="57">
                  <c:v>2399.7354959241925</c:v>
                </c:pt>
                <c:pt idx="58">
                  <c:v>2399.7354959241925</c:v>
                </c:pt>
                <c:pt idx="59">
                  <c:v>2399.7354959241925</c:v>
                </c:pt>
                <c:pt idx="60">
                  <c:v>2399.7354959241925</c:v>
                </c:pt>
                <c:pt idx="61">
                  <c:v>2710.3066380378809</c:v>
                </c:pt>
                <c:pt idx="62">
                  <c:v>2901.3939874069629</c:v>
                </c:pt>
                <c:pt idx="63">
                  <c:v>2959.8496460570755</c:v>
                </c:pt>
                <c:pt idx="64">
                  <c:v>2982.9438651410419</c:v>
                </c:pt>
                <c:pt idx="65">
                  <c:v>3091.370097699179</c:v>
                </c:pt>
                <c:pt idx="66">
                  <c:v>3350.2758931201511</c:v>
                </c:pt>
                <c:pt idx="67">
                  <c:v>3435.7788599084693</c:v>
                </c:pt>
                <c:pt idx="68">
                  <c:v>3482.9216533711101</c:v>
                </c:pt>
                <c:pt idx="69">
                  <c:v>3587.6850243046301</c:v>
                </c:pt>
                <c:pt idx="70">
                  <c:v>3587.6850243046301</c:v>
                </c:pt>
                <c:pt idx="71">
                  <c:v>3587.6850243046301</c:v>
                </c:pt>
                <c:pt idx="72">
                  <c:v>3587.6850243046301</c:v>
                </c:pt>
                <c:pt idx="73">
                  <c:v>3587.6850243046301</c:v>
                </c:pt>
                <c:pt idx="74">
                  <c:v>3587.6850243046301</c:v>
                </c:pt>
                <c:pt idx="75">
                  <c:v>3587.6850243046301</c:v>
                </c:pt>
                <c:pt idx="76">
                  <c:v>3587.6850243046301</c:v>
                </c:pt>
                <c:pt idx="77">
                  <c:v>3587.6850243046301</c:v>
                </c:pt>
                <c:pt idx="78">
                  <c:v>3587.6850243046301</c:v>
                </c:pt>
                <c:pt idx="79">
                  <c:v>3587.6850243046301</c:v>
                </c:pt>
                <c:pt idx="80">
                  <c:v>3587.6850243046301</c:v>
                </c:pt>
                <c:pt idx="81">
                  <c:v>3587.6850243046301</c:v>
                </c:pt>
                <c:pt idx="82">
                  <c:v>3726.5804042211957</c:v>
                </c:pt>
                <c:pt idx="83">
                  <c:v>3726.5804042211957</c:v>
                </c:pt>
                <c:pt idx="84">
                  <c:v>3726.5804042211957</c:v>
                </c:pt>
                <c:pt idx="85">
                  <c:v>3726.5804042211957</c:v>
                </c:pt>
                <c:pt idx="86">
                  <c:v>3781.2584127730765</c:v>
                </c:pt>
                <c:pt idx="87">
                  <c:v>3935.4982483624722</c:v>
                </c:pt>
                <c:pt idx="88">
                  <c:v>4051.8552984738299</c:v>
                </c:pt>
                <c:pt idx="89">
                  <c:v>4228.3228496289457</c:v>
                </c:pt>
                <c:pt idx="90">
                  <c:v>4228.3228496289457</c:v>
                </c:pt>
                <c:pt idx="91">
                  <c:v>4228.3228496289457</c:v>
                </c:pt>
                <c:pt idx="92">
                  <c:v>4228.3228496289457</c:v>
                </c:pt>
                <c:pt idx="93">
                  <c:v>4228.3228496289457</c:v>
                </c:pt>
                <c:pt idx="94">
                  <c:v>4228.3228496289457</c:v>
                </c:pt>
                <c:pt idx="95">
                  <c:v>4228.3228496289457</c:v>
                </c:pt>
                <c:pt idx="96">
                  <c:v>4228.3228496289457</c:v>
                </c:pt>
                <c:pt idx="97">
                  <c:v>4228.3228496289457</c:v>
                </c:pt>
                <c:pt idx="98">
                  <c:v>4228.3228496289457</c:v>
                </c:pt>
                <c:pt idx="99">
                  <c:v>4228.3228496289457</c:v>
                </c:pt>
                <c:pt idx="100">
                  <c:v>4228.3228496289457</c:v>
                </c:pt>
                <c:pt idx="101">
                  <c:v>4228.3228496289457</c:v>
                </c:pt>
                <c:pt idx="102">
                  <c:v>4228.3228496289457</c:v>
                </c:pt>
                <c:pt idx="103">
                  <c:v>4228.3228496289457</c:v>
                </c:pt>
                <c:pt idx="104">
                  <c:v>4228.3228496289457</c:v>
                </c:pt>
                <c:pt idx="105">
                  <c:v>4228.3228496289457</c:v>
                </c:pt>
                <c:pt idx="106">
                  <c:v>4228.3228496289457</c:v>
                </c:pt>
                <c:pt idx="107">
                  <c:v>4228.3228496289457</c:v>
                </c:pt>
                <c:pt idx="108">
                  <c:v>4228.3228496289457</c:v>
                </c:pt>
                <c:pt idx="109">
                  <c:v>4228.3228496289457</c:v>
                </c:pt>
                <c:pt idx="110">
                  <c:v>4228.3228496289457</c:v>
                </c:pt>
                <c:pt idx="111">
                  <c:v>4228.3228496289457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F74-4DDF-B785-43F3E88DDF16}"/>
            </c:ext>
          </c:extLst>
        </c:ser>
        <c:ser>
          <c:idx val="1"/>
          <c:order val="1"/>
          <c:tx>
            <c:strRef>
              <c:f>'model2(1)mean'!$I$1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'model2(1)mean'!时间</c:f>
              <c:numCache>
                <c:formatCode>yyyy\-mm\-dd</c:formatCode>
                <c:ptCount val="112"/>
                <c:pt idx="0">
                  <c:v>42825</c:v>
                </c:pt>
                <c:pt idx="1">
                  <c:v>42853</c:v>
                </c:pt>
                <c:pt idx="2">
                  <c:v>42886</c:v>
                </c:pt>
                <c:pt idx="3">
                  <c:v>42916</c:v>
                </c:pt>
                <c:pt idx="4">
                  <c:v>42947</c:v>
                </c:pt>
                <c:pt idx="5">
                  <c:v>42978</c:v>
                </c:pt>
                <c:pt idx="6">
                  <c:v>43007</c:v>
                </c:pt>
                <c:pt idx="7">
                  <c:v>43039</c:v>
                </c:pt>
                <c:pt idx="8">
                  <c:v>43069</c:v>
                </c:pt>
                <c:pt idx="9">
                  <c:v>43098</c:v>
                </c:pt>
                <c:pt idx="10">
                  <c:v>43131</c:v>
                </c:pt>
                <c:pt idx="11">
                  <c:v>43159</c:v>
                </c:pt>
                <c:pt idx="12">
                  <c:v>43189</c:v>
                </c:pt>
                <c:pt idx="13">
                  <c:v>43217</c:v>
                </c:pt>
                <c:pt idx="14">
                  <c:v>43251</c:v>
                </c:pt>
                <c:pt idx="15">
                  <c:v>43280</c:v>
                </c:pt>
                <c:pt idx="16">
                  <c:v>43312</c:v>
                </c:pt>
                <c:pt idx="17">
                  <c:v>43343</c:v>
                </c:pt>
                <c:pt idx="18">
                  <c:v>43371</c:v>
                </c:pt>
                <c:pt idx="19">
                  <c:v>43404</c:v>
                </c:pt>
                <c:pt idx="20">
                  <c:v>43434</c:v>
                </c:pt>
                <c:pt idx="21">
                  <c:v>43462</c:v>
                </c:pt>
                <c:pt idx="22">
                  <c:v>43496</c:v>
                </c:pt>
                <c:pt idx="23">
                  <c:v>43524</c:v>
                </c:pt>
                <c:pt idx="24">
                  <c:v>43553</c:v>
                </c:pt>
                <c:pt idx="25">
                  <c:v>43585</c:v>
                </c:pt>
                <c:pt idx="26">
                  <c:v>43616</c:v>
                </c:pt>
                <c:pt idx="27">
                  <c:v>43644</c:v>
                </c:pt>
                <c:pt idx="28">
                  <c:v>43677</c:v>
                </c:pt>
                <c:pt idx="29">
                  <c:v>43707</c:v>
                </c:pt>
                <c:pt idx="30">
                  <c:v>43738</c:v>
                </c:pt>
                <c:pt idx="31">
                  <c:v>43769</c:v>
                </c:pt>
                <c:pt idx="32">
                  <c:v>43798</c:v>
                </c:pt>
                <c:pt idx="33">
                  <c:v>43830</c:v>
                </c:pt>
                <c:pt idx="34">
                  <c:v>43853</c:v>
                </c:pt>
                <c:pt idx="35">
                  <c:v>43889</c:v>
                </c:pt>
                <c:pt idx="36">
                  <c:v>43921</c:v>
                </c:pt>
                <c:pt idx="37">
                  <c:v>43951</c:v>
                </c:pt>
                <c:pt idx="38">
                  <c:v>43980</c:v>
                </c:pt>
                <c:pt idx="39">
                  <c:v>44012</c:v>
                </c:pt>
                <c:pt idx="40">
                  <c:v>44043</c:v>
                </c:pt>
                <c:pt idx="41">
                  <c:v>44074</c:v>
                </c:pt>
                <c:pt idx="42">
                  <c:v>44104</c:v>
                </c:pt>
                <c:pt idx="43">
                  <c:v>44134</c:v>
                </c:pt>
                <c:pt idx="44">
                  <c:v>44165</c:v>
                </c:pt>
                <c:pt idx="45">
                  <c:v>44196</c:v>
                </c:pt>
                <c:pt idx="46">
                  <c:v>44225</c:v>
                </c:pt>
                <c:pt idx="47">
                  <c:v>44253</c:v>
                </c:pt>
                <c:pt idx="48">
                  <c:v>44286</c:v>
                </c:pt>
                <c:pt idx="49">
                  <c:v>44316</c:v>
                </c:pt>
                <c:pt idx="50">
                  <c:v>44347</c:v>
                </c:pt>
                <c:pt idx="51">
                  <c:v>44377</c:v>
                </c:pt>
                <c:pt idx="52">
                  <c:v>44407</c:v>
                </c:pt>
                <c:pt idx="53">
                  <c:v>44439</c:v>
                </c:pt>
                <c:pt idx="54">
                  <c:v>44469</c:v>
                </c:pt>
                <c:pt idx="55">
                  <c:v>44498</c:v>
                </c:pt>
                <c:pt idx="56">
                  <c:v>44530</c:v>
                </c:pt>
                <c:pt idx="57">
                  <c:v>44561</c:v>
                </c:pt>
                <c:pt idx="58">
                  <c:v>44589</c:v>
                </c:pt>
                <c:pt idx="59">
                  <c:v>44620</c:v>
                </c:pt>
                <c:pt idx="60">
                  <c:v>44651</c:v>
                </c:pt>
                <c:pt idx="61">
                  <c:v>44680</c:v>
                </c:pt>
                <c:pt idx="62">
                  <c:v>44712</c:v>
                </c:pt>
                <c:pt idx="63">
                  <c:v>44742</c:v>
                </c:pt>
                <c:pt idx="64">
                  <c:v>44771</c:v>
                </c:pt>
                <c:pt idx="65">
                  <c:v>44804</c:v>
                </c:pt>
                <c:pt idx="66">
                  <c:v>44834</c:v>
                </c:pt>
                <c:pt idx="67">
                  <c:v>44865</c:v>
                </c:pt>
                <c:pt idx="68">
                  <c:v>44895</c:v>
                </c:pt>
                <c:pt idx="69">
                  <c:v>44925</c:v>
                </c:pt>
                <c:pt idx="70">
                  <c:v>44957</c:v>
                </c:pt>
                <c:pt idx="71">
                  <c:v>44985</c:v>
                </c:pt>
                <c:pt idx="72">
                  <c:v>45016</c:v>
                </c:pt>
                <c:pt idx="73">
                  <c:v>45044</c:v>
                </c:pt>
                <c:pt idx="74">
                  <c:v>45077</c:v>
                </c:pt>
                <c:pt idx="75">
                  <c:v>45107</c:v>
                </c:pt>
                <c:pt idx="76">
                  <c:v>45138</c:v>
                </c:pt>
                <c:pt idx="77">
                  <c:v>45169</c:v>
                </c:pt>
                <c:pt idx="78">
                  <c:v>45197</c:v>
                </c:pt>
                <c:pt idx="79">
                  <c:v>45230</c:v>
                </c:pt>
                <c:pt idx="80">
                  <c:v>45260</c:v>
                </c:pt>
                <c:pt idx="81">
                  <c:v>45289</c:v>
                </c:pt>
                <c:pt idx="82">
                  <c:v>45322</c:v>
                </c:pt>
                <c:pt idx="83">
                  <c:v>45351</c:v>
                </c:pt>
                <c:pt idx="84">
                  <c:v>45380</c:v>
                </c:pt>
                <c:pt idx="85">
                  <c:v>45412</c:v>
                </c:pt>
                <c:pt idx="86">
                  <c:v>45443</c:v>
                </c:pt>
                <c:pt idx="87">
                  <c:v>45471</c:v>
                </c:pt>
                <c:pt idx="88">
                  <c:v>45504</c:v>
                </c:pt>
                <c:pt idx="89">
                  <c:v>45534</c:v>
                </c:pt>
                <c:pt idx="90">
                  <c:v>45565</c:v>
                </c:pt>
                <c:pt idx="91">
                  <c:v>45596</c:v>
                </c:pt>
                <c:pt idx="92">
                  <c:v>45625</c:v>
                </c:pt>
                <c:pt idx="93">
                  <c:v>45657</c:v>
                </c:pt>
                <c:pt idx="94">
                  <c:v>45684</c:v>
                </c:pt>
                <c:pt idx="95">
                  <c:v>45716</c:v>
                </c:pt>
                <c:pt idx="96">
                  <c:v>45747</c:v>
                </c:pt>
                <c:pt idx="97">
                  <c:v>45777</c:v>
                </c:pt>
                <c:pt idx="98">
                  <c:v>45807</c:v>
                </c:pt>
                <c:pt idx="99">
                  <c:v>45838</c:v>
                </c:pt>
                <c:pt idx="100">
                  <c:v>45869</c:v>
                </c:pt>
                <c:pt idx="101">
                  <c:v>45898</c:v>
                </c:pt>
                <c:pt idx="102">
                  <c:v>45930</c:v>
                </c:pt>
                <c:pt idx="103">
                  <c:v>45961</c:v>
                </c:pt>
                <c:pt idx="104">
                  <c:v>45989</c:v>
                </c:pt>
                <c:pt idx="105">
                  <c:v>46022</c:v>
                </c:pt>
                <c:pt idx="106">
                  <c:v>46052</c:v>
                </c:pt>
                <c:pt idx="107">
                  <c:v>46080</c:v>
                </c:pt>
                <c:pt idx="108">
                  <c:v>46112</c:v>
                </c:pt>
                <c:pt idx="109">
                  <c:v>46142</c:v>
                </c:pt>
                <c:pt idx="110">
                  <c:v>46171</c:v>
                </c:pt>
                <c:pt idx="111">
                  <c:v>46203</c:v>
                </c:pt>
              </c:numCache>
            </c:numRef>
          </c:cat>
          <c:val>
            <c:numRef>
              <c:f>'model2(1)mean'!资产</c:f>
              <c:numCache>
                <c:formatCode>0.00_ </c:formatCode>
                <c:ptCount val="112"/>
                <c:pt idx="1">
                  <c:v>27.550142857142728</c:v>
                </c:pt>
                <c:pt idx="2">
                  <c:v>136.73071298737167</c:v>
                </c:pt>
                <c:pt idx="3">
                  <c:v>246.86232353702252</c:v>
                </c:pt>
                <c:pt idx="4">
                  <c:v>267.28210707160076</c:v>
                </c:pt>
                <c:pt idx="5">
                  <c:v>271.47269264235462</c:v>
                </c:pt>
                <c:pt idx="6">
                  <c:v>294.61060011615257</c:v>
                </c:pt>
                <c:pt idx="7">
                  <c:v>294.18535146134047</c:v>
                </c:pt>
                <c:pt idx="8">
                  <c:v>291.76383902910169</c:v>
                </c:pt>
                <c:pt idx="9">
                  <c:v>291.35158882300016</c:v>
                </c:pt>
                <c:pt idx="10">
                  <c:v>328.80443799445595</c:v>
                </c:pt>
                <c:pt idx="11">
                  <c:v>418.96738507619898</c:v>
                </c:pt>
                <c:pt idx="12">
                  <c:v>521.27269350288816</c:v>
                </c:pt>
                <c:pt idx="13">
                  <c:v>554.23290116401051</c:v>
                </c:pt>
                <c:pt idx="14">
                  <c:v>546.71640600319972</c:v>
                </c:pt>
                <c:pt idx="15">
                  <c:v>591.77221453387801</c:v>
                </c:pt>
                <c:pt idx="16">
                  <c:v>728.03901716261157</c:v>
                </c:pt>
                <c:pt idx="17">
                  <c:v>875.74775345116973</c:v>
                </c:pt>
                <c:pt idx="18">
                  <c:v>1041.509734880296</c:v>
                </c:pt>
                <c:pt idx="19">
                  <c:v>1227.5006444651085</c:v>
                </c:pt>
                <c:pt idx="20">
                  <c:v>1441.0078340659261</c:v>
                </c:pt>
                <c:pt idx="21">
                  <c:v>1755.0396082203852</c:v>
                </c:pt>
                <c:pt idx="22">
                  <c:v>1961.8999213933344</c:v>
                </c:pt>
                <c:pt idx="23">
                  <c:v>2252.948430691451</c:v>
                </c:pt>
                <c:pt idx="24">
                  <c:v>2767.2580750916109</c:v>
                </c:pt>
                <c:pt idx="25">
                  <c:v>3022.7631932507707</c:v>
                </c:pt>
                <c:pt idx="26">
                  <c:v>2927.5266881023304</c:v>
                </c:pt>
                <c:pt idx="27">
                  <c:v>2805.2299385403758</c:v>
                </c:pt>
                <c:pt idx="28">
                  <c:v>2867.9977249046274</c:v>
                </c:pt>
                <c:pt idx="29">
                  <c:v>2880.7747887278465</c:v>
                </c:pt>
                <c:pt idx="30">
                  <c:v>2961.099388142412</c:v>
                </c:pt>
                <c:pt idx="31">
                  <c:v>3047.4211447806897</c:v>
                </c:pt>
                <c:pt idx="32">
                  <c:v>3079.5821307106153</c:v>
                </c:pt>
                <c:pt idx="33">
                  <c:v>3090.207905587803</c:v>
                </c:pt>
                <c:pt idx="34">
                  <c:v>3217.9034879507626</c:v>
                </c:pt>
                <c:pt idx="35">
                  <c:v>3387.4430095085036</c:v>
                </c:pt>
                <c:pt idx="36">
                  <c:v>3489.6873280038235</c:v>
                </c:pt>
                <c:pt idx="37">
                  <c:v>3349.2664254597594</c:v>
                </c:pt>
                <c:pt idx="38">
                  <c:v>3400.2100567542902</c:v>
                </c:pt>
                <c:pt idx="39">
                  <c:v>3393.7501919503693</c:v>
                </c:pt>
                <c:pt idx="40">
                  <c:v>3419.9347522582125</c:v>
                </c:pt>
                <c:pt idx="41">
                  <c:v>3419.9347522582125</c:v>
                </c:pt>
                <c:pt idx="42">
                  <c:v>3419.9347522582125</c:v>
                </c:pt>
                <c:pt idx="43">
                  <c:v>3419.9347522582125</c:v>
                </c:pt>
                <c:pt idx="44">
                  <c:v>3419.9347522582125</c:v>
                </c:pt>
                <c:pt idx="45">
                  <c:v>3419.9347522582125</c:v>
                </c:pt>
                <c:pt idx="46">
                  <c:v>3419.9347522582125</c:v>
                </c:pt>
                <c:pt idx="47">
                  <c:v>3419.9347522582125</c:v>
                </c:pt>
                <c:pt idx="48">
                  <c:v>3419.9347522582125</c:v>
                </c:pt>
                <c:pt idx="49">
                  <c:v>3419.9347522582125</c:v>
                </c:pt>
                <c:pt idx="50">
                  <c:v>3419.9347522582125</c:v>
                </c:pt>
                <c:pt idx="51">
                  <c:v>3419.9347522582125</c:v>
                </c:pt>
                <c:pt idx="52">
                  <c:v>3419.9347522582125</c:v>
                </c:pt>
                <c:pt idx="53">
                  <c:v>3419.9347522582125</c:v>
                </c:pt>
                <c:pt idx="54">
                  <c:v>3419.9347522582125</c:v>
                </c:pt>
                <c:pt idx="55">
                  <c:v>3419.9347522582125</c:v>
                </c:pt>
                <c:pt idx="56">
                  <c:v>3419.9347522582125</c:v>
                </c:pt>
                <c:pt idx="57">
                  <c:v>3419.9347522582125</c:v>
                </c:pt>
                <c:pt idx="58">
                  <c:v>3419.9347522582125</c:v>
                </c:pt>
                <c:pt idx="59">
                  <c:v>3419.9347522582125</c:v>
                </c:pt>
                <c:pt idx="60">
                  <c:v>3419.9347522582125</c:v>
                </c:pt>
                <c:pt idx="61">
                  <c:v>3419.9347522582125</c:v>
                </c:pt>
                <c:pt idx="62">
                  <c:v>3730.5058943719009</c:v>
                </c:pt>
                <c:pt idx="63">
                  <c:v>3949.5024503798877</c:v>
                </c:pt>
                <c:pt idx="64">
                  <c:v>4057.1676399562484</c:v>
                </c:pt>
                <c:pt idx="65">
                  <c:v>4094.4130128344723</c:v>
                </c:pt>
                <c:pt idx="66">
                  <c:v>4166.0938439923584</c:v>
                </c:pt>
                <c:pt idx="67">
                  <c:v>4348.1472011607748</c:v>
                </c:pt>
                <c:pt idx="68">
                  <c:v>4553.2755358340419</c:v>
                </c:pt>
                <c:pt idx="69">
                  <c:v>4629.0449532534594</c:v>
                </c:pt>
                <c:pt idx="70">
                  <c:v>4687.9403225778906</c:v>
                </c:pt>
                <c:pt idx="71">
                  <c:v>4853.0389304266973</c:v>
                </c:pt>
                <c:pt idx="72">
                  <c:v>4962.1784997953009</c:v>
                </c:pt>
                <c:pt idx="73">
                  <c:v>5099.7393384845409</c:v>
                </c:pt>
                <c:pt idx="74">
                  <c:v>5048.0173225405779</c:v>
                </c:pt>
                <c:pt idx="75">
                  <c:v>5082.1464599692426</c:v>
                </c:pt>
                <c:pt idx="76">
                  <c:v>5085.8382814380839</c:v>
                </c:pt>
                <c:pt idx="77">
                  <c:v>5085.8382814380839</c:v>
                </c:pt>
                <c:pt idx="78">
                  <c:v>5085.8382814380839</c:v>
                </c:pt>
                <c:pt idx="79">
                  <c:v>5085.8382814380839</c:v>
                </c:pt>
                <c:pt idx="80">
                  <c:v>5085.8382814380839</c:v>
                </c:pt>
                <c:pt idx="81">
                  <c:v>5085.8382814380839</c:v>
                </c:pt>
                <c:pt idx="82">
                  <c:v>5085.8382814380839</c:v>
                </c:pt>
                <c:pt idx="83">
                  <c:v>5224.7336613546495</c:v>
                </c:pt>
                <c:pt idx="84">
                  <c:v>5243.5475282567822</c:v>
                </c:pt>
                <c:pt idx="85">
                  <c:v>5246.9783896357367</c:v>
                </c:pt>
                <c:pt idx="86">
                  <c:v>5246.9783896357367</c:v>
                </c:pt>
                <c:pt idx="87">
                  <c:v>5301.656398187617</c:v>
                </c:pt>
                <c:pt idx="88">
                  <c:v>5452.4097125625394</c:v>
                </c:pt>
                <c:pt idx="89">
                  <c:v>5573.6897428412722</c:v>
                </c:pt>
                <c:pt idx="90">
                  <c:v>5736.7065340420841</c:v>
                </c:pt>
                <c:pt idx="91">
                  <c:v>5882.2799629507927</c:v>
                </c:pt>
                <c:pt idx="92">
                  <c:v>5934.4066689137917</c:v>
                </c:pt>
                <c:pt idx="93">
                  <c:v>5934.4066689137917</c:v>
                </c:pt>
                <c:pt idx="94">
                  <c:v>5934.4066689137917</c:v>
                </c:pt>
                <c:pt idx="95">
                  <c:v>5934.4066689137917</c:v>
                </c:pt>
                <c:pt idx="96">
                  <c:v>5934.4066689137917</c:v>
                </c:pt>
                <c:pt idx="97">
                  <c:v>5934.4066689137917</c:v>
                </c:pt>
                <c:pt idx="98">
                  <c:v>5934.4066689137917</c:v>
                </c:pt>
                <c:pt idx="99">
                  <c:v>5934.4066689137917</c:v>
                </c:pt>
                <c:pt idx="100">
                  <c:v>5934.4066689137917</c:v>
                </c:pt>
                <c:pt idx="101">
                  <c:v>5934.4066689137917</c:v>
                </c:pt>
                <c:pt idx="102">
                  <c:v>5934.4066689137917</c:v>
                </c:pt>
                <c:pt idx="103">
                  <c:v>5934.4066689137917</c:v>
                </c:pt>
                <c:pt idx="104">
                  <c:v>5934.4066689137917</c:v>
                </c:pt>
                <c:pt idx="105">
                  <c:v>5934.4066689137917</c:v>
                </c:pt>
                <c:pt idx="106">
                  <c:v>5934.4066689137917</c:v>
                </c:pt>
                <c:pt idx="107">
                  <c:v>5934.4066689137917</c:v>
                </c:pt>
                <c:pt idx="108">
                  <c:v>5934.4066689137917</c:v>
                </c:pt>
                <c:pt idx="109">
                  <c:v>5934.4066689137917</c:v>
                </c:pt>
                <c:pt idx="110">
                  <c:v>5934.4066689137917</c:v>
                </c:pt>
                <c:pt idx="111">
                  <c:v>5934.4066689137917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F74-4DDF-B785-43F3E88DDF16}"/>
            </c:ext>
          </c:extLst>
        </c:ser>
        <c:ser>
          <c:idx val="2"/>
          <c:order val="2"/>
          <c:tx>
            <c:strRef>
              <c:f>'model2(1)mean'!$J$1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'model2(1)mean'!时间</c:f>
              <c:numCache>
                <c:formatCode>yyyy\-mm\-dd</c:formatCode>
                <c:ptCount val="112"/>
                <c:pt idx="0">
                  <c:v>42825</c:v>
                </c:pt>
                <c:pt idx="1">
                  <c:v>42853</c:v>
                </c:pt>
                <c:pt idx="2">
                  <c:v>42886</c:v>
                </c:pt>
                <c:pt idx="3">
                  <c:v>42916</c:v>
                </c:pt>
                <c:pt idx="4">
                  <c:v>42947</c:v>
                </c:pt>
                <c:pt idx="5">
                  <c:v>42978</c:v>
                </c:pt>
                <c:pt idx="6">
                  <c:v>43007</c:v>
                </c:pt>
                <c:pt idx="7">
                  <c:v>43039</c:v>
                </c:pt>
                <c:pt idx="8">
                  <c:v>43069</c:v>
                </c:pt>
                <c:pt idx="9">
                  <c:v>43098</c:v>
                </c:pt>
                <c:pt idx="10">
                  <c:v>43131</c:v>
                </c:pt>
                <c:pt idx="11">
                  <c:v>43159</c:v>
                </c:pt>
                <c:pt idx="12">
                  <c:v>43189</c:v>
                </c:pt>
                <c:pt idx="13">
                  <c:v>43217</c:v>
                </c:pt>
                <c:pt idx="14">
                  <c:v>43251</c:v>
                </c:pt>
                <c:pt idx="15">
                  <c:v>43280</c:v>
                </c:pt>
                <c:pt idx="16">
                  <c:v>43312</c:v>
                </c:pt>
                <c:pt idx="17">
                  <c:v>43343</c:v>
                </c:pt>
                <c:pt idx="18">
                  <c:v>43371</c:v>
                </c:pt>
                <c:pt idx="19">
                  <c:v>43404</c:v>
                </c:pt>
                <c:pt idx="20">
                  <c:v>43434</c:v>
                </c:pt>
                <c:pt idx="21">
                  <c:v>43462</c:v>
                </c:pt>
                <c:pt idx="22">
                  <c:v>43496</c:v>
                </c:pt>
                <c:pt idx="23">
                  <c:v>43524</c:v>
                </c:pt>
                <c:pt idx="24">
                  <c:v>43553</c:v>
                </c:pt>
                <c:pt idx="25">
                  <c:v>43585</c:v>
                </c:pt>
                <c:pt idx="26">
                  <c:v>43616</c:v>
                </c:pt>
                <c:pt idx="27">
                  <c:v>43644</c:v>
                </c:pt>
                <c:pt idx="28">
                  <c:v>43677</c:v>
                </c:pt>
                <c:pt idx="29">
                  <c:v>43707</c:v>
                </c:pt>
                <c:pt idx="30">
                  <c:v>43738</c:v>
                </c:pt>
                <c:pt idx="31">
                  <c:v>43769</c:v>
                </c:pt>
                <c:pt idx="32">
                  <c:v>43798</c:v>
                </c:pt>
                <c:pt idx="33">
                  <c:v>43830</c:v>
                </c:pt>
                <c:pt idx="34">
                  <c:v>43853</c:v>
                </c:pt>
                <c:pt idx="35">
                  <c:v>43889</c:v>
                </c:pt>
                <c:pt idx="36">
                  <c:v>43921</c:v>
                </c:pt>
                <c:pt idx="37">
                  <c:v>43951</c:v>
                </c:pt>
                <c:pt idx="38">
                  <c:v>43980</c:v>
                </c:pt>
                <c:pt idx="39">
                  <c:v>44012</c:v>
                </c:pt>
                <c:pt idx="40">
                  <c:v>44043</c:v>
                </c:pt>
                <c:pt idx="41">
                  <c:v>44074</c:v>
                </c:pt>
                <c:pt idx="42">
                  <c:v>44104</c:v>
                </c:pt>
                <c:pt idx="43">
                  <c:v>44134</c:v>
                </c:pt>
                <c:pt idx="44">
                  <c:v>44165</c:v>
                </c:pt>
                <c:pt idx="45">
                  <c:v>44196</c:v>
                </c:pt>
                <c:pt idx="46">
                  <c:v>44225</c:v>
                </c:pt>
                <c:pt idx="47">
                  <c:v>44253</c:v>
                </c:pt>
                <c:pt idx="48">
                  <c:v>44286</c:v>
                </c:pt>
                <c:pt idx="49">
                  <c:v>44316</c:v>
                </c:pt>
                <c:pt idx="50">
                  <c:v>44347</c:v>
                </c:pt>
                <c:pt idx="51">
                  <c:v>44377</c:v>
                </c:pt>
                <c:pt idx="52">
                  <c:v>44407</c:v>
                </c:pt>
                <c:pt idx="53">
                  <c:v>44439</c:v>
                </c:pt>
                <c:pt idx="54">
                  <c:v>44469</c:v>
                </c:pt>
                <c:pt idx="55">
                  <c:v>44498</c:v>
                </c:pt>
                <c:pt idx="56">
                  <c:v>44530</c:v>
                </c:pt>
                <c:pt idx="57">
                  <c:v>44561</c:v>
                </c:pt>
                <c:pt idx="58">
                  <c:v>44589</c:v>
                </c:pt>
                <c:pt idx="59">
                  <c:v>44620</c:v>
                </c:pt>
                <c:pt idx="60">
                  <c:v>44651</c:v>
                </c:pt>
                <c:pt idx="61">
                  <c:v>44680</c:v>
                </c:pt>
                <c:pt idx="62">
                  <c:v>44712</c:v>
                </c:pt>
                <c:pt idx="63">
                  <c:v>44742</c:v>
                </c:pt>
                <c:pt idx="64">
                  <c:v>44771</c:v>
                </c:pt>
                <c:pt idx="65">
                  <c:v>44804</c:v>
                </c:pt>
                <c:pt idx="66">
                  <c:v>44834</c:v>
                </c:pt>
                <c:pt idx="67">
                  <c:v>44865</c:v>
                </c:pt>
                <c:pt idx="68">
                  <c:v>44895</c:v>
                </c:pt>
                <c:pt idx="69">
                  <c:v>44925</c:v>
                </c:pt>
                <c:pt idx="70">
                  <c:v>44957</c:v>
                </c:pt>
                <c:pt idx="71">
                  <c:v>44985</c:v>
                </c:pt>
                <c:pt idx="72">
                  <c:v>45016</c:v>
                </c:pt>
                <c:pt idx="73">
                  <c:v>45044</c:v>
                </c:pt>
                <c:pt idx="74">
                  <c:v>45077</c:v>
                </c:pt>
                <c:pt idx="75">
                  <c:v>45107</c:v>
                </c:pt>
                <c:pt idx="76">
                  <c:v>45138</c:v>
                </c:pt>
                <c:pt idx="77">
                  <c:v>45169</c:v>
                </c:pt>
                <c:pt idx="78">
                  <c:v>45197</c:v>
                </c:pt>
                <c:pt idx="79">
                  <c:v>45230</c:v>
                </c:pt>
                <c:pt idx="80">
                  <c:v>45260</c:v>
                </c:pt>
                <c:pt idx="81">
                  <c:v>45289</c:v>
                </c:pt>
                <c:pt idx="82">
                  <c:v>45322</c:v>
                </c:pt>
                <c:pt idx="83">
                  <c:v>45351</c:v>
                </c:pt>
                <c:pt idx="84">
                  <c:v>45380</c:v>
                </c:pt>
                <c:pt idx="85">
                  <c:v>45412</c:v>
                </c:pt>
                <c:pt idx="86">
                  <c:v>45443</c:v>
                </c:pt>
                <c:pt idx="87">
                  <c:v>45471</c:v>
                </c:pt>
                <c:pt idx="88">
                  <c:v>45504</c:v>
                </c:pt>
                <c:pt idx="89">
                  <c:v>45534</c:v>
                </c:pt>
                <c:pt idx="90">
                  <c:v>45565</c:v>
                </c:pt>
                <c:pt idx="91">
                  <c:v>45596</c:v>
                </c:pt>
                <c:pt idx="92">
                  <c:v>45625</c:v>
                </c:pt>
                <c:pt idx="93">
                  <c:v>45657</c:v>
                </c:pt>
                <c:pt idx="94">
                  <c:v>45684</c:v>
                </c:pt>
                <c:pt idx="95">
                  <c:v>45716</c:v>
                </c:pt>
                <c:pt idx="96">
                  <c:v>45747</c:v>
                </c:pt>
                <c:pt idx="97">
                  <c:v>45777</c:v>
                </c:pt>
                <c:pt idx="98">
                  <c:v>45807</c:v>
                </c:pt>
                <c:pt idx="99">
                  <c:v>45838</c:v>
                </c:pt>
                <c:pt idx="100">
                  <c:v>45869</c:v>
                </c:pt>
                <c:pt idx="101">
                  <c:v>45898</c:v>
                </c:pt>
                <c:pt idx="102">
                  <c:v>45930</c:v>
                </c:pt>
                <c:pt idx="103">
                  <c:v>45961</c:v>
                </c:pt>
                <c:pt idx="104">
                  <c:v>45989</c:v>
                </c:pt>
                <c:pt idx="105">
                  <c:v>46022</c:v>
                </c:pt>
                <c:pt idx="106">
                  <c:v>46052</c:v>
                </c:pt>
                <c:pt idx="107">
                  <c:v>46080</c:v>
                </c:pt>
                <c:pt idx="108">
                  <c:v>46112</c:v>
                </c:pt>
                <c:pt idx="109">
                  <c:v>46142</c:v>
                </c:pt>
                <c:pt idx="110">
                  <c:v>46171</c:v>
                </c:pt>
                <c:pt idx="111">
                  <c:v>46203</c:v>
                </c:pt>
              </c:numCache>
            </c:numRef>
          </c:cat>
          <c:val>
            <c:numRef>
              <c:f>'model2(1)mean'!金额</c:f>
              <c:numCache>
                <c:formatCode>0.00_ </c:formatCode>
                <c:ptCount val="112"/>
                <c:pt idx="0">
                  <c:v>0</c:v>
                </c:pt>
                <c:pt idx="1">
                  <c:v>-2.5865392447710178</c:v>
                </c:pt>
                <c:pt idx="2">
                  <c:v>-9.0331113874284483</c:v>
                </c:pt>
                <c:pt idx="3">
                  <c:v>11.386672147149795</c:v>
                </c:pt>
                <c:pt idx="4">
                  <c:v>6.2885156126400261</c:v>
                </c:pt>
                <c:pt idx="5">
                  <c:v>29.426423086437978</c:v>
                </c:pt>
                <c:pt idx="6">
                  <c:v>29.001174431625884</c:v>
                </c:pt>
                <c:pt idx="7">
                  <c:v>26.579661999387099</c:v>
                </c:pt>
                <c:pt idx="8">
                  <c:v>26.167411793285567</c:v>
                </c:pt>
                <c:pt idx="9">
                  <c:v>24.679431819013189</c:v>
                </c:pt>
                <c:pt idx="10">
                  <c:v>21.499204692611727</c:v>
                </c:pt>
                <c:pt idx="11">
                  <c:v>18.575275831165584</c:v>
                </c:pt>
                <c:pt idx="12">
                  <c:v>51.535483492287938</c:v>
                </c:pt>
                <c:pt idx="13">
                  <c:v>44.018988331477146</c:v>
                </c:pt>
                <c:pt idx="14">
                  <c:v>33.491952902423236</c:v>
                </c:pt>
                <c:pt idx="15">
                  <c:v>11.249321568892242</c:v>
                </c:pt>
                <c:pt idx="16">
                  <c:v>11.663700504508824</c:v>
                </c:pt>
                <c:pt idx="17">
                  <c:v>-12.712988865263242</c:v>
                </c:pt>
                <c:pt idx="18">
                  <c:v>-21.864441845895726</c:v>
                </c:pt>
                <c:pt idx="19">
                  <c:v>-129.78113974507824</c:v>
                </c:pt>
                <c:pt idx="20">
                  <c:v>-55.660018434221229</c:v>
                </c:pt>
                <c:pt idx="21">
                  <c:v>-150.00945186760737</c:v>
                </c:pt>
                <c:pt idx="22">
                  <c:v>-142.47157619018071</c:v>
                </c:pt>
                <c:pt idx="23">
                  <c:v>370.01644608054266</c:v>
                </c:pt>
                <c:pt idx="24">
                  <c:v>625.52156423970246</c:v>
                </c:pt>
                <c:pt idx="25">
                  <c:v>530.28505909126216</c:v>
                </c:pt>
                <c:pt idx="26">
                  <c:v>405.49444261618328</c:v>
                </c:pt>
                <c:pt idx="27">
                  <c:v>468.26222898043488</c:v>
                </c:pt>
                <c:pt idx="28">
                  <c:v>481.03929280365401</c:v>
                </c:pt>
                <c:pt idx="29">
                  <c:v>561.36389221821946</c:v>
                </c:pt>
                <c:pt idx="30">
                  <c:v>647.68564885649721</c:v>
                </c:pt>
                <c:pt idx="31">
                  <c:v>679.84663478642278</c:v>
                </c:pt>
                <c:pt idx="32">
                  <c:v>690.47240966361051</c:v>
                </c:pt>
                <c:pt idx="33">
                  <c:v>818.16799202657012</c:v>
                </c:pt>
                <c:pt idx="34">
                  <c:v>987.70751358431107</c:v>
                </c:pt>
                <c:pt idx="35">
                  <c:v>1089.951832079631</c:v>
                </c:pt>
                <c:pt idx="36">
                  <c:v>949.53092953556688</c:v>
                </c:pt>
                <c:pt idx="37">
                  <c:v>1000.4745608300977</c:v>
                </c:pt>
                <c:pt idx="38">
                  <c:v>994.01469602617681</c:v>
                </c:pt>
                <c:pt idx="39">
                  <c:v>1020.19925633402</c:v>
                </c:pt>
                <c:pt idx="40">
                  <c:v>1020.19925633402</c:v>
                </c:pt>
                <c:pt idx="41">
                  <c:v>1020.19925633402</c:v>
                </c:pt>
                <c:pt idx="42">
                  <c:v>1020.19925633402</c:v>
                </c:pt>
                <c:pt idx="43">
                  <c:v>1020.19925633402</c:v>
                </c:pt>
                <c:pt idx="44">
                  <c:v>1020.19925633402</c:v>
                </c:pt>
                <c:pt idx="45">
                  <c:v>1020.19925633402</c:v>
                </c:pt>
                <c:pt idx="46">
                  <c:v>1020.19925633402</c:v>
                </c:pt>
                <c:pt idx="47">
                  <c:v>1020.19925633402</c:v>
                </c:pt>
                <c:pt idx="48">
                  <c:v>1020.19925633402</c:v>
                </c:pt>
                <c:pt idx="49">
                  <c:v>1020.19925633402</c:v>
                </c:pt>
                <c:pt idx="50">
                  <c:v>1020.19925633402</c:v>
                </c:pt>
                <c:pt idx="51">
                  <c:v>1020.19925633402</c:v>
                </c:pt>
                <c:pt idx="52">
                  <c:v>1020.19925633402</c:v>
                </c:pt>
                <c:pt idx="53">
                  <c:v>1020.19925633402</c:v>
                </c:pt>
                <c:pt idx="54">
                  <c:v>1020.19925633402</c:v>
                </c:pt>
                <c:pt idx="55">
                  <c:v>1020.19925633402</c:v>
                </c:pt>
                <c:pt idx="56">
                  <c:v>1020.19925633402</c:v>
                </c:pt>
                <c:pt idx="57">
                  <c:v>1020.19925633402</c:v>
                </c:pt>
                <c:pt idx="58">
                  <c:v>1020.19925633402</c:v>
                </c:pt>
                <c:pt idx="59">
                  <c:v>1020.19925633402</c:v>
                </c:pt>
                <c:pt idx="60">
                  <c:v>1020.19925633402</c:v>
                </c:pt>
                <c:pt idx="61">
                  <c:v>1020.19925633402</c:v>
                </c:pt>
                <c:pt idx="62">
                  <c:v>1048.1084629729248</c:v>
                </c:pt>
                <c:pt idx="63">
                  <c:v>1097.317993899173</c:v>
                </c:pt>
                <c:pt idx="64">
                  <c:v>1111.4691476934304</c:v>
                </c:pt>
                <c:pt idx="65">
                  <c:v>1074.7237462931794</c:v>
                </c:pt>
                <c:pt idx="66">
                  <c:v>997.87130804062372</c:v>
                </c:pt>
                <c:pt idx="67">
                  <c:v>1117.4966759255726</c:v>
                </c:pt>
                <c:pt idx="68">
                  <c:v>1146.1232998823493</c:v>
                </c:pt>
                <c:pt idx="69">
                  <c:v>1100.2552982732605</c:v>
                </c:pt>
                <c:pt idx="70">
                  <c:v>1265.3539061220672</c:v>
                </c:pt>
                <c:pt idx="71">
                  <c:v>1374.4934754906708</c:v>
                </c:pt>
                <c:pt idx="72">
                  <c:v>1512.0543141799108</c:v>
                </c:pt>
                <c:pt idx="73">
                  <c:v>1460.3322982359477</c:v>
                </c:pt>
                <c:pt idx="74">
                  <c:v>1494.4614356646125</c:v>
                </c:pt>
                <c:pt idx="75">
                  <c:v>1498.1532571334537</c:v>
                </c:pt>
                <c:pt idx="76">
                  <c:v>1498.1532571334537</c:v>
                </c:pt>
                <c:pt idx="77">
                  <c:v>1498.1532571334537</c:v>
                </c:pt>
                <c:pt idx="78">
                  <c:v>1498.1532571334537</c:v>
                </c:pt>
                <c:pt idx="79">
                  <c:v>1498.1532571334537</c:v>
                </c:pt>
                <c:pt idx="80">
                  <c:v>1498.1532571334537</c:v>
                </c:pt>
                <c:pt idx="81">
                  <c:v>1498.1532571334537</c:v>
                </c:pt>
                <c:pt idx="82">
                  <c:v>1498.1532571334537</c:v>
                </c:pt>
                <c:pt idx="83">
                  <c:v>1516.9671240355865</c:v>
                </c:pt>
                <c:pt idx="84">
                  <c:v>1520.3979854145409</c:v>
                </c:pt>
                <c:pt idx="85">
                  <c:v>1520.3979854145409</c:v>
                </c:pt>
                <c:pt idx="86">
                  <c:v>1520.3979854145405</c:v>
                </c:pt>
                <c:pt idx="87">
                  <c:v>1516.9114642000673</c:v>
                </c:pt>
                <c:pt idx="88">
                  <c:v>1521.8344443674423</c:v>
                </c:pt>
                <c:pt idx="89">
                  <c:v>1508.3836844131383</c:v>
                </c:pt>
                <c:pt idx="90">
                  <c:v>1653.9571133218469</c:v>
                </c:pt>
                <c:pt idx="91">
                  <c:v>1706.083819284846</c:v>
                </c:pt>
                <c:pt idx="92">
                  <c:v>1706.083819284846</c:v>
                </c:pt>
                <c:pt idx="93">
                  <c:v>1706.083819284846</c:v>
                </c:pt>
                <c:pt idx="94">
                  <c:v>1706.083819284846</c:v>
                </c:pt>
                <c:pt idx="95">
                  <c:v>1706.083819284846</c:v>
                </c:pt>
                <c:pt idx="96">
                  <c:v>1706.083819284846</c:v>
                </c:pt>
                <c:pt idx="97">
                  <c:v>1706.083819284846</c:v>
                </c:pt>
                <c:pt idx="98">
                  <c:v>1706.083819284846</c:v>
                </c:pt>
                <c:pt idx="99">
                  <c:v>1706.083819284846</c:v>
                </c:pt>
                <c:pt idx="100">
                  <c:v>1706.083819284846</c:v>
                </c:pt>
                <c:pt idx="101">
                  <c:v>1706.083819284846</c:v>
                </c:pt>
                <c:pt idx="102">
                  <c:v>1706.083819284846</c:v>
                </c:pt>
                <c:pt idx="103">
                  <c:v>1706.083819284846</c:v>
                </c:pt>
                <c:pt idx="104">
                  <c:v>1706.083819284846</c:v>
                </c:pt>
                <c:pt idx="105">
                  <c:v>1706.083819284846</c:v>
                </c:pt>
                <c:pt idx="106">
                  <c:v>1706.083819284846</c:v>
                </c:pt>
                <c:pt idx="107">
                  <c:v>1706.083819284846</c:v>
                </c:pt>
                <c:pt idx="108">
                  <c:v>1706.083819284846</c:v>
                </c:pt>
                <c:pt idx="109">
                  <c:v>1706.083819284846</c:v>
                </c:pt>
                <c:pt idx="110">
                  <c:v>1706.083819284846</c:v>
                </c:pt>
                <c:pt idx="111">
                  <c:v>1706.083819284846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3F74-4DDF-B785-43F3E88DD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9516160"/>
        <c:axId val="479517696"/>
      </c:lineChart>
      <c:dateAx>
        <c:axId val="479516160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9517696"/>
        <c:crosses val="autoZero"/>
        <c:auto val="1"/>
        <c:lblOffset val="100"/>
        <c:baseTimeUnit val="days"/>
      </c:dateAx>
      <c:valAx>
        <c:axId val="47951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951616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4792030779846361"/>
          <c:y val="0.91711229946524064"/>
          <c:w val="0.5041600831510038"/>
          <c:h val="5.8823529411764719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model2</a:t>
            </a:r>
            <a:r>
              <a:rPr lang="zh-CN" altLang="en-US"/>
              <a:t>（</a:t>
            </a:r>
            <a:r>
              <a:rPr lang="en-US" altLang="zh-CN"/>
              <a:t>1</a:t>
            </a:r>
            <a:r>
              <a:rPr lang="zh-CN" altLang="en-US"/>
              <a:t>）</a:t>
            </a:r>
            <a:endParaRPr lang="zh-CN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1198003327787"/>
          <c:y val="0.13636363636363635"/>
          <c:w val="0.82861896838602334"/>
          <c:h val="0.60160427807486627"/>
        </c:manualLayout>
      </c:layout>
      <c:lineChart>
        <c:grouping val="standard"/>
        <c:varyColors val="0"/>
        <c:ser>
          <c:idx val="0"/>
          <c:order val="0"/>
          <c:tx>
            <c:strRef>
              <c:f>'model2(1)MA250'!$H$1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'model2(1)MA250'!时间</c:f>
              <c:numCache>
                <c:formatCode>yyyy\-mm\-dd</c:formatCode>
                <c:ptCount val="100"/>
                <c:pt idx="0">
                  <c:v>43189</c:v>
                </c:pt>
                <c:pt idx="1">
                  <c:v>43217</c:v>
                </c:pt>
                <c:pt idx="2">
                  <c:v>43251</c:v>
                </c:pt>
                <c:pt idx="3">
                  <c:v>43280</c:v>
                </c:pt>
                <c:pt idx="4">
                  <c:v>43312</c:v>
                </c:pt>
                <c:pt idx="5">
                  <c:v>43343</c:v>
                </c:pt>
                <c:pt idx="6">
                  <c:v>43371</c:v>
                </c:pt>
                <c:pt idx="7">
                  <c:v>43404</c:v>
                </c:pt>
                <c:pt idx="8">
                  <c:v>43434</c:v>
                </c:pt>
                <c:pt idx="9">
                  <c:v>43462</c:v>
                </c:pt>
                <c:pt idx="10">
                  <c:v>43496</c:v>
                </c:pt>
                <c:pt idx="11">
                  <c:v>43524</c:v>
                </c:pt>
                <c:pt idx="12">
                  <c:v>43553</c:v>
                </c:pt>
                <c:pt idx="13">
                  <c:v>43585</c:v>
                </c:pt>
                <c:pt idx="14">
                  <c:v>43616</c:v>
                </c:pt>
                <c:pt idx="15">
                  <c:v>43644</c:v>
                </c:pt>
                <c:pt idx="16">
                  <c:v>43677</c:v>
                </c:pt>
                <c:pt idx="17">
                  <c:v>43707</c:v>
                </c:pt>
                <c:pt idx="18">
                  <c:v>43738</c:v>
                </c:pt>
                <c:pt idx="19">
                  <c:v>43769</c:v>
                </c:pt>
                <c:pt idx="20">
                  <c:v>43798</c:v>
                </c:pt>
                <c:pt idx="21">
                  <c:v>43830</c:v>
                </c:pt>
                <c:pt idx="22">
                  <c:v>43853</c:v>
                </c:pt>
                <c:pt idx="23">
                  <c:v>43889</c:v>
                </c:pt>
                <c:pt idx="24">
                  <c:v>43921</c:v>
                </c:pt>
                <c:pt idx="25">
                  <c:v>43951</c:v>
                </c:pt>
                <c:pt idx="26">
                  <c:v>43980</c:v>
                </c:pt>
                <c:pt idx="27">
                  <c:v>44012</c:v>
                </c:pt>
                <c:pt idx="28">
                  <c:v>44043</c:v>
                </c:pt>
                <c:pt idx="29">
                  <c:v>44074</c:v>
                </c:pt>
                <c:pt idx="30">
                  <c:v>44104</c:v>
                </c:pt>
                <c:pt idx="31">
                  <c:v>44134</c:v>
                </c:pt>
                <c:pt idx="32">
                  <c:v>44165</c:v>
                </c:pt>
                <c:pt idx="33">
                  <c:v>44196</c:v>
                </c:pt>
                <c:pt idx="34">
                  <c:v>44225</c:v>
                </c:pt>
                <c:pt idx="35">
                  <c:v>44253</c:v>
                </c:pt>
                <c:pt idx="36">
                  <c:v>44286</c:v>
                </c:pt>
                <c:pt idx="37">
                  <c:v>44316</c:v>
                </c:pt>
                <c:pt idx="38">
                  <c:v>44347</c:v>
                </c:pt>
                <c:pt idx="39">
                  <c:v>44377</c:v>
                </c:pt>
                <c:pt idx="40">
                  <c:v>44407</c:v>
                </c:pt>
                <c:pt idx="41">
                  <c:v>44439</c:v>
                </c:pt>
                <c:pt idx="42">
                  <c:v>44469</c:v>
                </c:pt>
                <c:pt idx="43">
                  <c:v>44498</c:v>
                </c:pt>
                <c:pt idx="44">
                  <c:v>44530</c:v>
                </c:pt>
                <c:pt idx="45">
                  <c:v>44561</c:v>
                </c:pt>
                <c:pt idx="46">
                  <c:v>44589</c:v>
                </c:pt>
                <c:pt idx="47">
                  <c:v>44620</c:v>
                </c:pt>
                <c:pt idx="48">
                  <c:v>44651</c:v>
                </c:pt>
                <c:pt idx="49">
                  <c:v>44680</c:v>
                </c:pt>
                <c:pt idx="50">
                  <c:v>44712</c:v>
                </c:pt>
                <c:pt idx="51">
                  <c:v>44742</c:v>
                </c:pt>
                <c:pt idx="52">
                  <c:v>44771</c:v>
                </c:pt>
                <c:pt idx="53">
                  <c:v>44804</c:v>
                </c:pt>
                <c:pt idx="54">
                  <c:v>44834</c:v>
                </c:pt>
                <c:pt idx="55">
                  <c:v>44865</c:v>
                </c:pt>
                <c:pt idx="56">
                  <c:v>44895</c:v>
                </c:pt>
                <c:pt idx="57">
                  <c:v>44925</c:v>
                </c:pt>
                <c:pt idx="58">
                  <c:v>44957</c:v>
                </c:pt>
                <c:pt idx="59">
                  <c:v>44985</c:v>
                </c:pt>
                <c:pt idx="60">
                  <c:v>45016</c:v>
                </c:pt>
                <c:pt idx="61">
                  <c:v>45044</c:v>
                </c:pt>
                <c:pt idx="62">
                  <c:v>45077</c:v>
                </c:pt>
                <c:pt idx="63">
                  <c:v>45107</c:v>
                </c:pt>
                <c:pt idx="64">
                  <c:v>45138</c:v>
                </c:pt>
                <c:pt idx="65">
                  <c:v>45169</c:v>
                </c:pt>
                <c:pt idx="66">
                  <c:v>45197</c:v>
                </c:pt>
                <c:pt idx="67">
                  <c:v>45230</c:v>
                </c:pt>
                <c:pt idx="68">
                  <c:v>45260</c:v>
                </c:pt>
                <c:pt idx="69">
                  <c:v>45289</c:v>
                </c:pt>
                <c:pt idx="70">
                  <c:v>45322</c:v>
                </c:pt>
                <c:pt idx="71">
                  <c:v>45351</c:v>
                </c:pt>
                <c:pt idx="72">
                  <c:v>45380</c:v>
                </c:pt>
                <c:pt idx="73">
                  <c:v>45412</c:v>
                </c:pt>
                <c:pt idx="74">
                  <c:v>45443</c:v>
                </c:pt>
                <c:pt idx="75">
                  <c:v>45471</c:v>
                </c:pt>
                <c:pt idx="76">
                  <c:v>45504</c:v>
                </c:pt>
                <c:pt idx="77">
                  <c:v>45534</c:v>
                </c:pt>
                <c:pt idx="78">
                  <c:v>45565</c:v>
                </c:pt>
                <c:pt idx="79">
                  <c:v>45596</c:v>
                </c:pt>
                <c:pt idx="80">
                  <c:v>45625</c:v>
                </c:pt>
                <c:pt idx="81">
                  <c:v>45657</c:v>
                </c:pt>
                <c:pt idx="82">
                  <c:v>45684</c:v>
                </c:pt>
                <c:pt idx="83">
                  <c:v>45716</c:v>
                </c:pt>
                <c:pt idx="84">
                  <c:v>45747</c:v>
                </c:pt>
                <c:pt idx="85">
                  <c:v>45777</c:v>
                </c:pt>
                <c:pt idx="86">
                  <c:v>45807</c:v>
                </c:pt>
                <c:pt idx="87">
                  <c:v>45838</c:v>
                </c:pt>
                <c:pt idx="88">
                  <c:v>45869</c:v>
                </c:pt>
                <c:pt idx="89">
                  <c:v>45898</c:v>
                </c:pt>
                <c:pt idx="90">
                  <c:v>45930</c:v>
                </c:pt>
                <c:pt idx="91">
                  <c:v>45961</c:v>
                </c:pt>
                <c:pt idx="92">
                  <c:v>45989</c:v>
                </c:pt>
                <c:pt idx="93">
                  <c:v>46022</c:v>
                </c:pt>
                <c:pt idx="94">
                  <c:v>46052</c:v>
                </c:pt>
                <c:pt idx="95">
                  <c:v>46080</c:v>
                </c:pt>
                <c:pt idx="96">
                  <c:v>46112</c:v>
                </c:pt>
                <c:pt idx="97">
                  <c:v>46142</c:v>
                </c:pt>
                <c:pt idx="98">
                  <c:v>46171</c:v>
                </c:pt>
                <c:pt idx="99">
                  <c:v>46203</c:v>
                </c:pt>
              </c:numCache>
            </c:numRef>
          </c:cat>
          <c:val>
            <c:numRef>
              <c:f>'model2(1)MA250'!资金</c:f>
              <c:numCache>
                <c:formatCode>0.00_ 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54.219558000000241</c:v>
                </c:pt>
                <c:pt idx="3">
                  <c:v>216.95312800000076</c:v>
                </c:pt>
                <c:pt idx="4">
                  <c:v>368.11291000000125</c:v>
                </c:pt>
                <c:pt idx="5">
                  <c:v>556.64933000000133</c:v>
                </c:pt>
                <c:pt idx="6">
                  <c:v>734.41542000000152</c:v>
                </c:pt>
                <c:pt idx="7">
                  <c:v>1020.480196000002</c:v>
                </c:pt>
                <c:pt idx="8">
                  <c:v>1203.6304280000031</c:v>
                </c:pt>
                <c:pt idx="9">
                  <c:v>1431.6926540000038</c:v>
                </c:pt>
                <c:pt idx="10">
                  <c:v>1625.1494560000042</c:v>
                </c:pt>
                <c:pt idx="11">
                  <c:v>1625.1494560000042</c:v>
                </c:pt>
                <c:pt idx="12">
                  <c:v>1625.1494560000042</c:v>
                </c:pt>
                <c:pt idx="13">
                  <c:v>1625.1494560000042</c:v>
                </c:pt>
                <c:pt idx="14">
                  <c:v>1625.1494560000042</c:v>
                </c:pt>
                <c:pt idx="15">
                  <c:v>1625.1494560000042</c:v>
                </c:pt>
                <c:pt idx="16">
                  <c:v>1625.1494560000042</c:v>
                </c:pt>
                <c:pt idx="17">
                  <c:v>1625.1494560000042</c:v>
                </c:pt>
                <c:pt idx="18">
                  <c:v>1625.1494560000042</c:v>
                </c:pt>
                <c:pt idx="19">
                  <c:v>1625.1494560000042</c:v>
                </c:pt>
                <c:pt idx="20">
                  <c:v>1625.1494560000042</c:v>
                </c:pt>
                <c:pt idx="21">
                  <c:v>1625.1494560000042</c:v>
                </c:pt>
                <c:pt idx="22">
                  <c:v>1625.1494560000042</c:v>
                </c:pt>
                <c:pt idx="23">
                  <c:v>1625.1494560000042</c:v>
                </c:pt>
                <c:pt idx="24">
                  <c:v>1625.1494560000042</c:v>
                </c:pt>
                <c:pt idx="25">
                  <c:v>1625.1494560000042</c:v>
                </c:pt>
                <c:pt idx="26">
                  <c:v>1625.1494560000042</c:v>
                </c:pt>
                <c:pt idx="27">
                  <c:v>1625.1494560000042</c:v>
                </c:pt>
                <c:pt idx="28">
                  <c:v>1625.1494560000042</c:v>
                </c:pt>
                <c:pt idx="29">
                  <c:v>1625.1494560000042</c:v>
                </c:pt>
                <c:pt idx="30">
                  <c:v>1625.1494560000042</c:v>
                </c:pt>
                <c:pt idx="31">
                  <c:v>1625.1494560000042</c:v>
                </c:pt>
                <c:pt idx="32">
                  <c:v>1625.1494560000042</c:v>
                </c:pt>
                <c:pt idx="33">
                  <c:v>1625.1494560000042</c:v>
                </c:pt>
                <c:pt idx="34">
                  <c:v>1628.7910260000049</c:v>
                </c:pt>
                <c:pt idx="35">
                  <c:v>1639.4913580000057</c:v>
                </c:pt>
                <c:pt idx="36">
                  <c:v>1770.0477340000052</c:v>
                </c:pt>
                <c:pt idx="37">
                  <c:v>1873.9421260000045</c:v>
                </c:pt>
                <c:pt idx="38">
                  <c:v>1873.9421260000045</c:v>
                </c:pt>
                <c:pt idx="39">
                  <c:v>1873.9421260000045</c:v>
                </c:pt>
                <c:pt idx="40">
                  <c:v>1873.9421260000045</c:v>
                </c:pt>
                <c:pt idx="41">
                  <c:v>1925.9650860000054</c:v>
                </c:pt>
                <c:pt idx="42">
                  <c:v>1989.5938260000055</c:v>
                </c:pt>
                <c:pt idx="43">
                  <c:v>2057.1615500000057</c:v>
                </c:pt>
                <c:pt idx="44">
                  <c:v>2064.5830120000064</c:v>
                </c:pt>
                <c:pt idx="45">
                  <c:v>2064.5830120000064</c:v>
                </c:pt>
                <c:pt idx="46">
                  <c:v>2257.2385880000079</c:v>
                </c:pt>
                <c:pt idx="47">
                  <c:v>2374.1318380000084</c:v>
                </c:pt>
                <c:pt idx="48">
                  <c:v>2633.8218760000091</c:v>
                </c:pt>
                <c:pt idx="49">
                  <c:v>3199.3673380000087</c:v>
                </c:pt>
                <c:pt idx="50">
                  <c:v>3612.957310000008</c:v>
                </c:pt>
                <c:pt idx="51">
                  <c:v>3856.0087800000078</c:v>
                </c:pt>
                <c:pt idx="52">
                  <c:v>4021.9754020000078</c:v>
                </c:pt>
                <c:pt idx="53">
                  <c:v>4235.9798100000071</c:v>
                </c:pt>
                <c:pt idx="54">
                  <c:v>4562.2859340000068</c:v>
                </c:pt>
                <c:pt idx="55">
                  <c:v>4688.6512340000072</c:v>
                </c:pt>
                <c:pt idx="56">
                  <c:v>4747.6790780000074</c:v>
                </c:pt>
                <c:pt idx="57">
                  <c:v>4830.1401940000078</c:v>
                </c:pt>
                <c:pt idx="58">
                  <c:v>4830.1401940000078</c:v>
                </c:pt>
                <c:pt idx="59">
                  <c:v>4830.1401940000078</c:v>
                </c:pt>
                <c:pt idx="60">
                  <c:v>4830.1401940000078</c:v>
                </c:pt>
                <c:pt idx="61">
                  <c:v>4830.1401940000078</c:v>
                </c:pt>
                <c:pt idx="62">
                  <c:v>4830.1401940000078</c:v>
                </c:pt>
                <c:pt idx="63">
                  <c:v>4830.1401940000078</c:v>
                </c:pt>
                <c:pt idx="64">
                  <c:v>4830.1401940000078</c:v>
                </c:pt>
                <c:pt idx="65">
                  <c:v>4830.1401940000078</c:v>
                </c:pt>
                <c:pt idx="66">
                  <c:v>4830.1401940000078</c:v>
                </c:pt>
                <c:pt idx="67">
                  <c:v>4830.1401940000078</c:v>
                </c:pt>
                <c:pt idx="68">
                  <c:v>4830.1401940000078</c:v>
                </c:pt>
                <c:pt idx="69">
                  <c:v>4830.1401940000078</c:v>
                </c:pt>
                <c:pt idx="70">
                  <c:v>5258.4664500000081</c:v>
                </c:pt>
                <c:pt idx="71">
                  <c:v>5467.3450080000084</c:v>
                </c:pt>
                <c:pt idx="72">
                  <c:v>5609.0739080000076</c:v>
                </c:pt>
                <c:pt idx="73">
                  <c:v>5800.7448620000077</c:v>
                </c:pt>
                <c:pt idx="74">
                  <c:v>6068.6050120000073</c:v>
                </c:pt>
                <c:pt idx="75">
                  <c:v>6398.9720740000075</c:v>
                </c:pt>
                <c:pt idx="76">
                  <c:v>6639.8119420000066</c:v>
                </c:pt>
                <c:pt idx="77">
                  <c:v>6898.9353000000046</c:v>
                </c:pt>
                <c:pt idx="78">
                  <c:v>6898.9353000000046</c:v>
                </c:pt>
                <c:pt idx="79">
                  <c:v>6898.9353000000046</c:v>
                </c:pt>
                <c:pt idx="80">
                  <c:v>6898.9353000000046</c:v>
                </c:pt>
                <c:pt idx="81">
                  <c:v>6898.9353000000046</c:v>
                </c:pt>
                <c:pt idx="82">
                  <c:v>6898.9353000000046</c:v>
                </c:pt>
                <c:pt idx="83">
                  <c:v>6898.9353000000046</c:v>
                </c:pt>
                <c:pt idx="84">
                  <c:v>6898.9353000000046</c:v>
                </c:pt>
                <c:pt idx="85">
                  <c:v>6898.9353000000046</c:v>
                </c:pt>
                <c:pt idx="86">
                  <c:v>6898.9353000000046</c:v>
                </c:pt>
                <c:pt idx="87">
                  <c:v>6898.9353000000046</c:v>
                </c:pt>
                <c:pt idx="88">
                  <c:v>6898.9353000000046</c:v>
                </c:pt>
                <c:pt idx="89">
                  <c:v>6898.9353000000046</c:v>
                </c:pt>
                <c:pt idx="90">
                  <c:v>6898.9353000000046</c:v>
                </c:pt>
                <c:pt idx="91">
                  <c:v>6898.9353000000046</c:v>
                </c:pt>
                <c:pt idx="92">
                  <c:v>6898.9353000000046</c:v>
                </c:pt>
                <c:pt idx="93">
                  <c:v>6898.9353000000046</c:v>
                </c:pt>
                <c:pt idx="94">
                  <c:v>6898.9353000000046</c:v>
                </c:pt>
                <c:pt idx="95">
                  <c:v>6898.9353000000046</c:v>
                </c:pt>
                <c:pt idx="96">
                  <c:v>6898.9353000000046</c:v>
                </c:pt>
                <c:pt idx="97">
                  <c:v>6898.9353000000046</c:v>
                </c:pt>
                <c:pt idx="98">
                  <c:v>6917.0073080000038</c:v>
                </c:pt>
                <c:pt idx="99">
                  <c:v>7143.8348660000038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4FC-4CF7-AEC2-660318BEDD89}"/>
            </c:ext>
          </c:extLst>
        </c:ser>
        <c:ser>
          <c:idx val="1"/>
          <c:order val="1"/>
          <c:tx>
            <c:strRef>
              <c:f>'model2(1)MA250'!$I$1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'model2(1)MA250'!时间</c:f>
              <c:numCache>
                <c:formatCode>yyyy\-mm\-dd</c:formatCode>
                <c:ptCount val="100"/>
                <c:pt idx="0">
                  <c:v>43189</c:v>
                </c:pt>
                <c:pt idx="1">
                  <c:v>43217</c:v>
                </c:pt>
                <c:pt idx="2">
                  <c:v>43251</c:v>
                </c:pt>
                <c:pt idx="3">
                  <c:v>43280</c:v>
                </c:pt>
                <c:pt idx="4">
                  <c:v>43312</c:v>
                </c:pt>
                <c:pt idx="5">
                  <c:v>43343</c:v>
                </c:pt>
                <c:pt idx="6">
                  <c:v>43371</c:v>
                </c:pt>
                <c:pt idx="7">
                  <c:v>43404</c:v>
                </c:pt>
                <c:pt idx="8">
                  <c:v>43434</c:v>
                </c:pt>
                <c:pt idx="9">
                  <c:v>43462</c:v>
                </c:pt>
                <c:pt idx="10">
                  <c:v>43496</c:v>
                </c:pt>
                <c:pt idx="11">
                  <c:v>43524</c:v>
                </c:pt>
                <c:pt idx="12">
                  <c:v>43553</c:v>
                </c:pt>
                <c:pt idx="13">
                  <c:v>43585</c:v>
                </c:pt>
                <c:pt idx="14">
                  <c:v>43616</c:v>
                </c:pt>
                <c:pt idx="15">
                  <c:v>43644</c:v>
                </c:pt>
                <c:pt idx="16">
                  <c:v>43677</c:v>
                </c:pt>
                <c:pt idx="17">
                  <c:v>43707</c:v>
                </c:pt>
                <c:pt idx="18">
                  <c:v>43738</c:v>
                </c:pt>
                <c:pt idx="19">
                  <c:v>43769</c:v>
                </c:pt>
                <c:pt idx="20">
                  <c:v>43798</c:v>
                </c:pt>
                <c:pt idx="21">
                  <c:v>43830</c:v>
                </c:pt>
                <c:pt idx="22">
                  <c:v>43853</c:v>
                </c:pt>
                <c:pt idx="23">
                  <c:v>43889</c:v>
                </c:pt>
                <c:pt idx="24">
                  <c:v>43921</c:v>
                </c:pt>
                <c:pt idx="25">
                  <c:v>43951</c:v>
                </c:pt>
                <c:pt idx="26">
                  <c:v>43980</c:v>
                </c:pt>
                <c:pt idx="27">
                  <c:v>44012</c:v>
                </c:pt>
                <c:pt idx="28">
                  <c:v>44043</c:v>
                </c:pt>
                <c:pt idx="29">
                  <c:v>44074</c:v>
                </c:pt>
                <c:pt idx="30">
                  <c:v>44104</c:v>
                </c:pt>
                <c:pt idx="31">
                  <c:v>44134</c:v>
                </c:pt>
                <c:pt idx="32">
                  <c:v>44165</c:v>
                </c:pt>
                <c:pt idx="33">
                  <c:v>44196</c:v>
                </c:pt>
                <c:pt idx="34">
                  <c:v>44225</c:v>
                </c:pt>
                <c:pt idx="35">
                  <c:v>44253</c:v>
                </c:pt>
                <c:pt idx="36">
                  <c:v>44286</c:v>
                </c:pt>
                <c:pt idx="37">
                  <c:v>44316</c:v>
                </c:pt>
                <c:pt idx="38">
                  <c:v>44347</c:v>
                </c:pt>
                <c:pt idx="39">
                  <c:v>44377</c:v>
                </c:pt>
                <c:pt idx="40">
                  <c:v>44407</c:v>
                </c:pt>
                <c:pt idx="41">
                  <c:v>44439</c:v>
                </c:pt>
                <c:pt idx="42">
                  <c:v>44469</c:v>
                </c:pt>
                <c:pt idx="43">
                  <c:v>44498</c:v>
                </c:pt>
                <c:pt idx="44">
                  <c:v>44530</c:v>
                </c:pt>
                <c:pt idx="45">
                  <c:v>44561</c:v>
                </c:pt>
                <c:pt idx="46">
                  <c:v>44589</c:v>
                </c:pt>
                <c:pt idx="47">
                  <c:v>44620</c:v>
                </c:pt>
                <c:pt idx="48">
                  <c:v>44651</c:v>
                </c:pt>
                <c:pt idx="49">
                  <c:v>44680</c:v>
                </c:pt>
                <c:pt idx="50">
                  <c:v>44712</c:v>
                </c:pt>
                <c:pt idx="51">
                  <c:v>44742</c:v>
                </c:pt>
                <c:pt idx="52">
                  <c:v>44771</c:v>
                </c:pt>
                <c:pt idx="53">
                  <c:v>44804</c:v>
                </c:pt>
                <c:pt idx="54">
                  <c:v>44834</c:v>
                </c:pt>
                <c:pt idx="55">
                  <c:v>44865</c:v>
                </c:pt>
                <c:pt idx="56">
                  <c:v>44895</c:v>
                </c:pt>
                <c:pt idx="57">
                  <c:v>44925</c:v>
                </c:pt>
                <c:pt idx="58">
                  <c:v>44957</c:v>
                </c:pt>
                <c:pt idx="59">
                  <c:v>44985</c:v>
                </c:pt>
                <c:pt idx="60">
                  <c:v>45016</c:v>
                </c:pt>
                <c:pt idx="61">
                  <c:v>45044</c:v>
                </c:pt>
                <c:pt idx="62">
                  <c:v>45077</c:v>
                </c:pt>
                <c:pt idx="63">
                  <c:v>45107</c:v>
                </c:pt>
                <c:pt idx="64">
                  <c:v>45138</c:v>
                </c:pt>
                <c:pt idx="65">
                  <c:v>45169</c:v>
                </c:pt>
                <c:pt idx="66">
                  <c:v>45197</c:v>
                </c:pt>
                <c:pt idx="67">
                  <c:v>45230</c:v>
                </c:pt>
                <c:pt idx="68">
                  <c:v>45260</c:v>
                </c:pt>
                <c:pt idx="69">
                  <c:v>45289</c:v>
                </c:pt>
                <c:pt idx="70">
                  <c:v>45322</c:v>
                </c:pt>
                <c:pt idx="71">
                  <c:v>45351</c:v>
                </c:pt>
                <c:pt idx="72">
                  <c:v>45380</c:v>
                </c:pt>
                <c:pt idx="73">
                  <c:v>45412</c:v>
                </c:pt>
                <c:pt idx="74">
                  <c:v>45443</c:v>
                </c:pt>
                <c:pt idx="75">
                  <c:v>45471</c:v>
                </c:pt>
                <c:pt idx="76">
                  <c:v>45504</c:v>
                </c:pt>
                <c:pt idx="77">
                  <c:v>45534</c:v>
                </c:pt>
                <c:pt idx="78">
                  <c:v>45565</c:v>
                </c:pt>
                <c:pt idx="79">
                  <c:v>45596</c:v>
                </c:pt>
                <c:pt idx="80">
                  <c:v>45625</c:v>
                </c:pt>
                <c:pt idx="81">
                  <c:v>45657</c:v>
                </c:pt>
                <c:pt idx="82">
                  <c:v>45684</c:v>
                </c:pt>
                <c:pt idx="83">
                  <c:v>45716</c:v>
                </c:pt>
                <c:pt idx="84">
                  <c:v>45747</c:v>
                </c:pt>
                <c:pt idx="85">
                  <c:v>45777</c:v>
                </c:pt>
                <c:pt idx="86">
                  <c:v>45807</c:v>
                </c:pt>
                <c:pt idx="87">
                  <c:v>45838</c:v>
                </c:pt>
                <c:pt idx="88">
                  <c:v>45869</c:v>
                </c:pt>
                <c:pt idx="89">
                  <c:v>45898</c:v>
                </c:pt>
                <c:pt idx="90">
                  <c:v>45930</c:v>
                </c:pt>
                <c:pt idx="91">
                  <c:v>45961</c:v>
                </c:pt>
                <c:pt idx="92">
                  <c:v>45989</c:v>
                </c:pt>
                <c:pt idx="93">
                  <c:v>46022</c:v>
                </c:pt>
                <c:pt idx="94">
                  <c:v>46052</c:v>
                </c:pt>
                <c:pt idx="95">
                  <c:v>46080</c:v>
                </c:pt>
                <c:pt idx="96">
                  <c:v>46112</c:v>
                </c:pt>
                <c:pt idx="97">
                  <c:v>46142</c:v>
                </c:pt>
                <c:pt idx="98">
                  <c:v>46171</c:v>
                </c:pt>
                <c:pt idx="99">
                  <c:v>46203</c:v>
                </c:pt>
              </c:numCache>
            </c:numRef>
          </c:cat>
          <c:val>
            <c:numRef>
              <c:f>'model2(1)MA250'!资产</c:f>
              <c:numCache>
                <c:formatCode>0.00_ 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54.219558000000241</c:v>
                </c:pt>
                <c:pt idx="3">
                  <c:v>212.55575416949151</c:v>
                </c:pt>
                <c:pt idx="4">
                  <c:v>363.93009094621533</c:v>
                </c:pt>
                <c:pt idx="5">
                  <c:v>536.57438677997914</c:v>
                </c:pt>
                <c:pt idx="6">
                  <c:v>707.55800320886669</c:v>
                </c:pt>
                <c:pt idx="7">
                  <c:v>909.71176679456289</c:v>
                </c:pt>
                <c:pt idx="8">
                  <c:v>1152.879479197911</c:v>
                </c:pt>
                <c:pt idx="9">
                  <c:v>1305.2741513950191</c:v>
                </c:pt>
                <c:pt idx="10">
                  <c:v>1504.7143635656378</c:v>
                </c:pt>
                <c:pt idx="11">
                  <c:v>1903.1524699952708</c:v>
                </c:pt>
                <c:pt idx="12">
                  <c:v>2092.2213351392056</c:v>
                </c:pt>
                <c:pt idx="13">
                  <c:v>2026.372575113543</c:v>
                </c:pt>
                <c:pt idx="14">
                  <c:v>1946.0036372696127</c:v>
                </c:pt>
                <c:pt idx="15">
                  <c:v>1983.7190710097182</c:v>
                </c:pt>
                <c:pt idx="16">
                  <c:v>1990.7609996678661</c:v>
                </c:pt>
                <c:pt idx="17">
                  <c:v>2031.218755893671</c:v>
                </c:pt>
                <c:pt idx="18">
                  <c:v>2070.0424198940818</c:v>
                </c:pt>
                <c:pt idx="19">
                  <c:v>2082.5865168633218</c:v>
                </c:pt>
                <c:pt idx="20">
                  <c:v>2086.0907134770578</c:v>
                </c:pt>
                <c:pt idx="21">
                  <c:v>2121.2666649160242</c:v>
                </c:pt>
                <c:pt idx="22">
                  <c:v>2154.5109296543583</c:v>
                </c:pt>
                <c:pt idx="23">
                  <c:v>2159.2747743102564</c:v>
                </c:pt>
                <c:pt idx="24">
                  <c:v>2159.2747743102564</c:v>
                </c:pt>
                <c:pt idx="25">
                  <c:v>2159.2747743102564</c:v>
                </c:pt>
                <c:pt idx="26">
                  <c:v>2159.2747743102564</c:v>
                </c:pt>
                <c:pt idx="27">
                  <c:v>2159.2747743102564</c:v>
                </c:pt>
                <c:pt idx="28">
                  <c:v>2159.2747743102564</c:v>
                </c:pt>
                <c:pt idx="29">
                  <c:v>2159.2747743102564</c:v>
                </c:pt>
                <c:pt idx="30">
                  <c:v>2159.2747743102564</c:v>
                </c:pt>
                <c:pt idx="31">
                  <c:v>2159.2747743102564</c:v>
                </c:pt>
                <c:pt idx="32">
                  <c:v>2159.2747743102564</c:v>
                </c:pt>
                <c:pt idx="33">
                  <c:v>2159.2747743102564</c:v>
                </c:pt>
                <c:pt idx="34">
                  <c:v>2162.916344310257</c:v>
                </c:pt>
                <c:pt idx="35">
                  <c:v>2173.6230619319954</c:v>
                </c:pt>
                <c:pt idx="36">
                  <c:v>2303.223633893982</c:v>
                </c:pt>
                <c:pt idx="37">
                  <c:v>2409.9656776720376</c:v>
                </c:pt>
                <c:pt idx="38">
                  <c:v>2427.4548513569662</c:v>
                </c:pt>
                <c:pt idx="39">
                  <c:v>2442.1362869366485</c:v>
                </c:pt>
                <c:pt idx="40">
                  <c:v>2436.5854488767377</c:v>
                </c:pt>
                <c:pt idx="41">
                  <c:v>2483.3465527457174</c:v>
                </c:pt>
                <c:pt idx="42">
                  <c:v>2545.2630756965418</c:v>
                </c:pt>
                <c:pt idx="43">
                  <c:v>2611.7323613925123</c:v>
                </c:pt>
                <c:pt idx="44">
                  <c:v>2627.5377759753405</c:v>
                </c:pt>
                <c:pt idx="45">
                  <c:v>2632.6303559717571</c:v>
                </c:pt>
                <c:pt idx="46">
                  <c:v>2794.3876953463241</c:v>
                </c:pt>
                <c:pt idx="47">
                  <c:v>2927.1539362553685</c:v>
                </c:pt>
                <c:pt idx="48">
                  <c:v>3135.5861670544855</c:v>
                </c:pt>
                <c:pt idx="49">
                  <c:v>3542.6500166883184</c:v>
                </c:pt>
                <c:pt idx="50">
                  <c:v>4062.1164629794043</c:v>
                </c:pt>
                <c:pt idx="51">
                  <c:v>4462.9203352572413</c:v>
                </c:pt>
                <c:pt idx="52">
                  <c:v>4675.4877350226261</c:v>
                </c:pt>
                <c:pt idx="53">
                  <c:v>4763.588282997167</c:v>
                </c:pt>
                <c:pt idx="54">
                  <c:v>4842.791089296923</c:v>
                </c:pt>
                <c:pt idx="55">
                  <c:v>5288.5558277635719</c:v>
                </c:pt>
                <c:pt idx="56">
                  <c:v>5421.4421416941914</c:v>
                </c:pt>
                <c:pt idx="57">
                  <c:v>5387.9358458787192</c:v>
                </c:pt>
                <c:pt idx="58">
                  <c:v>5781.6018143866768</c:v>
                </c:pt>
                <c:pt idx="59">
                  <c:v>6048.2297512717269</c:v>
                </c:pt>
                <c:pt idx="60">
                  <c:v>6414.7553812283222</c:v>
                </c:pt>
                <c:pt idx="61">
                  <c:v>6240.9766712020419</c:v>
                </c:pt>
                <c:pt idx="62">
                  <c:v>6396.3206704588383</c:v>
                </c:pt>
                <c:pt idx="63">
                  <c:v>6437.8856879996092</c:v>
                </c:pt>
                <c:pt idx="64">
                  <c:v>6336.133438855145</c:v>
                </c:pt>
                <c:pt idx="65">
                  <c:v>6327.4846509506451</c:v>
                </c:pt>
                <c:pt idx="66">
                  <c:v>6298.6996571103864</c:v>
                </c:pt>
                <c:pt idx="67">
                  <c:v>6276.6138989676274</c:v>
                </c:pt>
                <c:pt idx="68">
                  <c:v>6352.2932628588742</c:v>
                </c:pt>
                <c:pt idx="69">
                  <c:v>6340.8843712169046</c:v>
                </c:pt>
                <c:pt idx="70">
                  <c:v>6445.5449609969455</c:v>
                </c:pt>
                <c:pt idx="71">
                  <c:v>6853.9840771834351</c:v>
                </c:pt>
                <c:pt idx="72">
                  <c:v>7065.4715557005075</c:v>
                </c:pt>
                <c:pt idx="73">
                  <c:v>7160.7342058452996</c:v>
                </c:pt>
                <c:pt idx="74">
                  <c:v>7298.5110433766422</c:v>
                </c:pt>
                <c:pt idx="75">
                  <c:v>7480.5461439281798</c:v>
                </c:pt>
                <c:pt idx="76">
                  <c:v>7781.4946854133304</c:v>
                </c:pt>
                <c:pt idx="77">
                  <c:v>7924.9617140595365</c:v>
                </c:pt>
                <c:pt idx="78">
                  <c:v>8802.6604449891747</c:v>
                </c:pt>
                <c:pt idx="79">
                  <c:v>9302.9903134596225</c:v>
                </c:pt>
                <c:pt idx="80">
                  <c:v>9504.9923728574704</c:v>
                </c:pt>
                <c:pt idx="81">
                  <c:v>9328.1858434175265</c:v>
                </c:pt>
                <c:pt idx="82">
                  <c:v>9338.7080968043956</c:v>
                </c:pt>
                <c:pt idx="83">
                  <c:v>9660.119413601813</c:v>
                </c:pt>
                <c:pt idx="84">
                  <c:v>9611.168879345516</c:v>
                </c:pt>
                <c:pt idx="85">
                  <c:v>9552.1546310102676</c:v>
                </c:pt>
                <c:pt idx="86">
                  <c:v>9593.318194348185</c:v>
                </c:pt>
                <c:pt idx="87">
                  <c:v>9643.614070607824</c:v>
                </c:pt>
                <c:pt idx="88">
                  <c:v>9655.027430831773</c:v>
                </c:pt>
                <c:pt idx="89">
                  <c:v>9655.027430831773</c:v>
                </c:pt>
                <c:pt idx="90">
                  <c:v>9655.027430831773</c:v>
                </c:pt>
                <c:pt idx="91">
                  <c:v>9655.027430831773</c:v>
                </c:pt>
                <c:pt idx="92">
                  <c:v>9655.027430831773</c:v>
                </c:pt>
                <c:pt idx="93">
                  <c:v>9655.027430831773</c:v>
                </c:pt>
                <c:pt idx="94">
                  <c:v>9655.027430831773</c:v>
                </c:pt>
                <c:pt idx="95">
                  <c:v>9655.027430831773</c:v>
                </c:pt>
                <c:pt idx="96">
                  <c:v>9655.027430831773</c:v>
                </c:pt>
                <c:pt idx="97">
                  <c:v>9655.027430831773</c:v>
                </c:pt>
                <c:pt idx="98">
                  <c:v>9673.0994388317722</c:v>
                </c:pt>
                <c:pt idx="99">
                  <c:v>9898.842556077434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4FC-4CF7-AEC2-660318BEDD89}"/>
            </c:ext>
          </c:extLst>
        </c:ser>
        <c:ser>
          <c:idx val="2"/>
          <c:order val="2"/>
          <c:tx>
            <c:strRef>
              <c:f>'model2(1)MA250'!$J$1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'model2(1)MA250'!时间</c:f>
              <c:numCache>
                <c:formatCode>yyyy\-mm\-dd</c:formatCode>
                <c:ptCount val="100"/>
                <c:pt idx="0">
                  <c:v>43189</c:v>
                </c:pt>
                <c:pt idx="1">
                  <c:v>43217</c:v>
                </c:pt>
                <c:pt idx="2">
                  <c:v>43251</c:v>
                </c:pt>
                <c:pt idx="3">
                  <c:v>43280</c:v>
                </c:pt>
                <c:pt idx="4">
                  <c:v>43312</c:v>
                </c:pt>
                <c:pt idx="5">
                  <c:v>43343</c:v>
                </c:pt>
                <c:pt idx="6">
                  <c:v>43371</c:v>
                </c:pt>
                <c:pt idx="7">
                  <c:v>43404</c:v>
                </c:pt>
                <c:pt idx="8">
                  <c:v>43434</c:v>
                </c:pt>
                <c:pt idx="9">
                  <c:v>43462</c:v>
                </c:pt>
                <c:pt idx="10">
                  <c:v>43496</c:v>
                </c:pt>
                <c:pt idx="11">
                  <c:v>43524</c:v>
                </c:pt>
                <c:pt idx="12">
                  <c:v>43553</c:v>
                </c:pt>
                <c:pt idx="13">
                  <c:v>43585</c:v>
                </c:pt>
                <c:pt idx="14">
                  <c:v>43616</c:v>
                </c:pt>
                <c:pt idx="15">
                  <c:v>43644</c:v>
                </c:pt>
                <c:pt idx="16">
                  <c:v>43677</c:v>
                </c:pt>
                <c:pt idx="17">
                  <c:v>43707</c:v>
                </c:pt>
                <c:pt idx="18">
                  <c:v>43738</c:v>
                </c:pt>
                <c:pt idx="19">
                  <c:v>43769</c:v>
                </c:pt>
                <c:pt idx="20">
                  <c:v>43798</c:v>
                </c:pt>
                <c:pt idx="21">
                  <c:v>43830</c:v>
                </c:pt>
                <c:pt idx="22">
                  <c:v>43853</c:v>
                </c:pt>
                <c:pt idx="23">
                  <c:v>43889</c:v>
                </c:pt>
                <c:pt idx="24">
                  <c:v>43921</c:v>
                </c:pt>
                <c:pt idx="25">
                  <c:v>43951</c:v>
                </c:pt>
                <c:pt idx="26">
                  <c:v>43980</c:v>
                </c:pt>
                <c:pt idx="27">
                  <c:v>44012</c:v>
                </c:pt>
                <c:pt idx="28">
                  <c:v>44043</c:v>
                </c:pt>
                <c:pt idx="29">
                  <c:v>44074</c:v>
                </c:pt>
                <c:pt idx="30">
                  <c:v>44104</c:v>
                </c:pt>
                <c:pt idx="31">
                  <c:v>44134</c:v>
                </c:pt>
                <c:pt idx="32">
                  <c:v>44165</c:v>
                </c:pt>
                <c:pt idx="33">
                  <c:v>44196</c:v>
                </c:pt>
                <c:pt idx="34">
                  <c:v>44225</c:v>
                </c:pt>
                <c:pt idx="35">
                  <c:v>44253</c:v>
                </c:pt>
                <c:pt idx="36">
                  <c:v>44286</c:v>
                </c:pt>
                <c:pt idx="37">
                  <c:v>44316</c:v>
                </c:pt>
                <c:pt idx="38">
                  <c:v>44347</c:v>
                </c:pt>
                <c:pt idx="39">
                  <c:v>44377</c:v>
                </c:pt>
                <c:pt idx="40">
                  <c:v>44407</c:v>
                </c:pt>
                <c:pt idx="41">
                  <c:v>44439</c:v>
                </c:pt>
                <c:pt idx="42">
                  <c:v>44469</c:v>
                </c:pt>
                <c:pt idx="43">
                  <c:v>44498</c:v>
                </c:pt>
                <c:pt idx="44">
                  <c:v>44530</c:v>
                </c:pt>
                <c:pt idx="45">
                  <c:v>44561</c:v>
                </c:pt>
                <c:pt idx="46">
                  <c:v>44589</c:v>
                </c:pt>
                <c:pt idx="47">
                  <c:v>44620</c:v>
                </c:pt>
                <c:pt idx="48">
                  <c:v>44651</c:v>
                </c:pt>
                <c:pt idx="49">
                  <c:v>44680</c:v>
                </c:pt>
                <c:pt idx="50">
                  <c:v>44712</c:v>
                </c:pt>
                <c:pt idx="51">
                  <c:v>44742</c:v>
                </c:pt>
                <c:pt idx="52">
                  <c:v>44771</c:v>
                </c:pt>
                <c:pt idx="53">
                  <c:v>44804</c:v>
                </c:pt>
                <c:pt idx="54">
                  <c:v>44834</c:v>
                </c:pt>
                <c:pt idx="55">
                  <c:v>44865</c:v>
                </c:pt>
                <c:pt idx="56">
                  <c:v>44895</c:v>
                </c:pt>
                <c:pt idx="57">
                  <c:v>44925</c:v>
                </c:pt>
                <c:pt idx="58">
                  <c:v>44957</c:v>
                </c:pt>
                <c:pt idx="59">
                  <c:v>44985</c:v>
                </c:pt>
                <c:pt idx="60">
                  <c:v>45016</c:v>
                </c:pt>
                <c:pt idx="61">
                  <c:v>45044</c:v>
                </c:pt>
                <c:pt idx="62">
                  <c:v>45077</c:v>
                </c:pt>
                <c:pt idx="63">
                  <c:v>45107</c:v>
                </c:pt>
                <c:pt idx="64">
                  <c:v>45138</c:v>
                </c:pt>
                <c:pt idx="65">
                  <c:v>45169</c:v>
                </c:pt>
                <c:pt idx="66">
                  <c:v>45197</c:v>
                </c:pt>
                <c:pt idx="67">
                  <c:v>45230</c:v>
                </c:pt>
                <c:pt idx="68">
                  <c:v>45260</c:v>
                </c:pt>
                <c:pt idx="69">
                  <c:v>45289</c:v>
                </c:pt>
                <c:pt idx="70">
                  <c:v>45322</c:v>
                </c:pt>
                <c:pt idx="71">
                  <c:v>45351</c:v>
                </c:pt>
                <c:pt idx="72">
                  <c:v>45380</c:v>
                </c:pt>
                <c:pt idx="73">
                  <c:v>45412</c:v>
                </c:pt>
                <c:pt idx="74">
                  <c:v>45443</c:v>
                </c:pt>
                <c:pt idx="75">
                  <c:v>45471</c:v>
                </c:pt>
                <c:pt idx="76">
                  <c:v>45504</c:v>
                </c:pt>
                <c:pt idx="77">
                  <c:v>45534</c:v>
                </c:pt>
                <c:pt idx="78">
                  <c:v>45565</c:v>
                </c:pt>
                <c:pt idx="79">
                  <c:v>45596</c:v>
                </c:pt>
                <c:pt idx="80">
                  <c:v>45625</c:v>
                </c:pt>
                <c:pt idx="81">
                  <c:v>45657</c:v>
                </c:pt>
                <c:pt idx="82">
                  <c:v>45684</c:v>
                </c:pt>
                <c:pt idx="83">
                  <c:v>45716</c:v>
                </c:pt>
                <c:pt idx="84">
                  <c:v>45747</c:v>
                </c:pt>
                <c:pt idx="85">
                  <c:v>45777</c:v>
                </c:pt>
                <c:pt idx="86">
                  <c:v>45807</c:v>
                </c:pt>
                <c:pt idx="87">
                  <c:v>45838</c:v>
                </c:pt>
                <c:pt idx="88">
                  <c:v>45869</c:v>
                </c:pt>
                <c:pt idx="89">
                  <c:v>45898</c:v>
                </c:pt>
                <c:pt idx="90">
                  <c:v>45930</c:v>
                </c:pt>
                <c:pt idx="91">
                  <c:v>45961</c:v>
                </c:pt>
                <c:pt idx="92">
                  <c:v>45989</c:v>
                </c:pt>
                <c:pt idx="93">
                  <c:v>46022</c:v>
                </c:pt>
                <c:pt idx="94">
                  <c:v>46052</c:v>
                </c:pt>
                <c:pt idx="95">
                  <c:v>46080</c:v>
                </c:pt>
                <c:pt idx="96">
                  <c:v>46112</c:v>
                </c:pt>
                <c:pt idx="97">
                  <c:v>46142</c:v>
                </c:pt>
                <c:pt idx="98">
                  <c:v>46171</c:v>
                </c:pt>
                <c:pt idx="99">
                  <c:v>46203</c:v>
                </c:pt>
              </c:numCache>
            </c:numRef>
          </c:cat>
          <c:val>
            <c:numRef>
              <c:f>'model2(1)MA250'!金额</c:f>
              <c:numCache>
                <c:formatCode>0.00_ 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-4.3973738305092525</c:v>
                </c:pt>
                <c:pt idx="4">
                  <c:v>-4.18281905378592</c:v>
                </c:pt>
                <c:pt idx="5">
                  <c:v>-20.074943220022192</c:v>
                </c:pt>
                <c:pt idx="6">
                  <c:v>-26.857416791134824</c:v>
                </c:pt>
                <c:pt idx="7">
                  <c:v>-110.76842920543913</c:v>
                </c:pt>
                <c:pt idx="8">
                  <c:v>-50.750948802092125</c:v>
                </c:pt>
                <c:pt idx="9">
                  <c:v>-126.41850260498472</c:v>
                </c:pt>
                <c:pt idx="10">
                  <c:v>-120.43509243436642</c:v>
                </c:pt>
                <c:pt idx="11">
                  <c:v>278.00301399526666</c:v>
                </c:pt>
                <c:pt idx="12">
                  <c:v>467.07187913920143</c:v>
                </c:pt>
                <c:pt idx="13">
                  <c:v>401.22311911353881</c:v>
                </c:pt>
                <c:pt idx="14">
                  <c:v>320.85418126960849</c:v>
                </c:pt>
                <c:pt idx="15">
                  <c:v>358.56961500971397</c:v>
                </c:pt>
                <c:pt idx="16">
                  <c:v>365.61154366786195</c:v>
                </c:pt>
                <c:pt idx="17">
                  <c:v>406.06929989366677</c:v>
                </c:pt>
                <c:pt idx="18">
                  <c:v>444.89296389407764</c:v>
                </c:pt>
                <c:pt idx="19">
                  <c:v>457.43706086331758</c:v>
                </c:pt>
                <c:pt idx="20">
                  <c:v>460.94125747705357</c:v>
                </c:pt>
                <c:pt idx="21">
                  <c:v>496.11720891601999</c:v>
                </c:pt>
                <c:pt idx="22">
                  <c:v>529.36147365435409</c:v>
                </c:pt>
                <c:pt idx="23">
                  <c:v>534.12531831025217</c:v>
                </c:pt>
                <c:pt idx="24">
                  <c:v>534.12531831025217</c:v>
                </c:pt>
                <c:pt idx="25">
                  <c:v>534.12531831025217</c:v>
                </c:pt>
                <c:pt idx="26">
                  <c:v>534.12531831025217</c:v>
                </c:pt>
                <c:pt idx="27">
                  <c:v>534.12531831025217</c:v>
                </c:pt>
                <c:pt idx="28">
                  <c:v>534.12531831025217</c:v>
                </c:pt>
                <c:pt idx="29">
                  <c:v>534.12531831025217</c:v>
                </c:pt>
                <c:pt idx="30">
                  <c:v>534.12531831025217</c:v>
                </c:pt>
                <c:pt idx="31">
                  <c:v>534.12531831025217</c:v>
                </c:pt>
                <c:pt idx="32">
                  <c:v>534.12531831025217</c:v>
                </c:pt>
                <c:pt idx="33">
                  <c:v>534.12531831025217</c:v>
                </c:pt>
                <c:pt idx="34">
                  <c:v>534.12531831025217</c:v>
                </c:pt>
                <c:pt idx="35">
                  <c:v>534.1317039319897</c:v>
                </c:pt>
                <c:pt idx="36">
                  <c:v>533.17589989397675</c:v>
                </c:pt>
                <c:pt idx="37">
                  <c:v>536.02355167203314</c:v>
                </c:pt>
                <c:pt idx="38">
                  <c:v>553.51272535696171</c:v>
                </c:pt>
                <c:pt idx="39">
                  <c:v>568.19416093664404</c:v>
                </c:pt>
                <c:pt idx="40">
                  <c:v>562.64332287673324</c:v>
                </c:pt>
                <c:pt idx="41">
                  <c:v>557.38146674571203</c:v>
                </c:pt>
                <c:pt idx="42">
                  <c:v>555.66924969653633</c:v>
                </c:pt>
                <c:pt idx="43">
                  <c:v>554.57081139250658</c:v>
                </c:pt>
                <c:pt idx="44">
                  <c:v>562.95476397533412</c:v>
                </c:pt>
                <c:pt idx="45">
                  <c:v>568.04734397175071</c:v>
                </c:pt>
                <c:pt idx="46">
                  <c:v>537.14910734631621</c:v>
                </c:pt>
                <c:pt idx="47">
                  <c:v>553.02209825536011</c:v>
                </c:pt>
                <c:pt idx="48">
                  <c:v>501.76429105447642</c:v>
                </c:pt>
                <c:pt idx="49">
                  <c:v>343.28267868830972</c:v>
                </c:pt>
                <c:pt idx="50">
                  <c:v>449.15915297939637</c:v>
                </c:pt>
                <c:pt idx="51">
                  <c:v>606.91155525723343</c:v>
                </c:pt>
                <c:pt idx="52">
                  <c:v>653.51233302261835</c:v>
                </c:pt>
                <c:pt idx="53">
                  <c:v>527.60847299715988</c:v>
                </c:pt>
                <c:pt idx="54">
                  <c:v>280.5051552969162</c:v>
                </c:pt>
                <c:pt idx="55">
                  <c:v>599.90459376356466</c:v>
                </c:pt>
                <c:pt idx="56">
                  <c:v>673.76306369418398</c:v>
                </c:pt>
                <c:pt idx="57">
                  <c:v>557.7956518787114</c:v>
                </c:pt>
                <c:pt idx="58">
                  <c:v>951.46162038666898</c:v>
                </c:pt>
                <c:pt idx="59">
                  <c:v>1218.0895572717191</c:v>
                </c:pt>
                <c:pt idx="60">
                  <c:v>1584.6151872283144</c:v>
                </c:pt>
                <c:pt idx="61">
                  <c:v>1410.8364772020341</c:v>
                </c:pt>
                <c:pt idx="62">
                  <c:v>1566.1804764588305</c:v>
                </c:pt>
                <c:pt idx="63">
                  <c:v>1607.7454939996014</c:v>
                </c:pt>
                <c:pt idx="64">
                  <c:v>1505.9932448551372</c:v>
                </c:pt>
                <c:pt idx="65">
                  <c:v>1497.3444569506373</c:v>
                </c:pt>
                <c:pt idx="66">
                  <c:v>1468.5594631103786</c:v>
                </c:pt>
                <c:pt idx="67">
                  <c:v>1446.4737049676196</c:v>
                </c:pt>
                <c:pt idx="68">
                  <c:v>1522.1530688588664</c:v>
                </c:pt>
                <c:pt idx="69">
                  <c:v>1510.7441772168968</c:v>
                </c:pt>
                <c:pt idx="70">
                  <c:v>1187.0785109969374</c:v>
                </c:pt>
                <c:pt idx="71">
                  <c:v>1386.6390691834267</c:v>
                </c:pt>
                <c:pt idx="72">
                  <c:v>1456.3976477004999</c:v>
                </c:pt>
                <c:pt idx="73">
                  <c:v>1359.9893438452918</c:v>
                </c:pt>
                <c:pt idx="74">
                  <c:v>1229.9060313766349</c:v>
                </c:pt>
                <c:pt idx="75">
                  <c:v>1081.5740699281723</c:v>
                </c:pt>
                <c:pt idx="76">
                  <c:v>1141.6827434133238</c:v>
                </c:pt>
                <c:pt idx="77">
                  <c:v>1026.0264140595318</c:v>
                </c:pt>
                <c:pt idx="78">
                  <c:v>1903.7251449891701</c:v>
                </c:pt>
                <c:pt idx="79">
                  <c:v>2404.0550134596178</c:v>
                </c:pt>
                <c:pt idx="80">
                  <c:v>2606.0570728574658</c:v>
                </c:pt>
                <c:pt idx="81">
                  <c:v>2429.2505434175218</c:v>
                </c:pt>
                <c:pt idx="82">
                  <c:v>2439.772796804391</c:v>
                </c:pt>
                <c:pt idx="83">
                  <c:v>2761.1841136018083</c:v>
                </c:pt>
                <c:pt idx="84">
                  <c:v>2712.2335793455113</c:v>
                </c:pt>
                <c:pt idx="85">
                  <c:v>2653.219331010263</c:v>
                </c:pt>
                <c:pt idx="86">
                  <c:v>2694.3828943481803</c:v>
                </c:pt>
                <c:pt idx="87">
                  <c:v>2744.6787706078194</c:v>
                </c:pt>
                <c:pt idx="88">
                  <c:v>2756.0921308317684</c:v>
                </c:pt>
                <c:pt idx="89">
                  <c:v>2756.0921308317684</c:v>
                </c:pt>
                <c:pt idx="90">
                  <c:v>2756.0921308317684</c:v>
                </c:pt>
                <c:pt idx="91">
                  <c:v>2756.0921308317684</c:v>
                </c:pt>
                <c:pt idx="92">
                  <c:v>2756.0921308317684</c:v>
                </c:pt>
                <c:pt idx="93">
                  <c:v>2756.0921308317684</c:v>
                </c:pt>
                <c:pt idx="94">
                  <c:v>2756.0921308317684</c:v>
                </c:pt>
                <c:pt idx="95">
                  <c:v>2756.0921308317684</c:v>
                </c:pt>
                <c:pt idx="96">
                  <c:v>2756.0921308317684</c:v>
                </c:pt>
                <c:pt idx="97">
                  <c:v>2756.0921308317684</c:v>
                </c:pt>
                <c:pt idx="98">
                  <c:v>2756.0921308317684</c:v>
                </c:pt>
                <c:pt idx="99">
                  <c:v>2755.0076900774302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4FC-4CF7-AEC2-660318BED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9672960"/>
        <c:axId val="479678848"/>
      </c:lineChart>
      <c:dateAx>
        <c:axId val="479672960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9678848"/>
        <c:crosses val="autoZero"/>
        <c:auto val="1"/>
        <c:lblOffset val="100"/>
        <c:baseTimeUnit val="days"/>
      </c:dateAx>
      <c:valAx>
        <c:axId val="47967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967296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4792030779846361"/>
          <c:y val="0.91711229946524064"/>
          <c:w val="0.5041600831510038"/>
          <c:h val="5.8823529411764719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19050</xdr:colOff>
      <xdr:row>8</xdr:row>
      <xdr:rowOff>133350</xdr:rowOff>
    </xdr:from>
    <xdr:to>
      <xdr:col>22</xdr:col>
      <xdr:colOff>0</xdr:colOff>
      <xdr:row>29</xdr:row>
      <xdr:rowOff>19050</xdr:rowOff>
    </xdr:to>
    <xdr:graphicFrame macro="">
      <xdr:nvGraphicFramePr>
        <xdr:cNvPr id="2" name="图表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8</xdr:row>
      <xdr:rowOff>66675</xdr:rowOff>
    </xdr:from>
    <xdr:to>
      <xdr:col>22</xdr:col>
      <xdr:colOff>9525</xdr:colOff>
      <xdr:row>30</xdr:row>
      <xdr:rowOff>66675</xdr:rowOff>
    </xdr:to>
    <xdr:graphicFrame macro="">
      <xdr:nvGraphicFramePr>
        <xdr:cNvPr id="2" name="图表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穿越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B050"/>
  </sheetPr>
  <dimension ref="A1:AF115"/>
  <sheetViews>
    <sheetView workbookViewId="0">
      <pane ySplit="1" topLeftCell="A2" activePane="bottomLeft" state="frozen"/>
      <selection activeCell="C10" sqref="C10"/>
      <selection pane="bottomLeft" activeCell="A4" sqref="A4"/>
    </sheetView>
  </sheetViews>
  <sheetFormatPr defaultColWidth="9" defaultRowHeight="12"/>
  <cols>
    <col min="1" max="1" width="10" style="1" customWidth="1"/>
    <col min="2" max="2" width="7.75" style="1" customWidth="1"/>
    <col min="3" max="3" width="5.5" style="1" customWidth="1"/>
    <col min="4" max="4" width="9.375" style="3" customWidth="1"/>
    <col min="5" max="5" width="9.25" style="3" customWidth="1"/>
    <col min="6" max="6" width="10.75" style="3" customWidth="1"/>
    <col min="7" max="8" width="11.5" style="3" customWidth="1"/>
    <col min="9" max="9" width="12.625" style="1" customWidth="1"/>
    <col min="10" max="10" width="10.75" style="1" customWidth="1"/>
    <col min="11" max="11" width="10.75" style="3" customWidth="1"/>
    <col min="12" max="12" width="9.5" style="1" bestFit="1" customWidth="1"/>
    <col min="13" max="13" width="9" style="2"/>
    <col min="14" max="14" width="9" style="1"/>
    <col min="15" max="15" width="9.75" style="1" bestFit="1" customWidth="1"/>
    <col min="16" max="17" width="11.375" style="1" customWidth="1"/>
    <col min="18" max="19" width="11.125" style="1" customWidth="1"/>
    <col min="20" max="20" width="10.375" style="1" customWidth="1"/>
    <col min="21" max="21" width="10.25" style="1" customWidth="1"/>
    <col min="22" max="22" width="10.125" style="1" customWidth="1"/>
    <col min="23" max="23" width="9" style="1"/>
    <col min="24" max="24" width="9.75" style="1" bestFit="1" customWidth="1"/>
    <col min="25" max="26" width="9" style="1"/>
    <col min="27" max="27" width="9.75" style="1" bestFit="1" customWidth="1"/>
    <col min="28" max="29" width="9" style="1"/>
    <col min="30" max="30" width="9.75" style="1" bestFit="1" customWidth="1"/>
    <col min="31" max="50" width="9" style="1"/>
    <col min="51" max="51" width="9.75" style="1" bestFit="1" customWidth="1"/>
    <col min="52" max="16384" width="9" style="1"/>
  </cols>
  <sheetData>
    <row r="1" spans="1:32" s="12" customFormat="1" ht="27" customHeight="1">
      <c r="A1" s="14" t="s">
        <v>0</v>
      </c>
      <c r="B1" s="14" t="s">
        <v>1</v>
      </c>
      <c r="C1" s="14" t="s">
        <v>31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M1" s="13"/>
    </row>
    <row r="2" spans="1:32" s="18" customFormat="1" ht="15" customHeight="1">
      <c r="A2" s="23"/>
      <c r="B2" s="16"/>
      <c r="C2" s="16"/>
      <c r="D2" s="17"/>
      <c r="E2" s="17"/>
      <c r="F2" s="17"/>
      <c r="G2" s="17"/>
      <c r="H2" s="17"/>
      <c r="I2" s="16"/>
      <c r="J2" s="16"/>
      <c r="K2" s="24"/>
      <c r="M2" s="19"/>
    </row>
    <row r="3" spans="1:32" ht="14.1" customHeight="1">
      <c r="A3" s="4"/>
      <c r="B3" s="4"/>
      <c r="C3" s="4"/>
      <c r="D3" s="5">
        <v>1550</v>
      </c>
      <c r="E3" s="28" t="s">
        <v>29</v>
      </c>
      <c r="F3" s="5"/>
      <c r="G3" s="5">
        <f>MIN(F:F)</f>
        <v>0</v>
      </c>
      <c r="H3" s="5"/>
      <c r="I3" s="4"/>
      <c r="J3" s="4"/>
      <c r="K3" s="5"/>
      <c r="L3" s="7"/>
      <c r="X3" s="7"/>
      <c r="Y3" s="7"/>
      <c r="Z3" s="8"/>
    </row>
    <row r="4" spans="1:32" ht="14.1" customHeight="1">
      <c r="A4" s="15">
        <v>42825</v>
      </c>
      <c r="B4" s="25">
        <v>0.97609000000000001</v>
      </c>
      <c r="C4" s="20">
        <v>0.99386428571428564</v>
      </c>
      <c r="D4" s="21">
        <v>27.550142857142728</v>
      </c>
      <c r="E4" s="22">
        <v>28.225002671006493</v>
      </c>
      <c r="F4" s="22">
        <v>28.225002671006493</v>
      </c>
      <c r="G4" s="22">
        <v>27.550142857142728</v>
      </c>
      <c r="H4" s="22">
        <v>27.550142857142728</v>
      </c>
      <c r="I4" s="22">
        <v>27.550142857142728</v>
      </c>
      <c r="J4" s="22">
        <v>0</v>
      </c>
      <c r="K4" s="21">
        <v>0</v>
      </c>
      <c r="L4" s="7"/>
      <c r="O4" s="26" t="s">
        <v>20</v>
      </c>
      <c r="P4" s="11" t="s">
        <v>21</v>
      </c>
      <c r="Q4" s="11" t="s">
        <v>22</v>
      </c>
      <c r="R4" s="11" t="s">
        <v>23</v>
      </c>
      <c r="S4" s="11" t="s">
        <v>24</v>
      </c>
      <c r="T4" s="27" t="s">
        <v>25</v>
      </c>
      <c r="U4" s="11" t="s">
        <v>26</v>
      </c>
      <c r="V4" s="11" t="s">
        <v>27</v>
      </c>
      <c r="X4" s="6">
        <v>43098</v>
      </c>
      <c r="Y4" s="7">
        <f>VLOOKUP(X4,O:P,2,)</f>
        <v>304.12500617544276</v>
      </c>
      <c r="Z4" s="7">
        <f t="shared" ref="Z4:Z5" si="0">0-Y4</f>
        <v>-304.12500617544276</v>
      </c>
      <c r="AA4" s="6">
        <v>43098</v>
      </c>
      <c r="AB4" s="1">
        <f>VLOOKUP(AA4,O:P,2,)</f>
        <v>304.12500617544276</v>
      </c>
      <c r="AC4" s="1">
        <f t="shared" ref="AC4" si="1">0-AB4</f>
        <v>-304.12500617544276</v>
      </c>
      <c r="AD4" s="6">
        <v>43098</v>
      </c>
      <c r="AE4" s="7">
        <f>VLOOKUP(AD4,O:P,2,)</f>
        <v>304.12500617544276</v>
      </c>
      <c r="AF4" s="7">
        <f t="shared" ref="AF4" si="2">0-AE4</f>
        <v>-304.12500617544276</v>
      </c>
    </row>
    <row r="5" spans="1:32" ht="14.1" customHeight="1">
      <c r="A5" s="15">
        <v>42853</v>
      </c>
      <c r="B5" s="25">
        <v>0.88445000000000007</v>
      </c>
      <c r="C5" s="20">
        <v>0.95655781250000005</v>
      </c>
      <c r="D5" s="21">
        <v>111.76710937499996</v>
      </c>
      <c r="E5" s="22">
        <v>126.36905350782968</v>
      </c>
      <c r="F5" s="22">
        <v>154.59405617883618</v>
      </c>
      <c r="G5" s="22">
        <v>136.73071298737167</v>
      </c>
      <c r="H5" s="22">
        <v>139.31725223214269</v>
      </c>
      <c r="I5" s="22">
        <v>136.73071298737167</v>
      </c>
      <c r="J5" s="22">
        <v>-2.5865392447710178</v>
      </c>
      <c r="K5" s="21">
        <v>0</v>
      </c>
      <c r="L5" s="7"/>
      <c r="O5" s="6">
        <v>43098</v>
      </c>
      <c r="P5" s="10">
        <v>304.12500617544276</v>
      </c>
      <c r="Q5" s="5">
        <v>304.12500617544276</v>
      </c>
      <c r="R5" s="5">
        <v>328.80443799445595</v>
      </c>
      <c r="S5" s="5">
        <v>24.679431819013189</v>
      </c>
      <c r="T5" s="5">
        <v>251.21204627564666</v>
      </c>
      <c r="U5" s="9">
        <v>8.1148972685186532E-2</v>
      </c>
      <c r="V5" s="9">
        <v>8.1148972685186532E-2</v>
      </c>
      <c r="X5" s="6">
        <v>43462</v>
      </c>
      <c r="Y5" s="7">
        <f>VLOOKUP(X5,O:P,2,)</f>
        <v>1807.7843670854991</v>
      </c>
      <c r="Z5" s="7">
        <f t="shared" si="0"/>
        <v>-1807.7843670854991</v>
      </c>
      <c r="AA5" s="6">
        <v>43462</v>
      </c>
      <c r="AB5" s="1">
        <f>VLOOKUP(AA5,O:P,2,)</f>
        <v>1807.7843670854991</v>
      </c>
      <c r="AC5" s="1">
        <f t="shared" ref="AC5:AC6" si="3">0-AB5</f>
        <v>-1807.7843670854991</v>
      </c>
      <c r="AD5" s="6">
        <v>43462</v>
      </c>
      <c r="AE5" s="7">
        <f>VLOOKUP(AD5,O:P,2,)</f>
        <v>1807.7843670854991</v>
      </c>
      <c r="AF5" s="7">
        <f t="shared" ref="AF5:AF7" si="4">0-AE5</f>
        <v>-1807.7843670854991</v>
      </c>
    </row>
    <row r="6" spans="1:32" ht="14.1" customHeight="1">
      <c r="A6" s="15">
        <v>42886</v>
      </c>
      <c r="B6" s="25">
        <v>0.84275</v>
      </c>
      <c r="C6" s="20">
        <v>0.91796173076923115</v>
      </c>
      <c r="D6" s="21">
        <v>116.57818269230829</v>
      </c>
      <c r="E6" s="22">
        <v>138.33068251831301</v>
      </c>
      <c r="F6" s="22">
        <v>292.92473869714922</v>
      </c>
      <c r="G6" s="22">
        <v>246.86232353702252</v>
      </c>
      <c r="H6" s="22">
        <v>255.89543492445097</v>
      </c>
      <c r="I6" s="22">
        <v>246.86232353702252</v>
      </c>
      <c r="J6" s="22">
        <v>-9.0331113874284483</v>
      </c>
      <c r="K6" s="21">
        <v>0</v>
      </c>
      <c r="L6" s="7"/>
      <c r="O6" s="6">
        <v>43462</v>
      </c>
      <c r="P6" s="10">
        <v>1807.7843670854991</v>
      </c>
      <c r="Q6" s="5">
        <v>2111.9093732609417</v>
      </c>
      <c r="R6" s="5">
        <v>1961.8999213933344</v>
      </c>
      <c r="S6" s="5">
        <v>-150.00945186760737</v>
      </c>
      <c r="T6" s="5">
        <v>317.52088040945171</v>
      </c>
      <c r="U6" s="9">
        <v>-7.1030250524425617E-2</v>
      </c>
      <c r="V6" s="9">
        <v>-6.2582124461404876E-2</v>
      </c>
      <c r="X6" s="6">
        <v>43462</v>
      </c>
      <c r="Z6" s="7">
        <v>1961.8999213933344</v>
      </c>
      <c r="AA6" s="6">
        <v>43830</v>
      </c>
      <c r="AB6" s="1">
        <f>VLOOKUP(AA6,O:P,2,)</f>
        <v>287.82612266325077</v>
      </c>
      <c r="AC6" s="1">
        <f t="shared" si="3"/>
        <v>-287.82612266325077</v>
      </c>
      <c r="AD6" s="6">
        <v>43830</v>
      </c>
      <c r="AE6" s="7">
        <f>VLOOKUP(AD6,O:P,2,)</f>
        <v>287.82612266325077</v>
      </c>
      <c r="AF6" s="7">
        <f t="shared" si="4"/>
        <v>-287.82612266325077</v>
      </c>
    </row>
    <row r="7" spans="1:32" ht="14.1" customHeight="1">
      <c r="A7" s="15">
        <v>42916</v>
      </c>
      <c r="B7" s="25">
        <v>0.91246000000000005</v>
      </c>
      <c r="C7" s="20">
        <v>0.90437932432432466</v>
      </c>
      <c r="D7" s="21">
        <v>-12.525047297296849</v>
      </c>
      <c r="E7" s="22">
        <v>-13.726680947435337</v>
      </c>
      <c r="F7" s="22">
        <v>279.19805774971388</v>
      </c>
      <c r="G7" s="22">
        <v>254.75705977430394</v>
      </c>
      <c r="H7" s="22">
        <v>255.89543492445097</v>
      </c>
      <c r="I7" s="22">
        <v>267.28210707160076</v>
      </c>
      <c r="J7" s="22">
        <v>11.386672147149795</v>
      </c>
      <c r="K7" s="21">
        <v>12.525047297296849</v>
      </c>
      <c r="L7" s="7"/>
      <c r="O7" s="6">
        <v>43830</v>
      </c>
      <c r="P7" s="10">
        <v>287.82612266325077</v>
      </c>
      <c r="Q7" s="5">
        <v>2399.7354959241925</v>
      </c>
      <c r="R7" s="5">
        <v>3217.9034879507626</v>
      </c>
      <c r="S7" s="5">
        <v>818.16799202657012</v>
      </c>
      <c r="T7" s="5">
        <v>1370.5758703073689</v>
      </c>
      <c r="U7" s="9">
        <v>0.34094090511899316</v>
      </c>
      <c r="V7" s="9">
        <v>0.15592183291771655</v>
      </c>
      <c r="Z7" s="8">
        <f>IRR(Z4:Z6)</f>
        <v>-6.2582124461404876E-2</v>
      </c>
      <c r="AA7" s="6">
        <v>43830</v>
      </c>
      <c r="AC7" s="1">
        <v>3217.9034879507626</v>
      </c>
      <c r="AD7" s="6">
        <v>44196</v>
      </c>
      <c r="AE7" s="7">
        <f>VLOOKUP(AD7,O:P,2,)</f>
        <v>0</v>
      </c>
      <c r="AF7" s="7">
        <f t="shared" si="4"/>
        <v>0</v>
      </c>
    </row>
    <row r="8" spans="1:32" ht="14.1" customHeight="1">
      <c r="A8" s="15">
        <v>42947</v>
      </c>
      <c r="B8" s="25">
        <v>0.89419999999999999</v>
      </c>
      <c r="C8" s="20">
        <v>0.90019273684210555</v>
      </c>
      <c r="D8" s="21">
        <v>9.2887421052636032</v>
      </c>
      <c r="E8" s="22">
        <v>10.38776795489108</v>
      </c>
      <c r="F8" s="22">
        <v>289.58582570460499</v>
      </c>
      <c r="G8" s="22">
        <v>258.94764534505777</v>
      </c>
      <c r="H8" s="22">
        <v>265.18417702971459</v>
      </c>
      <c r="I8" s="22">
        <v>271.47269264235462</v>
      </c>
      <c r="J8" s="22">
        <v>6.2885156126400261</v>
      </c>
      <c r="K8" s="21">
        <v>12.525047297296849</v>
      </c>
      <c r="L8" s="7"/>
      <c r="O8" s="6">
        <v>44196</v>
      </c>
      <c r="P8" s="10">
        <v>0</v>
      </c>
      <c r="Q8" s="5">
        <v>2399.7354959241925</v>
      </c>
      <c r="R8" s="5">
        <v>3419.9347522582125</v>
      </c>
      <c r="S8" s="5">
        <v>1020.19925633402</v>
      </c>
      <c r="T8" s="5">
        <v>3419.9347522582125</v>
      </c>
      <c r="U8" s="9">
        <v>0.4251298770496863</v>
      </c>
      <c r="V8" s="9">
        <v>0.12440803408802292</v>
      </c>
      <c r="AC8" s="2">
        <f>IRR(AC4:AC7)</f>
        <v>0.15592183291771655</v>
      </c>
      <c r="AD8" s="6">
        <v>44196</v>
      </c>
      <c r="AF8" s="7">
        <v>3419.9347522582125</v>
      </c>
    </row>
    <row r="9" spans="1:32" ht="14.1" customHeight="1">
      <c r="A9" s="15">
        <v>42978</v>
      </c>
      <c r="B9" s="25">
        <v>0.97410000000000008</v>
      </c>
      <c r="C9" s="20">
        <v>0.90535008474576273</v>
      </c>
      <c r="D9" s="21">
        <v>-106.56236864406789</v>
      </c>
      <c r="E9" s="22">
        <v>-109.39571773336195</v>
      </c>
      <c r="F9" s="22">
        <v>180.19010797124304</v>
      </c>
      <c r="G9" s="22">
        <v>175.52318417478784</v>
      </c>
      <c r="H9" s="22">
        <v>265.18417702971459</v>
      </c>
      <c r="I9" s="22">
        <v>294.61060011615257</v>
      </c>
      <c r="J9" s="22">
        <v>29.426423086437978</v>
      </c>
      <c r="K9" s="21">
        <v>119.08741594136474</v>
      </c>
      <c r="L9" s="7"/>
      <c r="O9" s="6">
        <v>44561</v>
      </c>
      <c r="P9" s="10">
        <v>0</v>
      </c>
      <c r="Q9" s="5">
        <v>2399.7354959241925</v>
      </c>
      <c r="R9" s="5">
        <v>3419.9347522582125</v>
      </c>
      <c r="S9" s="5">
        <v>1020.19925633402</v>
      </c>
      <c r="T9" s="5">
        <v>3419.9347522582125</v>
      </c>
      <c r="U9" s="9">
        <v>0.4251298770496863</v>
      </c>
      <c r="V9" s="9">
        <v>9.2180582832422919E-2</v>
      </c>
      <c r="AF9" s="2">
        <f>IRR(AF4:AF8)</f>
        <v>0.12440803408802292</v>
      </c>
    </row>
    <row r="10" spans="1:32" ht="14.1" customHeight="1">
      <c r="A10" s="15">
        <v>43007</v>
      </c>
      <c r="B10" s="25">
        <v>0.97174000000000005</v>
      </c>
      <c r="C10" s="20">
        <v>0.91768381294964019</v>
      </c>
      <c r="D10" s="21">
        <v>-83.787089928057782</v>
      </c>
      <c r="E10" s="22">
        <v>-86.223773774937513</v>
      </c>
      <c r="F10" s="22">
        <v>93.966334196305525</v>
      </c>
      <c r="G10" s="22">
        <v>91.310845591917939</v>
      </c>
      <c r="H10" s="22">
        <v>265.18417702971459</v>
      </c>
      <c r="I10" s="22">
        <v>294.18535146134047</v>
      </c>
      <c r="J10" s="22">
        <v>29.001174431625884</v>
      </c>
      <c r="K10" s="21">
        <v>202.87450586942253</v>
      </c>
      <c r="L10" s="7"/>
      <c r="O10" s="6">
        <v>44925</v>
      </c>
      <c r="P10" s="10">
        <v>1187.9495283804376</v>
      </c>
      <c r="Q10" s="5">
        <v>3587.6850243046301</v>
      </c>
      <c r="R10" s="5">
        <v>4687.9403225778906</v>
      </c>
      <c r="S10" s="5">
        <v>1100.2552982732605</v>
      </c>
      <c r="T10" s="5">
        <v>3419.9347522582125</v>
      </c>
      <c r="U10" s="9">
        <v>0.30667555563535387</v>
      </c>
      <c r="V10" s="9">
        <v>7.2787148508788313E-2</v>
      </c>
      <c r="X10" s="6">
        <v>43098</v>
      </c>
      <c r="Y10" s="1">
        <v>304.12500617544276</v>
      </c>
      <c r="Z10" s="1">
        <f>-Y10</f>
        <v>-304.12500617544276</v>
      </c>
      <c r="AA10" s="6">
        <v>43098</v>
      </c>
      <c r="AB10" s="1">
        <v>304.12500617544276</v>
      </c>
      <c r="AC10" s="1">
        <f t="shared" ref="AC10:AC15" si="5">-AB10</f>
        <v>-304.12500617544276</v>
      </c>
      <c r="AD10" s="6">
        <v>43098</v>
      </c>
      <c r="AE10" s="1">
        <v>304.12500617544276</v>
      </c>
      <c r="AF10" s="1">
        <f t="shared" ref="AF10:AF16" si="6">-AE10</f>
        <v>-304.12500617544276</v>
      </c>
    </row>
    <row r="11" spans="1:32" ht="14.1" customHeight="1">
      <c r="A11" s="15">
        <v>43039</v>
      </c>
      <c r="B11" s="25">
        <v>0.94596999999999998</v>
      </c>
      <c r="C11" s="20">
        <v>0.92351769230769187</v>
      </c>
      <c r="D11" s="21">
        <v>-34.801076923077559</v>
      </c>
      <c r="E11" s="22">
        <v>-36.788774404132859</v>
      </c>
      <c r="F11" s="22">
        <v>57.177559792172666</v>
      </c>
      <c r="G11" s="22">
        <v>54.088256236601573</v>
      </c>
      <c r="H11" s="22">
        <v>265.18417702971459</v>
      </c>
      <c r="I11" s="22">
        <v>291.76383902910169</v>
      </c>
      <c r="J11" s="22">
        <v>26.579661999387099</v>
      </c>
      <c r="K11" s="21">
        <v>237.67558279250011</v>
      </c>
      <c r="L11" s="7"/>
      <c r="O11" s="6">
        <v>45289</v>
      </c>
      <c r="P11" s="10">
        <v>0</v>
      </c>
      <c r="Q11" s="5">
        <v>3587.6850243046301</v>
      </c>
      <c r="R11" s="5">
        <v>5085.8382814380839</v>
      </c>
      <c r="S11" s="5">
        <v>1498.1532571334537</v>
      </c>
      <c r="T11" s="5">
        <v>5085.8382814380839</v>
      </c>
      <c r="U11" s="9">
        <v>0.41758215868569115</v>
      </c>
      <c r="V11" s="9">
        <v>7.5226508819494331E-2</v>
      </c>
      <c r="X11" s="6">
        <v>43462</v>
      </c>
      <c r="Y11" s="1">
        <v>1807.7843670854991</v>
      </c>
      <c r="Z11" s="1">
        <f>-Y11</f>
        <v>-1807.7843670854991</v>
      </c>
      <c r="AA11" s="6">
        <v>43462</v>
      </c>
      <c r="AB11" s="1">
        <v>1807.7843670854991</v>
      </c>
      <c r="AC11" s="1">
        <f t="shared" si="5"/>
        <v>-1807.7843670854991</v>
      </c>
      <c r="AD11" s="6">
        <v>43462</v>
      </c>
      <c r="AE11" s="1">
        <v>1807.7843670854991</v>
      </c>
      <c r="AF11" s="1">
        <f t="shared" si="6"/>
        <v>-1807.7843670854991</v>
      </c>
    </row>
    <row r="12" spans="1:32" ht="14.1" customHeight="1">
      <c r="A12" s="15">
        <v>43069</v>
      </c>
      <c r="B12" s="25">
        <v>0.93876000000000004</v>
      </c>
      <c r="C12" s="20">
        <v>0.93002679775280872</v>
      </c>
      <c r="D12" s="21">
        <v>-13.536463483146544</v>
      </c>
      <c r="E12" s="22">
        <v>-14.419514554461783</v>
      </c>
      <c r="F12" s="22">
        <v>42.758045237710881</v>
      </c>
      <c r="G12" s="22">
        <v>40.139542547353471</v>
      </c>
      <c r="H12" s="22">
        <v>265.18417702971459</v>
      </c>
      <c r="I12" s="22">
        <v>291.35158882300016</v>
      </c>
      <c r="J12" s="22">
        <v>26.167411793285567</v>
      </c>
      <c r="K12" s="21">
        <v>251.21204627564666</v>
      </c>
      <c r="L12" s="7"/>
      <c r="O12" s="6">
        <v>45657</v>
      </c>
      <c r="P12" s="10">
        <v>640.6378253243156</v>
      </c>
      <c r="Q12" s="5">
        <v>4228.3228496289457</v>
      </c>
      <c r="R12" s="5">
        <v>5934.4066689137917</v>
      </c>
      <c r="S12" s="5">
        <v>1706.083819284846</v>
      </c>
      <c r="T12" s="5">
        <v>5934.4066689137917</v>
      </c>
      <c r="U12" s="9">
        <v>0.40348948742988311</v>
      </c>
      <c r="V12" s="9">
        <v>6.7866001631279316E-2</v>
      </c>
      <c r="X12" s="6">
        <v>43830</v>
      </c>
      <c r="Y12" s="1">
        <v>287.82612266325077</v>
      </c>
      <c r="Z12" s="1">
        <f>-Y12</f>
        <v>-287.82612266325077</v>
      </c>
      <c r="AA12" s="6">
        <v>43830</v>
      </c>
      <c r="AB12" s="1">
        <v>287.82612266325077</v>
      </c>
      <c r="AC12" s="1">
        <f t="shared" si="5"/>
        <v>-287.82612266325077</v>
      </c>
      <c r="AD12" s="6">
        <v>43830</v>
      </c>
      <c r="AE12" s="1">
        <v>287.82612266325077</v>
      </c>
      <c r="AF12" s="1">
        <f t="shared" si="6"/>
        <v>-287.82612266325077</v>
      </c>
    </row>
    <row r="13" spans="1:32" ht="14.1" customHeight="1">
      <c r="A13" s="15">
        <v>43098</v>
      </c>
      <c r="B13" s="25">
        <v>0.90395999999999999</v>
      </c>
      <c r="C13" s="20">
        <v>0.92908311557788914</v>
      </c>
      <c r="D13" s="21">
        <v>38.940829145728188</v>
      </c>
      <c r="E13" s="22">
        <v>43.07804454370568</v>
      </c>
      <c r="F13" s="22">
        <v>85.836089781416561</v>
      </c>
      <c r="G13" s="22">
        <v>77.59239171880931</v>
      </c>
      <c r="H13" s="22">
        <v>304.12500617544276</v>
      </c>
      <c r="I13" s="22">
        <v>328.80443799445595</v>
      </c>
      <c r="J13" s="22">
        <v>24.679431819013189</v>
      </c>
      <c r="K13" s="21">
        <v>251.21204627564666</v>
      </c>
      <c r="L13" s="7"/>
      <c r="X13" s="6">
        <v>44196</v>
      </c>
      <c r="Y13" s="1">
        <v>0</v>
      </c>
      <c r="Z13" s="1">
        <f>-Y13</f>
        <v>0</v>
      </c>
      <c r="AA13" s="6">
        <v>44196</v>
      </c>
      <c r="AB13" s="1">
        <v>0</v>
      </c>
      <c r="AC13" s="1">
        <f t="shared" si="5"/>
        <v>0</v>
      </c>
      <c r="AD13" s="6">
        <v>44196</v>
      </c>
      <c r="AE13" s="1">
        <v>0</v>
      </c>
      <c r="AF13" s="1">
        <f t="shared" si="6"/>
        <v>0</v>
      </c>
    </row>
    <row r="14" spans="1:32" ht="14.1" customHeight="1">
      <c r="A14" s="15">
        <v>43131</v>
      </c>
      <c r="B14" s="25">
        <v>0.86690999999999996</v>
      </c>
      <c r="C14" s="20">
        <v>0.92713140271493188</v>
      </c>
      <c r="D14" s="21">
        <v>93.34317420814449</v>
      </c>
      <c r="E14" s="22">
        <v>107.67343116141755</v>
      </c>
      <c r="F14" s="22">
        <v>193.50952094283411</v>
      </c>
      <c r="G14" s="22">
        <v>167.75533880055232</v>
      </c>
      <c r="H14" s="22">
        <v>397.46818038358725</v>
      </c>
      <c r="I14" s="22">
        <v>418.96738507619898</v>
      </c>
      <c r="J14" s="22">
        <v>21.499204692611727</v>
      </c>
      <c r="K14" s="21">
        <v>251.21204627564666</v>
      </c>
      <c r="L14" s="7"/>
      <c r="X14" s="6">
        <v>44561</v>
      </c>
      <c r="Y14" s="1">
        <v>0</v>
      </c>
      <c r="Z14" s="1">
        <f>-Y14</f>
        <v>0</v>
      </c>
      <c r="AA14" s="6">
        <v>44561</v>
      </c>
      <c r="AB14" s="1">
        <v>0</v>
      </c>
      <c r="AC14" s="1">
        <f t="shared" si="5"/>
        <v>0</v>
      </c>
      <c r="AD14" s="6">
        <v>44561</v>
      </c>
      <c r="AE14" s="1">
        <v>0</v>
      </c>
      <c r="AF14" s="1">
        <f t="shared" si="6"/>
        <v>0</v>
      </c>
    </row>
    <row r="15" spans="1:32" ht="14.1" customHeight="1">
      <c r="A15" s="15">
        <v>43159</v>
      </c>
      <c r="B15" s="25">
        <v>0.8518</v>
      </c>
      <c r="C15" s="20">
        <v>0.91968983050847442</v>
      </c>
      <c r="D15" s="21">
        <v>105.22923728813534</v>
      </c>
      <c r="E15" s="22">
        <v>123.53749388135165</v>
      </c>
      <c r="F15" s="22">
        <v>317.04701482418579</v>
      </c>
      <c r="G15" s="22">
        <v>270.06064722724147</v>
      </c>
      <c r="H15" s="22">
        <v>502.69741767172258</v>
      </c>
      <c r="I15" s="22">
        <v>521.27269350288816</v>
      </c>
      <c r="J15" s="22">
        <v>18.575275831165584</v>
      </c>
      <c r="K15" s="21">
        <v>251.21204627564666</v>
      </c>
      <c r="L15" s="7"/>
      <c r="X15" s="6">
        <v>44561</v>
      </c>
      <c r="Z15" s="1">
        <v>3419.9347522582125</v>
      </c>
      <c r="AA15" s="6">
        <v>44925</v>
      </c>
      <c r="AB15" s="1">
        <v>1187.9495283804376</v>
      </c>
      <c r="AC15" s="1">
        <f t="shared" si="5"/>
        <v>-1187.9495283804376</v>
      </c>
      <c r="AD15" s="6">
        <v>44925</v>
      </c>
      <c r="AE15" s="1">
        <v>1187.9495283804376</v>
      </c>
      <c r="AF15" s="1">
        <f t="shared" si="6"/>
        <v>-1187.9495283804376</v>
      </c>
    </row>
    <row r="16" spans="1:32" ht="14.1" customHeight="1">
      <c r="A16" s="15">
        <v>43189</v>
      </c>
      <c r="B16" s="25">
        <v>0.95575999999999994</v>
      </c>
      <c r="C16" s="20">
        <v>0.91931608527131781</v>
      </c>
      <c r="D16" s="21">
        <v>-56.488067829457314</v>
      </c>
      <c r="E16" s="22">
        <v>-59.102774576731939</v>
      </c>
      <c r="F16" s="22">
        <v>257.94424024745388</v>
      </c>
      <c r="G16" s="22">
        <v>246.53278705890651</v>
      </c>
      <c r="H16" s="22">
        <v>502.69741767172258</v>
      </c>
      <c r="I16" s="22">
        <v>554.23290116401051</v>
      </c>
      <c r="J16" s="22">
        <v>51.535483492287938</v>
      </c>
      <c r="K16" s="21">
        <v>307.70011410510398</v>
      </c>
      <c r="L16" s="7"/>
      <c r="Z16" s="2">
        <f>IRR(Z10:Z15)</f>
        <v>9.2180582832422919E-2</v>
      </c>
      <c r="AA16" s="6">
        <v>44925</v>
      </c>
      <c r="AC16" s="1">
        <v>4687.9403225778906</v>
      </c>
      <c r="AD16" s="6">
        <v>45289</v>
      </c>
      <c r="AE16" s="1">
        <v>0</v>
      </c>
      <c r="AF16" s="1">
        <f t="shared" si="6"/>
        <v>0</v>
      </c>
    </row>
    <row r="17" spans="1:32" ht="14.1" customHeight="1">
      <c r="A17" s="15">
        <v>43217</v>
      </c>
      <c r="B17" s="25">
        <v>0.92662</v>
      </c>
      <c r="C17" s="20">
        <v>0.92028402173913049</v>
      </c>
      <c r="D17" s="21">
        <v>-9.8207663043477442</v>
      </c>
      <c r="E17" s="22">
        <v>-10.598482985849371</v>
      </c>
      <c r="F17" s="22">
        <v>247.34575726160452</v>
      </c>
      <c r="G17" s="22">
        <v>229.19552559374799</v>
      </c>
      <c r="H17" s="22">
        <v>502.69741767172258</v>
      </c>
      <c r="I17" s="22">
        <v>546.71640600319972</v>
      </c>
      <c r="J17" s="22">
        <v>44.018988331477146</v>
      </c>
      <c r="K17" s="21">
        <v>317.52088040945171</v>
      </c>
      <c r="L17" s="7"/>
      <c r="AC17" s="2">
        <f>IRR(AC10:AC16)</f>
        <v>7.2787148508788313E-2</v>
      </c>
      <c r="AD17" s="6">
        <v>45289</v>
      </c>
      <c r="AF17" s="1">
        <v>5085.8382814380839</v>
      </c>
    </row>
    <row r="18" spans="1:32" ht="14.1" customHeight="1">
      <c r="A18" s="15">
        <v>43251</v>
      </c>
      <c r="B18" s="25">
        <v>0.88405999999999996</v>
      </c>
      <c r="C18" s="20">
        <v>0.91991989932885943</v>
      </c>
      <c r="D18" s="21">
        <v>55.582843959732173</v>
      </c>
      <c r="E18" s="22">
        <v>62.87225296895253</v>
      </c>
      <c r="F18" s="22">
        <v>310.21801023055707</v>
      </c>
      <c r="G18" s="22">
        <v>274.25133412442625</v>
      </c>
      <c r="H18" s="22">
        <v>558.28026163145478</v>
      </c>
      <c r="I18" s="22">
        <v>591.77221453387801</v>
      </c>
      <c r="J18" s="22">
        <v>33.491952902423236</v>
      </c>
      <c r="K18" s="21">
        <v>317.52088040945171</v>
      </c>
      <c r="L18" s="7"/>
      <c r="AF18" s="2">
        <f>IRR(AF10:AF17)</f>
        <v>7.5226508819494331E-2</v>
      </c>
    </row>
    <row r="19" spans="1:32" ht="14.1" customHeight="1">
      <c r="A19" s="15">
        <v>43280</v>
      </c>
      <c r="B19" s="25">
        <v>0.81235999999999997</v>
      </c>
      <c r="C19" s="20">
        <v>0.91462415094339644</v>
      </c>
      <c r="D19" s="21">
        <v>158.50943396226452</v>
      </c>
      <c r="E19" s="22">
        <v>195.12215515567547</v>
      </c>
      <c r="F19" s="22">
        <v>505.34016538623257</v>
      </c>
      <c r="G19" s="22">
        <v>410.51813675315987</v>
      </c>
      <c r="H19" s="22">
        <v>716.78969559371933</v>
      </c>
      <c r="I19" s="22">
        <v>728.03901716261157</v>
      </c>
      <c r="J19" s="22">
        <v>11.249321568892242</v>
      </c>
      <c r="K19" s="21">
        <v>317.52088040945171</v>
      </c>
      <c r="L19" s="7"/>
      <c r="X19" s="6">
        <v>43098</v>
      </c>
      <c r="Y19" s="1">
        <v>304.12500617544276</v>
      </c>
      <c r="Z19" s="1">
        <f t="shared" ref="Z19:Z26" si="7">-Y19</f>
        <v>-304.12500617544276</v>
      </c>
    </row>
    <row r="20" spans="1:32" ht="14.1" customHeight="1">
      <c r="A20" s="15">
        <v>43312</v>
      </c>
      <c r="B20" s="25">
        <v>0.8131799999999999</v>
      </c>
      <c r="C20" s="20">
        <v>0.90820861764705896</v>
      </c>
      <c r="D20" s="21">
        <v>147.29435735294155</v>
      </c>
      <c r="E20" s="22">
        <v>181.13376786559132</v>
      </c>
      <c r="F20" s="22">
        <v>686.47393325182384</v>
      </c>
      <c r="G20" s="22">
        <v>558.22687304171802</v>
      </c>
      <c r="H20" s="22">
        <v>864.0840529466609</v>
      </c>
      <c r="I20" s="22">
        <v>875.74775345116973</v>
      </c>
      <c r="J20" s="22">
        <v>11.663700504508824</v>
      </c>
      <c r="K20" s="21">
        <v>317.52088040945171</v>
      </c>
      <c r="L20" s="7"/>
      <c r="X20" s="6">
        <v>43462</v>
      </c>
      <c r="Y20" s="1">
        <v>1807.7843670854991</v>
      </c>
      <c r="Z20" s="1">
        <f t="shared" si="7"/>
        <v>-1807.7843670854991</v>
      </c>
    </row>
    <row r="21" spans="1:32" ht="14.1" customHeight="1">
      <c r="A21" s="15">
        <v>43343</v>
      </c>
      <c r="B21" s="25">
        <v>0.77766999999999997</v>
      </c>
      <c r="C21" s="20">
        <v>0.90034011019283766</v>
      </c>
      <c r="D21" s="21">
        <v>190.13867079889843</v>
      </c>
      <c r="E21" s="22">
        <v>244.49788573417831</v>
      </c>
      <c r="F21" s="22">
        <v>930.97181898600218</v>
      </c>
      <c r="G21" s="22">
        <v>723.98885447084433</v>
      </c>
      <c r="H21" s="22">
        <v>1054.2227237455593</v>
      </c>
      <c r="I21" s="22">
        <v>1041.509734880296</v>
      </c>
      <c r="J21" s="22">
        <v>-12.712988865263242</v>
      </c>
      <c r="K21" s="21">
        <v>317.52088040945171</v>
      </c>
      <c r="L21" s="8"/>
      <c r="X21" s="6">
        <v>43830</v>
      </c>
      <c r="Y21" s="1">
        <v>287.82612266325077</v>
      </c>
      <c r="Z21" s="1">
        <f t="shared" si="7"/>
        <v>-287.82612266325077</v>
      </c>
    </row>
    <row r="22" spans="1:32" ht="14.1" customHeight="1">
      <c r="A22" s="15">
        <v>43371</v>
      </c>
      <c r="B22" s="25">
        <v>0.76784000000000008</v>
      </c>
      <c r="C22" s="20">
        <v>0.8937382984293194</v>
      </c>
      <c r="D22" s="21">
        <v>195.14236256544496</v>
      </c>
      <c r="E22" s="22">
        <v>254.14456470807062</v>
      </c>
      <c r="F22" s="22">
        <v>1185.1163836940727</v>
      </c>
      <c r="G22" s="22">
        <v>909.97976405565691</v>
      </c>
      <c r="H22" s="22">
        <v>1249.3650863110042</v>
      </c>
      <c r="I22" s="22">
        <v>1227.5006444651085</v>
      </c>
      <c r="J22" s="22">
        <v>-21.864441845895726</v>
      </c>
      <c r="K22" s="21">
        <v>317.52088040945171</v>
      </c>
      <c r="L22" s="7"/>
      <c r="X22" s="6">
        <v>44196</v>
      </c>
      <c r="Y22" s="1">
        <v>0</v>
      </c>
      <c r="Z22" s="1">
        <f t="shared" si="7"/>
        <v>0</v>
      </c>
    </row>
    <row r="23" spans="1:32" ht="14.1" customHeight="1">
      <c r="A23" s="15">
        <v>43404</v>
      </c>
      <c r="B23" s="25">
        <v>0.67677999999999994</v>
      </c>
      <c r="C23" s="20">
        <v>0.88415025000000003</v>
      </c>
      <c r="D23" s="21">
        <v>321.42388750000015</v>
      </c>
      <c r="E23" s="22">
        <v>474.93112606755545</v>
      </c>
      <c r="F23" s="22">
        <v>1660.0475097616281</v>
      </c>
      <c r="G23" s="22">
        <v>1123.4869536564745</v>
      </c>
      <c r="H23" s="22">
        <v>1570.7889738110043</v>
      </c>
      <c r="I23" s="22">
        <v>1441.0078340659261</v>
      </c>
      <c r="J23" s="22">
        <v>-129.78113974507824</v>
      </c>
      <c r="K23" s="21">
        <v>317.52088040945171</v>
      </c>
      <c r="L23" s="7"/>
      <c r="O23" s="3"/>
      <c r="X23" s="6">
        <v>44561</v>
      </c>
      <c r="Y23" s="1">
        <v>0</v>
      </c>
      <c r="Z23" s="1">
        <f t="shared" si="7"/>
        <v>0</v>
      </c>
    </row>
    <row r="24" spans="1:32" ht="14.1" customHeight="1">
      <c r="A24" s="15">
        <v>43434</v>
      </c>
      <c r="B24" s="25">
        <v>0.7214299999999999</v>
      </c>
      <c r="C24" s="20">
        <v>0.87621106635071089</v>
      </c>
      <c r="D24" s="21">
        <v>239.91065284360204</v>
      </c>
      <c r="E24" s="22">
        <v>332.54876127081224</v>
      </c>
      <c r="F24" s="22">
        <v>1992.5962710324404</v>
      </c>
      <c r="G24" s="22">
        <v>1437.5187278109333</v>
      </c>
      <c r="H24" s="22">
        <v>1810.6996266546064</v>
      </c>
      <c r="I24" s="22">
        <v>1755.0396082203852</v>
      </c>
      <c r="J24" s="22">
        <v>-55.660018434221229</v>
      </c>
      <c r="K24" s="21">
        <v>317.52088040945171</v>
      </c>
      <c r="L24" s="7"/>
      <c r="X24" s="6">
        <v>44925</v>
      </c>
      <c r="Y24" s="1">
        <v>1187.9495283804376</v>
      </c>
      <c r="Z24" s="1">
        <f t="shared" si="7"/>
        <v>-1187.9495283804376</v>
      </c>
    </row>
    <row r="25" spans="1:32" ht="14.1" customHeight="1">
      <c r="A25" s="15">
        <v>43462</v>
      </c>
      <c r="B25" s="25">
        <v>0.67408000000000001</v>
      </c>
      <c r="C25" s="20">
        <v>0.86840886877828072</v>
      </c>
      <c r="D25" s="21">
        <v>301.2097466063351</v>
      </c>
      <c r="E25" s="22">
        <v>446.84569577251233</v>
      </c>
      <c r="F25" s="22">
        <v>2439.4419668049527</v>
      </c>
      <c r="G25" s="22">
        <v>1644.3790409838825</v>
      </c>
      <c r="H25" s="22">
        <v>2111.9093732609417</v>
      </c>
      <c r="I25" s="22">
        <v>1961.8999213933344</v>
      </c>
      <c r="J25" s="22">
        <v>-150.00945186760737</v>
      </c>
      <c r="K25" s="21">
        <v>317.52088040945171</v>
      </c>
      <c r="L25" s="7"/>
      <c r="X25" s="6">
        <v>45289</v>
      </c>
      <c r="Y25" s="1">
        <v>0</v>
      </c>
      <c r="Z25" s="1">
        <f t="shared" si="7"/>
        <v>0</v>
      </c>
    </row>
    <row r="26" spans="1:32" ht="14.1" customHeight="1">
      <c r="A26" s="15">
        <v>43496</v>
      </c>
      <c r="B26" s="25">
        <v>0.67716999999999994</v>
      </c>
      <c r="C26" s="20">
        <v>0.86008008620689669</v>
      </c>
      <c r="D26" s="21">
        <v>283.51063362068999</v>
      </c>
      <c r="E26" s="22">
        <v>418.6698076121063</v>
      </c>
      <c r="F26" s="22">
        <v>2858.1117744170588</v>
      </c>
      <c r="G26" s="22">
        <v>1935.4275502819994</v>
      </c>
      <c r="H26" s="22">
        <v>2395.4200068816317</v>
      </c>
      <c r="I26" s="22">
        <v>2252.948430691451</v>
      </c>
      <c r="J26" s="22">
        <v>-142.47157619018071</v>
      </c>
      <c r="K26" s="21">
        <v>317.52088040945171</v>
      </c>
      <c r="L26" s="7"/>
      <c r="X26" s="6">
        <v>45657</v>
      </c>
      <c r="Y26" s="1">
        <v>640.6378253243156</v>
      </c>
      <c r="Z26" s="1">
        <f t="shared" si="7"/>
        <v>-640.6378253243156</v>
      </c>
    </row>
    <row r="27" spans="1:32" ht="14.1" customHeight="1">
      <c r="A27" s="15">
        <v>43524</v>
      </c>
      <c r="B27" s="25">
        <v>0.85648000000000002</v>
      </c>
      <c r="C27" s="20">
        <v>0.85765524008350746</v>
      </c>
      <c r="D27" s="21">
        <v>1.8216221294365398</v>
      </c>
      <c r="E27" s="22">
        <v>2.1268705976047775</v>
      </c>
      <c r="F27" s="22">
        <v>2860.2386450146637</v>
      </c>
      <c r="G27" s="22">
        <v>2449.737194682159</v>
      </c>
      <c r="H27" s="22">
        <v>2397.2416290110682</v>
      </c>
      <c r="I27" s="22">
        <v>2767.2580750916109</v>
      </c>
      <c r="J27" s="22">
        <v>370.01644608054266</v>
      </c>
      <c r="K27" s="21">
        <v>317.52088040945171</v>
      </c>
      <c r="L27" s="7"/>
      <c r="X27" s="6">
        <v>45657</v>
      </c>
      <c r="Z27" s="1">
        <v>5934.4066689137917</v>
      </c>
    </row>
    <row r="28" spans="1:32" ht="14.1" customHeight="1">
      <c r="A28" s="15">
        <v>43553</v>
      </c>
      <c r="B28" s="25">
        <v>0.94580999999999993</v>
      </c>
      <c r="C28" s="20">
        <v>0.86087282000000032</v>
      </c>
      <c r="D28" s="21">
        <v>-131.65262899999939</v>
      </c>
      <c r="E28" s="22">
        <v>-139.19564077351626</v>
      </c>
      <c r="F28" s="22">
        <v>2721.0430042411476</v>
      </c>
      <c r="G28" s="22">
        <v>2573.5896838413196</v>
      </c>
      <c r="H28" s="22">
        <v>2397.2416290110682</v>
      </c>
      <c r="I28" s="22">
        <v>3022.7631932507707</v>
      </c>
      <c r="J28" s="22">
        <v>625.52156423970246</v>
      </c>
      <c r="K28" s="21">
        <v>449.17350940945107</v>
      </c>
      <c r="L28" s="7"/>
      <c r="Z28" s="2">
        <f>IRR(Z19:Z27)</f>
        <v>6.7866001631279316E-2</v>
      </c>
    </row>
    <row r="29" spans="1:32" ht="14.1" customHeight="1">
      <c r="A29" s="15">
        <v>43585</v>
      </c>
      <c r="B29" s="25">
        <v>0.9108099999999999</v>
      </c>
      <c r="C29" s="20">
        <v>0.86513197696737065</v>
      </c>
      <c r="D29" s="21">
        <v>-70.800935700575323</v>
      </c>
      <c r="E29" s="22">
        <v>-77.734034211938095</v>
      </c>
      <c r="F29" s="22">
        <v>2643.3089700292094</v>
      </c>
      <c r="G29" s="22">
        <v>2407.5522429923039</v>
      </c>
      <c r="H29" s="22">
        <v>2397.2416290110682</v>
      </c>
      <c r="I29" s="22">
        <v>2927.5266881023304</v>
      </c>
      <c r="J29" s="22">
        <v>530.28505909126216</v>
      </c>
      <c r="K29" s="21">
        <v>519.97444511002641</v>
      </c>
      <c r="L29" s="7"/>
    </row>
    <row r="30" spans="1:32" ht="14.1" customHeight="1">
      <c r="A30" s="15">
        <v>43616</v>
      </c>
      <c r="B30" s="25">
        <v>0.86360000000000003</v>
      </c>
      <c r="C30" s="20">
        <v>0.86520894639556412</v>
      </c>
      <c r="D30" s="21">
        <v>2.4938669131243261</v>
      </c>
      <c r="E30" s="22">
        <v>2.8877569628581821</v>
      </c>
      <c r="F30" s="22">
        <v>2646.1967269920674</v>
      </c>
      <c r="G30" s="22">
        <v>2285.2554934303494</v>
      </c>
      <c r="H30" s="22">
        <v>2399.7354959241925</v>
      </c>
      <c r="I30" s="22">
        <v>2805.2299385403758</v>
      </c>
      <c r="J30" s="22">
        <v>405.49444261618328</v>
      </c>
      <c r="K30" s="21">
        <v>519.97444511002641</v>
      </c>
      <c r="L30" s="7"/>
    </row>
    <row r="31" spans="1:32" ht="14.1" customHeight="1">
      <c r="A31" s="15">
        <v>43644</v>
      </c>
      <c r="B31" s="25">
        <v>0.88732</v>
      </c>
      <c r="C31" s="20">
        <v>0.86520416071428607</v>
      </c>
      <c r="D31" s="21">
        <v>-34.279550892856584</v>
      </c>
      <c r="E31" s="22">
        <v>-38.632681437200318</v>
      </c>
      <c r="F31" s="22">
        <v>2607.5640455548669</v>
      </c>
      <c r="G31" s="22">
        <v>2313.7437289017444</v>
      </c>
      <c r="H31" s="22">
        <v>2399.7354959241925</v>
      </c>
      <c r="I31" s="22">
        <v>2867.9977249046274</v>
      </c>
      <c r="J31" s="22">
        <v>468.26222898043488</v>
      </c>
      <c r="K31" s="21">
        <v>554.25399600288301</v>
      </c>
      <c r="L31" s="7"/>
    </row>
    <row r="32" spans="1:32" ht="14.1" customHeight="1">
      <c r="A32" s="15">
        <v>43677</v>
      </c>
      <c r="B32" s="25">
        <v>0.89222000000000001</v>
      </c>
      <c r="C32" s="20">
        <v>0.86610048027444275</v>
      </c>
      <c r="D32" s="21">
        <v>-40.485255574613753</v>
      </c>
      <c r="E32" s="22">
        <v>-45.375866461874594</v>
      </c>
      <c r="F32" s="22">
        <v>2562.1881790929924</v>
      </c>
      <c r="G32" s="22">
        <v>2286.0355371503497</v>
      </c>
      <c r="H32" s="22">
        <v>2399.7354959241925</v>
      </c>
      <c r="I32" s="22">
        <v>2880.7747887278465</v>
      </c>
      <c r="J32" s="22">
        <v>481.03929280365401</v>
      </c>
      <c r="K32" s="21">
        <v>594.73925157749682</v>
      </c>
      <c r="L32" s="7"/>
    </row>
    <row r="33" spans="1:15" ht="14.1" customHeight="1">
      <c r="A33" s="15">
        <v>43707</v>
      </c>
      <c r="B33" s="25">
        <v>0.92357</v>
      </c>
      <c r="C33" s="20">
        <v>0.86687626446280996</v>
      </c>
      <c r="D33" s="21">
        <v>-87.875290082644554</v>
      </c>
      <c r="E33" s="22">
        <v>-95.147406349972982</v>
      </c>
      <c r="F33" s="22">
        <v>2467.0407727430193</v>
      </c>
      <c r="G33" s="22">
        <v>2278.4848464822703</v>
      </c>
      <c r="H33" s="22">
        <v>2399.7354959241925</v>
      </c>
      <c r="I33" s="22">
        <v>2961.099388142412</v>
      </c>
      <c r="J33" s="22">
        <v>561.36389221821946</v>
      </c>
      <c r="K33" s="21">
        <v>682.61454166014141</v>
      </c>
      <c r="L33" s="7"/>
    </row>
    <row r="34" spans="1:15" ht="14.1" customHeight="1">
      <c r="A34" s="15">
        <v>43738</v>
      </c>
      <c r="B34" s="25">
        <v>0.95855999999999997</v>
      </c>
      <c r="C34" s="20">
        <v>0.87099716799999982</v>
      </c>
      <c r="D34" s="21">
        <v>-135.72238960000021</v>
      </c>
      <c r="E34" s="22">
        <v>-141.58987397763335</v>
      </c>
      <c r="F34" s="22">
        <v>2325.4508987653858</v>
      </c>
      <c r="G34" s="22">
        <v>2229.084213520548</v>
      </c>
      <c r="H34" s="22">
        <v>2399.7354959241925</v>
      </c>
      <c r="I34" s="22">
        <v>3047.4211447806897</v>
      </c>
      <c r="J34" s="22">
        <v>647.68564885649721</v>
      </c>
      <c r="K34" s="21">
        <v>818.33693126014168</v>
      </c>
      <c r="L34" s="7"/>
    </row>
    <row r="35" spans="1:15" ht="14.1" customHeight="1">
      <c r="A35" s="15">
        <v>43769</v>
      </c>
      <c r="B35" s="25">
        <v>0.97238999999999998</v>
      </c>
      <c r="C35" s="20">
        <v>0.87394309486780741</v>
      </c>
      <c r="D35" s="21">
        <v>-152.59270295489847</v>
      </c>
      <c r="E35" s="22">
        <v>-156.92541362508712</v>
      </c>
      <c r="F35" s="22">
        <v>2168.5254851402988</v>
      </c>
      <c r="G35" s="22">
        <v>2108.6524964955752</v>
      </c>
      <c r="H35" s="22">
        <v>2399.7354959241925</v>
      </c>
      <c r="I35" s="22">
        <v>3079.5821307106153</v>
      </c>
      <c r="J35" s="22">
        <v>679.84663478642278</v>
      </c>
      <c r="K35" s="21">
        <v>970.9296342150401</v>
      </c>
      <c r="L35" s="7"/>
      <c r="O35" s="3"/>
    </row>
    <row r="36" spans="1:15" ht="14.1" customHeight="1">
      <c r="A36" s="15">
        <v>43798</v>
      </c>
      <c r="B36" s="25">
        <v>0.97728999999999999</v>
      </c>
      <c r="C36" s="20">
        <v>0.87774004518072291</v>
      </c>
      <c r="D36" s="21">
        <v>-154.30242996987948</v>
      </c>
      <c r="E36" s="22">
        <v>-157.88806799402377</v>
      </c>
      <c r="F36" s="22">
        <v>2010.6374171462751</v>
      </c>
      <c r="G36" s="22">
        <v>1964.9758414028831</v>
      </c>
      <c r="H36" s="22">
        <v>2399.7354959241925</v>
      </c>
      <c r="I36" s="22">
        <v>3090.207905587803</v>
      </c>
      <c r="J36" s="22">
        <v>690.47240966361051</v>
      </c>
      <c r="K36" s="21">
        <v>1125.2320641849196</v>
      </c>
      <c r="L36" s="7"/>
    </row>
    <row r="37" spans="1:15" ht="14.1" customHeight="1">
      <c r="A37" s="15">
        <v>43830</v>
      </c>
      <c r="B37" s="25">
        <v>1.0407999999999999</v>
      </c>
      <c r="C37" s="20">
        <v>0.88251367346938747</v>
      </c>
      <c r="D37" s="21">
        <v>-245.34380612244934</v>
      </c>
      <c r="E37" s="22">
        <v>-235.72617805769536</v>
      </c>
      <c r="F37" s="22">
        <v>1774.9112390885798</v>
      </c>
      <c r="G37" s="22">
        <v>1847.3276176433938</v>
      </c>
      <c r="H37" s="22">
        <v>2399.7354959241925</v>
      </c>
      <c r="I37" s="22">
        <v>3217.9034879507626</v>
      </c>
      <c r="J37" s="22">
        <v>818.16799202657012</v>
      </c>
      <c r="K37" s="21">
        <v>1370.5758703073689</v>
      </c>
      <c r="L37" s="7"/>
    </row>
    <row r="38" spans="1:15" ht="14.1" customHeight="1">
      <c r="A38" s="15">
        <v>43853</v>
      </c>
      <c r="B38" s="25">
        <v>1.13632</v>
      </c>
      <c r="C38" s="20">
        <v>0.88787240740740703</v>
      </c>
      <c r="D38" s="21">
        <v>-385.09376851851908</v>
      </c>
      <c r="E38" s="22">
        <v>-338.89552988464436</v>
      </c>
      <c r="F38" s="22">
        <v>1436.0157092039353</v>
      </c>
      <c r="G38" s="22">
        <v>1631.7733706826157</v>
      </c>
      <c r="H38" s="22">
        <v>2399.7354959241925</v>
      </c>
      <c r="I38" s="22">
        <v>3387.4430095085036</v>
      </c>
      <c r="J38" s="22">
        <v>987.70751358431107</v>
      </c>
      <c r="K38" s="21">
        <v>1755.6696388258879</v>
      </c>
      <c r="L38" s="7"/>
    </row>
    <row r="39" spans="1:15" ht="14.1" customHeight="1">
      <c r="A39" s="15">
        <v>43889</v>
      </c>
      <c r="B39" s="25">
        <v>1.2075199999999999</v>
      </c>
      <c r="C39" s="20">
        <v>0.89685198060941806</v>
      </c>
      <c r="D39" s="21">
        <v>-481.53543005540189</v>
      </c>
      <c r="E39" s="22">
        <v>-398.78050057589269</v>
      </c>
      <c r="F39" s="22">
        <v>1037.2352086280425</v>
      </c>
      <c r="G39" s="22">
        <v>1252.4822591225338</v>
      </c>
      <c r="H39" s="22">
        <v>2399.7354959241925</v>
      </c>
      <c r="I39" s="22">
        <v>3489.6873280038235</v>
      </c>
      <c r="J39" s="22">
        <v>1089.951832079631</v>
      </c>
      <c r="K39" s="21">
        <v>2237.2050688812897</v>
      </c>
      <c r="L39" s="7"/>
    </row>
    <row r="40" spans="1:15" ht="14.1" customHeight="1">
      <c r="A40" s="15">
        <v>43921</v>
      </c>
      <c r="B40" s="25">
        <v>1.0721400000000001</v>
      </c>
      <c r="C40" s="20">
        <v>0.90492893817204278</v>
      </c>
      <c r="D40" s="21">
        <v>-259.17714583333384</v>
      </c>
      <c r="E40" s="22">
        <v>-241.7381553093195</v>
      </c>
      <c r="F40" s="22">
        <v>795.49705331872303</v>
      </c>
      <c r="G40" s="22">
        <v>852.88421074513576</v>
      </c>
      <c r="H40" s="22">
        <v>2399.7354959241925</v>
      </c>
      <c r="I40" s="22">
        <v>3349.2664254597594</v>
      </c>
      <c r="J40" s="22">
        <v>949.53092953556688</v>
      </c>
      <c r="K40" s="21">
        <v>2496.3822147146234</v>
      </c>
      <c r="L40" s="7"/>
    </row>
    <row r="41" spans="1:15" ht="14.1" customHeight="1">
      <c r="A41" s="15">
        <v>43951</v>
      </c>
      <c r="B41" s="25">
        <v>1.13618</v>
      </c>
      <c r="C41" s="20">
        <v>0.91070921568627439</v>
      </c>
      <c r="D41" s="21">
        <v>-349.47971568627463</v>
      </c>
      <c r="E41" s="22">
        <v>-307.59185664795598</v>
      </c>
      <c r="F41" s="22">
        <v>487.90519667076705</v>
      </c>
      <c r="G41" s="22">
        <v>554.3481263533921</v>
      </c>
      <c r="H41" s="22">
        <v>2399.7354959241925</v>
      </c>
      <c r="I41" s="22">
        <v>3400.2100567542902</v>
      </c>
      <c r="J41" s="22">
        <v>1000.4745608300977</v>
      </c>
      <c r="K41" s="21">
        <v>2845.861930400898</v>
      </c>
      <c r="L41" s="7"/>
    </row>
    <row r="42" spans="1:15" ht="14.1" customHeight="1">
      <c r="A42" s="15">
        <v>43980</v>
      </c>
      <c r="B42" s="25">
        <v>1.12294</v>
      </c>
      <c r="C42" s="20">
        <v>0.91629127713920799</v>
      </c>
      <c r="D42" s="21">
        <v>-320.30552043422767</v>
      </c>
      <c r="E42" s="22">
        <v>-285.23832122306413</v>
      </c>
      <c r="F42" s="22">
        <v>202.66687544770292</v>
      </c>
      <c r="G42" s="22">
        <v>227.58274111524352</v>
      </c>
      <c r="H42" s="22">
        <v>2399.7354959241925</v>
      </c>
      <c r="I42" s="22">
        <v>3393.7501919503693</v>
      </c>
      <c r="J42" s="22">
        <v>994.01469602617681</v>
      </c>
      <c r="K42" s="21">
        <v>3166.1674508351257</v>
      </c>
      <c r="L42" s="7"/>
    </row>
    <row r="43" spans="1:15" ht="14.1" customHeight="1">
      <c r="A43" s="15">
        <v>44012</v>
      </c>
      <c r="B43" s="25">
        <v>1.25214</v>
      </c>
      <c r="C43" s="20">
        <v>0.92317073474470712</v>
      </c>
      <c r="D43" s="21">
        <v>-253.76730142308674</v>
      </c>
      <c r="E43" s="22">
        <v>-202.66687544770292</v>
      </c>
      <c r="F43" s="22">
        <v>0</v>
      </c>
      <c r="G43" s="22">
        <v>0</v>
      </c>
      <c r="H43" s="22">
        <v>2399.7354959241925</v>
      </c>
      <c r="I43" s="22">
        <v>3419.9347522582125</v>
      </c>
      <c r="J43" s="22">
        <v>1020.19925633402</v>
      </c>
      <c r="K43" s="21">
        <v>3419.9347522582125</v>
      </c>
      <c r="L43" s="7"/>
    </row>
    <row r="44" spans="1:15" ht="14.1" customHeight="1">
      <c r="A44" s="15">
        <v>44043</v>
      </c>
      <c r="B44" s="25">
        <v>1.3561700000000001</v>
      </c>
      <c r="C44" s="20">
        <v>0.93524518159806236</v>
      </c>
      <c r="D44" s="21">
        <v>0</v>
      </c>
      <c r="E44" s="22">
        <v>0</v>
      </c>
      <c r="F44" s="22">
        <v>0</v>
      </c>
      <c r="G44" s="22">
        <v>0</v>
      </c>
      <c r="H44" s="22">
        <v>2399.7354959241925</v>
      </c>
      <c r="I44" s="22">
        <v>3419.9347522582125</v>
      </c>
      <c r="J44" s="22">
        <v>1020.19925633402</v>
      </c>
      <c r="K44" s="21">
        <v>3419.9347522582125</v>
      </c>
      <c r="L44" s="7"/>
    </row>
    <row r="45" spans="1:15" ht="14.1" customHeight="1">
      <c r="A45" s="15">
        <v>44074</v>
      </c>
      <c r="B45" s="25">
        <v>1.35833</v>
      </c>
      <c r="C45" s="20">
        <v>0.9455635537190078</v>
      </c>
      <c r="D45" s="21">
        <v>0</v>
      </c>
      <c r="E45" s="22">
        <v>0</v>
      </c>
      <c r="F45" s="22">
        <v>0</v>
      </c>
      <c r="G45" s="22">
        <v>0</v>
      </c>
      <c r="H45" s="22">
        <v>2399.7354959241925</v>
      </c>
      <c r="I45" s="22">
        <v>3419.9347522582125</v>
      </c>
      <c r="J45" s="22">
        <v>1020.19925633402</v>
      </c>
      <c r="K45" s="21">
        <v>3419.9347522582125</v>
      </c>
      <c r="L45" s="7"/>
    </row>
    <row r="46" spans="1:15" ht="14.1" customHeight="1">
      <c r="A46" s="15">
        <v>44104</v>
      </c>
      <c r="B46" s="25">
        <v>1.2336199999999999</v>
      </c>
      <c r="C46" s="20">
        <v>0.9540192059838889</v>
      </c>
      <c r="D46" s="21">
        <v>0</v>
      </c>
      <c r="E46" s="22">
        <v>0</v>
      </c>
      <c r="F46" s="22">
        <v>0</v>
      </c>
      <c r="G46" s="22">
        <v>0</v>
      </c>
      <c r="H46" s="22">
        <v>2399.7354959241925</v>
      </c>
      <c r="I46" s="22">
        <v>3419.9347522582125</v>
      </c>
      <c r="J46" s="22">
        <v>1020.19925633402</v>
      </c>
      <c r="K46" s="21">
        <v>3419.9347522582125</v>
      </c>
      <c r="L46" s="7"/>
    </row>
    <row r="47" spans="1:15" ht="14.1" customHeight="1">
      <c r="A47" s="15">
        <v>44134</v>
      </c>
      <c r="B47" s="25">
        <v>1.2367600000000001</v>
      </c>
      <c r="C47" s="20">
        <v>0.95971613559321989</v>
      </c>
      <c r="D47" s="21">
        <v>0</v>
      </c>
      <c r="E47" s="22">
        <v>0</v>
      </c>
      <c r="F47" s="22">
        <v>0</v>
      </c>
      <c r="G47" s="22">
        <v>0</v>
      </c>
      <c r="H47" s="22">
        <v>2399.7354959241925</v>
      </c>
      <c r="I47" s="22">
        <v>3419.9347522582125</v>
      </c>
      <c r="J47" s="22">
        <v>1020.19925633402</v>
      </c>
      <c r="K47" s="21">
        <v>3419.9347522582125</v>
      </c>
      <c r="L47" s="7"/>
    </row>
    <row r="48" spans="1:15" ht="14.1" customHeight="1">
      <c r="A48" s="15">
        <v>44165</v>
      </c>
      <c r="B48" s="25">
        <v>1.23942</v>
      </c>
      <c r="C48" s="20">
        <v>0.96667163355408336</v>
      </c>
      <c r="D48" s="21">
        <v>0</v>
      </c>
      <c r="E48" s="22">
        <v>0</v>
      </c>
      <c r="F48" s="22">
        <v>0</v>
      </c>
      <c r="G48" s="22">
        <v>0</v>
      </c>
      <c r="H48" s="22">
        <v>2399.7354959241925</v>
      </c>
      <c r="I48" s="22">
        <v>3419.9347522582125</v>
      </c>
      <c r="J48" s="22">
        <v>1020.19925633402</v>
      </c>
      <c r="K48" s="21">
        <v>3419.9347522582125</v>
      </c>
      <c r="L48" s="7"/>
    </row>
    <row r="49" spans="1:11" ht="14.1" customHeight="1">
      <c r="A49" s="15">
        <v>44196</v>
      </c>
      <c r="B49" s="25">
        <v>1.2531099999999999</v>
      </c>
      <c r="C49" s="20">
        <v>0.9734885360602793</v>
      </c>
      <c r="D49" s="21">
        <v>0</v>
      </c>
      <c r="E49" s="22">
        <v>0</v>
      </c>
      <c r="F49" s="22">
        <v>0</v>
      </c>
      <c r="G49" s="22">
        <v>0</v>
      </c>
      <c r="H49" s="22">
        <v>2399.7354959241925</v>
      </c>
      <c r="I49" s="22">
        <v>3419.9347522582125</v>
      </c>
      <c r="J49" s="22">
        <v>1020.19925633402</v>
      </c>
      <c r="K49" s="21">
        <v>3419.9347522582125</v>
      </c>
    </row>
    <row r="50" spans="1:11" ht="14.1" customHeight="1">
      <c r="A50" s="15">
        <v>44225</v>
      </c>
      <c r="B50" s="25">
        <v>1.2375</v>
      </c>
      <c r="C50" s="20">
        <v>0.97975223393045274</v>
      </c>
      <c r="D50" s="21">
        <v>0</v>
      </c>
      <c r="E50" s="22">
        <v>0</v>
      </c>
      <c r="F50" s="22">
        <v>0</v>
      </c>
      <c r="G50" s="22">
        <v>0</v>
      </c>
      <c r="H50" s="22">
        <v>2399.7354959241925</v>
      </c>
      <c r="I50" s="22">
        <v>3419.9347522582125</v>
      </c>
      <c r="J50" s="22">
        <v>1020.19925633402</v>
      </c>
      <c r="K50" s="21">
        <v>3419.9347522582125</v>
      </c>
    </row>
    <row r="51" spans="1:11" ht="14.1" customHeight="1">
      <c r="A51" s="15">
        <v>44253</v>
      </c>
      <c r="B51" s="25">
        <v>1.23967</v>
      </c>
      <c r="C51" s="20">
        <v>0.98431195020746853</v>
      </c>
      <c r="D51" s="21">
        <v>0</v>
      </c>
      <c r="E51" s="22">
        <v>0</v>
      </c>
      <c r="F51" s="22">
        <v>0</v>
      </c>
      <c r="G51" s="22">
        <v>0</v>
      </c>
      <c r="H51" s="22">
        <v>2399.7354959241925</v>
      </c>
      <c r="I51" s="22">
        <v>3419.9347522582125</v>
      </c>
      <c r="J51" s="22">
        <v>1020.19925633402</v>
      </c>
      <c r="K51" s="21">
        <v>3419.9347522582125</v>
      </c>
    </row>
    <row r="52" spans="1:11" ht="14.1" customHeight="1">
      <c r="A52" s="15">
        <v>44286</v>
      </c>
      <c r="B52" s="25">
        <v>1.15709</v>
      </c>
      <c r="C52" s="20">
        <v>0.98874740628166125</v>
      </c>
      <c r="D52" s="21">
        <v>0</v>
      </c>
      <c r="E52" s="22">
        <v>0</v>
      </c>
      <c r="F52" s="22">
        <v>0</v>
      </c>
      <c r="G52" s="22">
        <v>0</v>
      </c>
      <c r="H52" s="22">
        <v>2399.7354959241925</v>
      </c>
      <c r="I52" s="22">
        <v>3419.9347522582125</v>
      </c>
      <c r="J52" s="22">
        <v>1020.19925633402</v>
      </c>
      <c r="K52" s="21">
        <v>3419.9347522582125</v>
      </c>
    </row>
    <row r="53" spans="1:11" ht="14.1" customHeight="1">
      <c r="A53" s="15">
        <v>44316</v>
      </c>
      <c r="B53" s="25">
        <v>1.17998</v>
      </c>
      <c r="C53" s="20">
        <v>0.99267334325396761</v>
      </c>
      <c r="D53" s="21">
        <v>0</v>
      </c>
      <c r="E53" s="22">
        <v>0</v>
      </c>
      <c r="F53" s="22">
        <v>0</v>
      </c>
      <c r="G53" s="22">
        <v>0</v>
      </c>
      <c r="H53" s="22">
        <v>2399.7354959241925</v>
      </c>
      <c r="I53" s="22">
        <v>3419.9347522582125</v>
      </c>
      <c r="J53" s="22">
        <v>1020.19925633402</v>
      </c>
      <c r="K53" s="21">
        <v>3419.9347522582125</v>
      </c>
    </row>
    <row r="54" spans="1:11" ht="14.1" customHeight="1">
      <c r="A54" s="15">
        <v>44347</v>
      </c>
      <c r="B54" s="25">
        <v>1.2623</v>
      </c>
      <c r="C54" s="20">
        <v>0.99633758284600327</v>
      </c>
      <c r="D54" s="21">
        <v>0</v>
      </c>
      <c r="E54" s="22">
        <v>0</v>
      </c>
      <c r="F54" s="22">
        <v>0</v>
      </c>
      <c r="G54" s="22">
        <v>0</v>
      </c>
      <c r="H54" s="22">
        <v>2399.7354959241925</v>
      </c>
      <c r="I54" s="22">
        <v>3419.9347522582125</v>
      </c>
      <c r="J54" s="22">
        <v>1020.19925633402</v>
      </c>
      <c r="K54" s="21">
        <v>3419.9347522582125</v>
      </c>
    </row>
    <row r="55" spans="1:11" ht="14.1" customHeight="1">
      <c r="A55" s="15">
        <v>44377</v>
      </c>
      <c r="B55" s="25">
        <v>1.33643</v>
      </c>
      <c r="C55" s="20">
        <v>1.0020695033428839</v>
      </c>
      <c r="D55" s="21">
        <v>0</v>
      </c>
      <c r="E55" s="22">
        <v>0</v>
      </c>
      <c r="F55" s="22">
        <v>0</v>
      </c>
      <c r="G55" s="22">
        <v>0</v>
      </c>
      <c r="H55" s="22">
        <v>2399.7354959241925</v>
      </c>
      <c r="I55" s="22">
        <v>3419.9347522582125</v>
      </c>
      <c r="J55" s="22">
        <v>1020.19925633402</v>
      </c>
      <c r="K55" s="21">
        <v>3419.9347522582125</v>
      </c>
    </row>
    <row r="56" spans="1:11" ht="14.1" customHeight="1">
      <c r="A56" s="15">
        <v>44407</v>
      </c>
      <c r="B56" s="25">
        <v>1.28626</v>
      </c>
      <c r="C56" s="20">
        <v>1.0081902338634234</v>
      </c>
      <c r="D56" s="21">
        <v>0</v>
      </c>
      <c r="E56" s="22">
        <v>0</v>
      </c>
      <c r="F56" s="22">
        <v>0</v>
      </c>
      <c r="G56" s="22">
        <v>0</v>
      </c>
      <c r="H56" s="22">
        <v>2399.7354959241925</v>
      </c>
      <c r="I56" s="22">
        <v>3419.9347522582125</v>
      </c>
      <c r="J56" s="22">
        <v>1020.19925633402</v>
      </c>
      <c r="K56" s="21">
        <v>3419.9347522582125</v>
      </c>
    </row>
    <row r="57" spans="1:11" ht="14.1" customHeight="1">
      <c r="A57" s="15">
        <v>44439</v>
      </c>
      <c r="B57" s="25">
        <v>1.2177899999999999</v>
      </c>
      <c r="C57" s="20">
        <v>1.0134350962419794</v>
      </c>
      <c r="D57" s="21">
        <v>0</v>
      </c>
      <c r="E57" s="22">
        <v>0</v>
      </c>
      <c r="F57" s="22">
        <v>0</v>
      </c>
      <c r="G57" s="22">
        <v>0</v>
      </c>
      <c r="H57" s="22">
        <v>2399.7354959241925</v>
      </c>
      <c r="I57" s="22">
        <v>3419.9347522582125</v>
      </c>
      <c r="J57" s="22">
        <v>1020.19925633402</v>
      </c>
      <c r="K57" s="21">
        <v>3419.9347522582125</v>
      </c>
    </row>
    <row r="58" spans="1:11" ht="14.1" customHeight="1">
      <c r="A58" s="15">
        <v>44469</v>
      </c>
      <c r="B58" s="25">
        <v>1.20347</v>
      </c>
      <c r="C58" s="20">
        <v>1.0173092439243918</v>
      </c>
      <c r="D58" s="21">
        <v>0</v>
      </c>
      <c r="E58" s="22">
        <v>0</v>
      </c>
      <c r="F58" s="22">
        <v>0</v>
      </c>
      <c r="G58" s="22">
        <v>0</v>
      </c>
      <c r="H58" s="22">
        <v>2399.7354959241925</v>
      </c>
      <c r="I58" s="22">
        <v>3419.9347522582125</v>
      </c>
      <c r="J58" s="22">
        <v>1020.19925633402</v>
      </c>
      <c r="K58" s="21">
        <v>3419.9347522582125</v>
      </c>
    </row>
    <row r="59" spans="1:11" ht="14.1" customHeight="1">
      <c r="A59" s="15">
        <v>44498</v>
      </c>
      <c r="B59" s="25">
        <v>1.1970999999999998</v>
      </c>
      <c r="C59" s="20">
        <v>1.0199570984915698</v>
      </c>
      <c r="D59" s="21">
        <v>0</v>
      </c>
      <c r="E59" s="22">
        <v>0</v>
      </c>
      <c r="F59" s="22">
        <v>0</v>
      </c>
      <c r="G59" s="22">
        <v>0</v>
      </c>
      <c r="H59" s="22">
        <v>2399.7354959241925</v>
      </c>
      <c r="I59" s="22">
        <v>3419.9347522582125</v>
      </c>
      <c r="J59" s="22">
        <v>1020.19925633402</v>
      </c>
      <c r="K59" s="21">
        <v>3419.9347522582125</v>
      </c>
    </row>
    <row r="60" spans="1:11" ht="14.1" customHeight="1">
      <c r="A60" s="15">
        <v>44530</v>
      </c>
      <c r="B60" s="25">
        <v>1.23373</v>
      </c>
      <c r="C60" s="20">
        <v>1.0241169103568308</v>
      </c>
      <c r="D60" s="21">
        <v>0</v>
      </c>
      <c r="E60" s="22">
        <v>0</v>
      </c>
      <c r="F60" s="22">
        <v>0</v>
      </c>
      <c r="G60" s="22">
        <v>0</v>
      </c>
      <c r="H60" s="22">
        <v>2399.7354959241925</v>
      </c>
      <c r="I60" s="22">
        <v>3419.9347522582125</v>
      </c>
      <c r="J60" s="22">
        <v>1020.19925633402</v>
      </c>
      <c r="K60" s="21">
        <v>3419.9347522582125</v>
      </c>
    </row>
    <row r="61" spans="1:11" ht="14.1" customHeight="1">
      <c r="A61" s="15">
        <v>44561</v>
      </c>
      <c r="B61" s="25">
        <v>1.2554100000000001</v>
      </c>
      <c r="C61" s="20">
        <v>1.0284987286689407</v>
      </c>
      <c r="D61" s="21">
        <v>0</v>
      </c>
      <c r="E61" s="22">
        <v>0</v>
      </c>
      <c r="F61" s="22">
        <v>0</v>
      </c>
      <c r="G61" s="22">
        <v>0</v>
      </c>
      <c r="H61" s="22">
        <v>2399.7354959241925</v>
      </c>
      <c r="I61" s="22">
        <v>3419.9347522582125</v>
      </c>
      <c r="J61" s="22">
        <v>1020.19925633402</v>
      </c>
      <c r="K61" s="21">
        <v>3419.9347522582125</v>
      </c>
    </row>
    <row r="62" spans="1:11" ht="14.1" customHeight="1">
      <c r="A62" s="15">
        <v>44589</v>
      </c>
      <c r="B62" s="25">
        <v>1.11076</v>
      </c>
      <c r="C62" s="20">
        <v>1.0313231318219969</v>
      </c>
      <c r="D62" s="21">
        <v>0</v>
      </c>
      <c r="E62" s="22">
        <v>0</v>
      </c>
      <c r="F62" s="22">
        <v>0</v>
      </c>
      <c r="G62" s="22">
        <v>0</v>
      </c>
      <c r="H62" s="22">
        <v>2399.7354959241925</v>
      </c>
      <c r="I62" s="22">
        <v>3419.9347522582125</v>
      </c>
      <c r="J62" s="22">
        <v>1020.19925633402</v>
      </c>
      <c r="K62" s="21">
        <v>3419.9347522582125</v>
      </c>
    </row>
    <row r="63" spans="1:11" ht="14.1" customHeight="1">
      <c r="A63" s="15">
        <v>44620</v>
      </c>
      <c r="B63" s="25">
        <v>1.15177</v>
      </c>
      <c r="C63" s="20">
        <v>1.0328605716652843</v>
      </c>
      <c r="D63" s="21">
        <v>0</v>
      </c>
      <c r="E63" s="22">
        <v>0</v>
      </c>
      <c r="F63" s="22">
        <v>0</v>
      </c>
      <c r="G63" s="22">
        <v>0</v>
      </c>
      <c r="H63" s="22">
        <v>2399.7354959241925</v>
      </c>
      <c r="I63" s="22">
        <v>3419.9347522582125</v>
      </c>
      <c r="J63" s="22">
        <v>1020.19925633402</v>
      </c>
      <c r="K63" s="21">
        <v>3419.9347522582125</v>
      </c>
    </row>
    <row r="64" spans="1:11" ht="14.1" customHeight="1">
      <c r="A64" s="15">
        <v>44651</v>
      </c>
      <c r="B64" s="25">
        <v>1.0468499999999998</v>
      </c>
      <c r="C64" s="20">
        <v>1.0336782682926817</v>
      </c>
      <c r="D64" s="21">
        <v>0</v>
      </c>
      <c r="E64" s="22">
        <v>0</v>
      </c>
      <c r="F64" s="22">
        <v>0</v>
      </c>
      <c r="G64" s="22">
        <v>0</v>
      </c>
      <c r="H64" s="22">
        <v>2399.7354959241925</v>
      </c>
      <c r="I64" s="22">
        <v>3419.9347522582125</v>
      </c>
      <c r="J64" s="22">
        <v>1020.19925633402</v>
      </c>
      <c r="K64" s="21">
        <v>3419.9347522582125</v>
      </c>
    </row>
    <row r="65" spans="1:11" ht="14.1" customHeight="1">
      <c r="A65" s="15">
        <v>44680</v>
      </c>
      <c r="B65" s="25">
        <v>0.83169999999999999</v>
      </c>
      <c r="C65" s="20">
        <v>1.0320684787830248</v>
      </c>
      <c r="D65" s="21">
        <v>310.57114211368838</v>
      </c>
      <c r="E65" s="22">
        <v>373.41726838245569</v>
      </c>
      <c r="F65" s="22">
        <v>373.41726838245569</v>
      </c>
      <c r="G65" s="22">
        <v>310.57114211368838</v>
      </c>
      <c r="H65" s="22">
        <v>2710.3066380378809</v>
      </c>
      <c r="I65" s="22">
        <v>3730.5058943719009</v>
      </c>
      <c r="J65" s="22">
        <v>1020.19925633402</v>
      </c>
      <c r="K65" s="21">
        <v>3419.9347522582125</v>
      </c>
    </row>
    <row r="66" spans="1:11" ht="14.1" customHeight="1">
      <c r="A66" s="15">
        <v>44712</v>
      </c>
      <c r="B66" s="25">
        <v>0.90644000000000002</v>
      </c>
      <c r="C66" s="20">
        <v>1.0297221608832787</v>
      </c>
      <c r="D66" s="21">
        <v>191.08734936908198</v>
      </c>
      <c r="E66" s="22">
        <v>210.81080862393756</v>
      </c>
      <c r="F66" s="22">
        <v>584.22807700639328</v>
      </c>
      <c r="G66" s="22">
        <v>529.56769812167511</v>
      </c>
      <c r="H66" s="22">
        <v>2901.3939874069629</v>
      </c>
      <c r="I66" s="22">
        <v>3949.5024503798877</v>
      </c>
      <c r="J66" s="22">
        <v>1048.1084629729248</v>
      </c>
      <c r="K66" s="21">
        <v>3419.9347522582125</v>
      </c>
    </row>
    <row r="67" spans="1:11" ht="14.1" customHeight="1">
      <c r="A67" s="15">
        <v>44742</v>
      </c>
      <c r="B67" s="25">
        <v>0.99066999999999994</v>
      </c>
      <c r="C67" s="20">
        <v>1.0283833281613628</v>
      </c>
      <c r="D67" s="21">
        <v>58.455658650112433</v>
      </c>
      <c r="E67" s="22">
        <v>59.0061863689346</v>
      </c>
      <c r="F67" s="22">
        <v>643.23426337532783</v>
      </c>
      <c r="G67" s="22">
        <v>637.23288769803594</v>
      </c>
      <c r="H67" s="22">
        <v>2959.8496460570755</v>
      </c>
      <c r="I67" s="22">
        <v>4057.1676399562484</v>
      </c>
      <c r="J67" s="22">
        <v>1097.317993899173</v>
      </c>
      <c r="K67" s="21">
        <v>3419.9347522582125</v>
      </c>
    </row>
    <row r="68" spans="1:11" ht="14.1" customHeight="1">
      <c r="A68" s="15">
        <v>44771</v>
      </c>
      <c r="B68" s="25">
        <v>1.01267</v>
      </c>
      <c r="C68" s="20">
        <v>1.027569496183204</v>
      </c>
      <c r="D68" s="21">
        <v>23.094219083966316</v>
      </c>
      <c r="E68" s="22">
        <v>22.805276234080516</v>
      </c>
      <c r="F68" s="22">
        <v>666.03953960940839</v>
      </c>
      <c r="G68" s="22">
        <v>674.47826057625957</v>
      </c>
      <c r="H68" s="22">
        <v>2982.9438651410419</v>
      </c>
      <c r="I68" s="22">
        <v>4094.4130128344723</v>
      </c>
      <c r="J68" s="22">
        <v>1111.4691476934304</v>
      </c>
      <c r="K68" s="21">
        <v>3419.9347522582125</v>
      </c>
    </row>
    <row r="69" spans="1:11" ht="14.1" customHeight="1">
      <c r="A69" s="15">
        <v>44804</v>
      </c>
      <c r="B69" s="25">
        <v>0.95750000000000002</v>
      </c>
      <c r="C69" s="20">
        <v>1.027452408102024</v>
      </c>
      <c r="D69" s="21">
        <v>108.42623255813714</v>
      </c>
      <c r="E69" s="22">
        <v>113.23888517821112</v>
      </c>
      <c r="F69" s="22">
        <v>779.27842478761954</v>
      </c>
      <c r="G69" s="22">
        <v>746.1590917341457</v>
      </c>
      <c r="H69" s="22">
        <v>3091.370097699179</v>
      </c>
      <c r="I69" s="22">
        <v>4166.0938439923584</v>
      </c>
      <c r="J69" s="22">
        <v>1074.7237462931794</v>
      </c>
      <c r="K69" s="21">
        <v>3419.9347522582125</v>
      </c>
    </row>
    <row r="70" spans="1:11" ht="14.1" customHeight="1">
      <c r="A70" s="15">
        <v>44834</v>
      </c>
      <c r="B70" s="25">
        <v>0.85887999999999998</v>
      </c>
      <c r="C70" s="20">
        <v>1.0259159970457883</v>
      </c>
      <c r="D70" s="21">
        <v>258.90579542097186</v>
      </c>
      <c r="E70" s="22">
        <v>301.44583110675745</v>
      </c>
      <c r="F70" s="22">
        <v>1080.7242558943769</v>
      </c>
      <c r="G70" s="22">
        <v>928.21244890256241</v>
      </c>
      <c r="H70" s="22">
        <v>3350.2758931201511</v>
      </c>
      <c r="I70" s="22">
        <v>4348.1472011607748</v>
      </c>
      <c r="J70" s="22">
        <v>997.87130804062372</v>
      </c>
      <c r="K70" s="21">
        <v>3419.9347522582125</v>
      </c>
    </row>
    <row r="71" spans="1:11" ht="14.1" customHeight="1">
      <c r="A71" s="15">
        <v>44865</v>
      </c>
      <c r="B71" s="25">
        <v>0.96957000000000004</v>
      </c>
      <c r="C71" s="20">
        <v>1.0247332043795603</v>
      </c>
      <c r="D71" s="21">
        <v>85.502966788318375</v>
      </c>
      <c r="E71" s="22">
        <v>88.186481417863973</v>
      </c>
      <c r="F71" s="22">
        <v>1168.9107373122408</v>
      </c>
      <c r="G71" s="22">
        <v>1133.3407835758294</v>
      </c>
      <c r="H71" s="22">
        <v>3435.7788599084693</v>
      </c>
      <c r="I71" s="22">
        <v>4553.2755358340419</v>
      </c>
      <c r="J71" s="22">
        <v>1117.4966759255726</v>
      </c>
      <c r="K71" s="21">
        <v>3419.9347522582125</v>
      </c>
    </row>
    <row r="72" spans="1:11" ht="14.1" customHeight="1">
      <c r="A72" s="15">
        <v>44895</v>
      </c>
      <c r="B72" s="25">
        <v>0.99405999999999994</v>
      </c>
      <c r="C72" s="20">
        <v>1.0244747054597683</v>
      </c>
      <c r="D72" s="21">
        <v>47.142793462640896</v>
      </c>
      <c r="E72" s="22">
        <v>47.42449496271945</v>
      </c>
      <c r="F72" s="22">
        <v>1216.3352322749602</v>
      </c>
      <c r="G72" s="22">
        <v>1209.1102009952469</v>
      </c>
      <c r="H72" s="22">
        <v>3482.9216533711101</v>
      </c>
      <c r="I72" s="22">
        <v>4629.0449532534594</v>
      </c>
      <c r="J72" s="22">
        <v>1146.1232998823493</v>
      </c>
      <c r="K72" s="21">
        <v>3419.9347522582125</v>
      </c>
    </row>
    <row r="73" spans="1:11" ht="14.1" customHeight="1">
      <c r="A73" s="15">
        <v>44925</v>
      </c>
      <c r="B73" s="25">
        <v>0.95635000000000003</v>
      </c>
      <c r="C73" s="20">
        <v>1.0239392715700129</v>
      </c>
      <c r="D73" s="21">
        <v>104.76337093351987</v>
      </c>
      <c r="E73" s="22">
        <v>109.54501064831899</v>
      </c>
      <c r="F73" s="22">
        <v>1325.8802429232792</v>
      </c>
      <c r="G73" s="22">
        <v>1268.0055703196781</v>
      </c>
      <c r="H73" s="22">
        <v>3587.6850243046301</v>
      </c>
      <c r="I73" s="22">
        <v>4687.9403225778906</v>
      </c>
      <c r="J73" s="22">
        <v>1100.2552982732605</v>
      </c>
      <c r="K73" s="21">
        <v>3419.9347522582125</v>
      </c>
    </row>
    <row r="74" spans="1:11" ht="14.1" customHeight="1">
      <c r="A74" s="15">
        <v>44957</v>
      </c>
      <c r="B74" s="25">
        <v>1.08087</v>
      </c>
      <c r="C74" s="20">
        <v>1.0238983146853136</v>
      </c>
      <c r="D74" s="21">
        <v>-88.306112237763983</v>
      </c>
      <c r="E74" s="22">
        <v>-81.699105570294279</v>
      </c>
      <c r="F74" s="22">
        <v>1244.1811373529849</v>
      </c>
      <c r="G74" s="22">
        <v>1344.7980659307209</v>
      </c>
      <c r="H74" s="22">
        <v>3587.6850243046301</v>
      </c>
      <c r="I74" s="22">
        <v>4853.0389304266973</v>
      </c>
      <c r="J74" s="22">
        <v>1265.3539061220672</v>
      </c>
      <c r="K74" s="21">
        <v>3508.2408644959764</v>
      </c>
    </row>
    <row r="75" spans="1:11" ht="14.1" customHeight="1">
      <c r="A75" s="15">
        <v>44985</v>
      </c>
      <c r="B75" s="25">
        <v>1.16859</v>
      </c>
      <c r="C75" s="20">
        <v>1.0258963172413778</v>
      </c>
      <c r="D75" s="21">
        <v>-221.17520827586452</v>
      </c>
      <c r="E75" s="22">
        <v>-189.2667302269098</v>
      </c>
      <c r="F75" s="22">
        <v>1054.914407126075</v>
      </c>
      <c r="G75" s="22">
        <v>1232.7624270234601</v>
      </c>
      <c r="H75" s="22">
        <v>3587.6850243046301</v>
      </c>
      <c r="I75" s="22">
        <v>4962.1784997953009</v>
      </c>
      <c r="J75" s="22">
        <v>1374.4934754906708</v>
      </c>
      <c r="K75" s="21">
        <v>3729.4160727718408</v>
      </c>
    </row>
    <row r="76" spans="1:11" ht="14.1" customHeight="1">
      <c r="A76" s="15">
        <v>45016</v>
      </c>
      <c r="B76" s="25">
        <v>1.2989900000000001</v>
      </c>
      <c r="C76" s="20">
        <v>1.0290512016293265</v>
      </c>
      <c r="D76" s="21">
        <v>-418.40513747454406</v>
      </c>
      <c r="E76" s="22">
        <v>-322.10035294693881</v>
      </c>
      <c r="F76" s="22">
        <v>732.81405417913629</v>
      </c>
      <c r="G76" s="22">
        <v>951.91812823815633</v>
      </c>
      <c r="H76" s="22">
        <v>3587.6850243046301</v>
      </c>
      <c r="I76" s="22">
        <v>5099.7393384845409</v>
      </c>
      <c r="J76" s="22">
        <v>1512.0543141799108</v>
      </c>
      <c r="K76" s="21">
        <v>4147.8212102463849</v>
      </c>
    </row>
    <row r="77" spans="1:11" ht="14.1" customHeight="1">
      <c r="A77" s="15">
        <v>45044</v>
      </c>
      <c r="B77" s="25">
        <v>1.22841</v>
      </c>
      <c r="C77" s="20">
        <v>1.0323362533512053</v>
      </c>
      <c r="D77" s="21">
        <v>-303.91430730563184</v>
      </c>
      <c r="E77" s="22">
        <v>-247.40461841374773</v>
      </c>
      <c r="F77" s="22">
        <v>485.40943576538859</v>
      </c>
      <c r="G77" s="22">
        <v>596.28180498856102</v>
      </c>
      <c r="H77" s="22">
        <v>3587.6850243046301</v>
      </c>
      <c r="I77" s="22">
        <v>5048.0173225405779</v>
      </c>
      <c r="J77" s="22">
        <v>1460.3322982359477</v>
      </c>
      <c r="K77" s="21">
        <v>4451.735517552017</v>
      </c>
    </row>
    <row r="78" spans="1:11" ht="12.75">
      <c r="A78" s="15">
        <v>45077</v>
      </c>
      <c r="B78" s="25">
        <v>1.2987200000000001</v>
      </c>
      <c r="C78" s="20">
        <v>1.035146144179893</v>
      </c>
      <c r="D78" s="21">
        <v>-408.53947652116597</v>
      </c>
      <c r="E78" s="22">
        <v>-314.57086710081154</v>
      </c>
      <c r="F78" s="22">
        <v>170.83856866457705</v>
      </c>
      <c r="G78" s="22">
        <v>221.87146589605953</v>
      </c>
      <c r="H78" s="22">
        <v>3587.6850243046301</v>
      </c>
      <c r="I78" s="22">
        <v>5082.1464599692426</v>
      </c>
      <c r="J78" s="22">
        <v>1494.4614356646125</v>
      </c>
      <c r="K78" s="21">
        <v>4860.2749940731828</v>
      </c>
    </row>
    <row r="79" spans="1:11" ht="12.75">
      <c r="A79" s="15">
        <v>45107</v>
      </c>
      <c r="B79" s="25">
        <v>1.32033</v>
      </c>
      <c r="C79" s="20">
        <v>1.0390798825065262</v>
      </c>
      <c r="D79" s="21">
        <v>-225.56328736490102</v>
      </c>
      <c r="E79" s="22">
        <v>-170.83856866457705</v>
      </c>
      <c r="F79" s="22">
        <v>0</v>
      </c>
      <c r="G79" s="22">
        <v>0</v>
      </c>
      <c r="H79" s="22">
        <v>3587.6850243046301</v>
      </c>
      <c r="I79" s="22">
        <v>5085.8382814380839</v>
      </c>
      <c r="J79" s="22">
        <v>1498.1532571334537</v>
      </c>
      <c r="K79" s="21">
        <v>5085.8382814380839</v>
      </c>
    </row>
    <row r="80" spans="1:11" ht="12.75">
      <c r="A80" s="15">
        <v>45138</v>
      </c>
      <c r="B80" s="25">
        <v>1.25888</v>
      </c>
      <c r="C80" s="20">
        <v>1.0424057115260772</v>
      </c>
      <c r="D80" s="21">
        <v>0</v>
      </c>
      <c r="E80" s="22">
        <v>0</v>
      </c>
      <c r="F80" s="22">
        <v>0</v>
      </c>
      <c r="G80" s="22">
        <v>0</v>
      </c>
      <c r="H80" s="22">
        <v>3587.6850243046301</v>
      </c>
      <c r="I80" s="22">
        <v>5085.8382814380839</v>
      </c>
      <c r="J80" s="22">
        <v>1498.1532571334537</v>
      </c>
      <c r="K80" s="21">
        <v>5085.8382814380839</v>
      </c>
    </row>
    <row r="81" spans="1:11" ht="12.75">
      <c r="A81" s="15">
        <v>45169</v>
      </c>
      <c r="B81" s="25">
        <v>1.25305</v>
      </c>
      <c r="C81" s="20">
        <v>1.0452700190355317</v>
      </c>
      <c r="D81" s="21">
        <v>0</v>
      </c>
      <c r="E81" s="22">
        <v>0</v>
      </c>
      <c r="F81" s="22">
        <v>0</v>
      </c>
      <c r="G81" s="22">
        <v>0</v>
      </c>
      <c r="H81" s="22">
        <v>3587.6850243046301</v>
      </c>
      <c r="I81" s="22">
        <v>5085.8382814380839</v>
      </c>
      <c r="J81" s="22">
        <v>1498.1532571334537</v>
      </c>
      <c r="K81" s="21">
        <v>5085.8382814380839</v>
      </c>
    </row>
    <row r="82" spans="1:11" ht="12.75">
      <c r="A82" s="15">
        <v>45197</v>
      </c>
      <c r="B82" s="25">
        <v>1.2315999999999998</v>
      </c>
      <c r="C82" s="20">
        <v>1.0475409711779438</v>
      </c>
      <c r="D82" s="21">
        <v>0</v>
      </c>
      <c r="E82" s="22">
        <v>0</v>
      </c>
      <c r="F82" s="22">
        <v>0</v>
      </c>
      <c r="G82" s="22">
        <v>0</v>
      </c>
      <c r="H82" s="22">
        <v>3587.6850243046301</v>
      </c>
      <c r="I82" s="22">
        <v>5085.8382814380839</v>
      </c>
      <c r="J82" s="22">
        <v>1498.1532571334537</v>
      </c>
      <c r="K82" s="21">
        <v>5085.8382814380839</v>
      </c>
    </row>
    <row r="83" spans="1:11" ht="12.75">
      <c r="A83" s="15">
        <v>45230</v>
      </c>
      <c r="B83" s="25">
        <v>1.2139500000000001</v>
      </c>
      <c r="C83" s="20">
        <v>1.0492853130812139</v>
      </c>
      <c r="D83" s="21">
        <v>0</v>
      </c>
      <c r="E83" s="22">
        <v>0</v>
      </c>
      <c r="F83" s="22">
        <v>0</v>
      </c>
      <c r="G83" s="22">
        <v>0</v>
      </c>
      <c r="H83" s="22">
        <v>3587.6850243046301</v>
      </c>
      <c r="I83" s="22">
        <v>5085.8382814380839</v>
      </c>
      <c r="J83" s="22">
        <v>1498.1532571334537</v>
      </c>
      <c r="K83" s="21">
        <v>5085.8382814380839</v>
      </c>
    </row>
    <row r="84" spans="1:11" ht="12.75">
      <c r="A84" s="15">
        <v>45260</v>
      </c>
      <c r="B84" s="25">
        <v>1.2765299999999999</v>
      </c>
      <c r="C84" s="20">
        <v>1.0525251376146776</v>
      </c>
      <c r="D84" s="21">
        <v>0</v>
      </c>
      <c r="E84" s="22">
        <v>0</v>
      </c>
      <c r="F84" s="22">
        <v>0</v>
      </c>
      <c r="G84" s="22">
        <v>0</v>
      </c>
      <c r="H84" s="22">
        <v>3587.6850243046301</v>
      </c>
      <c r="I84" s="22">
        <v>5085.8382814380839</v>
      </c>
      <c r="J84" s="22">
        <v>1498.1532571334537</v>
      </c>
      <c r="K84" s="21">
        <v>5085.8382814380839</v>
      </c>
    </row>
    <row r="85" spans="1:11" ht="12.75">
      <c r="A85" s="15">
        <v>45289</v>
      </c>
      <c r="B85" s="25">
        <v>1.2663900000000001</v>
      </c>
      <c r="C85" s="20">
        <v>1.0554007487922688</v>
      </c>
      <c r="D85" s="21">
        <v>0</v>
      </c>
      <c r="E85" s="22">
        <v>0</v>
      </c>
      <c r="F85" s="22">
        <v>0</v>
      </c>
      <c r="G85" s="22">
        <v>0</v>
      </c>
      <c r="H85" s="22">
        <v>3587.6850243046301</v>
      </c>
      <c r="I85" s="22">
        <v>5085.8382814380839</v>
      </c>
      <c r="J85" s="22">
        <v>1498.1532571334537</v>
      </c>
      <c r="K85" s="21">
        <v>5085.8382814380839</v>
      </c>
    </row>
    <row r="86" spans="1:11" ht="12.75">
      <c r="A86" s="15">
        <v>45322</v>
      </c>
      <c r="B86" s="25">
        <v>0.96689999999999998</v>
      </c>
      <c r="C86" s="20">
        <v>1.0565099225268164</v>
      </c>
      <c r="D86" s="21">
        <v>138.89537991656547</v>
      </c>
      <c r="E86" s="22">
        <v>143.6502015891669</v>
      </c>
      <c r="F86" s="22">
        <v>143.6502015891669</v>
      </c>
      <c r="G86" s="22">
        <v>138.89537991656547</v>
      </c>
      <c r="H86" s="22">
        <v>3726.5804042211957</v>
      </c>
      <c r="I86" s="22">
        <v>5224.7336613546495</v>
      </c>
      <c r="J86" s="22">
        <v>1498.1532571334537</v>
      </c>
      <c r="K86" s="21">
        <v>5085.8382814380839</v>
      </c>
    </row>
    <row r="87" spans="1:11" ht="12.75">
      <c r="A87" s="15">
        <v>45351</v>
      </c>
      <c r="B87" s="25">
        <v>1.0978699999999999</v>
      </c>
      <c r="C87" s="20">
        <v>1.0558294743059644</v>
      </c>
      <c r="D87" s="21">
        <v>-65.162814825755007</v>
      </c>
      <c r="E87" s="22">
        <v>-59.353853211905793</v>
      </c>
      <c r="F87" s="22">
        <v>84.296348377261097</v>
      </c>
      <c r="G87" s="22">
        <v>92.546431992943639</v>
      </c>
      <c r="H87" s="22">
        <v>3726.5804042211957</v>
      </c>
      <c r="I87" s="22">
        <v>5243.5475282567822</v>
      </c>
      <c r="J87" s="22">
        <v>1516.9671240355865</v>
      </c>
      <c r="K87" s="21">
        <v>5151.0010962638389</v>
      </c>
    </row>
    <row r="88" spans="1:11" ht="12.75">
      <c r="A88" s="15">
        <v>45380</v>
      </c>
      <c r="B88" s="25">
        <v>1.1385699999999999</v>
      </c>
      <c r="C88" s="20">
        <v>1.0570255600933478</v>
      </c>
      <c r="D88" s="21">
        <v>-95.977293371898156</v>
      </c>
      <c r="E88" s="22">
        <v>-84.296348377261097</v>
      </c>
      <c r="F88" s="22">
        <v>0</v>
      </c>
      <c r="G88" s="22">
        <v>0</v>
      </c>
      <c r="H88" s="22">
        <v>3726.5804042211957</v>
      </c>
      <c r="I88" s="22">
        <v>5246.9783896357367</v>
      </c>
      <c r="J88" s="22">
        <v>1520.3979854145409</v>
      </c>
      <c r="K88" s="21">
        <v>5246.9783896357367</v>
      </c>
    </row>
    <row r="89" spans="1:11" ht="12.75">
      <c r="A89" s="15">
        <v>45412</v>
      </c>
      <c r="B89" s="25">
        <v>1.08613</v>
      </c>
      <c r="C89" s="20">
        <v>1.0569674567474039</v>
      </c>
      <c r="D89" s="21">
        <v>0</v>
      </c>
      <c r="E89" s="22">
        <v>0</v>
      </c>
      <c r="F89" s="22">
        <v>0</v>
      </c>
      <c r="G89" s="22">
        <v>0</v>
      </c>
      <c r="H89" s="22">
        <v>3726.5804042211957</v>
      </c>
      <c r="I89" s="22">
        <v>5246.9783896357367</v>
      </c>
      <c r="J89" s="22">
        <v>1520.3979854145409</v>
      </c>
      <c r="K89" s="21">
        <v>5246.9783896357367</v>
      </c>
    </row>
    <row r="90" spans="1:11" ht="12.75">
      <c r="A90" s="15">
        <v>45443</v>
      </c>
      <c r="B90" s="25">
        <v>1.0215700000000001</v>
      </c>
      <c r="C90" s="20">
        <v>1.0568461345496005</v>
      </c>
      <c r="D90" s="21">
        <v>54.678008551880673</v>
      </c>
      <c r="E90" s="22">
        <v>53.523506516323572</v>
      </c>
      <c r="F90" s="22">
        <v>53.523506516323572</v>
      </c>
      <c r="G90" s="22">
        <v>54.678008551880673</v>
      </c>
      <c r="H90" s="22">
        <v>3781.2584127730765</v>
      </c>
      <c r="I90" s="22">
        <v>5301.656398187617</v>
      </c>
      <c r="J90" s="22">
        <v>1520.3979854145405</v>
      </c>
      <c r="K90" s="21">
        <v>5246.9783896357367</v>
      </c>
    </row>
    <row r="91" spans="1:11" ht="12.75">
      <c r="A91" s="15">
        <v>45471</v>
      </c>
      <c r="B91" s="25">
        <v>0.95643</v>
      </c>
      <c r="C91" s="20">
        <v>1.0559395713479971</v>
      </c>
      <c r="D91" s="21">
        <v>154.23983558939548</v>
      </c>
      <c r="E91" s="22">
        <v>161.26620410212507</v>
      </c>
      <c r="F91" s="22">
        <v>214.78971061844865</v>
      </c>
      <c r="G91" s="22">
        <v>205.43132292680284</v>
      </c>
      <c r="H91" s="22">
        <v>3935.4982483624722</v>
      </c>
      <c r="I91" s="22">
        <v>5452.4097125625394</v>
      </c>
      <c r="J91" s="22">
        <v>1516.9114642000673</v>
      </c>
      <c r="K91" s="21">
        <v>5246.9783896357367</v>
      </c>
    </row>
    <row r="92" spans="1:11" ht="12.75">
      <c r="A92" s="15">
        <v>45504</v>
      </c>
      <c r="B92" s="25">
        <v>0.97935000000000005</v>
      </c>
      <c r="C92" s="20">
        <v>1.0544190645879727</v>
      </c>
      <c r="D92" s="21">
        <v>116.35705011135767</v>
      </c>
      <c r="E92" s="22">
        <v>118.81048666090535</v>
      </c>
      <c r="F92" s="22">
        <v>333.60019727935401</v>
      </c>
      <c r="G92" s="22">
        <v>326.71135320553537</v>
      </c>
      <c r="H92" s="22">
        <v>4051.8552984738299</v>
      </c>
      <c r="I92" s="22">
        <v>5573.6897428412722</v>
      </c>
      <c r="J92" s="22">
        <v>1521.8344443674423</v>
      </c>
      <c r="K92" s="21">
        <v>5246.9783896357367</v>
      </c>
    </row>
    <row r="93" spans="1:11" ht="12.75">
      <c r="A93" s="15">
        <v>45534</v>
      </c>
      <c r="B93" s="25">
        <v>0.93902999999999992</v>
      </c>
      <c r="C93" s="20">
        <v>1.0528800330033004</v>
      </c>
      <c r="D93" s="21">
        <v>176.46755115511567</v>
      </c>
      <c r="E93" s="22">
        <v>187.92536037732094</v>
      </c>
      <c r="F93" s="22">
        <v>521.52555765667489</v>
      </c>
      <c r="G93" s="22">
        <v>489.72814440634738</v>
      </c>
      <c r="H93" s="22">
        <v>4228.3228496289457</v>
      </c>
      <c r="I93" s="22">
        <v>5736.7065340420841</v>
      </c>
      <c r="J93" s="22">
        <v>1508.3836844131383</v>
      </c>
      <c r="K93" s="21">
        <v>5246.9783896357367</v>
      </c>
    </row>
    <row r="94" spans="1:11" ht="12.75">
      <c r="A94" s="15">
        <v>45565</v>
      </c>
      <c r="B94" s="25">
        <v>1.2181600000000001</v>
      </c>
      <c r="C94" s="20">
        <v>1.0519209798584648</v>
      </c>
      <c r="D94" s="21">
        <v>-257.67048121937978</v>
      </c>
      <c r="E94" s="22">
        <v>-211.52433278007794</v>
      </c>
      <c r="F94" s="22">
        <v>310.00122487659695</v>
      </c>
      <c r="G94" s="22">
        <v>377.6310920956754</v>
      </c>
      <c r="H94" s="22">
        <v>4228.3228496289457</v>
      </c>
      <c r="I94" s="22">
        <v>5882.2799629507927</v>
      </c>
      <c r="J94" s="22">
        <v>1653.9571133218469</v>
      </c>
      <c r="K94" s="21">
        <v>5504.6488708551169</v>
      </c>
    </row>
    <row r="95" spans="1:11" ht="12.75">
      <c r="A95" s="15">
        <v>45596</v>
      </c>
      <c r="B95" s="25">
        <v>1.3863099999999999</v>
      </c>
      <c r="C95" s="20">
        <v>1.054228873315364</v>
      </c>
      <c r="D95" s="21">
        <v>-429.75779805867512</v>
      </c>
      <c r="E95" s="22">
        <v>-310.00122487659695</v>
      </c>
      <c r="F95" s="22">
        <v>0</v>
      </c>
      <c r="G95" s="22">
        <v>0</v>
      </c>
      <c r="H95" s="22">
        <v>4228.3228496289457</v>
      </c>
      <c r="I95" s="22">
        <v>5934.4066689137917</v>
      </c>
      <c r="J95" s="22">
        <v>1706.083819284846</v>
      </c>
      <c r="K95" s="21">
        <v>5934.4066689137917</v>
      </c>
    </row>
    <row r="96" spans="1:11" ht="12.75">
      <c r="A96" s="15">
        <v>45625</v>
      </c>
      <c r="B96" s="25">
        <v>1.46269</v>
      </c>
      <c r="C96" s="20">
        <v>1.0582540618336882</v>
      </c>
      <c r="D96" s="21">
        <v>0</v>
      </c>
      <c r="E96" s="22">
        <v>0</v>
      </c>
      <c r="F96" s="22">
        <v>0</v>
      </c>
      <c r="G96" s="22">
        <v>0</v>
      </c>
      <c r="H96" s="22">
        <v>4228.3228496289457</v>
      </c>
      <c r="I96" s="22">
        <v>5934.4066689137917</v>
      </c>
      <c r="J96" s="22">
        <v>1706.083819284846</v>
      </c>
      <c r="K96" s="21">
        <v>5934.4066689137917</v>
      </c>
    </row>
    <row r="97" spans="1:11" ht="12.75">
      <c r="A97" s="15">
        <v>45657</v>
      </c>
      <c r="B97" s="25">
        <v>1.3846400000000001</v>
      </c>
      <c r="C97" s="20">
        <v>1.0632972391991562</v>
      </c>
      <c r="D97" s="21">
        <v>0</v>
      </c>
      <c r="E97" s="22">
        <v>0</v>
      </c>
      <c r="F97" s="22">
        <v>0</v>
      </c>
      <c r="G97" s="22">
        <v>0</v>
      </c>
      <c r="H97" s="22">
        <v>4228.3228496289457</v>
      </c>
      <c r="I97" s="22">
        <v>5934.4066689137917</v>
      </c>
      <c r="J97" s="22">
        <v>1706.083819284846</v>
      </c>
      <c r="K97" s="21">
        <v>5934.4066689137917</v>
      </c>
    </row>
    <row r="98" spans="1:11" ht="12.75">
      <c r="A98" s="15">
        <v>45684</v>
      </c>
      <c r="B98" s="25">
        <v>1.38998</v>
      </c>
      <c r="C98" s="20">
        <v>1.0659416127348635</v>
      </c>
      <c r="D98" s="21">
        <v>0</v>
      </c>
      <c r="E98" s="22">
        <v>0</v>
      </c>
      <c r="F98" s="22">
        <v>0</v>
      </c>
      <c r="G98" s="22">
        <v>0</v>
      </c>
      <c r="H98" s="22">
        <v>4228.3228496289457</v>
      </c>
      <c r="I98" s="22">
        <v>5934.4066689137917</v>
      </c>
      <c r="J98" s="22">
        <v>1706.083819284846</v>
      </c>
      <c r="K98" s="21">
        <v>5934.4066689137917</v>
      </c>
    </row>
    <row r="99" spans="1:11" ht="12.75">
      <c r="A99" s="15">
        <v>45716</v>
      </c>
      <c r="B99" s="25">
        <v>1.58121</v>
      </c>
      <c r="C99" s="20">
        <v>1.0709083815925535</v>
      </c>
      <c r="D99" s="21">
        <v>0</v>
      </c>
      <c r="E99" s="22">
        <v>0</v>
      </c>
      <c r="F99" s="22">
        <v>0</v>
      </c>
      <c r="G99" s="22">
        <v>0</v>
      </c>
      <c r="H99" s="22">
        <v>4228.3228496289457</v>
      </c>
      <c r="I99" s="22">
        <v>5934.4066689137917</v>
      </c>
      <c r="J99" s="22">
        <v>1706.083819284846</v>
      </c>
      <c r="K99" s="21">
        <v>5934.4066689137917</v>
      </c>
    </row>
    <row r="100" spans="1:11" ht="12.75">
      <c r="A100" s="15">
        <v>45747</v>
      </c>
      <c r="B100" s="25">
        <v>1.5429600000000001</v>
      </c>
      <c r="C100" s="20">
        <v>1.0770359795396409</v>
      </c>
      <c r="D100" s="21">
        <v>0</v>
      </c>
      <c r="E100" s="22">
        <v>0</v>
      </c>
      <c r="F100" s="22">
        <v>0</v>
      </c>
      <c r="G100" s="22">
        <v>0</v>
      </c>
      <c r="H100" s="22">
        <v>4228.3228496289457</v>
      </c>
      <c r="I100" s="22">
        <v>5934.4066689137917</v>
      </c>
      <c r="J100" s="22">
        <v>1706.083819284846</v>
      </c>
      <c r="K100" s="21">
        <v>5934.4066689137917</v>
      </c>
    </row>
    <row r="101" spans="1:11" ht="12.75">
      <c r="A101" s="15">
        <v>45777</v>
      </c>
      <c r="B101" s="25">
        <v>1.4810300000000001</v>
      </c>
      <c r="C101" s="20">
        <v>1.0809745698380564</v>
      </c>
      <c r="D101" s="21">
        <v>0</v>
      </c>
      <c r="E101" s="22">
        <v>0</v>
      </c>
      <c r="F101" s="22">
        <v>0</v>
      </c>
      <c r="G101" s="22">
        <v>0</v>
      </c>
      <c r="H101" s="22">
        <v>4228.3228496289457</v>
      </c>
      <c r="I101" s="22">
        <v>5934.4066689137917</v>
      </c>
      <c r="J101" s="22">
        <v>1706.083819284846</v>
      </c>
      <c r="K101" s="21">
        <v>5934.4066689137917</v>
      </c>
    </row>
    <row r="102" spans="1:11" ht="12.75">
      <c r="A102" s="15">
        <v>45807</v>
      </c>
      <c r="B102" s="25">
        <v>1.53925</v>
      </c>
      <c r="C102" s="20">
        <v>1.0853151779448618</v>
      </c>
      <c r="D102" s="21">
        <v>0</v>
      </c>
      <c r="E102" s="22">
        <v>0</v>
      </c>
      <c r="F102" s="22">
        <v>0</v>
      </c>
      <c r="G102" s="22">
        <v>0</v>
      </c>
      <c r="H102" s="22">
        <v>4228.3228496289457</v>
      </c>
      <c r="I102" s="22">
        <v>5934.4066689137917</v>
      </c>
      <c r="J102" s="22">
        <v>1706.083819284846</v>
      </c>
      <c r="K102" s="21">
        <v>5934.4066689137917</v>
      </c>
    </row>
    <row r="103" spans="1:11" ht="12.75">
      <c r="A103" s="15">
        <v>45838</v>
      </c>
      <c r="B103" s="25">
        <v>1.6513</v>
      </c>
      <c r="C103" s="20">
        <v>1.0902648933002479</v>
      </c>
      <c r="D103" s="21">
        <v>0</v>
      </c>
      <c r="E103" s="22">
        <v>0</v>
      </c>
      <c r="F103" s="22">
        <v>0</v>
      </c>
      <c r="G103" s="22">
        <v>0</v>
      </c>
      <c r="H103" s="22">
        <v>4228.3228496289457</v>
      </c>
      <c r="I103" s="22">
        <v>5934.4066689137917</v>
      </c>
      <c r="J103" s="22">
        <v>1706.083819284846</v>
      </c>
      <c r="K103" s="21">
        <v>5934.4066689137917</v>
      </c>
    </row>
    <row r="104" spans="1:11" ht="12.75">
      <c r="A104" s="15">
        <v>45869</v>
      </c>
      <c r="B104" s="25">
        <v>1.72895</v>
      </c>
      <c r="C104" s="20">
        <v>1.0969903631010793</v>
      </c>
      <c r="D104" s="21">
        <v>0</v>
      </c>
      <c r="E104" s="22">
        <v>0</v>
      </c>
      <c r="F104" s="22">
        <v>0</v>
      </c>
      <c r="G104" s="22">
        <v>0</v>
      </c>
      <c r="H104" s="22">
        <v>4228.3228496289457</v>
      </c>
      <c r="I104" s="22">
        <v>5934.4066689137917</v>
      </c>
      <c r="J104" s="22">
        <v>1706.083819284846</v>
      </c>
      <c r="K104" s="21">
        <v>5934.4066689137917</v>
      </c>
    </row>
    <row r="105" spans="1:11" ht="12.75">
      <c r="A105" s="15">
        <v>45898</v>
      </c>
      <c r="B105" s="25">
        <v>1.9015899999999999</v>
      </c>
      <c r="C105" s="20">
        <v>1.1046083681398731</v>
      </c>
      <c r="D105" s="21">
        <v>0</v>
      </c>
      <c r="E105" s="22">
        <v>0</v>
      </c>
      <c r="F105" s="22">
        <v>0</v>
      </c>
      <c r="G105" s="22">
        <v>0</v>
      </c>
      <c r="H105" s="22">
        <v>4228.3228496289457</v>
      </c>
      <c r="I105" s="22">
        <v>5934.4066689137917</v>
      </c>
      <c r="J105" s="22">
        <v>1706.083819284846</v>
      </c>
      <c r="K105" s="21">
        <v>5934.4066689137917</v>
      </c>
    </row>
    <row r="106" spans="1:11" ht="12.75">
      <c r="A106" s="15">
        <v>45930</v>
      </c>
      <c r="B106" s="25">
        <v>1.87385</v>
      </c>
      <c r="C106" s="20">
        <v>1.1126600432484375</v>
      </c>
      <c r="D106" s="21">
        <v>0</v>
      </c>
      <c r="E106" s="22">
        <v>0</v>
      </c>
      <c r="F106" s="22">
        <v>0</v>
      </c>
      <c r="G106" s="22">
        <v>0</v>
      </c>
      <c r="H106" s="22">
        <v>4228.3228496289457</v>
      </c>
      <c r="I106" s="22">
        <v>5934.4066689137917</v>
      </c>
      <c r="J106" s="22">
        <v>1706.083819284846</v>
      </c>
      <c r="K106" s="21">
        <v>5934.4066689137917</v>
      </c>
    </row>
    <row r="107" spans="1:11" ht="12.75">
      <c r="A107" s="15">
        <v>45961</v>
      </c>
      <c r="B107" s="25">
        <v>1.88497</v>
      </c>
      <c r="C107" s="20">
        <v>1.1186502812202088</v>
      </c>
      <c r="D107" s="21">
        <v>0</v>
      </c>
      <c r="E107" s="22">
        <v>0</v>
      </c>
      <c r="F107" s="22">
        <v>0</v>
      </c>
      <c r="G107" s="22">
        <v>0</v>
      </c>
      <c r="H107" s="22">
        <v>4228.3228496289457</v>
      </c>
      <c r="I107" s="22">
        <v>5934.4066689137917</v>
      </c>
      <c r="J107" s="22">
        <v>1706.083819284846</v>
      </c>
      <c r="K107" s="21">
        <v>5934.4066689137917</v>
      </c>
    </row>
    <row r="108" spans="1:11" ht="12.75">
      <c r="A108" s="15">
        <v>45989</v>
      </c>
      <c r="B108" s="25">
        <v>1.87002</v>
      </c>
      <c r="C108" s="20">
        <v>1.1257628092540124</v>
      </c>
      <c r="D108" s="21">
        <v>0</v>
      </c>
      <c r="E108" s="22">
        <v>0</v>
      </c>
      <c r="F108" s="22">
        <v>0</v>
      </c>
      <c r="G108" s="22">
        <v>0</v>
      </c>
      <c r="H108" s="22">
        <v>4228.3228496289457</v>
      </c>
      <c r="I108" s="22">
        <v>5934.4066689137917</v>
      </c>
      <c r="J108" s="22">
        <v>1706.083819284846</v>
      </c>
      <c r="K108" s="21">
        <v>5934.4066689137917</v>
      </c>
    </row>
    <row r="109" spans="1:11" ht="12.75">
      <c r="A109" s="15">
        <v>46022</v>
      </c>
      <c r="B109" s="25">
        <v>1.87721</v>
      </c>
      <c r="C109" s="20">
        <v>1.1334752732368041</v>
      </c>
      <c r="D109" s="21">
        <v>0</v>
      </c>
      <c r="E109" s="22">
        <v>0</v>
      </c>
      <c r="F109" s="22">
        <v>0</v>
      </c>
      <c r="G109" s="22">
        <v>0</v>
      </c>
      <c r="H109" s="22">
        <v>4228.3228496289457</v>
      </c>
      <c r="I109" s="22">
        <v>5934.4066689137917</v>
      </c>
      <c r="J109" s="22">
        <v>1706.083819284846</v>
      </c>
      <c r="K109" s="21">
        <v>5934.4066689137917</v>
      </c>
    </row>
    <row r="110" spans="1:11" ht="12.75">
      <c r="A110" s="15">
        <v>46052</v>
      </c>
      <c r="B110" s="25">
        <v>2.0358800000000001</v>
      </c>
      <c r="C110" s="20">
        <v>1.1419948172142516</v>
      </c>
      <c r="D110" s="21">
        <v>0</v>
      </c>
      <c r="E110" s="22">
        <v>0</v>
      </c>
      <c r="F110" s="22">
        <v>0</v>
      </c>
      <c r="G110" s="22">
        <v>0</v>
      </c>
      <c r="H110" s="22">
        <v>4228.3228496289457</v>
      </c>
      <c r="I110" s="22">
        <v>5934.4066689137917</v>
      </c>
      <c r="J110" s="22">
        <v>1706.083819284846</v>
      </c>
      <c r="K110" s="21">
        <v>5934.4066689137917</v>
      </c>
    </row>
    <row r="111" spans="1:11" ht="12.75">
      <c r="A111" s="15">
        <v>46080</v>
      </c>
      <c r="B111" s="25">
        <v>2.0871900000000001</v>
      </c>
      <c r="C111" s="20">
        <v>1.1482512499999991</v>
      </c>
      <c r="D111" s="21">
        <v>0</v>
      </c>
      <c r="E111" s="22">
        <v>0</v>
      </c>
      <c r="F111" s="22">
        <v>0</v>
      </c>
      <c r="G111" s="22">
        <v>0</v>
      </c>
      <c r="H111" s="22">
        <v>4228.3228496289457</v>
      </c>
      <c r="I111" s="22">
        <v>5934.4066689137917</v>
      </c>
      <c r="J111" s="22">
        <v>1706.083819284846</v>
      </c>
      <c r="K111" s="21">
        <v>5934.4066689137917</v>
      </c>
    </row>
    <row r="112" spans="1:11" ht="12.75">
      <c r="A112" s="15">
        <v>46112</v>
      </c>
      <c r="B112" s="25">
        <v>1.8343499999999999</v>
      </c>
      <c r="C112" s="20">
        <v>1.1561043221110083</v>
      </c>
      <c r="D112" s="21">
        <v>0</v>
      </c>
      <c r="E112" s="22">
        <v>0</v>
      </c>
      <c r="F112" s="22">
        <v>0</v>
      </c>
      <c r="G112" s="22">
        <v>0</v>
      </c>
      <c r="H112" s="22">
        <v>4228.3228496289457</v>
      </c>
      <c r="I112" s="22">
        <v>5934.4066689137917</v>
      </c>
      <c r="J112" s="22">
        <v>1706.083819284846</v>
      </c>
      <c r="K112" s="21">
        <v>5934.4066689137917</v>
      </c>
    </row>
    <row r="113" spans="1:11" ht="12.75">
      <c r="A113" s="15">
        <v>46142</v>
      </c>
      <c r="B113" s="25">
        <v>1.9266700000000001</v>
      </c>
      <c r="C113" s="20">
        <v>1.1626960820559045</v>
      </c>
      <c r="D113" s="21">
        <v>0</v>
      </c>
      <c r="E113" s="22">
        <v>0</v>
      </c>
      <c r="F113" s="22">
        <v>0</v>
      </c>
      <c r="G113" s="22">
        <v>0</v>
      </c>
      <c r="H113" s="22">
        <v>4228.3228496289457</v>
      </c>
      <c r="I113" s="22">
        <v>5934.4066689137917</v>
      </c>
      <c r="J113" s="22">
        <v>1706.083819284846</v>
      </c>
      <c r="K113" s="21">
        <v>5934.4066689137917</v>
      </c>
    </row>
    <row r="114" spans="1:11" ht="12.75">
      <c r="A114" s="15">
        <v>46171</v>
      </c>
      <c r="B114" s="25">
        <v>1.8331300000000001</v>
      </c>
      <c r="C114" s="20">
        <v>1.1691162343470469</v>
      </c>
      <c r="D114" s="21">
        <v>0</v>
      </c>
      <c r="E114" s="22">
        <v>0</v>
      </c>
      <c r="F114" s="22">
        <v>0</v>
      </c>
      <c r="G114" s="22">
        <v>0</v>
      </c>
      <c r="H114" s="22">
        <v>4228.3228496289457</v>
      </c>
      <c r="I114" s="22">
        <v>5934.4066689137917</v>
      </c>
      <c r="J114" s="22">
        <v>1706.083819284846</v>
      </c>
      <c r="K114" s="21">
        <v>5934.4066689137917</v>
      </c>
    </row>
    <row r="115" spans="1:11" ht="12.75">
      <c r="A115" s="15">
        <v>46203</v>
      </c>
      <c r="B115" s="25">
        <v>1.7231300000000001</v>
      </c>
      <c r="C115" s="20">
        <v>1.1747980992467859</v>
      </c>
      <c r="D115" s="21">
        <v>0</v>
      </c>
      <c r="E115" s="22">
        <v>0</v>
      </c>
      <c r="F115" s="22">
        <v>0</v>
      </c>
      <c r="G115" s="22">
        <v>0</v>
      </c>
      <c r="H115" s="22">
        <v>4228.3228496289457</v>
      </c>
      <c r="I115" s="22">
        <v>5934.4066689137917</v>
      </c>
      <c r="J115" s="22">
        <v>1706.083819284846</v>
      </c>
      <c r="K115" s="21">
        <v>5934.4066689137917</v>
      </c>
    </row>
  </sheetData>
  <phoneticPr fontId="1" type="noConversion"/>
  <conditionalFormatting sqref="G3">
    <cfRule type="cellIs" dxfId="1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F103"/>
  <sheetViews>
    <sheetView tabSelected="1" workbookViewId="0">
      <pane ySplit="1" topLeftCell="A2" activePane="bottomLeft" state="frozen"/>
      <selection activeCell="C10" sqref="C10"/>
      <selection pane="bottomLeft" activeCell="A4" sqref="A4"/>
    </sheetView>
  </sheetViews>
  <sheetFormatPr defaultColWidth="9" defaultRowHeight="12"/>
  <cols>
    <col min="1" max="1" width="10" style="1" customWidth="1"/>
    <col min="2" max="2" width="7.75" style="1" customWidth="1"/>
    <col min="3" max="3" width="5.5" style="1" customWidth="1"/>
    <col min="4" max="4" width="9.375" style="3" customWidth="1"/>
    <col min="5" max="5" width="9.25" style="3" customWidth="1"/>
    <col min="6" max="6" width="10.75" style="3" customWidth="1"/>
    <col min="7" max="8" width="11.5" style="3" customWidth="1"/>
    <col min="9" max="9" width="12.625" style="1" customWidth="1"/>
    <col min="10" max="10" width="10.75" style="1" customWidth="1"/>
    <col min="11" max="11" width="10.75" style="3" customWidth="1"/>
    <col min="12" max="12" width="9.5" style="1" bestFit="1" customWidth="1"/>
    <col min="13" max="13" width="9" style="2"/>
    <col min="14" max="14" width="9" style="1"/>
    <col min="15" max="15" width="9.75" style="1" bestFit="1" customWidth="1"/>
    <col min="16" max="17" width="11.375" style="1" customWidth="1"/>
    <col min="18" max="19" width="11.125" style="1" customWidth="1"/>
    <col min="20" max="20" width="10.375" style="1" customWidth="1"/>
    <col min="21" max="21" width="10.25" style="1" customWidth="1"/>
    <col min="22" max="22" width="10.125" style="1" customWidth="1"/>
    <col min="23" max="23" width="9" style="1"/>
    <col min="24" max="24" width="9.75" style="1" bestFit="1" customWidth="1"/>
    <col min="25" max="26" width="9" style="1"/>
    <col min="27" max="27" width="9.75" style="1" bestFit="1" customWidth="1"/>
    <col min="28" max="29" width="9" style="1"/>
    <col min="30" max="30" width="9.75" style="1" bestFit="1" customWidth="1"/>
    <col min="31" max="50" width="9" style="1"/>
    <col min="51" max="51" width="9.75" style="1" bestFit="1" customWidth="1"/>
    <col min="52" max="16384" width="9" style="1"/>
  </cols>
  <sheetData>
    <row r="1" spans="1:32" s="12" customFormat="1" ht="27" customHeight="1">
      <c r="A1" s="14" t="s">
        <v>30</v>
      </c>
      <c r="B1" s="14" t="s">
        <v>10</v>
      </c>
      <c r="C1" s="14" t="s">
        <v>11</v>
      </c>
      <c r="D1" s="14" t="s">
        <v>12</v>
      </c>
      <c r="E1" s="14" t="s">
        <v>13</v>
      </c>
      <c r="F1" s="14" t="s">
        <v>14</v>
      </c>
      <c r="G1" s="14" t="s">
        <v>15</v>
      </c>
      <c r="H1" s="14" t="s">
        <v>16</v>
      </c>
      <c r="I1" s="14" t="s">
        <v>17</v>
      </c>
      <c r="J1" s="14" t="s">
        <v>18</v>
      </c>
      <c r="K1" s="14" t="s">
        <v>19</v>
      </c>
      <c r="M1" s="13"/>
    </row>
    <row r="2" spans="1:32" s="18" customFormat="1" ht="15" customHeight="1">
      <c r="A2" s="23"/>
      <c r="B2" s="16"/>
      <c r="C2" s="16"/>
      <c r="D2" s="17"/>
      <c r="E2" s="17"/>
      <c r="F2" s="17"/>
      <c r="G2" s="17"/>
      <c r="H2" s="17"/>
      <c r="I2" s="16"/>
      <c r="J2" s="16"/>
      <c r="K2" s="24"/>
      <c r="M2" s="19"/>
    </row>
    <row r="3" spans="1:32" ht="14.1" customHeight="1">
      <c r="A3" s="4"/>
      <c r="B3" s="4"/>
      <c r="C3" s="4"/>
      <c r="D3" s="5">
        <v>1550</v>
      </c>
      <c r="E3" s="28" t="s">
        <v>28</v>
      </c>
      <c r="F3" s="5"/>
      <c r="G3" s="5">
        <f>MIN(F:F)</f>
        <v>0</v>
      </c>
      <c r="H3" s="5"/>
      <c r="I3" s="4"/>
      <c r="J3" s="4"/>
      <c r="K3" s="5"/>
      <c r="L3" s="7"/>
    </row>
    <row r="4" spans="1:32" ht="14.1" customHeight="1">
      <c r="A4" s="15">
        <v>43189</v>
      </c>
      <c r="B4" s="25">
        <v>0.95575999999999994</v>
      </c>
      <c r="C4" s="20">
        <v>0.91680896000000012</v>
      </c>
      <c r="D4" s="21">
        <v>0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1">
        <v>0</v>
      </c>
      <c r="L4" s="7"/>
      <c r="O4" s="26" t="s">
        <v>20</v>
      </c>
      <c r="P4" s="11" t="s">
        <v>21</v>
      </c>
      <c r="Q4" s="11" t="s">
        <v>22</v>
      </c>
      <c r="R4" s="11" t="s">
        <v>23</v>
      </c>
      <c r="S4" s="11" t="s">
        <v>24</v>
      </c>
      <c r="T4" s="27" t="s">
        <v>25</v>
      </c>
      <c r="U4" s="11" t="s">
        <v>26</v>
      </c>
      <c r="V4" s="11" t="s">
        <v>27</v>
      </c>
      <c r="X4" s="6">
        <v>43462</v>
      </c>
      <c r="Y4" s="1">
        <f>VLOOKUP(X4,O:R,2,)</f>
        <v>1431.6926540000038</v>
      </c>
      <c r="Z4" s="1">
        <f t="shared" ref="Z4" si="0">0-Y4</f>
        <v>-1431.6926540000038</v>
      </c>
      <c r="AA4" s="6">
        <v>43462</v>
      </c>
      <c r="AB4" s="7">
        <f>VLOOKUP(AA4,O:P,2,)</f>
        <v>1431.6926540000038</v>
      </c>
      <c r="AC4" s="7">
        <f t="shared" ref="AC4:AC6" si="1">0-AB4</f>
        <v>-1431.6926540000038</v>
      </c>
      <c r="AD4" s="6">
        <v>43462</v>
      </c>
      <c r="AE4" s="1">
        <v>1431.6926540000038</v>
      </c>
      <c r="AF4" s="1">
        <f>-AE4</f>
        <v>-1431.6926540000038</v>
      </c>
    </row>
    <row r="5" spans="1:32" ht="14.1" customHeight="1">
      <c r="A5" s="15">
        <v>43217</v>
      </c>
      <c r="B5" s="25">
        <v>0.92662</v>
      </c>
      <c r="C5" s="20">
        <v>0.91465696000000007</v>
      </c>
      <c r="D5" s="21">
        <v>0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1">
        <v>0</v>
      </c>
      <c r="L5" s="7"/>
      <c r="O5" s="6">
        <v>43462</v>
      </c>
      <c r="P5" s="10">
        <v>1431.6926540000038</v>
      </c>
      <c r="Q5" s="5">
        <v>1431.6926540000038</v>
      </c>
      <c r="R5" s="5">
        <v>1305.2741513950191</v>
      </c>
      <c r="S5" s="5">
        <v>-126.41850260498472</v>
      </c>
      <c r="T5" s="5">
        <v>0</v>
      </c>
      <c r="U5" s="9">
        <v>-8.8300028816788487E-2</v>
      </c>
      <c r="V5" s="9">
        <v>-8.8300028816788487E-2</v>
      </c>
      <c r="X5" s="6">
        <v>43830</v>
      </c>
      <c r="Y5" s="1">
        <f>VLOOKUP(X5,O:R,2,)</f>
        <v>193.45680200000038</v>
      </c>
      <c r="Z5" s="1">
        <f t="shared" ref="Z5" si="2">0-Y5</f>
        <v>-193.45680200000038</v>
      </c>
      <c r="AA5" s="6">
        <v>43830</v>
      </c>
      <c r="AB5" s="7">
        <f>VLOOKUP(AA5,O:P,2,)</f>
        <v>193.45680200000038</v>
      </c>
      <c r="AC5" s="7">
        <f t="shared" si="1"/>
        <v>-193.45680200000038</v>
      </c>
      <c r="AD5" s="6">
        <v>43830</v>
      </c>
      <c r="AE5" s="1">
        <v>193.45680200000038</v>
      </c>
      <c r="AF5" s="1">
        <f>-AE5</f>
        <v>-193.45680200000038</v>
      </c>
    </row>
    <row r="6" spans="1:32" ht="14.1" customHeight="1">
      <c r="A6" s="15">
        <v>43251</v>
      </c>
      <c r="B6" s="25">
        <v>0.88405999999999996</v>
      </c>
      <c r="C6" s="20">
        <v>0.91904036000000011</v>
      </c>
      <c r="D6" s="21">
        <v>54.219558000000241</v>
      </c>
      <c r="E6" s="22">
        <v>61.330178947130563</v>
      </c>
      <c r="F6" s="22">
        <v>61.330178947130563</v>
      </c>
      <c r="G6" s="22">
        <v>54.219558000000241</v>
      </c>
      <c r="H6" s="22">
        <v>54.219558000000241</v>
      </c>
      <c r="I6" s="22">
        <v>54.219558000000241</v>
      </c>
      <c r="J6" s="22">
        <v>0</v>
      </c>
      <c r="K6" s="21">
        <v>0</v>
      </c>
      <c r="L6" s="7"/>
      <c r="O6" s="6">
        <v>43830</v>
      </c>
      <c r="P6" s="10">
        <v>193.45680200000038</v>
      </c>
      <c r="Q6" s="5">
        <v>1625.1494560000042</v>
      </c>
      <c r="R6" s="5">
        <v>2121.2666649160242</v>
      </c>
      <c r="S6" s="5">
        <v>496.11720891601999</v>
      </c>
      <c r="T6" s="5">
        <v>1759.0322560000047</v>
      </c>
      <c r="U6" s="9">
        <v>0.30527482077686441</v>
      </c>
      <c r="V6" s="9">
        <v>0.15154155652049006</v>
      </c>
      <c r="X6" s="6">
        <v>43830</v>
      </c>
      <c r="Z6" s="1">
        <v>2121.2666649160242</v>
      </c>
      <c r="AA6" s="6">
        <v>44196</v>
      </c>
      <c r="AB6" s="7">
        <f>VLOOKUP(AA6,O:P,2,)</f>
        <v>0</v>
      </c>
      <c r="AC6" s="7">
        <f t="shared" si="1"/>
        <v>0</v>
      </c>
      <c r="AD6" s="6">
        <v>44196</v>
      </c>
      <c r="AE6" s="1">
        <v>0</v>
      </c>
      <c r="AF6" s="1">
        <f>-AE6</f>
        <v>0</v>
      </c>
    </row>
    <row r="7" spans="1:32" ht="14.1" customHeight="1">
      <c r="A7" s="15">
        <v>43280</v>
      </c>
      <c r="B7" s="25">
        <v>0.81235999999999997</v>
      </c>
      <c r="C7" s="20">
        <v>0.91734940000000031</v>
      </c>
      <c r="D7" s="21">
        <v>162.73357000000053</v>
      </c>
      <c r="E7" s="22">
        <v>200.32198778866578</v>
      </c>
      <c r="F7" s="22">
        <v>261.65216673579636</v>
      </c>
      <c r="G7" s="22">
        <v>212.55575416949151</v>
      </c>
      <c r="H7" s="22">
        <v>216.95312800000076</v>
      </c>
      <c r="I7" s="22">
        <v>212.55575416949151</v>
      </c>
      <c r="J7" s="22">
        <v>-4.3973738305092525</v>
      </c>
      <c r="K7" s="21">
        <v>0</v>
      </c>
      <c r="L7" s="7"/>
      <c r="O7" s="6">
        <v>44196</v>
      </c>
      <c r="P7" s="10">
        <v>0</v>
      </c>
      <c r="Q7" s="5">
        <v>1625.1494560000042</v>
      </c>
      <c r="R7" s="5">
        <v>2159.2747743102564</v>
      </c>
      <c r="S7" s="5">
        <v>534.12531831025217</v>
      </c>
      <c r="T7" s="5">
        <v>2159.2747743102564</v>
      </c>
      <c r="U7" s="9">
        <v>0.32866227554535193</v>
      </c>
      <c r="V7" s="9">
        <v>0.103476938623698</v>
      </c>
      <c r="Z7" s="2">
        <f>IRR(Z4:Z6)</f>
        <v>0.15154155652049006</v>
      </c>
      <c r="AA7" s="6">
        <v>44196</v>
      </c>
      <c r="AC7" s="7">
        <v>2159.2747743102564</v>
      </c>
      <c r="AD7" s="6">
        <v>44561</v>
      </c>
      <c r="AE7" s="1">
        <v>439.43355600000223</v>
      </c>
      <c r="AF7" s="1">
        <f>-AE7</f>
        <v>-439.43355600000223</v>
      </c>
    </row>
    <row r="8" spans="1:32" ht="14.1" customHeight="1">
      <c r="A8" s="15">
        <v>43312</v>
      </c>
      <c r="B8" s="25">
        <v>0.8131799999999999</v>
      </c>
      <c r="C8" s="20">
        <v>0.91070244000000022</v>
      </c>
      <c r="D8" s="21">
        <v>151.15978200000049</v>
      </c>
      <c r="E8" s="22">
        <v>185.88723529845853</v>
      </c>
      <c r="F8" s="22">
        <v>447.53940203425486</v>
      </c>
      <c r="G8" s="22">
        <v>363.93009094621533</v>
      </c>
      <c r="H8" s="22">
        <v>368.11291000000125</v>
      </c>
      <c r="I8" s="22">
        <v>363.93009094621533</v>
      </c>
      <c r="J8" s="22">
        <v>-4.18281905378592</v>
      </c>
      <c r="K8" s="21">
        <v>0</v>
      </c>
      <c r="L8" s="7"/>
      <c r="O8" s="6">
        <v>44561</v>
      </c>
      <c r="P8" s="10">
        <v>439.43355600000223</v>
      </c>
      <c r="Q8" s="5">
        <v>2064.5830120000064</v>
      </c>
      <c r="R8" s="5">
        <v>2632.6303559717571</v>
      </c>
      <c r="S8" s="5">
        <v>568.04734397175071</v>
      </c>
      <c r="T8" s="5">
        <v>2364.4661303102516</v>
      </c>
      <c r="U8" s="9">
        <v>0.27513901871229235</v>
      </c>
      <c r="V8" s="9">
        <v>7.596265873352448E-2</v>
      </c>
      <c r="AC8" s="2">
        <f>IRR(AC4:AC7)</f>
        <v>0.103476938623698</v>
      </c>
      <c r="AD8" s="6">
        <v>44561</v>
      </c>
      <c r="AF8" s="1">
        <v>2632.6303559717571</v>
      </c>
    </row>
    <row r="9" spans="1:32" ht="14.1" customHeight="1">
      <c r="A9" s="15">
        <v>43343</v>
      </c>
      <c r="B9" s="25">
        <v>0.77766999999999997</v>
      </c>
      <c r="C9" s="20">
        <v>0.89930640000000006</v>
      </c>
      <c r="D9" s="21">
        <v>188.53642000000013</v>
      </c>
      <c r="E9" s="22">
        <v>242.43756349094107</v>
      </c>
      <c r="F9" s="22">
        <v>689.97696552519596</v>
      </c>
      <c r="G9" s="22">
        <v>536.57438677997914</v>
      </c>
      <c r="H9" s="22">
        <v>556.64933000000133</v>
      </c>
      <c r="I9" s="22">
        <v>536.57438677997914</v>
      </c>
      <c r="J9" s="22">
        <v>-20.074943220022192</v>
      </c>
      <c r="K9" s="21">
        <v>0</v>
      </c>
      <c r="L9" s="7"/>
      <c r="O9" s="6">
        <v>44925</v>
      </c>
      <c r="P9" s="10">
        <v>2765.5571820000014</v>
      </c>
      <c r="Q9" s="5">
        <v>4830.1401940000078</v>
      </c>
      <c r="R9" s="5">
        <v>5387.9358458787192</v>
      </c>
      <c r="S9" s="5">
        <v>557.7956518787114</v>
      </c>
      <c r="T9" s="5">
        <v>2364.4661303102516</v>
      </c>
      <c r="U9" s="9">
        <v>0.11548229025973289</v>
      </c>
      <c r="V9" s="9">
        <v>4.524456729933557E-2</v>
      </c>
      <c r="AF9" s="2">
        <f>IRR(AF4:AF8)</f>
        <v>7.596265873352448E-2</v>
      </c>
    </row>
    <row r="10" spans="1:32" ht="14.1" customHeight="1">
      <c r="A10" s="15">
        <v>43371</v>
      </c>
      <c r="B10" s="25">
        <v>0.76784000000000008</v>
      </c>
      <c r="C10" s="20">
        <v>0.8825278000000002</v>
      </c>
      <c r="D10" s="21">
        <v>177.76609000000019</v>
      </c>
      <c r="E10" s="22">
        <v>231.51449520733507</v>
      </c>
      <c r="F10" s="22">
        <v>921.4914607325311</v>
      </c>
      <c r="G10" s="22">
        <v>707.55800320886669</v>
      </c>
      <c r="H10" s="22">
        <v>734.41542000000152</v>
      </c>
      <c r="I10" s="22">
        <v>707.55800320886669</v>
      </c>
      <c r="J10" s="22">
        <v>-26.857416791134824</v>
      </c>
      <c r="K10" s="21">
        <v>0</v>
      </c>
      <c r="L10" s="7"/>
      <c r="O10" s="6">
        <v>45289</v>
      </c>
      <c r="P10" s="10">
        <v>0</v>
      </c>
      <c r="Q10" s="5">
        <v>4830.1401940000078</v>
      </c>
      <c r="R10" s="5">
        <v>6340.8843712169046</v>
      </c>
      <c r="S10" s="5">
        <v>1510.7441772168968</v>
      </c>
      <c r="T10" s="5">
        <v>4972.2678463102511</v>
      </c>
      <c r="U10" s="9">
        <v>0.31277439505659499</v>
      </c>
      <c r="V10" s="9">
        <v>8.0252163148518463E-2</v>
      </c>
      <c r="X10" s="6">
        <v>43462</v>
      </c>
      <c r="Y10" s="1">
        <v>1431.6926540000038</v>
      </c>
      <c r="Z10" s="1">
        <f>-Y10</f>
        <v>-1431.6926540000038</v>
      </c>
      <c r="AA10" s="6">
        <v>43462</v>
      </c>
      <c r="AB10" s="1">
        <v>1431.6926540000038</v>
      </c>
      <c r="AC10" s="1">
        <f t="shared" ref="AC10:AC15" si="3">-AB10</f>
        <v>-1431.6926540000038</v>
      </c>
      <c r="AD10" s="6">
        <v>43462</v>
      </c>
      <c r="AE10" s="1">
        <v>1431.6926540000038</v>
      </c>
      <c r="AF10" s="1">
        <f t="shared" ref="AF10:AF16" si="4">-AE10</f>
        <v>-1431.6926540000038</v>
      </c>
    </row>
    <row r="11" spans="1:32" ht="14.1" customHeight="1">
      <c r="A11" s="15">
        <v>43404</v>
      </c>
      <c r="B11" s="25">
        <v>0.67677999999999994</v>
      </c>
      <c r="C11" s="20">
        <v>0.86133792000000031</v>
      </c>
      <c r="D11" s="21">
        <v>286.06477600000056</v>
      </c>
      <c r="E11" s="22">
        <v>422.68503206359611</v>
      </c>
      <c r="F11" s="22">
        <v>1344.1764927961271</v>
      </c>
      <c r="G11" s="22">
        <v>909.71176679456289</v>
      </c>
      <c r="H11" s="22">
        <v>1020.480196000002</v>
      </c>
      <c r="I11" s="22">
        <v>909.71176679456289</v>
      </c>
      <c r="J11" s="22">
        <v>-110.76842920543913</v>
      </c>
      <c r="K11" s="21">
        <v>0</v>
      </c>
      <c r="L11" s="7"/>
      <c r="O11" s="6">
        <v>45657</v>
      </c>
      <c r="P11" s="10">
        <v>2068.7951059999968</v>
      </c>
      <c r="Q11" s="5">
        <v>6898.9353000000046</v>
      </c>
      <c r="R11" s="5">
        <v>9328.1858434175265</v>
      </c>
      <c r="S11" s="5">
        <v>2429.2505434175218</v>
      </c>
      <c r="T11" s="5">
        <v>6599.8088903102534</v>
      </c>
      <c r="U11" s="9">
        <v>0.35211962973729005</v>
      </c>
      <c r="V11" s="9">
        <v>8.7850386892617482E-2</v>
      </c>
      <c r="X11" s="6">
        <v>43830</v>
      </c>
      <c r="Y11" s="1">
        <v>193.45680200000038</v>
      </c>
      <c r="Z11" s="1">
        <f>-Y11</f>
        <v>-193.45680200000038</v>
      </c>
      <c r="AA11" s="6">
        <v>43830</v>
      </c>
      <c r="AB11" s="1">
        <v>193.45680200000038</v>
      </c>
      <c r="AC11" s="1">
        <f t="shared" si="3"/>
        <v>-193.45680200000038</v>
      </c>
      <c r="AD11" s="6">
        <v>43830</v>
      </c>
      <c r="AE11" s="1">
        <v>193.45680200000038</v>
      </c>
      <c r="AF11" s="1">
        <f t="shared" si="4"/>
        <v>-193.45680200000038</v>
      </c>
    </row>
    <row r="12" spans="1:32" ht="14.1" customHeight="1">
      <c r="A12" s="15">
        <v>43434</v>
      </c>
      <c r="B12" s="25">
        <v>0.7214299999999999</v>
      </c>
      <c r="C12" s="20">
        <v>0.83959144000000063</v>
      </c>
      <c r="D12" s="21">
        <v>183.15023200000113</v>
      </c>
      <c r="E12" s="22">
        <v>253.8711059978115</v>
      </c>
      <c r="F12" s="22">
        <v>1598.0475987939387</v>
      </c>
      <c r="G12" s="22">
        <v>1152.879479197911</v>
      </c>
      <c r="H12" s="22">
        <v>1203.6304280000031</v>
      </c>
      <c r="I12" s="22">
        <v>1152.879479197911</v>
      </c>
      <c r="J12" s="22">
        <v>-50.750948802092125</v>
      </c>
      <c r="K12" s="21">
        <v>0</v>
      </c>
      <c r="L12" s="7"/>
      <c r="X12" s="6">
        <v>44196</v>
      </c>
      <c r="Y12" s="1">
        <v>0</v>
      </c>
      <c r="Z12" s="1">
        <f>-Y12</f>
        <v>0</v>
      </c>
      <c r="AA12" s="6">
        <v>44196</v>
      </c>
      <c r="AB12" s="1">
        <v>0</v>
      </c>
      <c r="AC12" s="1">
        <f t="shared" si="3"/>
        <v>0</v>
      </c>
      <c r="AD12" s="6">
        <v>44196</v>
      </c>
      <c r="AE12" s="1">
        <v>0</v>
      </c>
      <c r="AF12" s="1">
        <f t="shared" si="4"/>
        <v>0</v>
      </c>
    </row>
    <row r="13" spans="1:32" ht="14.1" customHeight="1">
      <c r="A13" s="15">
        <v>43462</v>
      </c>
      <c r="B13" s="25">
        <v>0.67408000000000001</v>
      </c>
      <c r="C13" s="20">
        <v>0.82121692000000046</v>
      </c>
      <c r="D13" s="21">
        <v>228.06222600000069</v>
      </c>
      <c r="E13" s="22">
        <v>338.33109719914654</v>
      </c>
      <c r="F13" s="22">
        <v>1936.3786959930853</v>
      </c>
      <c r="G13" s="22">
        <v>1305.2741513950191</v>
      </c>
      <c r="H13" s="22">
        <v>1431.6926540000038</v>
      </c>
      <c r="I13" s="22">
        <v>1305.2741513950191</v>
      </c>
      <c r="J13" s="22">
        <v>-126.41850260498472</v>
      </c>
      <c r="K13" s="21">
        <v>0</v>
      </c>
      <c r="L13" s="7"/>
      <c r="X13" s="6">
        <v>44561</v>
      </c>
      <c r="Y13" s="1">
        <v>439.43355600000223</v>
      </c>
      <c r="Z13" s="1">
        <f>-Y13</f>
        <v>-439.43355600000223</v>
      </c>
      <c r="AA13" s="6">
        <v>44561</v>
      </c>
      <c r="AB13" s="1">
        <v>439.43355600000223</v>
      </c>
      <c r="AC13" s="1">
        <f t="shared" si="3"/>
        <v>-439.43355600000223</v>
      </c>
      <c r="AD13" s="6">
        <v>44561</v>
      </c>
      <c r="AE13" s="1">
        <v>439.43355600000223</v>
      </c>
      <c r="AF13" s="1">
        <f t="shared" si="4"/>
        <v>-439.43355600000223</v>
      </c>
    </row>
    <row r="14" spans="1:32" ht="14.1" customHeight="1">
      <c r="A14" s="15">
        <v>43496</v>
      </c>
      <c r="B14" s="25">
        <v>0.67716999999999994</v>
      </c>
      <c r="C14" s="20">
        <v>0.80198084000000014</v>
      </c>
      <c r="D14" s="21">
        <v>193.45680200000032</v>
      </c>
      <c r="E14" s="22">
        <v>285.6842476778362</v>
      </c>
      <c r="F14" s="22">
        <v>2222.0629436709214</v>
      </c>
      <c r="G14" s="22">
        <v>1504.7143635656378</v>
      </c>
      <c r="H14" s="22">
        <v>1625.1494560000042</v>
      </c>
      <c r="I14" s="22">
        <v>1504.7143635656378</v>
      </c>
      <c r="J14" s="22">
        <v>-120.43509243436642</v>
      </c>
      <c r="K14" s="21">
        <v>0</v>
      </c>
      <c r="L14" s="7"/>
      <c r="X14" s="6">
        <v>44925</v>
      </c>
      <c r="Y14" s="1">
        <v>2765.5571820000014</v>
      </c>
      <c r="Z14" s="1">
        <f>-Y14</f>
        <v>-2765.5571820000014</v>
      </c>
      <c r="AA14" s="6">
        <v>44925</v>
      </c>
      <c r="AB14" s="1">
        <v>2765.5571820000014</v>
      </c>
      <c r="AC14" s="1">
        <f t="shared" si="3"/>
        <v>-2765.5571820000014</v>
      </c>
      <c r="AD14" s="6">
        <v>44925</v>
      </c>
      <c r="AE14" s="1">
        <v>2765.5571820000014</v>
      </c>
      <c r="AF14" s="1">
        <f t="shared" si="4"/>
        <v>-2765.5571820000014</v>
      </c>
    </row>
    <row r="15" spans="1:32" ht="14.1" customHeight="1">
      <c r="A15" s="15">
        <v>43524</v>
      </c>
      <c r="B15" s="25">
        <v>0.85648000000000002</v>
      </c>
      <c r="C15" s="20">
        <v>0.79816120000000024</v>
      </c>
      <c r="D15" s="21">
        <v>-90.394139999999666</v>
      </c>
      <c r="E15" s="22">
        <v>-105.54144872034334</v>
      </c>
      <c r="F15" s="22">
        <v>2116.521494950578</v>
      </c>
      <c r="G15" s="22">
        <v>1812.7583299952712</v>
      </c>
      <c r="H15" s="22">
        <v>1625.1494560000042</v>
      </c>
      <c r="I15" s="22">
        <v>1903.1524699952708</v>
      </c>
      <c r="J15" s="22">
        <v>278.00301399526666</v>
      </c>
      <c r="K15" s="21">
        <v>90.394139999999666</v>
      </c>
      <c r="L15" s="7"/>
      <c r="X15" s="6">
        <v>44925</v>
      </c>
      <c r="Z15" s="1">
        <v>5387.9358458787192</v>
      </c>
      <c r="AA15" s="6">
        <v>45289</v>
      </c>
      <c r="AB15" s="1">
        <v>0</v>
      </c>
      <c r="AC15" s="1">
        <f t="shared" si="3"/>
        <v>0</v>
      </c>
      <c r="AD15" s="6">
        <v>45289</v>
      </c>
      <c r="AE15" s="1">
        <v>0</v>
      </c>
      <c r="AF15" s="1">
        <f t="shared" si="4"/>
        <v>0</v>
      </c>
    </row>
    <row r="16" spans="1:32" ht="14.1" customHeight="1">
      <c r="A16" s="15">
        <v>43553</v>
      </c>
      <c r="B16" s="25">
        <v>0.94580999999999993</v>
      </c>
      <c r="C16" s="20">
        <v>0.80233468000000008</v>
      </c>
      <c r="D16" s="21">
        <v>-222.38674599999976</v>
      </c>
      <c r="E16" s="22">
        <v>-235.12835136020954</v>
      </c>
      <c r="F16" s="22">
        <v>1881.3931435903685</v>
      </c>
      <c r="G16" s="22">
        <v>1779.4404491392063</v>
      </c>
      <c r="H16" s="22">
        <v>1625.1494560000042</v>
      </c>
      <c r="I16" s="22">
        <v>2092.2213351392056</v>
      </c>
      <c r="J16" s="22">
        <v>467.07187913920143</v>
      </c>
      <c r="K16" s="21">
        <v>312.78088599999944</v>
      </c>
      <c r="L16" s="7"/>
      <c r="Z16" s="2">
        <f>IRR(Z10:Z15)</f>
        <v>4.524456729933557E-2</v>
      </c>
      <c r="AA16" s="6">
        <v>45289</v>
      </c>
      <c r="AC16" s="1">
        <v>6340.8843712169046</v>
      </c>
      <c r="AD16" s="6">
        <v>45657</v>
      </c>
      <c r="AE16" s="1">
        <v>2068.7951059999968</v>
      </c>
      <c r="AF16" s="1">
        <f t="shared" si="4"/>
        <v>-2068.7951059999968</v>
      </c>
    </row>
    <row r="17" spans="1:32" ht="14.1" customHeight="1">
      <c r="A17" s="15">
        <v>43585</v>
      </c>
      <c r="B17" s="25">
        <v>0.9108099999999999</v>
      </c>
      <c r="C17" s="20">
        <v>0.80561315999999961</v>
      </c>
      <c r="D17" s="21">
        <v>-163.05510200000046</v>
      </c>
      <c r="E17" s="22">
        <v>-179.02208144398995</v>
      </c>
      <c r="F17" s="22">
        <v>1702.3710621463786</v>
      </c>
      <c r="G17" s="22">
        <v>1550.536587113543</v>
      </c>
      <c r="H17" s="22">
        <v>1625.1494560000042</v>
      </c>
      <c r="I17" s="22">
        <v>2026.372575113543</v>
      </c>
      <c r="J17" s="22">
        <v>401.22311911353881</v>
      </c>
      <c r="K17" s="21">
        <v>475.83598799999993</v>
      </c>
      <c r="L17" s="7"/>
      <c r="AC17" s="2">
        <f>IRR(AC10:AC16)</f>
        <v>8.0252163148518463E-2</v>
      </c>
      <c r="AD17" s="6">
        <v>45657</v>
      </c>
      <c r="AF17" s="1">
        <v>9328.1858434175265</v>
      </c>
    </row>
    <row r="18" spans="1:32" ht="14.1" customHeight="1">
      <c r="A18" s="15">
        <v>43616</v>
      </c>
      <c r="B18" s="25">
        <v>0.86360000000000003</v>
      </c>
      <c r="C18" s="20">
        <v>0.8010060799999994</v>
      </c>
      <c r="D18" s="21">
        <v>-97.020576000000986</v>
      </c>
      <c r="E18" s="22">
        <v>-112.34434460398447</v>
      </c>
      <c r="F18" s="22">
        <v>1590.0267175423942</v>
      </c>
      <c r="G18" s="22">
        <v>1373.1470732696116</v>
      </c>
      <c r="H18" s="22">
        <v>1625.1494560000042</v>
      </c>
      <c r="I18" s="22">
        <v>1946.0036372696127</v>
      </c>
      <c r="J18" s="22">
        <v>320.85418126960849</v>
      </c>
      <c r="K18" s="21">
        <v>572.85656400000096</v>
      </c>
      <c r="L18" s="7"/>
      <c r="AF18" s="2">
        <f>IRR(AF10:AF17)</f>
        <v>8.7850386892617482E-2</v>
      </c>
    </row>
    <row r="19" spans="1:32" ht="14.1" customHeight="1">
      <c r="A19" s="15">
        <v>43644</v>
      </c>
      <c r="B19" s="25">
        <v>0.88732</v>
      </c>
      <c r="C19" s="20">
        <v>0.79979107999999932</v>
      </c>
      <c r="D19" s="21">
        <v>-135.66982600000105</v>
      </c>
      <c r="E19" s="22">
        <v>-152.89841996123275</v>
      </c>
      <c r="F19" s="22">
        <v>1437.1282975811614</v>
      </c>
      <c r="G19" s="22">
        <v>1275.1926810097161</v>
      </c>
      <c r="H19" s="22">
        <v>1625.1494560000042</v>
      </c>
      <c r="I19" s="22">
        <v>1983.7190710097182</v>
      </c>
      <c r="J19" s="22">
        <v>358.56961500971397</v>
      </c>
      <c r="K19" s="21">
        <v>708.52639000000204</v>
      </c>
      <c r="L19" s="7"/>
    </row>
    <row r="20" spans="1:32" ht="14.1" customHeight="1">
      <c r="A20" s="15">
        <v>43677</v>
      </c>
      <c r="B20" s="25">
        <v>0.89222000000000001</v>
      </c>
      <c r="C20" s="20">
        <v>0.80782763999999974</v>
      </c>
      <c r="D20" s="21">
        <v>-130.80815800000042</v>
      </c>
      <c r="E20" s="22">
        <v>-146.6097576830831</v>
      </c>
      <c r="F20" s="22">
        <v>1290.5185398980784</v>
      </c>
      <c r="G20" s="22">
        <v>1151.4264516678636</v>
      </c>
      <c r="H20" s="22">
        <v>1625.1494560000042</v>
      </c>
      <c r="I20" s="22">
        <v>1990.7609996678661</v>
      </c>
      <c r="J20" s="22">
        <v>365.61154366786195</v>
      </c>
      <c r="K20" s="21">
        <v>839.33454800000243</v>
      </c>
      <c r="L20" s="7"/>
    </row>
    <row r="21" spans="1:32" ht="14.1" customHeight="1">
      <c r="A21" s="15">
        <v>43707</v>
      </c>
      <c r="B21" s="25">
        <v>0.92357</v>
      </c>
      <c r="C21" s="20">
        <v>0.81574827999999955</v>
      </c>
      <c r="D21" s="21">
        <v>-167.1236660000007</v>
      </c>
      <c r="E21" s="22">
        <v>-180.95397858310761</v>
      </c>
      <c r="F21" s="22">
        <v>1109.5645613149709</v>
      </c>
      <c r="G21" s="22">
        <v>1024.7605418936678</v>
      </c>
      <c r="H21" s="22">
        <v>1625.1494560000042</v>
      </c>
      <c r="I21" s="22">
        <v>2031.218755893671</v>
      </c>
      <c r="J21" s="22">
        <v>406.06929989366677</v>
      </c>
      <c r="K21" s="21">
        <v>1006.4582140000032</v>
      </c>
      <c r="L21" s="8"/>
    </row>
    <row r="22" spans="1:32" ht="14.1" customHeight="1">
      <c r="A22" s="15">
        <v>43738</v>
      </c>
      <c r="B22" s="25">
        <v>0.95855999999999997</v>
      </c>
      <c r="C22" s="20">
        <v>0.83330167999999971</v>
      </c>
      <c r="D22" s="21">
        <v>-194.1503960000004</v>
      </c>
      <c r="E22" s="22">
        <v>-202.54381155065974</v>
      </c>
      <c r="F22" s="22">
        <v>907.02074976431118</v>
      </c>
      <c r="G22" s="22">
        <v>869.43380989407808</v>
      </c>
      <c r="H22" s="22">
        <v>1625.1494560000042</v>
      </c>
      <c r="I22" s="22">
        <v>2070.0424198940818</v>
      </c>
      <c r="J22" s="22">
        <v>444.89296389407764</v>
      </c>
      <c r="K22" s="21">
        <v>1200.6086100000036</v>
      </c>
      <c r="L22" s="7"/>
      <c r="O22" s="3"/>
    </row>
    <row r="23" spans="1:32" ht="14.1" customHeight="1">
      <c r="A23" s="15">
        <v>43769</v>
      </c>
      <c r="B23" s="25">
        <v>0.97238999999999998</v>
      </c>
      <c r="C23" s="20">
        <v>0.85201527999999938</v>
      </c>
      <c r="D23" s="21">
        <v>-186.58081600000094</v>
      </c>
      <c r="E23" s="22">
        <v>-191.87858369584316</v>
      </c>
      <c r="F23" s="22">
        <v>715.14216606846799</v>
      </c>
      <c r="G23" s="22">
        <v>695.39709086331754</v>
      </c>
      <c r="H23" s="22">
        <v>1625.1494560000042</v>
      </c>
      <c r="I23" s="22">
        <v>2082.5865168633218</v>
      </c>
      <c r="J23" s="22">
        <v>457.43706086331758</v>
      </c>
      <c r="K23" s="21">
        <v>1387.1894260000045</v>
      </c>
      <c r="L23" s="7"/>
    </row>
    <row r="24" spans="1:32" ht="14.1" customHeight="1">
      <c r="A24" s="15">
        <v>43798</v>
      </c>
      <c r="B24" s="25">
        <v>0.97728999999999999</v>
      </c>
      <c r="C24" s="20">
        <v>0.87560303999999967</v>
      </c>
      <c r="D24" s="21">
        <v>-157.61478800000052</v>
      </c>
      <c r="E24" s="22">
        <v>-161.27739770180858</v>
      </c>
      <c r="F24" s="22">
        <v>553.8647683666594</v>
      </c>
      <c r="G24" s="22">
        <v>541.28649947705253</v>
      </c>
      <c r="H24" s="22">
        <v>1625.1494560000042</v>
      </c>
      <c r="I24" s="22">
        <v>2086.0907134770578</v>
      </c>
      <c r="J24" s="22">
        <v>460.94125747705357</v>
      </c>
      <c r="K24" s="21">
        <v>1544.804214000005</v>
      </c>
      <c r="L24" s="7"/>
    </row>
    <row r="25" spans="1:32" ht="14.1" customHeight="1">
      <c r="A25" s="15">
        <v>43830</v>
      </c>
      <c r="B25" s="25">
        <v>1.0407999999999999</v>
      </c>
      <c r="C25" s="20">
        <v>0.90258836000000009</v>
      </c>
      <c r="D25" s="21">
        <v>-214.22804199999979</v>
      </c>
      <c r="E25" s="22">
        <v>-205.83017102229036</v>
      </c>
      <c r="F25" s="22">
        <v>348.03459734436905</v>
      </c>
      <c r="G25" s="22">
        <v>362.23440891601928</v>
      </c>
      <c r="H25" s="22">
        <v>1625.1494560000042</v>
      </c>
      <c r="I25" s="22">
        <v>2121.2666649160242</v>
      </c>
      <c r="J25" s="22">
        <v>496.11720891601999</v>
      </c>
      <c r="K25" s="21">
        <v>1759.0322560000047</v>
      </c>
      <c r="L25" s="7"/>
    </row>
    <row r="26" spans="1:32" ht="14.1" customHeight="1">
      <c r="A26" s="15">
        <v>43853</v>
      </c>
      <c r="B26" s="25">
        <v>1.13632</v>
      </c>
      <c r="C26" s="20">
        <v>0.93022331999999996</v>
      </c>
      <c r="D26" s="21">
        <v>-319.44985400000007</v>
      </c>
      <c r="E26" s="22">
        <v>-281.12666678400456</v>
      </c>
      <c r="F26" s="22">
        <v>66.907930560364491</v>
      </c>
      <c r="G26" s="22">
        <v>76.028819654353384</v>
      </c>
      <c r="H26" s="22">
        <v>1625.1494560000042</v>
      </c>
      <c r="I26" s="22">
        <v>2154.5109296543583</v>
      </c>
      <c r="J26" s="22">
        <v>529.36147365435409</v>
      </c>
      <c r="K26" s="21">
        <v>2078.4821100000049</v>
      </c>
      <c r="L26" s="7"/>
    </row>
    <row r="27" spans="1:32" ht="14.1" customHeight="1">
      <c r="A27" s="15">
        <v>43889</v>
      </c>
      <c r="B27" s="25">
        <v>1.2075199999999999</v>
      </c>
      <c r="C27" s="20">
        <v>0.96999144000000015</v>
      </c>
      <c r="D27" s="21">
        <v>-80.792664310251325</v>
      </c>
      <c r="E27" s="22">
        <v>-66.907930560364491</v>
      </c>
      <c r="F27" s="22">
        <v>0</v>
      </c>
      <c r="G27" s="22">
        <v>0</v>
      </c>
      <c r="H27" s="22">
        <v>1625.1494560000042</v>
      </c>
      <c r="I27" s="22">
        <v>2159.2747743102564</v>
      </c>
      <c r="J27" s="22">
        <v>534.12531831025217</v>
      </c>
      <c r="K27" s="21">
        <v>2159.2747743102564</v>
      </c>
      <c r="L27" s="7"/>
    </row>
    <row r="28" spans="1:32" ht="14.1" customHeight="1">
      <c r="A28" s="15">
        <v>43921</v>
      </c>
      <c r="B28" s="25">
        <v>1.0721400000000001</v>
      </c>
      <c r="C28" s="20">
        <v>0.9937777600000004</v>
      </c>
      <c r="D28" s="21">
        <v>0</v>
      </c>
      <c r="E28" s="22">
        <v>0</v>
      </c>
      <c r="F28" s="22">
        <v>0</v>
      </c>
      <c r="G28" s="22">
        <v>0</v>
      </c>
      <c r="H28" s="22">
        <v>1625.1494560000042</v>
      </c>
      <c r="I28" s="22">
        <v>2159.2747743102564</v>
      </c>
      <c r="J28" s="22">
        <v>534.12531831025217</v>
      </c>
      <c r="K28" s="21">
        <v>2159.2747743102564</v>
      </c>
      <c r="L28" s="7"/>
    </row>
    <row r="29" spans="1:32" ht="14.1" customHeight="1">
      <c r="A29" s="15">
        <v>43951</v>
      </c>
      <c r="B29" s="25">
        <v>1.13618</v>
      </c>
      <c r="C29" s="20">
        <v>1.0062796800000002</v>
      </c>
      <c r="D29" s="21">
        <v>0</v>
      </c>
      <c r="E29" s="22">
        <v>0</v>
      </c>
      <c r="F29" s="22">
        <v>0</v>
      </c>
      <c r="G29" s="22">
        <v>0</v>
      </c>
      <c r="H29" s="22">
        <v>1625.1494560000042</v>
      </c>
      <c r="I29" s="22">
        <v>2159.2747743102564</v>
      </c>
      <c r="J29" s="22">
        <v>534.12531831025217</v>
      </c>
      <c r="K29" s="21">
        <v>2159.2747743102564</v>
      </c>
      <c r="L29" s="7"/>
    </row>
    <row r="30" spans="1:32" ht="14.1" customHeight="1">
      <c r="A30" s="15">
        <v>43980</v>
      </c>
      <c r="B30" s="25">
        <v>1.12294</v>
      </c>
      <c r="C30" s="20">
        <v>1.0253235600000004</v>
      </c>
      <c r="D30" s="21">
        <v>0</v>
      </c>
      <c r="E30" s="22">
        <v>0</v>
      </c>
      <c r="F30" s="22">
        <v>0</v>
      </c>
      <c r="G30" s="22">
        <v>0</v>
      </c>
      <c r="H30" s="22">
        <v>1625.1494560000042</v>
      </c>
      <c r="I30" s="22">
        <v>2159.2747743102564</v>
      </c>
      <c r="J30" s="22">
        <v>534.12531831025217</v>
      </c>
      <c r="K30" s="21">
        <v>2159.2747743102564</v>
      </c>
      <c r="L30" s="7"/>
    </row>
    <row r="31" spans="1:32" ht="14.1" customHeight="1">
      <c r="A31" s="15">
        <v>44012</v>
      </c>
      <c r="B31" s="25">
        <v>1.25214</v>
      </c>
      <c r="C31" s="20">
        <v>1.0521225599999997</v>
      </c>
      <c r="D31" s="21">
        <v>0</v>
      </c>
      <c r="E31" s="22">
        <v>0</v>
      </c>
      <c r="F31" s="22">
        <v>0</v>
      </c>
      <c r="G31" s="22">
        <v>0</v>
      </c>
      <c r="H31" s="22">
        <v>1625.1494560000042</v>
      </c>
      <c r="I31" s="22">
        <v>2159.2747743102564</v>
      </c>
      <c r="J31" s="22">
        <v>534.12531831025217</v>
      </c>
      <c r="K31" s="21">
        <v>2159.2747743102564</v>
      </c>
      <c r="L31" s="7"/>
    </row>
    <row r="32" spans="1:32" ht="14.1" customHeight="1">
      <c r="A32" s="15">
        <v>44043</v>
      </c>
      <c r="B32" s="25">
        <v>1.3561700000000001</v>
      </c>
      <c r="C32" s="20">
        <v>1.09525304</v>
      </c>
      <c r="D32" s="21">
        <v>0</v>
      </c>
      <c r="E32" s="22">
        <v>0</v>
      </c>
      <c r="F32" s="22">
        <v>0</v>
      </c>
      <c r="G32" s="22">
        <v>0</v>
      </c>
      <c r="H32" s="22">
        <v>1625.1494560000042</v>
      </c>
      <c r="I32" s="22">
        <v>2159.2747743102564</v>
      </c>
      <c r="J32" s="22">
        <v>534.12531831025217</v>
      </c>
      <c r="K32" s="21">
        <v>2159.2747743102564</v>
      </c>
      <c r="L32" s="7"/>
    </row>
    <row r="33" spans="1:15" ht="14.1" customHeight="1">
      <c r="A33" s="15">
        <v>44074</v>
      </c>
      <c r="B33" s="25">
        <v>1.35833</v>
      </c>
      <c r="C33" s="20">
        <v>1.1352650000000004</v>
      </c>
      <c r="D33" s="21">
        <v>0</v>
      </c>
      <c r="E33" s="22">
        <v>0</v>
      </c>
      <c r="F33" s="22">
        <v>0</v>
      </c>
      <c r="G33" s="22">
        <v>0</v>
      </c>
      <c r="H33" s="22">
        <v>1625.1494560000042</v>
      </c>
      <c r="I33" s="22">
        <v>2159.2747743102564</v>
      </c>
      <c r="J33" s="22">
        <v>534.12531831025217</v>
      </c>
      <c r="K33" s="21">
        <v>2159.2747743102564</v>
      </c>
      <c r="L33" s="7"/>
      <c r="O33" s="3"/>
    </row>
    <row r="34" spans="1:15" ht="14.1" customHeight="1">
      <c r="A34" s="15">
        <v>44104</v>
      </c>
      <c r="B34" s="25">
        <v>1.2336199999999999</v>
      </c>
      <c r="C34" s="20">
        <v>1.1624354799999996</v>
      </c>
      <c r="D34" s="21">
        <v>0</v>
      </c>
      <c r="E34" s="22">
        <v>0</v>
      </c>
      <c r="F34" s="22">
        <v>0</v>
      </c>
      <c r="G34" s="22">
        <v>0</v>
      </c>
      <c r="H34" s="22">
        <v>1625.1494560000042</v>
      </c>
      <c r="I34" s="22">
        <v>2159.2747743102564</v>
      </c>
      <c r="J34" s="22">
        <v>534.12531831025217</v>
      </c>
      <c r="K34" s="21">
        <v>2159.2747743102564</v>
      </c>
      <c r="L34" s="7"/>
    </row>
    <row r="35" spans="1:15" ht="14.1" customHeight="1">
      <c r="A35" s="15">
        <v>44134</v>
      </c>
      <c r="B35" s="25">
        <v>1.2367600000000001</v>
      </c>
      <c r="C35" s="20">
        <v>1.1809904399999995</v>
      </c>
      <c r="D35" s="21">
        <v>0</v>
      </c>
      <c r="E35" s="22">
        <v>0</v>
      </c>
      <c r="F35" s="22">
        <v>0</v>
      </c>
      <c r="G35" s="22">
        <v>0</v>
      </c>
      <c r="H35" s="22">
        <v>1625.1494560000042</v>
      </c>
      <c r="I35" s="22">
        <v>2159.2747743102564</v>
      </c>
      <c r="J35" s="22">
        <v>534.12531831025217</v>
      </c>
      <c r="K35" s="21">
        <v>2159.2747743102564</v>
      </c>
      <c r="L35" s="7"/>
    </row>
    <row r="36" spans="1:15" ht="14.1" customHeight="1">
      <c r="A36" s="15">
        <v>44165</v>
      </c>
      <c r="B36" s="25">
        <v>1.23942</v>
      </c>
      <c r="C36" s="20">
        <v>1.2036349600000003</v>
      </c>
      <c r="D36" s="21">
        <v>0</v>
      </c>
      <c r="E36" s="22">
        <v>0</v>
      </c>
      <c r="F36" s="22">
        <v>0</v>
      </c>
      <c r="G36" s="22">
        <v>0</v>
      </c>
      <c r="H36" s="22">
        <v>1625.1494560000042</v>
      </c>
      <c r="I36" s="22">
        <v>2159.2747743102564</v>
      </c>
      <c r="J36" s="22">
        <v>534.12531831025217</v>
      </c>
      <c r="K36" s="21">
        <v>2159.2747743102564</v>
      </c>
      <c r="L36" s="7"/>
    </row>
    <row r="37" spans="1:15" ht="14.1" customHeight="1">
      <c r="A37" s="15">
        <v>44196</v>
      </c>
      <c r="B37" s="25">
        <v>1.2531099999999999</v>
      </c>
      <c r="C37" s="20">
        <v>1.2247530400000011</v>
      </c>
      <c r="D37" s="21">
        <v>0</v>
      </c>
      <c r="E37" s="22">
        <v>0</v>
      </c>
      <c r="F37" s="22">
        <v>0</v>
      </c>
      <c r="G37" s="22">
        <v>0</v>
      </c>
      <c r="H37" s="22">
        <v>1625.1494560000042</v>
      </c>
      <c r="I37" s="22">
        <v>2159.2747743102564</v>
      </c>
      <c r="J37" s="22">
        <v>534.12531831025217</v>
      </c>
      <c r="K37" s="21">
        <v>2159.2747743102564</v>
      </c>
      <c r="L37" s="7"/>
    </row>
    <row r="38" spans="1:15" ht="14.1" customHeight="1">
      <c r="A38" s="15">
        <v>44225</v>
      </c>
      <c r="B38" s="25">
        <v>1.2375</v>
      </c>
      <c r="C38" s="20">
        <v>1.2398494000000004</v>
      </c>
      <c r="D38" s="21">
        <v>3.6415700000006046</v>
      </c>
      <c r="E38" s="22">
        <v>2.9426828282833166</v>
      </c>
      <c r="F38" s="22">
        <v>2.9426828282833166</v>
      </c>
      <c r="G38" s="22">
        <v>3.6415700000006046</v>
      </c>
      <c r="H38" s="22">
        <v>1628.7910260000049</v>
      </c>
      <c r="I38" s="22">
        <v>2162.916344310257</v>
      </c>
      <c r="J38" s="22">
        <v>534.12531831025217</v>
      </c>
      <c r="K38" s="21">
        <v>2159.2747743102564</v>
      </c>
      <c r="L38" s="7"/>
    </row>
    <row r="39" spans="1:15" ht="14.1" customHeight="1">
      <c r="A39" s="15">
        <v>44253</v>
      </c>
      <c r="B39" s="25">
        <v>1.23967</v>
      </c>
      <c r="C39" s="20">
        <v>1.2465734400000006</v>
      </c>
      <c r="D39" s="21">
        <v>10.700332000000834</v>
      </c>
      <c r="E39" s="22">
        <v>8.6315971185886848</v>
      </c>
      <c r="F39" s="22">
        <v>11.574279946872002</v>
      </c>
      <c r="G39" s="22">
        <v>14.348287621738816</v>
      </c>
      <c r="H39" s="22">
        <v>1639.4913580000057</v>
      </c>
      <c r="I39" s="22">
        <v>2173.6230619319954</v>
      </c>
      <c r="J39" s="22">
        <v>534.1317039319897</v>
      </c>
      <c r="K39" s="21">
        <v>2159.2747743102564</v>
      </c>
      <c r="L39" s="7"/>
    </row>
    <row r="40" spans="1:15" ht="14.1" customHeight="1">
      <c r="A40" s="15">
        <v>44286</v>
      </c>
      <c r="B40" s="25">
        <v>1.15709</v>
      </c>
      <c r="C40" s="20">
        <v>1.2413199199999996</v>
      </c>
      <c r="D40" s="21">
        <v>130.55637599999943</v>
      </c>
      <c r="E40" s="22">
        <v>112.83165181619358</v>
      </c>
      <c r="F40" s="22">
        <v>124.40593176306558</v>
      </c>
      <c r="G40" s="22">
        <v>143.94885958372555</v>
      </c>
      <c r="H40" s="22">
        <v>1770.0477340000052</v>
      </c>
      <c r="I40" s="22">
        <v>2303.223633893982</v>
      </c>
      <c r="J40" s="22">
        <v>533.17589989397675</v>
      </c>
      <c r="K40" s="21">
        <v>2159.2747743102564</v>
      </c>
      <c r="L40" s="7"/>
    </row>
    <row r="41" spans="1:15" ht="14.1" customHeight="1">
      <c r="A41" s="15">
        <v>44316</v>
      </c>
      <c r="B41" s="25">
        <v>1.17998</v>
      </c>
      <c r="C41" s="20">
        <v>1.2470086399999996</v>
      </c>
      <c r="D41" s="21">
        <v>103.89439199999927</v>
      </c>
      <c r="E41" s="22">
        <v>88.047587247240855</v>
      </c>
      <c r="F41" s="22">
        <v>212.45351901030642</v>
      </c>
      <c r="G41" s="22">
        <v>250.69090336178138</v>
      </c>
      <c r="H41" s="22">
        <v>1873.9421260000045</v>
      </c>
      <c r="I41" s="22">
        <v>2409.9656776720376</v>
      </c>
      <c r="J41" s="22">
        <v>536.02355167203314</v>
      </c>
      <c r="K41" s="21">
        <v>2159.2747743102564</v>
      </c>
      <c r="L41" s="7"/>
    </row>
    <row r="42" spans="1:15" ht="14.1" customHeight="1">
      <c r="A42" s="15">
        <v>44347</v>
      </c>
      <c r="B42" s="25">
        <v>1.2623</v>
      </c>
      <c r="C42" s="20">
        <v>1.2505698399999998</v>
      </c>
      <c r="D42" s="21">
        <v>-18.18174800000024</v>
      </c>
      <c r="E42" s="22">
        <v>-14.403666323378152</v>
      </c>
      <c r="F42" s="22">
        <v>198.04985268692826</v>
      </c>
      <c r="G42" s="22">
        <v>249.99832904670953</v>
      </c>
      <c r="H42" s="22">
        <v>1873.9421260000045</v>
      </c>
      <c r="I42" s="22">
        <v>2427.4548513569662</v>
      </c>
      <c r="J42" s="22">
        <v>553.51272535696171</v>
      </c>
      <c r="K42" s="21">
        <v>2177.4565223102568</v>
      </c>
      <c r="L42" s="7"/>
    </row>
    <row r="43" spans="1:15" ht="14.1" customHeight="1">
      <c r="A43" s="15">
        <v>44377</v>
      </c>
      <c r="B43" s="25">
        <v>1.33643</v>
      </c>
      <c r="C43" s="20">
        <v>1.261064600000001</v>
      </c>
      <c r="D43" s="21">
        <v>-116.8163699999985</v>
      </c>
      <c r="E43" s="22">
        <v>-87.409269471650958</v>
      </c>
      <c r="F43" s="22">
        <v>110.6405832152773</v>
      </c>
      <c r="G43" s="22">
        <v>147.86339462639305</v>
      </c>
      <c r="H43" s="22">
        <v>1873.9421260000045</v>
      </c>
      <c r="I43" s="22">
        <v>2442.1362869366485</v>
      </c>
      <c r="J43" s="22">
        <v>568.19416093664404</v>
      </c>
      <c r="K43" s="21">
        <v>2294.2728923102554</v>
      </c>
      <c r="L43" s="7"/>
    </row>
    <row r="44" spans="1:15" ht="14.1" customHeight="1">
      <c r="A44" s="15">
        <v>44407</v>
      </c>
      <c r="B44" s="25">
        <v>1.28626</v>
      </c>
      <c r="C44" s="20">
        <v>1.2582182800000008</v>
      </c>
      <c r="D44" s="21">
        <v>-43.464665999998701</v>
      </c>
      <c r="E44" s="22">
        <v>-33.791508715188769</v>
      </c>
      <c r="F44" s="22">
        <v>76.849074500088534</v>
      </c>
      <c r="G44" s="22">
        <v>98.847890566483869</v>
      </c>
      <c r="H44" s="22">
        <v>1873.9421260000045</v>
      </c>
      <c r="I44" s="22">
        <v>2436.5854488767377</v>
      </c>
      <c r="J44" s="22">
        <v>562.64332287673324</v>
      </c>
      <c r="K44" s="21">
        <v>2337.7375583102539</v>
      </c>
      <c r="L44" s="7"/>
    </row>
    <row r="45" spans="1:15" ht="14.1" customHeight="1">
      <c r="A45" s="15">
        <v>44439</v>
      </c>
      <c r="B45" s="25">
        <v>1.2177899999999999</v>
      </c>
      <c r="C45" s="20">
        <v>1.2513532000000005</v>
      </c>
      <c r="D45" s="21">
        <v>52.022960000000886</v>
      </c>
      <c r="E45" s="22">
        <v>42.719155190961402</v>
      </c>
      <c r="F45" s="22">
        <v>119.56822969104994</v>
      </c>
      <c r="G45" s="22">
        <v>145.6089944354637</v>
      </c>
      <c r="H45" s="22">
        <v>1925.9650860000054</v>
      </c>
      <c r="I45" s="22">
        <v>2483.3465527457174</v>
      </c>
      <c r="J45" s="22">
        <v>557.38146674571203</v>
      </c>
      <c r="K45" s="21">
        <v>2337.7375583102539</v>
      </c>
      <c r="L45" s="7"/>
    </row>
    <row r="46" spans="1:15" ht="14.1" customHeight="1">
      <c r="A46" s="15">
        <v>44469</v>
      </c>
      <c r="B46" s="25">
        <v>1.20347</v>
      </c>
      <c r="C46" s="20">
        <v>1.2445208000000001</v>
      </c>
      <c r="D46" s="21">
        <v>63.628740000000086</v>
      </c>
      <c r="E46" s="22">
        <v>52.871064505139373</v>
      </c>
      <c r="F46" s="22">
        <v>172.43929419618931</v>
      </c>
      <c r="G46" s="22">
        <v>207.52551738628796</v>
      </c>
      <c r="H46" s="22">
        <v>1989.5938260000055</v>
      </c>
      <c r="I46" s="22">
        <v>2545.2630756965418</v>
      </c>
      <c r="J46" s="22">
        <v>555.66924969653633</v>
      </c>
      <c r="K46" s="21">
        <v>2337.7375583102539</v>
      </c>
      <c r="L46" s="7"/>
    </row>
    <row r="47" spans="1:15" ht="14.1" customHeight="1">
      <c r="A47" s="15">
        <v>44498</v>
      </c>
      <c r="B47" s="25">
        <v>1.1970999999999998</v>
      </c>
      <c r="C47" s="20">
        <v>1.2406920799999999</v>
      </c>
      <c r="D47" s="21">
        <v>67.567724000000055</v>
      </c>
      <c r="E47" s="22">
        <v>56.442840197143148</v>
      </c>
      <c r="F47" s="22">
        <v>228.88213439333245</v>
      </c>
      <c r="G47" s="22">
        <v>273.99480308225822</v>
      </c>
      <c r="H47" s="22">
        <v>2057.1615500000057</v>
      </c>
      <c r="I47" s="22">
        <v>2611.7323613925123</v>
      </c>
      <c r="J47" s="22">
        <v>554.57081139250658</v>
      </c>
      <c r="K47" s="21">
        <v>2337.7375583102539</v>
      </c>
      <c r="L47" s="7"/>
    </row>
    <row r="48" spans="1:15" ht="14.1" customHeight="1">
      <c r="A48" s="15">
        <v>44530</v>
      </c>
      <c r="B48" s="25">
        <v>1.23373</v>
      </c>
      <c r="C48" s="20">
        <v>1.2385180400000004</v>
      </c>
      <c r="D48" s="21">
        <v>7.4214620000006786</v>
      </c>
      <c r="E48" s="22">
        <v>6.0154669173973874</v>
      </c>
      <c r="F48" s="22">
        <v>234.89760131072984</v>
      </c>
      <c r="G48" s="22">
        <v>289.80021766508673</v>
      </c>
      <c r="H48" s="22">
        <v>2064.5830120000064</v>
      </c>
      <c r="I48" s="22">
        <v>2627.5377759753405</v>
      </c>
      <c r="J48" s="22">
        <v>562.95476397533412</v>
      </c>
      <c r="K48" s="21">
        <v>2337.7375583102539</v>
      </c>
    </row>
    <row r="49" spans="1:11" ht="14.1" customHeight="1">
      <c r="A49" s="15">
        <v>44561</v>
      </c>
      <c r="B49" s="25">
        <v>1.2554100000000001</v>
      </c>
      <c r="C49" s="20">
        <v>1.2381657600000016</v>
      </c>
      <c r="D49" s="21">
        <v>-26.728571999997797</v>
      </c>
      <c r="E49" s="22">
        <v>-21.290711401054473</v>
      </c>
      <c r="F49" s="22">
        <v>213.60688990967537</v>
      </c>
      <c r="G49" s="22">
        <v>268.16422566150561</v>
      </c>
      <c r="H49" s="22">
        <v>2064.5830120000064</v>
      </c>
      <c r="I49" s="22">
        <v>2632.6303559717571</v>
      </c>
      <c r="J49" s="22">
        <v>568.04734397175071</v>
      </c>
      <c r="K49" s="21">
        <v>2364.4661303102516</v>
      </c>
    </row>
    <row r="50" spans="1:11" ht="14.1" customHeight="1">
      <c r="A50" s="15">
        <v>44589</v>
      </c>
      <c r="B50" s="25">
        <v>1.11076</v>
      </c>
      <c r="C50" s="20">
        <v>1.2350539200000008</v>
      </c>
      <c r="D50" s="21">
        <v>192.6555760000013</v>
      </c>
      <c r="E50" s="22">
        <v>173.44482696532222</v>
      </c>
      <c r="F50" s="22">
        <v>387.05171687499762</v>
      </c>
      <c r="G50" s="22">
        <v>429.92156503607237</v>
      </c>
      <c r="H50" s="22">
        <v>2257.2385880000079</v>
      </c>
      <c r="I50" s="22">
        <v>2794.3876953463241</v>
      </c>
      <c r="J50" s="22">
        <v>537.14910734631621</v>
      </c>
      <c r="K50" s="21">
        <v>2364.4661303102516</v>
      </c>
    </row>
    <row r="51" spans="1:11" ht="14.1" customHeight="1">
      <c r="A51" s="15">
        <v>44620</v>
      </c>
      <c r="B51" s="25">
        <v>1.15177</v>
      </c>
      <c r="C51" s="20">
        <v>1.2271850000000004</v>
      </c>
      <c r="D51" s="21">
        <v>116.89325000000071</v>
      </c>
      <c r="E51" s="22">
        <v>101.49009784939763</v>
      </c>
      <c r="F51" s="22">
        <v>488.54181472439524</v>
      </c>
      <c r="G51" s="22">
        <v>562.68780594511668</v>
      </c>
      <c r="H51" s="22">
        <v>2374.1318380000084</v>
      </c>
      <c r="I51" s="22">
        <v>2927.1539362553685</v>
      </c>
      <c r="J51" s="22">
        <v>553.02209825536011</v>
      </c>
      <c r="K51" s="21">
        <v>2364.4661303102516</v>
      </c>
    </row>
    <row r="52" spans="1:11" ht="14.1" customHeight="1">
      <c r="A52" s="15">
        <v>44651</v>
      </c>
      <c r="B52" s="25">
        <v>1.0468499999999998</v>
      </c>
      <c r="C52" s="20">
        <v>1.2143919600000004</v>
      </c>
      <c r="D52" s="21">
        <v>259.69003800000087</v>
      </c>
      <c r="E52" s="22">
        <v>248.0680498638782</v>
      </c>
      <c r="F52" s="22">
        <v>736.60986458827347</v>
      </c>
      <c r="G52" s="22">
        <v>771.12003674423397</v>
      </c>
      <c r="H52" s="22">
        <v>2633.8218760000091</v>
      </c>
      <c r="I52" s="22">
        <v>3135.5861670544855</v>
      </c>
      <c r="J52" s="22">
        <v>501.76429105447642</v>
      </c>
      <c r="K52" s="21">
        <v>2364.4661303102516</v>
      </c>
    </row>
    <row r="53" spans="1:11" ht="14.1" customHeight="1">
      <c r="A53" s="15">
        <v>44680</v>
      </c>
      <c r="B53" s="25">
        <v>0.83169999999999999</v>
      </c>
      <c r="C53" s="20">
        <v>1.1965680399999998</v>
      </c>
      <c r="D53" s="21">
        <v>565.5454619999997</v>
      </c>
      <c r="E53" s="22">
        <v>679.98732956594893</v>
      </c>
      <c r="F53" s="22">
        <v>1416.5971941542225</v>
      </c>
      <c r="G53" s="22">
        <v>1178.1838863780667</v>
      </c>
      <c r="H53" s="22">
        <v>3199.3673380000087</v>
      </c>
      <c r="I53" s="22">
        <v>3542.6500166883184</v>
      </c>
      <c r="J53" s="22">
        <v>343.28267868830972</v>
      </c>
      <c r="K53" s="21">
        <v>2364.4661303102516</v>
      </c>
    </row>
    <row r="54" spans="1:11" ht="14.1" customHeight="1">
      <c r="A54" s="15">
        <v>44712</v>
      </c>
      <c r="B54" s="25">
        <v>0.90644000000000002</v>
      </c>
      <c r="C54" s="20">
        <v>1.1732722399999995</v>
      </c>
      <c r="D54" s="21">
        <v>413.58997199999925</v>
      </c>
      <c r="E54" s="22">
        <v>456.27948016415786</v>
      </c>
      <c r="F54" s="22">
        <v>1872.8766743183803</v>
      </c>
      <c r="G54" s="22">
        <v>1697.6503326691527</v>
      </c>
      <c r="H54" s="22">
        <v>3612.957310000008</v>
      </c>
      <c r="I54" s="22">
        <v>4062.1164629794043</v>
      </c>
      <c r="J54" s="22">
        <v>449.15915297939637</v>
      </c>
      <c r="K54" s="21">
        <v>2364.4661303102516</v>
      </c>
    </row>
    <row r="55" spans="1:11" ht="14.1" customHeight="1">
      <c r="A55" s="15">
        <v>44742</v>
      </c>
      <c r="B55" s="25">
        <v>0.99066999999999994</v>
      </c>
      <c r="C55" s="20">
        <v>1.1474773999999999</v>
      </c>
      <c r="D55" s="21">
        <v>243.05146999999988</v>
      </c>
      <c r="E55" s="22">
        <v>245.34049683547488</v>
      </c>
      <c r="F55" s="22">
        <v>2118.2171711538554</v>
      </c>
      <c r="G55" s="22">
        <v>2098.4542049469896</v>
      </c>
      <c r="H55" s="22">
        <v>3856.0087800000078</v>
      </c>
      <c r="I55" s="22">
        <v>4462.9203352572413</v>
      </c>
      <c r="J55" s="22">
        <v>606.91155525723343</v>
      </c>
      <c r="K55" s="21">
        <v>2364.4661303102516</v>
      </c>
    </row>
    <row r="56" spans="1:11" ht="14.1" customHeight="1">
      <c r="A56" s="15">
        <v>44771</v>
      </c>
      <c r="B56" s="25">
        <v>1.01267</v>
      </c>
      <c r="C56" s="20">
        <v>1.1197452399999999</v>
      </c>
      <c r="D56" s="21">
        <v>165.96662199999986</v>
      </c>
      <c r="E56" s="22">
        <v>163.8901340021921</v>
      </c>
      <c r="F56" s="22">
        <v>2282.1073051560475</v>
      </c>
      <c r="G56" s="22">
        <v>2311.0216047123745</v>
      </c>
      <c r="H56" s="22">
        <v>4021.9754020000078</v>
      </c>
      <c r="I56" s="22">
        <v>4675.4877350226261</v>
      </c>
      <c r="J56" s="22">
        <v>653.51233302261835</v>
      </c>
      <c r="K56" s="21">
        <v>2364.4661303102516</v>
      </c>
    </row>
    <row r="57" spans="1:11" ht="14.1" customHeight="1">
      <c r="A57" s="15">
        <v>44804</v>
      </c>
      <c r="B57" s="25">
        <v>0.95750000000000002</v>
      </c>
      <c r="C57" s="20">
        <v>1.0955673599999998</v>
      </c>
      <c r="D57" s="21">
        <v>214.00440799999961</v>
      </c>
      <c r="E57" s="22">
        <v>223.50329817232335</v>
      </c>
      <c r="F57" s="22">
        <v>2505.6106033283709</v>
      </c>
      <c r="G57" s="22">
        <v>2399.1221526869153</v>
      </c>
      <c r="H57" s="22">
        <v>4235.9798100000071</v>
      </c>
      <c r="I57" s="22">
        <v>4763.588282997167</v>
      </c>
      <c r="J57" s="22">
        <v>527.60847299715988</v>
      </c>
      <c r="K57" s="21">
        <v>2364.4661303102516</v>
      </c>
    </row>
    <row r="58" spans="1:11" ht="14.1" customHeight="1">
      <c r="A58" s="15">
        <v>44834</v>
      </c>
      <c r="B58" s="25">
        <v>0.85887999999999998</v>
      </c>
      <c r="C58" s="20">
        <v>1.0694000799999999</v>
      </c>
      <c r="D58" s="21">
        <v>326.30612399999984</v>
      </c>
      <c r="E58" s="22">
        <v>379.92050577496258</v>
      </c>
      <c r="F58" s="22">
        <v>2885.5311091033336</v>
      </c>
      <c r="G58" s="22">
        <v>2478.3249589866709</v>
      </c>
      <c r="H58" s="22">
        <v>4562.2859340000068</v>
      </c>
      <c r="I58" s="22">
        <v>4842.791089296923</v>
      </c>
      <c r="J58" s="22">
        <v>280.5051552969162</v>
      </c>
      <c r="K58" s="21">
        <v>2364.4661303102516</v>
      </c>
    </row>
    <row r="59" spans="1:11" ht="14.1" customHeight="1">
      <c r="A59" s="15">
        <v>44865</v>
      </c>
      <c r="B59" s="25">
        <v>0.96957000000000004</v>
      </c>
      <c r="C59" s="20">
        <v>1.0510960000000003</v>
      </c>
      <c r="D59" s="21">
        <v>126.36530000000033</v>
      </c>
      <c r="E59" s="22">
        <v>130.33128087709019</v>
      </c>
      <c r="F59" s="22">
        <v>3015.8623899804238</v>
      </c>
      <c r="G59" s="22">
        <v>2924.0896974533198</v>
      </c>
      <c r="H59" s="22">
        <v>4688.6512340000072</v>
      </c>
      <c r="I59" s="22">
        <v>5288.5558277635719</v>
      </c>
      <c r="J59" s="22">
        <v>599.90459376356466</v>
      </c>
      <c r="K59" s="21">
        <v>2364.4661303102516</v>
      </c>
    </row>
    <row r="60" spans="1:11" ht="14.1" customHeight="1">
      <c r="A60" s="15">
        <v>44895</v>
      </c>
      <c r="B60" s="25">
        <v>0.99405999999999994</v>
      </c>
      <c r="C60" s="20">
        <v>1.0321424800000001</v>
      </c>
      <c r="D60" s="21">
        <v>59.027844000000215</v>
      </c>
      <c r="E60" s="22">
        <v>59.380564553447698</v>
      </c>
      <c r="F60" s="22">
        <v>3075.2429545338714</v>
      </c>
      <c r="G60" s="22">
        <v>3056.9760113839402</v>
      </c>
      <c r="H60" s="22">
        <v>4747.6790780000074</v>
      </c>
      <c r="I60" s="22">
        <v>5421.4421416941914</v>
      </c>
      <c r="J60" s="22">
        <v>673.76306369418398</v>
      </c>
      <c r="K60" s="21">
        <v>2364.4661303102516</v>
      </c>
    </row>
    <row r="61" spans="1:11" ht="14.1" customHeight="1">
      <c r="A61" s="15">
        <v>44925</v>
      </c>
      <c r="B61" s="25">
        <v>0.95635000000000003</v>
      </c>
      <c r="C61" s="20">
        <v>1.00955072</v>
      </c>
      <c r="D61" s="21">
        <v>82.461115999999961</v>
      </c>
      <c r="E61" s="22">
        <v>86.224829821717947</v>
      </c>
      <c r="F61" s="22">
        <v>3161.4677843555892</v>
      </c>
      <c r="G61" s="22">
        <v>3023.469715568468</v>
      </c>
      <c r="H61" s="22">
        <v>4830.1401940000078</v>
      </c>
      <c r="I61" s="22">
        <v>5387.9358458787192</v>
      </c>
      <c r="J61" s="22">
        <v>557.7956518787114</v>
      </c>
      <c r="K61" s="21">
        <v>2364.4661303102516</v>
      </c>
    </row>
    <row r="62" spans="1:11" ht="14.1" customHeight="1">
      <c r="A62" s="15">
        <v>44957</v>
      </c>
      <c r="B62" s="25">
        <v>1.08087</v>
      </c>
      <c r="C62" s="20">
        <v>0.9958413599999999</v>
      </c>
      <c r="D62" s="21">
        <v>-131.79439200000016</v>
      </c>
      <c r="E62" s="22">
        <v>-121.93362013933235</v>
      </c>
      <c r="F62" s="22">
        <v>3039.5341642162566</v>
      </c>
      <c r="G62" s="22">
        <v>3285.3412920764254</v>
      </c>
      <c r="H62" s="22">
        <v>4830.1401940000078</v>
      </c>
      <c r="I62" s="22">
        <v>5781.6018143866768</v>
      </c>
      <c r="J62" s="22">
        <v>951.46162038666898</v>
      </c>
      <c r="K62" s="21">
        <v>2496.2605223102519</v>
      </c>
    </row>
    <row r="63" spans="1:11" ht="14.1" customHeight="1">
      <c r="A63" s="15">
        <v>44985</v>
      </c>
      <c r="B63" s="25">
        <v>1.16859</v>
      </c>
      <c r="C63" s="20">
        <v>0.99612511999999998</v>
      </c>
      <c r="D63" s="21">
        <v>-267.32056400000005</v>
      </c>
      <c r="E63" s="22">
        <v>-228.75479338347927</v>
      </c>
      <c r="F63" s="22">
        <v>2810.7793708327772</v>
      </c>
      <c r="G63" s="22">
        <v>3284.6486649614753</v>
      </c>
      <c r="H63" s="22">
        <v>4830.1401940000078</v>
      </c>
      <c r="I63" s="22">
        <v>6048.2297512717269</v>
      </c>
      <c r="J63" s="22">
        <v>1218.0895572717191</v>
      </c>
      <c r="K63" s="21">
        <v>2763.581086310252</v>
      </c>
    </row>
    <row r="64" spans="1:11" ht="14.1" customHeight="1">
      <c r="A64" s="15">
        <v>45016</v>
      </c>
      <c r="B64" s="25">
        <v>1.2989900000000001</v>
      </c>
      <c r="C64" s="20">
        <v>1.0068202799999997</v>
      </c>
      <c r="D64" s="21">
        <v>-452.86306600000063</v>
      </c>
      <c r="E64" s="22">
        <v>-348.62706102433475</v>
      </c>
      <c r="F64" s="22">
        <v>2462.1523098084426</v>
      </c>
      <c r="G64" s="22">
        <v>3198.311228918069</v>
      </c>
      <c r="H64" s="22">
        <v>4830.1401940000078</v>
      </c>
      <c r="I64" s="22">
        <v>6414.7553812283222</v>
      </c>
      <c r="J64" s="22">
        <v>1584.6151872283144</v>
      </c>
      <c r="K64" s="21">
        <v>3216.4441523102528</v>
      </c>
    </row>
    <row r="65" spans="1:11" ht="14.1" customHeight="1">
      <c r="A65" s="15">
        <v>45044</v>
      </c>
      <c r="B65" s="25">
        <v>1.22841</v>
      </c>
      <c r="C65" s="20">
        <v>1.0281103199999995</v>
      </c>
      <c r="D65" s="21">
        <v>-310.46450400000083</v>
      </c>
      <c r="E65" s="22">
        <v>-252.73687449630077</v>
      </c>
      <c r="F65" s="22">
        <v>2209.4154353121417</v>
      </c>
      <c r="G65" s="22">
        <v>2714.0680148917882</v>
      </c>
      <c r="H65" s="22">
        <v>4830.1401940000078</v>
      </c>
      <c r="I65" s="22">
        <v>6240.9766712020419</v>
      </c>
      <c r="J65" s="22">
        <v>1410.8364772020341</v>
      </c>
      <c r="K65" s="21">
        <v>3526.9086563102537</v>
      </c>
    </row>
    <row r="66" spans="1:11" ht="12.75">
      <c r="A66" s="15">
        <v>45077</v>
      </c>
      <c r="B66" s="25">
        <v>1.2987200000000001</v>
      </c>
      <c r="C66" s="20">
        <v>1.0590856</v>
      </c>
      <c r="D66" s="21">
        <v>-371.43332000000021</v>
      </c>
      <c r="E66" s="22">
        <v>-285.99953800665287</v>
      </c>
      <c r="F66" s="22">
        <v>1923.4158973054887</v>
      </c>
      <c r="G66" s="22">
        <v>2497.9786941485845</v>
      </c>
      <c r="H66" s="22">
        <v>4830.1401940000078</v>
      </c>
      <c r="I66" s="22">
        <v>6396.3206704588383</v>
      </c>
      <c r="J66" s="22">
        <v>1566.1804764588305</v>
      </c>
      <c r="K66" s="21">
        <v>3898.3419763102538</v>
      </c>
    </row>
    <row r="67" spans="1:11" ht="12.75">
      <c r="A67" s="15">
        <v>45107</v>
      </c>
      <c r="B67" s="25">
        <v>1.32033</v>
      </c>
      <c r="C67" s="20">
        <v>1.0924141600000008</v>
      </c>
      <c r="D67" s="21">
        <v>-353.26955199999878</v>
      </c>
      <c r="E67" s="22">
        <v>-267.56155809532373</v>
      </c>
      <c r="F67" s="22">
        <v>1655.8543392101649</v>
      </c>
      <c r="G67" s="22">
        <v>2186.274159689357</v>
      </c>
      <c r="H67" s="22">
        <v>4830.1401940000078</v>
      </c>
      <c r="I67" s="22">
        <v>6437.8856879996092</v>
      </c>
      <c r="J67" s="22">
        <v>1607.7454939996014</v>
      </c>
      <c r="K67" s="21">
        <v>4251.6115283102527</v>
      </c>
    </row>
    <row r="68" spans="1:11" ht="12.75">
      <c r="A68" s="15">
        <v>45138</v>
      </c>
      <c r="B68" s="25">
        <v>1.25888</v>
      </c>
      <c r="C68" s="20">
        <v>1.1188947600000003</v>
      </c>
      <c r="D68" s="21">
        <v>-216.9771219999995</v>
      </c>
      <c r="E68" s="22">
        <v>-172.35727154295842</v>
      </c>
      <c r="F68" s="22">
        <v>1483.4970676672065</v>
      </c>
      <c r="G68" s="22">
        <v>1867.544788544893</v>
      </c>
      <c r="H68" s="22">
        <v>4830.1401940000078</v>
      </c>
      <c r="I68" s="22">
        <v>6336.133438855145</v>
      </c>
      <c r="J68" s="22">
        <v>1505.9932448551372</v>
      </c>
      <c r="K68" s="21">
        <v>4468.588650310252</v>
      </c>
    </row>
    <row r="69" spans="1:11" ht="12.75">
      <c r="A69" s="15">
        <v>45169</v>
      </c>
      <c r="B69" s="25">
        <v>1.25305</v>
      </c>
      <c r="C69" s="20">
        <v>1.1386268800000001</v>
      </c>
      <c r="D69" s="21">
        <v>-177.35583599999981</v>
      </c>
      <c r="E69" s="22">
        <v>-141.53931287658099</v>
      </c>
      <c r="F69" s="22">
        <v>1341.9577547906256</v>
      </c>
      <c r="G69" s="22">
        <v>1681.5401646403934</v>
      </c>
      <c r="H69" s="22">
        <v>4830.1401940000078</v>
      </c>
      <c r="I69" s="22">
        <v>6327.4846509506451</v>
      </c>
      <c r="J69" s="22">
        <v>1497.3444569506373</v>
      </c>
      <c r="K69" s="21">
        <v>4645.9444863102517</v>
      </c>
    </row>
    <row r="70" spans="1:11" ht="12.75">
      <c r="A70" s="15">
        <v>45197</v>
      </c>
      <c r="B70" s="25">
        <v>1.2315999999999998</v>
      </c>
      <c r="C70" s="20">
        <v>1.1595792</v>
      </c>
      <c r="D70" s="21">
        <v>-111.63223999999965</v>
      </c>
      <c r="E70" s="22">
        <v>-90.640012991230648</v>
      </c>
      <c r="F70" s="22">
        <v>1251.317741799395</v>
      </c>
      <c r="G70" s="22">
        <v>1541.1229308001346</v>
      </c>
      <c r="H70" s="22">
        <v>4830.1401940000078</v>
      </c>
      <c r="I70" s="22">
        <v>6298.6996571103864</v>
      </c>
      <c r="J70" s="22">
        <v>1468.5594631103786</v>
      </c>
      <c r="K70" s="21">
        <v>4757.5767263102516</v>
      </c>
    </row>
    <row r="71" spans="1:11" ht="12.75">
      <c r="A71" s="15">
        <v>45230</v>
      </c>
      <c r="B71" s="25">
        <v>1.2139500000000001</v>
      </c>
      <c r="C71" s="20">
        <v>1.18105912</v>
      </c>
      <c r="D71" s="21">
        <v>-50.980864000000103</v>
      </c>
      <c r="E71" s="22">
        <v>-41.995851558960503</v>
      </c>
      <c r="F71" s="22">
        <v>1209.3218902404344</v>
      </c>
      <c r="G71" s="22">
        <v>1468.0563086573754</v>
      </c>
      <c r="H71" s="22">
        <v>4830.1401940000078</v>
      </c>
      <c r="I71" s="22">
        <v>6276.6138989676274</v>
      </c>
      <c r="J71" s="22">
        <v>1446.4737049676196</v>
      </c>
      <c r="K71" s="21">
        <v>4808.5575903102517</v>
      </c>
    </row>
    <row r="72" spans="1:11" ht="12.75">
      <c r="A72" s="15">
        <v>45260</v>
      </c>
      <c r="B72" s="25">
        <v>1.2765299999999999</v>
      </c>
      <c r="C72" s="20">
        <v>1.2071982400000003</v>
      </c>
      <c r="D72" s="21">
        <v>-107.46422799999942</v>
      </c>
      <c r="E72" s="22">
        <v>-84.18464744267618</v>
      </c>
      <c r="F72" s="22">
        <v>1125.1372427977583</v>
      </c>
      <c r="G72" s="22">
        <v>1436.2714445486224</v>
      </c>
      <c r="H72" s="22">
        <v>4830.1401940000078</v>
      </c>
      <c r="I72" s="22">
        <v>6352.2932628588742</v>
      </c>
      <c r="J72" s="22">
        <v>1522.1530688588664</v>
      </c>
      <c r="K72" s="21">
        <v>4916.0218183102515</v>
      </c>
    </row>
    <row r="73" spans="1:11" ht="12.75">
      <c r="A73" s="15">
        <v>45289</v>
      </c>
      <c r="B73" s="25">
        <v>1.2663900000000001</v>
      </c>
      <c r="C73" s="20">
        <v>1.2301022400000003</v>
      </c>
      <c r="D73" s="21">
        <v>-56.246027999999662</v>
      </c>
      <c r="E73" s="22">
        <v>-44.414460000473518</v>
      </c>
      <c r="F73" s="22">
        <v>1080.7227827972847</v>
      </c>
      <c r="G73" s="22">
        <v>1368.6165249066535</v>
      </c>
      <c r="H73" s="22">
        <v>4830.1401940000078</v>
      </c>
      <c r="I73" s="22">
        <v>6340.8843712169046</v>
      </c>
      <c r="J73" s="22">
        <v>1510.7441772168968</v>
      </c>
      <c r="K73" s="21">
        <v>4972.2678463102511</v>
      </c>
    </row>
    <row r="74" spans="1:11" ht="12.75">
      <c r="A74" s="15">
        <v>45322</v>
      </c>
      <c r="B74" s="25">
        <v>0.96689999999999998</v>
      </c>
      <c r="C74" s="20">
        <v>1.2432395200000002</v>
      </c>
      <c r="D74" s="21">
        <v>428.32625600000028</v>
      </c>
      <c r="E74" s="22">
        <v>442.98919846933529</v>
      </c>
      <c r="F74" s="22">
        <v>1523.7119812666201</v>
      </c>
      <c r="G74" s="22">
        <v>1473.2771146866949</v>
      </c>
      <c r="H74" s="22">
        <v>5258.4664500000081</v>
      </c>
      <c r="I74" s="22">
        <v>6445.5449609969455</v>
      </c>
      <c r="J74" s="22">
        <v>1187.0785109969374</v>
      </c>
      <c r="K74" s="21">
        <v>4972.2678463102511</v>
      </c>
    </row>
    <row r="75" spans="1:11" ht="12.75">
      <c r="A75" s="15">
        <v>45351</v>
      </c>
      <c r="B75" s="25">
        <v>1.0978699999999999</v>
      </c>
      <c r="C75" s="20">
        <v>1.2326303600000001</v>
      </c>
      <c r="D75" s="21">
        <v>208.87855800000037</v>
      </c>
      <c r="E75" s="22">
        <v>190.25800686784444</v>
      </c>
      <c r="F75" s="22">
        <v>1713.9699881344645</v>
      </c>
      <c r="G75" s="22">
        <v>1881.7162308731845</v>
      </c>
      <c r="H75" s="22">
        <v>5467.3450080000084</v>
      </c>
      <c r="I75" s="22">
        <v>6853.9840771834351</v>
      </c>
      <c r="J75" s="22">
        <v>1386.6390691834267</v>
      </c>
      <c r="K75" s="21">
        <v>4972.2678463102511</v>
      </c>
    </row>
    <row r="76" spans="1:11" ht="12.75">
      <c r="A76" s="15">
        <v>45380</v>
      </c>
      <c r="B76" s="25">
        <v>1.1385699999999999</v>
      </c>
      <c r="C76" s="20">
        <v>1.2300079999999995</v>
      </c>
      <c r="D76" s="21">
        <v>141.72889999999953</v>
      </c>
      <c r="E76" s="22">
        <v>124.4797421326748</v>
      </c>
      <c r="F76" s="22">
        <v>1838.4497302671393</v>
      </c>
      <c r="G76" s="22">
        <v>2093.2037093902568</v>
      </c>
      <c r="H76" s="22">
        <v>5609.0739080000076</v>
      </c>
      <c r="I76" s="22">
        <v>7065.4715557005075</v>
      </c>
      <c r="J76" s="22">
        <v>1456.3976477004999</v>
      </c>
      <c r="K76" s="21">
        <v>4972.2678463102511</v>
      </c>
    </row>
    <row r="77" spans="1:11" ht="12.75">
      <c r="A77" s="15">
        <v>45412</v>
      </c>
      <c r="B77" s="25">
        <v>1.08613</v>
      </c>
      <c r="C77" s="20">
        <v>1.2097886800000002</v>
      </c>
      <c r="D77" s="21">
        <v>191.67095400000019</v>
      </c>
      <c r="E77" s="22">
        <v>176.47146658319002</v>
      </c>
      <c r="F77" s="22">
        <v>2014.9211968503294</v>
      </c>
      <c r="G77" s="22">
        <v>2188.4663595350485</v>
      </c>
      <c r="H77" s="22">
        <v>5800.7448620000077</v>
      </c>
      <c r="I77" s="22">
        <v>7160.7342058452996</v>
      </c>
      <c r="J77" s="22">
        <v>1359.9893438452918</v>
      </c>
      <c r="K77" s="21">
        <v>4972.2678463102511</v>
      </c>
    </row>
    <row r="78" spans="1:11" ht="12.75">
      <c r="A78" s="15">
        <v>45443</v>
      </c>
      <c r="B78" s="25">
        <v>1.0215700000000001</v>
      </c>
      <c r="C78" s="20">
        <v>1.1943829999999998</v>
      </c>
      <c r="D78" s="21">
        <v>267.86014999999946</v>
      </c>
      <c r="E78" s="22">
        <v>262.20440106894233</v>
      </c>
      <c r="F78" s="22">
        <v>2277.1255979192715</v>
      </c>
      <c r="G78" s="22">
        <v>2326.2431970663906</v>
      </c>
      <c r="H78" s="22">
        <v>6068.6050120000073</v>
      </c>
      <c r="I78" s="22">
        <v>7298.5110433766422</v>
      </c>
      <c r="J78" s="22">
        <v>1229.9060313766349</v>
      </c>
      <c r="K78" s="21">
        <v>4972.2678463102511</v>
      </c>
    </row>
    <row r="79" spans="1:11" ht="12.75">
      <c r="A79" s="15">
        <v>45471</v>
      </c>
      <c r="B79" s="25">
        <v>0.95643</v>
      </c>
      <c r="C79" s="20">
        <v>1.16957004</v>
      </c>
      <c r="D79" s="21">
        <v>330.36706199999998</v>
      </c>
      <c r="E79" s="22">
        <v>345.41687525485395</v>
      </c>
      <c r="F79" s="22">
        <v>2622.5424731741255</v>
      </c>
      <c r="G79" s="22">
        <v>2508.2782976179287</v>
      </c>
      <c r="H79" s="22">
        <v>6398.9720740000075</v>
      </c>
      <c r="I79" s="22">
        <v>7480.5461439281798</v>
      </c>
      <c r="J79" s="22">
        <v>1081.5740699281723</v>
      </c>
      <c r="K79" s="21">
        <v>4972.2678463102511</v>
      </c>
    </row>
    <row r="80" spans="1:11" ht="12.75">
      <c r="A80" s="15">
        <v>45504</v>
      </c>
      <c r="B80" s="25">
        <v>0.97935000000000005</v>
      </c>
      <c r="C80" s="20">
        <v>1.1347305599999995</v>
      </c>
      <c r="D80" s="21">
        <v>240.83986799999914</v>
      </c>
      <c r="E80" s="22">
        <v>245.91807627507953</v>
      </c>
      <c r="F80" s="22">
        <v>2868.4605494492048</v>
      </c>
      <c r="G80" s="22">
        <v>2809.2268391030789</v>
      </c>
      <c r="H80" s="22">
        <v>6639.8119420000066</v>
      </c>
      <c r="I80" s="22">
        <v>7781.4946854133304</v>
      </c>
      <c r="J80" s="22">
        <v>1141.6827434133238</v>
      </c>
      <c r="K80" s="21">
        <v>4972.2678463102511</v>
      </c>
    </row>
    <row r="81" spans="1:11" ht="12.75">
      <c r="A81" s="15">
        <v>45534</v>
      </c>
      <c r="B81" s="25">
        <v>0.93902999999999992</v>
      </c>
      <c r="C81" s="20">
        <v>1.1062063599999989</v>
      </c>
      <c r="D81" s="21">
        <v>259.12335799999846</v>
      </c>
      <c r="E81" s="22">
        <v>275.9479015579891</v>
      </c>
      <c r="F81" s="22">
        <v>3144.4084510071939</v>
      </c>
      <c r="G81" s="22">
        <v>2952.6938677492849</v>
      </c>
      <c r="H81" s="22">
        <v>6898.9353000000046</v>
      </c>
      <c r="I81" s="22">
        <v>7924.9617140595365</v>
      </c>
      <c r="J81" s="22">
        <v>1026.0264140595318</v>
      </c>
      <c r="K81" s="21">
        <v>4972.2678463102511</v>
      </c>
    </row>
    <row r="82" spans="1:11" ht="12.75">
      <c r="A82" s="15">
        <v>45565</v>
      </c>
      <c r="B82" s="25">
        <v>1.2181600000000001</v>
      </c>
      <c r="C82" s="20">
        <v>1.0854110799999994</v>
      </c>
      <c r="D82" s="21">
        <v>-205.76082600000112</v>
      </c>
      <c r="E82" s="22">
        <v>-168.91116602088485</v>
      </c>
      <c r="F82" s="22">
        <v>2975.4972849863088</v>
      </c>
      <c r="G82" s="22">
        <v>3624.6317726789225</v>
      </c>
      <c r="H82" s="22">
        <v>6898.9353000000046</v>
      </c>
      <c r="I82" s="22">
        <v>8802.6604449891747</v>
      </c>
      <c r="J82" s="22">
        <v>1903.7251449891701</v>
      </c>
      <c r="K82" s="21">
        <v>5178.0286723102527</v>
      </c>
    </row>
    <row r="83" spans="1:11" ht="12.75">
      <c r="A83" s="15">
        <v>45596</v>
      </c>
      <c r="B83" s="25">
        <v>1.3863099999999999</v>
      </c>
      <c r="C83" s="20">
        <v>1.0904455599999994</v>
      </c>
      <c r="D83" s="21">
        <v>-458.5898820000009</v>
      </c>
      <c r="E83" s="22">
        <v>-330.79894251646522</v>
      </c>
      <c r="F83" s="22">
        <v>2644.6983424698437</v>
      </c>
      <c r="G83" s="22">
        <v>3666.3717591493687</v>
      </c>
      <c r="H83" s="22">
        <v>6898.9353000000046</v>
      </c>
      <c r="I83" s="22">
        <v>9302.9903134596225</v>
      </c>
      <c r="J83" s="22">
        <v>2404.0550134596178</v>
      </c>
      <c r="K83" s="21">
        <v>5636.6185543102538</v>
      </c>
    </row>
    <row r="84" spans="1:11" ht="12.75">
      <c r="A84" s="15">
        <v>45625</v>
      </c>
      <c r="B84" s="25">
        <v>1.46269</v>
      </c>
      <c r="C84" s="20">
        <v>1.1046611600000003</v>
      </c>
      <c r="D84" s="21">
        <v>-554.94470199999967</v>
      </c>
      <c r="E84" s="22">
        <v>-379.40007930593606</v>
      </c>
      <c r="F84" s="22">
        <v>2265.2982631639079</v>
      </c>
      <c r="G84" s="22">
        <v>3313.4291165472164</v>
      </c>
      <c r="H84" s="22">
        <v>6898.9353000000046</v>
      </c>
      <c r="I84" s="22">
        <v>9504.9923728574704</v>
      </c>
      <c r="J84" s="22">
        <v>2606.0570728574658</v>
      </c>
      <c r="K84" s="21">
        <v>6191.5632563102536</v>
      </c>
    </row>
    <row r="85" spans="1:11" ht="12.75">
      <c r="A85" s="15">
        <v>45657</v>
      </c>
      <c r="B85" s="25">
        <v>1.3846400000000001</v>
      </c>
      <c r="C85" s="20">
        <v>1.1212557200000004</v>
      </c>
      <c r="D85" s="21">
        <v>-408.24563399999954</v>
      </c>
      <c r="E85" s="22">
        <v>-294.83882742084552</v>
      </c>
      <c r="F85" s="22">
        <v>1970.4594357430624</v>
      </c>
      <c r="G85" s="22">
        <v>2728.3769531072739</v>
      </c>
      <c r="H85" s="22">
        <v>6898.9353000000046</v>
      </c>
      <c r="I85" s="22">
        <v>9328.1858434175265</v>
      </c>
      <c r="J85" s="22">
        <v>2429.2505434175218</v>
      </c>
      <c r="K85" s="21">
        <v>6599.8088903102534</v>
      </c>
    </row>
    <row r="86" spans="1:11" ht="12.75">
      <c r="A86" s="15">
        <v>45684</v>
      </c>
      <c r="B86" s="25">
        <v>1.38998</v>
      </c>
      <c r="C86" s="20">
        <v>1.1301867999999995</v>
      </c>
      <c r="D86" s="21">
        <v>-402.6794600000008</v>
      </c>
      <c r="E86" s="22">
        <v>-289.70162160606685</v>
      </c>
      <c r="F86" s="22">
        <v>1680.7578141369954</v>
      </c>
      <c r="G86" s="22">
        <v>2336.219746494141</v>
      </c>
      <c r="H86" s="22">
        <v>6898.9353000000046</v>
      </c>
      <c r="I86" s="22">
        <v>9338.7080968043956</v>
      </c>
      <c r="J86" s="22">
        <v>2439.772796804391</v>
      </c>
      <c r="K86" s="21">
        <v>7002.4883503102546</v>
      </c>
    </row>
    <row r="87" spans="1:11" ht="12.75">
      <c r="A87" s="15">
        <v>45716</v>
      </c>
      <c r="B87" s="25">
        <v>1.58121</v>
      </c>
      <c r="C87" s="20">
        <v>1.1721302800000002</v>
      </c>
      <c r="D87" s="21">
        <v>-634.07356599999969</v>
      </c>
      <c r="E87" s="22">
        <v>-401.00528456055787</v>
      </c>
      <c r="F87" s="22">
        <v>1279.7525295764376</v>
      </c>
      <c r="G87" s="22">
        <v>2023.557497291559</v>
      </c>
      <c r="H87" s="22">
        <v>6898.9353000000046</v>
      </c>
      <c r="I87" s="22">
        <v>9660.119413601813</v>
      </c>
      <c r="J87" s="22">
        <v>2761.1841136018083</v>
      </c>
      <c r="K87" s="21">
        <v>7636.5619163102547</v>
      </c>
    </row>
    <row r="88" spans="1:11" ht="12.75">
      <c r="A88" s="15">
        <v>45747</v>
      </c>
      <c r="B88" s="25">
        <v>1.5429600000000001</v>
      </c>
      <c r="C88" s="20">
        <v>1.21761052</v>
      </c>
      <c r="D88" s="21">
        <v>-504.29169400000012</v>
      </c>
      <c r="E88" s="22">
        <v>-326.83393866334842</v>
      </c>
      <c r="F88" s="22">
        <v>952.91859091308925</v>
      </c>
      <c r="G88" s="22">
        <v>1470.3152690352604</v>
      </c>
      <c r="H88" s="22">
        <v>6898.9353000000046</v>
      </c>
      <c r="I88" s="22">
        <v>9611.168879345516</v>
      </c>
      <c r="J88" s="22">
        <v>2712.2335793455113</v>
      </c>
      <c r="K88" s="21">
        <v>8140.8536103102551</v>
      </c>
    </row>
    <row r="89" spans="1:11" ht="12.75">
      <c r="A89" s="15">
        <v>45777</v>
      </c>
      <c r="B89" s="25">
        <v>1.4810300000000001</v>
      </c>
      <c r="C89" s="20">
        <v>1.2460871999999994</v>
      </c>
      <c r="D89" s="21">
        <v>-364.16134000000102</v>
      </c>
      <c r="E89" s="22">
        <v>-245.88383759950912</v>
      </c>
      <c r="F89" s="22">
        <v>707.03475331358015</v>
      </c>
      <c r="G89" s="22">
        <v>1047.1396807000117</v>
      </c>
      <c r="H89" s="22">
        <v>6898.9353000000046</v>
      </c>
      <c r="I89" s="22">
        <v>9552.1546310102676</v>
      </c>
      <c r="J89" s="22">
        <v>2653.219331010263</v>
      </c>
      <c r="K89" s="21">
        <v>8505.0149503102566</v>
      </c>
    </row>
    <row r="90" spans="1:11" ht="12.75">
      <c r="A90" s="15">
        <v>45807</v>
      </c>
      <c r="B90" s="25">
        <v>1.53925</v>
      </c>
      <c r="C90" s="20">
        <v>1.282875679999999</v>
      </c>
      <c r="D90" s="21">
        <v>-397.3801960000016</v>
      </c>
      <c r="E90" s="22">
        <v>-258.16481793081152</v>
      </c>
      <c r="F90" s="22">
        <v>448.86993538276863</v>
      </c>
      <c r="G90" s="22">
        <v>690.92304803792661</v>
      </c>
      <c r="H90" s="22">
        <v>6898.9353000000046</v>
      </c>
      <c r="I90" s="22">
        <v>9593.318194348185</v>
      </c>
      <c r="J90" s="22">
        <v>2694.3828943481803</v>
      </c>
      <c r="K90" s="21">
        <v>8902.3951463102585</v>
      </c>
    </row>
    <row r="91" spans="1:11" ht="12.75">
      <c r="A91" s="15">
        <v>45838</v>
      </c>
      <c r="B91" s="25">
        <v>1.6513</v>
      </c>
      <c r="C91" s="20">
        <v>1.3296850799999993</v>
      </c>
      <c r="D91" s="21">
        <v>-498.50312600000109</v>
      </c>
      <c r="E91" s="22">
        <v>-301.88525767577124</v>
      </c>
      <c r="F91" s="22">
        <v>146.98467770699739</v>
      </c>
      <c r="G91" s="22">
        <v>242.71579829756479</v>
      </c>
      <c r="H91" s="22">
        <v>6898.9353000000046</v>
      </c>
      <c r="I91" s="22">
        <v>9643.614070607824</v>
      </c>
      <c r="J91" s="22">
        <v>2744.6787706078194</v>
      </c>
      <c r="K91" s="21">
        <v>9400.8982723102599</v>
      </c>
    </row>
    <row r="92" spans="1:11" ht="12.75">
      <c r="A92" s="15">
        <v>45869</v>
      </c>
      <c r="B92" s="25">
        <v>1.72895</v>
      </c>
      <c r="C92" s="20">
        <v>1.3976433199999996</v>
      </c>
      <c r="D92" s="21">
        <v>-254.12915852151312</v>
      </c>
      <c r="E92" s="22">
        <v>-146.98467770699739</v>
      </c>
      <c r="F92" s="22">
        <v>0</v>
      </c>
      <c r="G92" s="22">
        <v>0</v>
      </c>
      <c r="H92" s="22">
        <v>6898.9353000000046</v>
      </c>
      <c r="I92" s="22">
        <v>9655.027430831773</v>
      </c>
      <c r="J92" s="22">
        <v>2756.0921308317684</v>
      </c>
      <c r="K92" s="21">
        <v>9655.027430831773</v>
      </c>
    </row>
    <row r="93" spans="1:11" ht="12.75">
      <c r="A93" s="15">
        <v>45898</v>
      </c>
      <c r="B93" s="25">
        <v>1.9015899999999999</v>
      </c>
      <c r="C93" s="20">
        <v>1.4737925600000001</v>
      </c>
      <c r="D93" s="21">
        <v>0</v>
      </c>
      <c r="E93" s="22">
        <v>0</v>
      </c>
      <c r="F93" s="22">
        <v>0</v>
      </c>
      <c r="G93" s="22">
        <v>0</v>
      </c>
      <c r="H93" s="22">
        <v>6898.9353000000046</v>
      </c>
      <c r="I93" s="22">
        <v>9655.027430831773</v>
      </c>
      <c r="J93" s="22">
        <v>2756.0921308317684</v>
      </c>
      <c r="K93" s="21">
        <v>9655.027430831773</v>
      </c>
    </row>
    <row r="94" spans="1:11" ht="12.75">
      <c r="A94" s="15">
        <v>45930</v>
      </c>
      <c r="B94" s="25">
        <v>1.87385</v>
      </c>
      <c r="C94" s="20">
        <v>1.5571432000000014</v>
      </c>
      <c r="D94" s="21">
        <v>0</v>
      </c>
      <c r="E94" s="22">
        <v>0</v>
      </c>
      <c r="F94" s="22">
        <v>0</v>
      </c>
      <c r="G94" s="22">
        <v>0</v>
      </c>
      <c r="H94" s="22">
        <v>6898.9353000000046</v>
      </c>
      <c r="I94" s="22">
        <v>9655.027430831773</v>
      </c>
      <c r="J94" s="22">
        <v>2756.0921308317684</v>
      </c>
      <c r="K94" s="21">
        <v>9655.027430831773</v>
      </c>
    </row>
    <row r="95" spans="1:11" ht="12.75">
      <c r="A95" s="15">
        <v>45961</v>
      </c>
      <c r="B95" s="25">
        <v>1.88497</v>
      </c>
      <c r="C95" s="20">
        <v>1.6029035600000012</v>
      </c>
      <c r="D95" s="21">
        <v>0</v>
      </c>
      <c r="E95" s="22">
        <v>0</v>
      </c>
      <c r="F95" s="22">
        <v>0</v>
      </c>
      <c r="G95" s="22">
        <v>0</v>
      </c>
      <c r="H95" s="22">
        <v>6898.9353000000046</v>
      </c>
      <c r="I95" s="22">
        <v>9655.027430831773</v>
      </c>
      <c r="J95" s="22">
        <v>2756.0921308317684</v>
      </c>
      <c r="K95" s="21">
        <v>9655.027430831773</v>
      </c>
    </row>
    <row r="96" spans="1:11" ht="12.75">
      <c r="A96" s="15">
        <v>45989</v>
      </c>
      <c r="B96" s="25">
        <v>1.87002</v>
      </c>
      <c r="C96" s="20">
        <v>1.6419015200000018</v>
      </c>
      <c r="D96" s="21">
        <v>0</v>
      </c>
      <c r="E96" s="22">
        <v>0</v>
      </c>
      <c r="F96" s="22">
        <v>0</v>
      </c>
      <c r="G96" s="22">
        <v>0</v>
      </c>
      <c r="H96" s="22">
        <v>6898.9353000000046</v>
      </c>
      <c r="I96" s="22">
        <v>9655.027430831773</v>
      </c>
      <c r="J96" s="22">
        <v>2756.0921308317684</v>
      </c>
      <c r="K96" s="21">
        <v>9655.027430831773</v>
      </c>
    </row>
    <row r="97" spans="1:11" ht="12.75">
      <c r="A97" s="15">
        <v>46022</v>
      </c>
      <c r="B97" s="25">
        <v>1.87721</v>
      </c>
      <c r="C97" s="20">
        <v>1.6746592000000005</v>
      </c>
      <c r="D97" s="21">
        <v>0</v>
      </c>
      <c r="E97" s="22">
        <v>0</v>
      </c>
      <c r="F97" s="22">
        <v>0</v>
      </c>
      <c r="G97" s="22">
        <v>0</v>
      </c>
      <c r="H97" s="22">
        <v>6898.9353000000046</v>
      </c>
      <c r="I97" s="22">
        <v>9655.027430831773</v>
      </c>
      <c r="J97" s="22">
        <v>2756.0921308317684</v>
      </c>
      <c r="K97" s="21">
        <v>9655.027430831773</v>
      </c>
    </row>
    <row r="98" spans="1:11" ht="12.75">
      <c r="A98" s="15">
        <v>46052</v>
      </c>
      <c r="B98" s="25">
        <v>2.0358800000000001</v>
      </c>
      <c r="C98" s="20">
        <v>1.7296812799999999</v>
      </c>
      <c r="D98" s="21">
        <v>0</v>
      </c>
      <c r="E98" s="22">
        <v>0</v>
      </c>
      <c r="F98" s="22">
        <v>0</v>
      </c>
      <c r="G98" s="22">
        <v>0</v>
      </c>
      <c r="H98" s="22">
        <v>6898.9353000000046</v>
      </c>
      <c r="I98" s="22">
        <v>9655.027430831773</v>
      </c>
      <c r="J98" s="22">
        <v>2756.0921308317684</v>
      </c>
      <c r="K98" s="21">
        <v>9655.027430831773</v>
      </c>
    </row>
    <row r="99" spans="1:11" ht="12.75">
      <c r="A99" s="15">
        <v>46080</v>
      </c>
      <c r="B99" s="25">
        <v>2.0871900000000001</v>
      </c>
      <c r="C99" s="20">
        <v>1.7625963599999996</v>
      </c>
      <c r="D99" s="21">
        <v>0</v>
      </c>
      <c r="E99" s="22">
        <v>0</v>
      </c>
      <c r="F99" s="22">
        <v>0</v>
      </c>
      <c r="G99" s="22">
        <v>0</v>
      </c>
      <c r="H99" s="22">
        <v>6898.9353000000046</v>
      </c>
      <c r="I99" s="22">
        <v>9655.027430831773</v>
      </c>
      <c r="J99" s="22">
        <v>2756.0921308317684</v>
      </c>
      <c r="K99" s="21">
        <v>9655.027430831773</v>
      </c>
    </row>
    <row r="100" spans="1:11" ht="12.75">
      <c r="A100" s="15">
        <v>46112</v>
      </c>
      <c r="B100" s="25">
        <v>1.8343499999999999</v>
      </c>
      <c r="C100" s="20">
        <v>1.7862818</v>
      </c>
      <c r="D100" s="21">
        <v>0</v>
      </c>
      <c r="E100" s="22">
        <v>0</v>
      </c>
      <c r="F100" s="22">
        <v>0</v>
      </c>
      <c r="G100" s="22">
        <v>0</v>
      </c>
      <c r="H100" s="22">
        <v>6898.9353000000046</v>
      </c>
      <c r="I100" s="22">
        <v>9655.027430831773</v>
      </c>
      <c r="J100" s="22">
        <v>2756.0921308317684</v>
      </c>
      <c r="K100" s="21">
        <v>9655.027430831773</v>
      </c>
    </row>
    <row r="101" spans="1:11" ht="12.75">
      <c r="A101" s="15">
        <v>46142</v>
      </c>
      <c r="B101" s="25">
        <v>1.9266700000000001</v>
      </c>
      <c r="C101" s="20">
        <v>1.8123291999999998</v>
      </c>
      <c r="D101" s="21">
        <v>0</v>
      </c>
      <c r="E101" s="22">
        <v>0</v>
      </c>
      <c r="F101" s="22">
        <v>0</v>
      </c>
      <c r="G101" s="22">
        <v>0</v>
      </c>
      <c r="H101" s="22">
        <v>6898.9353000000046</v>
      </c>
      <c r="I101" s="22">
        <v>9655.027430831773</v>
      </c>
      <c r="J101" s="22">
        <v>2756.0921308317684</v>
      </c>
      <c r="K101" s="21">
        <v>9655.027430831773</v>
      </c>
    </row>
    <row r="102" spans="1:11" ht="12.75">
      <c r="A102" s="15">
        <v>46171</v>
      </c>
      <c r="B102" s="25">
        <v>1.8331300000000001</v>
      </c>
      <c r="C102" s="20">
        <v>1.8447893599999998</v>
      </c>
      <c r="D102" s="21">
        <v>18.072007999999496</v>
      </c>
      <c r="E102" s="22">
        <v>9.858552312165255</v>
      </c>
      <c r="F102" s="22">
        <v>9.858552312165255</v>
      </c>
      <c r="G102" s="22">
        <v>18.072007999999496</v>
      </c>
      <c r="H102" s="22">
        <v>6917.0073080000038</v>
      </c>
      <c r="I102" s="22">
        <v>9673.0994388317722</v>
      </c>
      <c r="J102" s="22">
        <v>2756.0921308317684</v>
      </c>
      <c r="K102" s="21">
        <v>9655.027430831773</v>
      </c>
    </row>
    <row r="103" spans="1:11" ht="12.75">
      <c r="A103" s="15">
        <v>46203</v>
      </c>
      <c r="B103" s="25">
        <v>1.7231300000000001</v>
      </c>
      <c r="C103" s="20">
        <v>1.8694703600000002</v>
      </c>
      <c r="D103" s="21">
        <v>226.82755800000027</v>
      </c>
      <c r="E103" s="22">
        <v>131.63693859430239</v>
      </c>
      <c r="F103" s="22">
        <v>141.49549090646764</v>
      </c>
      <c r="G103" s="22">
        <v>243.81512524566159</v>
      </c>
      <c r="H103" s="22">
        <v>7143.8348660000038</v>
      </c>
      <c r="I103" s="22">
        <v>9898.842556077434</v>
      </c>
      <c r="J103" s="22">
        <v>2755.0076900774302</v>
      </c>
      <c r="K103" s="21">
        <v>9655.027430831773</v>
      </c>
    </row>
  </sheetData>
  <phoneticPr fontId="1" type="noConversion"/>
  <conditionalFormatting sqref="G3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model2(1)mean</vt:lpstr>
      <vt:lpstr>model2(1)MA250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Administrator</cp:lastModifiedBy>
  <dcterms:created xsi:type="dcterms:W3CDTF">2018-12-15T07:34:51Z</dcterms:created>
  <dcterms:modified xsi:type="dcterms:W3CDTF">2026-08-01T02:47:49Z</dcterms:modified>
</cp:coreProperties>
</file>