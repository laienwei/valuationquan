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模型四 (1)PE副本" sheetId="7" r:id="rId1"/>
  </sheets>
  <definedNames>
    <definedName name="_xlnm._FilterDatabase" localSheetId="0" hidden="1">'模型四 (1)PE副本'!$P$1:$P$25</definedName>
    <definedName name="金额" localSheetId="0">OFFSET('模型四 (1)PE副本'!K1,0,0,COUNTA('模型四 (1)PE副本'!K:K)-1)</definedName>
    <definedName name="买卖" localSheetId="0">OFFSET('模型四 (1)PE副本'!E1,0,0,COUNTA('模型四 (1)PE副本'!E:E)-2)</definedName>
    <definedName name="时间" localSheetId="0">OFFSET('模型四 (1)PE副本'!A1,0,0,COUNTA('模型四 (1)PE副本'!A:A)-1)</definedName>
    <definedName name="指数" localSheetId="0">OFFSET('模型四 (1)PE副本'!B1,0,0,COUNTA('模型四 (1)PE副本'!B:B)-1)</definedName>
    <definedName name="资产" localSheetId="0">OFFSET('模型四 (1)PE副本'!J1,0,0,COUNTA('模型四 (1)PE副本'!J:J)-1)</definedName>
    <definedName name="资金" localSheetId="0">OFFSET('模型四 (1)PE副本'!I1,0,0,COUNTA('模型四 (1)PE副本'!I:I)-1)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H2" i="7" l="1"/>
</calcChain>
</file>

<file path=xl/sharedStrings.xml><?xml version="1.0" encoding="utf-8"?>
<sst xmlns="http://schemas.openxmlformats.org/spreadsheetml/2006/main" count="21" uniqueCount="18">
  <si>
    <t>日期</t>
    <phoneticPr fontId="2" type="noConversion"/>
  </si>
  <si>
    <t>深创100指数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</si>
  <si>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</si>
  <si>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</si>
  <si>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</si>
  <si>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</si>
  <si>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</si>
  <si>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</si>
  <si>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</si>
  <si>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</si>
  <si>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盈利金额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</si>
  <si>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</si>
  <si>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</si>
  <si>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</si>
  <si>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</si>
  <si>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绝对收益率</t>
    <phoneticPr fontId="2" type="noConversion"/>
  </si>
  <si>
    <t>年化收益率</t>
    <phoneticPr fontId="2" type="noConversion"/>
  </si>
  <si>
    <t>单位：元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</si>
</sst>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54"/>
                <c:pt idx="0">
                  <c:v>0</c:v>
                </c:pt>
                <c:pt idx="1">
                  <c:v>15057.369992695269</c:v>
                </c:pt>
                <c:pt idx="2">
                  <c:v>15057.369992695269</c:v>
                </c:pt>
                <c:pt idx="3">
                  <c:v>19011.31844749668</c:v>
                </c:pt>
                <c:pt idx="4">
                  <c:v>45400.106469620208</c:v>
                </c:pt>
                <c:pt idx="5">
                  <c:v>133057.78626791219</c:v>
                </c:pt>
                <c:pt idx="6">
                  <c:v>167517.1680652448</c:v>
                </c:pt>
                <c:pt idx="7">
                  <c:v>209123.5658202371</c:v>
                </c:pt>
                <c:pt idx="8">
                  <c:v>260275.13658656832</c:v>
                </c:pt>
                <c:pt idx="9">
                  <c:v>437051.24032763776</c:v>
                </c:pt>
                <c:pt idx="10">
                  <c:v>589827.62857830385</c:v>
                </c:pt>
                <c:pt idx="11">
                  <c:v>888806.02103122673</c:v>
                </c:pt>
                <c:pt idx="12">
                  <c:v>1319010.481298164</c:v>
                </c:pt>
                <c:pt idx="13">
                  <c:v>1763676.3533594389</c:v>
                </c:pt>
                <c:pt idx="14">
                  <c:v>1920895.1446143824</c:v>
                </c:pt>
                <c:pt idx="15">
                  <c:v>2133454.5544761713</c:v>
                </c:pt>
                <c:pt idx="16">
                  <c:v>2386078.1922119362</c:v>
                </c:pt>
                <c:pt idx="17">
                  <c:v>2783426.5590554052</c:v>
                </c:pt>
                <c:pt idx="18">
                  <c:v>3177956.9036157345</c:v>
                </c:pt>
                <c:pt idx="19">
                  <c:v>3491367.7771099494</c:v>
                </c:pt>
                <c:pt idx="20">
                  <c:v>3778915.1467994382</c:v>
                </c:pt>
                <c:pt idx="21">
                  <c:v>3926375.2307351218</c:v>
                </c:pt>
                <c:pt idx="22">
                  <c:v>4106263.1847244794</c:v>
                </c:pt>
                <c:pt idx="23">
                  <c:v>4259726.1270722775</c:v>
                </c:pt>
                <c:pt idx="24">
                  <c:v>4430455.006317555</c:v>
                </c:pt>
                <c:pt idx="25">
                  <c:v>4716133.2949023377</c:v>
                </c:pt>
                <c:pt idx="26">
                  <c:v>4928970.084747429</c:v>
                </c:pt>
                <c:pt idx="27">
                  <c:v>5114477.5194405084</c:v>
                </c:pt>
                <c:pt idx="28">
                  <c:v>5370568.1436276669</c:v>
                </c:pt>
                <c:pt idx="29">
                  <c:v>5718998.7851925138</c:v>
                </c:pt>
                <c:pt idx="30">
                  <c:v>6083191.709301644</c:v>
                </c:pt>
                <c:pt idx="31">
                  <c:v>6486276.2276792787</c:v>
                </c:pt>
                <c:pt idx="32">
                  <c:v>6880146.496732045</c:v>
                </c:pt>
                <c:pt idx="33">
                  <c:v>7444841.9084968325</c:v>
                </c:pt>
                <c:pt idx="34">
                  <c:v>7810883.0412011128</c:v>
                </c:pt>
                <c:pt idx="35">
                  <c:v>8140840.9215566153</c:v>
                </c:pt>
                <c:pt idx="36">
                  <c:v>8425176.0615711026</c:v>
                </c:pt>
                <c:pt idx="37">
                  <c:v>8681764.3246558532</c:v>
                </c:pt>
                <c:pt idx="38">
                  <c:v>8956105.1812789217</c:v>
                </c:pt>
                <c:pt idx="39">
                  <c:v>9224382.576519141</c:v>
                </c:pt>
                <c:pt idx="40">
                  <c:v>9329542.1142252237</c:v>
                </c:pt>
                <c:pt idx="41">
                  <c:v>9330076.6975751501</c:v>
                </c:pt>
                <c:pt idx="42">
                  <c:v>9331801.6175002828</c:v>
                </c:pt>
                <c:pt idx="43">
                  <c:v>9334814.2341529448</c:v>
                </c:pt>
                <c:pt idx="44">
                  <c:v>9337213.4493726511</c:v>
                </c:pt>
                <c:pt idx="45">
                  <c:v>9342349.5348931719</c:v>
                </c:pt>
                <c:pt idx="46">
                  <c:v>9342349.5348931719</c:v>
                </c:pt>
                <c:pt idx="47">
                  <c:v>9342349.5348931719</c:v>
                </c:pt>
                <c:pt idx="48">
                  <c:v>9351588.6696039252</c:v>
                </c:pt>
                <c:pt idx="49">
                  <c:v>9370815.7511015385</c:v>
                </c:pt>
                <c:pt idx="50">
                  <c:v>9376218.8075327799</c:v>
                </c:pt>
                <c:pt idx="51">
                  <c:v>9376392.18772012</c:v>
                </c:pt>
                <c:pt idx="52">
                  <c:v>9376392.18772012</c:v>
                </c:pt>
                <c:pt idx="53">
                  <c:v>9376392.18772012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54"/>
                <c:pt idx="0">
                  <c:v>0</c:v>
                </c:pt>
                <c:pt idx="1">
                  <c:v>15057.369992695269</c:v>
                </c:pt>
                <c:pt idx="2">
                  <c:v>15452.860779547693</c:v>
                </c:pt>
                <c:pt idx="3">
                  <c:v>19019.5878494305</c:v>
                </c:pt>
                <c:pt idx="4">
                  <c:v>44610.15723019126</c:v>
                </c:pt>
                <c:pt idx="5">
                  <c:v>131800.09546521373</c:v>
                </c:pt>
                <c:pt idx="6">
                  <c:v>170637.5292814179</c:v>
                </c:pt>
                <c:pt idx="7">
                  <c:v>215275.19881800067</c:v>
                </c:pt>
                <c:pt idx="8">
                  <c:v>262454.70028731175</c:v>
                </c:pt>
                <c:pt idx="9">
                  <c:v>411291.86860571749</c:v>
                </c:pt>
                <c:pt idx="10">
                  <c:v>563265.73509901762</c:v>
                </c:pt>
                <c:pt idx="11">
                  <c:v>801294.10643324163</c:v>
                </c:pt>
                <c:pt idx="12">
                  <c:v>1155979.8319593659</c:v>
                </c:pt>
                <c:pt idx="13">
                  <c:v>1645176.2076454265</c:v>
                </c:pt>
                <c:pt idx="14">
                  <c:v>2016525.84297193</c:v>
                </c:pt>
                <c:pt idx="15">
                  <c:v>2112757.3752357299</c:v>
                </c:pt>
                <c:pt idx="16">
                  <c:v>2272518.812427165</c:v>
                </c:pt>
                <c:pt idx="17">
                  <c:v>2452340.5580589124</c:v>
                </c:pt>
                <c:pt idx="18">
                  <c:v>2811476.7648832737</c:v>
                </c:pt>
                <c:pt idx="19">
                  <c:v>3278991.2420356562</c:v>
                </c:pt>
                <c:pt idx="20">
                  <c:v>3560170.8764541284</c:v>
                </c:pt>
                <c:pt idx="21">
                  <c:v>4053489.1122204475</c:v>
                </c:pt>
                <c:pt idx="22">
                  <c:v>4091614.8943118565</c:v>
                </c:pt>
                <c:pt idx="23">
                  <c:v>4287868.9157625558</c:v>
                </c:pt>
                <c:pt idx="24">
                  <c:v>4342932.3159578331</c:v>
                </c:pt>
                <c:pt idx="25">
                  <c:v>4430042.9775149552</c:v>
                </c:pt>
                <c:pt idx="26">
                  <c:v>4846029.6354992222</c:v>
                </c:pt>
                <c:pt idx="27">
                  <c:v>5060472.3077509608</c:v>
                </c:pt>
                <c:pt idx="28">
                  <c:v>4971815.1476665037</c:v>
                </c:pt>
                <c:pt idx="29">
                  <c:v>5097075.2912965305</c:v>
                </c:pt>
                <c:pt idx="30">
                  <c:v>5302045.9888905203</c:v>
                </c:pt>
                <c:pt idx="31">
                  <c:v>5595275.6906725438</c:v>
                </c:pt>
                <c:pt idx="32">
                  <c:v>5931030.5957214404</c:v>
                </c:pt>
                <c:pt idx="33">
                  <c:v>5708530.53365268</c:v>
                </c:pt>
                <c:pt idx="34">
                  <c:v>6880321.614137033</c:v>
                </c:pt>
                <c:pt idx="35">
                  <c:v>7294602.567266562</c:v>
                </c:pt>
                <c:pt idx="36">
                  <c:v>7744750.54126132</c:v>
                </c:pt>
                <c:pt idx="37">
                  <c:v>7776464.2456502719</c:v>
                </c:pt>
                <c:pt idx="38">
                  <c:v>7842502.4338412527</c:v>
                </c:pt>
                <c:pt idx="39">
                  <c:v>8055315.8761913944</c:v>
                </c:pt>
                <c:pt idx="40">
                  <c:v>7848159.3699174048</c:v>
                </c:pt>
                <c:pt idx="41">
                  <c:v>9948737.4124515858</c:v>
                </c:pt>
                <c:pt idx="42">
                  <c:v>9960354.128070185</c:v>
                </c:pt>
                <c:pt idx="43">
                  <c:v>9998925.8159265835</c:v>
                </c:pt>
                <c:pt idx="44">
                  <c:v>10113154.970277667</c:v>
                </c:pt>
                <c:pt idx="45">
                  <c:v>9968651.1344057918</c:v>
                </c:pt>
                <c:pt idx="46">
                  <c:v>10616462.880592203</c:v>
                </c:pt>
                <c:pt idx="47">
                  <c:v>10412243.093617713</c:v>
                </c:pt>
                <c:pt idx="48">
                  <c:v>9782547.7221212052</c:v>
                </c:pt>
                <c:pt idx="49">
                  <c:v>9932970.468242798</c:v>
                </c:pt>
                <c:pt idx="50">
                  <c:v>10265389.633969223</c:v>
                </c:pt>
                <c:pt idx="51">
                  <c:v>10685462.282316651</c:v>
                </c:pt>
                <c:pt idx="52">
                  <c:v>12764433.573730325</c:v>
                </c:pt>
                <c:pt idx="53">
                  <c:v>14218059.311143037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395.49078685242421</c:v>
                </c:pt>
                <c:pt idx="3">
                  <c:v>8.2694019338196085</c:v>
                </c:pt>
                <c:pt idx="4">
                  <c:v>-789.9492394289482</c:v>
                </c:pt>
                <c:pt idx="5">
                  <c:v>-1257.6908026984602</c:v>
                </c:pt>
                <c:pt idx="6">
                  <c:v>3120.3612161730998</c:v>
                </c:pt>
                <c:pt idx="7">
                  <c:v>6151.632997763576</c:v>
                </c:pt>
                <c:pt idx="8">
                  <c:v>2179.563700743427</c:v>
                </c:pt>
                <c:pt idx="9">
                  <c:v>-25759.371721920266</c:v>
                </c:pt>
                <c:pt idx="10">
                  <c:v>-26561.893479286227</c:v>
                </c:pt>
                <c:pt idx="11">
                  <c:v>-87511.914597985102</c:v>
                </c:pt>
                <c:pt idx="12">
                  <c:v>-163030.64933879813</c:v>
                </c:pt>
                <c:pt idx="13">
                  <c:v>-118500.14571401244</c:v>
                </c:pt>
                <c:pt idx="14">
                  <c:v>95630.698357547633</c:v>
                </c:pt>
                <c:pt idx="15">
                  <c:v>-20697.179240441415</c:v>
                </c:pt>
                <c:pt idx="16">
                  <c:v>-113559.37978477124</c:v>
                </c:pt>
                <c:pt idx="17">
                  <c:v>-331086.0009964928</c:v>
                </c:pt>
                <c:pt idx="18">
                  <c:v>-366480.13873246079</c:v>
                </c:pt>
                <c:pt idx="19">
                  <c:v>-212376.53507429315</c:v>
                </c:pt>
                <c:pt idx="20">
                  <c:v>-218744.27034530975</c:v>
                </c:pt>
                <c:pt idx="21">
                  <c:v>127113.88148532575</c:v>
                </c:pt>
                <c:pt idx="22">
                  <c:v>-14648.29041262297</c:v>
                </c:pt>
                <c:pt idx="23">
                  <c:v>28142.788690278307</c:v>
                </c:pt>
                <c:pt idx="24">
                  <c:v>-87522.690359721892</c:v>
                </c:pt>
                <c:pt idx="25">
                  <c:v>-286090.3173873825</c:v>
                </c:pt>
                <c:pt idx="26">
                  <c:v>-82940.449248206802</c:v>
                </c:pt>
                <c:pt idx="27">
                  <c:v>-54005.211689547636</c:v>
                </c:pt>
                <c:pt idx="28">
                  <c:v>-398752.99596116319</c:v>
                </c:pt>
                <c:pt idx="29">
                  <c:v>-621923.49389598332</c:v>
                </c:pt>
                <c:pt idx="30">
                  <c:v>-781145.72041112371</c:v>
                </c:pt>
                <c:pt idx="31">
                  <c:v>-891000.53700673487</c:v>
                </c:pt>
                <c:pt idx="32">
                  <c:v>-949115.90101060458</c:v>
                </c:pt>
                <c:pt idx="33">
                  <c:v>-1736311.3748441525</c:v>
                </c:pt>
                <c:pt idx="34">
                  <c:v>-930561.42706407979</c:v>
                </c:pt>
                <c:pt idx="35">
                  <c:v>-846238.35429005325</c:v>
                </c:pt>
                <c:pt idx="36">
                  <c:v>-680425.52030978259</c:v>
                </c:pt>
                <c:pt idx="37">
                  <c:v>-905300.07900558133</c:v>
                </c:pt>
                <c:pt idx="38">
                  <c:v>-1113602.747437669</c:v>
                </c:pt>
                <c:pt idx="39">
                  <c:v>-1169066.7003277466</c:v>
                </c:pt>
                <c:pt idx="40">
                  <c:v>-1481382.7443078188</c:v>
                </c:pt>
                <c:pt idx="41">
                  <c:v>618660.7148764357</c:v>
                </c:pt>
                <c:pt idx="42">
                  <c:v>628552.51056990214</c:v>
                </c:pt>
                <c:pt idx="43">
                  <c:v>664111.58177363873</c:v>
                </c:pt>
                <c:pt idx="44">
                  <c:v>775941.52090501599</c:v>
                </c:pt>
                <c:pt idx="45">
                  <c:v>626301.5995126199</c:v>
                </c:pt>
                <c:pt idx="46">
                  <c:v>1274113.3456990309</c:v>
                </c:pt>
                <c:pt idx="47">
                  <c:v>1069893.5587245412</c:v>
                </c:pt>
                <c:pt idx="48">
                  <c:v>430959.05251727998</c:v>
                </c:pt>
                <c:pt idx="49">
                  <c:v>562154.71714125946</c:v>
                </c:pt>
                <c:pt idx="50">
                  <c:v>889170.82643644325</c:v>
                </c:pt>
                <c:pt idx="51">
                  <c:v>1309070.0945965312</c:v>
                </c:pt>
                <c:pt idx="52">
                  <c:v>3388041.3860102054</c:v>
                </c:pt>
                <c:pt idx="53">
                  <c:v>4841667.123422917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0234752"/>
        <c:axId val="270236672"/>
      </c:lineChart>
      <c:dateAx>
        <c:axId val="2702347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70236672"/>
        <c:crosses val="autoZero"/>
        <c:auto val="1"/>
        <c:lblOffset val="100"/>
        <c:baseTimeUnit val="months"/>
      </c:dateAx>
      <c:valAx>
        <c:axId val="27023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7023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54"/>
                <c:pt idx="0">
                  <c:v>0</c:v>
                </c:pt>
                <c:pt idx="1">
                  <c:v>15057.369992695269</c:v>
                </c:pt>
                <c:pt idx="2">
                  <c:v>-657.86627675392538</c:v>
                </c:pt>
                <c:pt idx="3">
                  <c:v>3953.9484548014116</c:v>
                </c:pt>
                <c:pt idx="4">
                  <c:v>26388.788022123525</c:v>
                </c:pt>
                <c:pt idx="5">
                  <c:v>87657.679798291982</c:v>
                </c:pt>
                <c:pt idx="6">
                  <c:v>34459.3817973326</c:v>
                </c:pt>
                <c:pt idx="7">
                  <c:v>41606.397754992307</c:v>
                </c:pt>
                <c:pt idx="8">
                  <c:v>51151.570766331228</c:v>
                </c:pt>
                <c:pt idx="9">
                  <c:v>176776.10374106947</c:v>
                </c:pt>
                <c:pt idx="10">
                  <c:v>152776.38825066606</c:v>
                </c:pt>
                <c:pt idx="11">
                  <c:v>298978.39245292288</c:v>
                </c:pt>
                <c:pt idx="12">
                  <c:v>430204.46026693727</c:v>
                </c:pt>
                <c:pt idx="13">
                  <c:v>444665.872061275</c:v>
                </c:pt>
                <c:pt idx="14">
                  <c:v>157218.79125494338</c:v>
                </c:pt>
                <c:pt idx="15">
                  <c:v>212559.40986178888</c:v>
                </c:pt>
                <c:pt idx="16">
                  <c:v>252623.63773576493</c:v>
                </c:pt>
                <c:pt idx="17">
                  <c:v>397348.36684346898</c:v>
                </c:pt>
                <c:pt idx="18">
                  <c:v>394530.34456032957</c:v>
                </c:pt>
                <c:pt idx="19">
                  <c:v>313410.87349421479</c:v>
                </c:pt>
                <c:pt idx="20">
                  <c:v>287547.36968948861</c:v>
                </c:pt>
                <c:pt idx="21">
                  <c:v>147460.08393568356</c:v>
                </c:pt>
                <c:pt idx="22">
                  <c:v>179887.95398935772</c:v>
                </c:pt>
                <c:pt idx="23">
                  <c:v>153462.94234779794</c:v>
                </c:pt>
                <c:pt idx="24">
                  <c:v>170728.87924527752</c:v>
                </c:pt>
                <c:pt idx="25">
                  <c:v>285678.28858478251</c:v>
                </c:pt>
                <c:pt idx="26">
                  <c:v>212836.78984509152</c:v>
                </c:pt>
                <c:pt idx="27">
                  <c:v>185507.43469307973</c:v>
                </c:pt>
                <c:pt idx="28">
                  <c:v>256090.62418715825</c:v>
                </c:pt>
                <c:pt idx="29">
                  <c:v>348430.6415648465</c:v>
                </c:pt>
                <c:pt idx="30">
                  <c:v>364192.9241091304</c:v>
                </c:pt>
                <c:pt idx="31">
                  <c:v>403084.51837763441</c:v>
                </c:pt>
                <c:pt idx="32">
                  <c:v>393870.26905276586</c:v>
                </c:pt>
                <c:pt idx="33">
                  <c:v>564695.41176478763</c:v>
                </c:pt>
                <c:pt idx="34">
                  <c:v>366041.1327042802</c:v>
                </c:pt>
                <c:pt idx="35">
                  <c:v>329957.88035550242</c:v>
                </c:pt>
                <c:pt idx="36">
                  <c:v>284335.14001448749</c:v>
                </c:pt>
                <c:pt idx="37">
                  <c:v>256588.26308475045</c:v>
                </c:pt>
                <c:pt idx="38">
                  <c:v>274340.85662306892</c:v>
                </c:pt>
                <c:pt idx="39">
                  <c:v>268277.3952402196</c:v>
                </c:pt>
                <c:pt idx="40">
                  <c:v>105159.5377060835</c:v>
                </c:pt>
                <c:pt idx="41">
                  <c:v>534.58334992613857</c:v>
                </c:pt>
                <c:pt idx="42">
                  <c:v>1724.9199251330979</c:v>
                </c:pt>
                <c:pt idx="43">
                  <c:v>3012.6166526625288</c:v>
                </c:pt>
                <c:pt idx="44">
                  <c:v>2399.2152197068949</c:v>
                </c:pt>
                <c:pt idx="45">
                  <c:v>5136.0855205209327</c:v>
                </c:pt>
                <c:pt idx="46">
                  <c:v>-1054.5417431386754</c:v>
                </c:pt>
                <c:pt idx="47">
                  <c:v>-11.050952879581011</c:v>
                </c:pt>
                <c:pt idx="48">
                  <c:v>9239.1347107527126</c:v>
                </c:pt>
                <c:pt idx="49">
                  <c:v>19227.081497612831</c:v>
                </c:pt>
                <c:pt idx="50">
                  <c:v>5403.0564312410688</c:v>
                </c:pt>
                <c:pt idx="51">
                  <c:v>173.38018734075604</c:v>
                </c:pt>
                <c:pt idx="52">
                  <c:v>-80971.164290520144</c:v>
                </c:pt>
                <c:pt idx="53">
                  <c:v>-207876.55105672523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70268288"/>
        <c:axId val="27026675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54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0250368"/>
        <c:axId val="270251904"/>
      </c:lineChart>
      <c:dateAx>
        <c:axId val="2702503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70251904"/>
        <c:crosses val="autoZero"/>
        <c:auto val="1"/>
        <c:lblOffset val="100"/>
        <c:baseTimeUnit val="months"/>
      </c:dateAx>
      <c:valAx>
        <c:axId val="270251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70250368"/>
        <c:crosses val="autoZero"/>
        <c:crossBetween val="between"/>
      </c:valAx>
      <c:valAx>
        <c:axId val="27026675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70268288"/>
        <c:crosses val="max"/>
        <c:crossBetween val="between"/>
      </c:valAx>
      <c:catAx>
        <c:axId val="270268288"/>
        <c:scaling>
          <c:orientation val="minMax"/>
        </c:scaling>
        <c:delete val="1"/>
        <c:axPos val="b"/>
        <c:majorTickMark val="out"/>
        <c:minorTickMark val="none"/>
        <c:tickLblPos val="nextTo"/>
        <c:crossAx val="2702667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10.25" style="1" bestFit="1" customWidth="1"/>
    <col min="27" max="16384" width="9" style="1"/>
  </cols>
  <sheetData>
    <row r="1" spans="1:33" s="10" customFormat="1" ht="27" customHeight="1" x14ac:dyDescent="0.15">
      <c r="A1" s="12" t="s">
        <v>0</v>
      </c>
      <c r="B1" s="12" t="s">
        <v>1</v>
      </c>
      <c r="C1" s="12" t="s">
        <v>2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17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12</v>
      </c>
      <c r="Q3" s="26" t="s">
        <v>13</v>
      </c>
      <c r="R3" s="26" t="s">
        <v>14</v>
      </c>
      <c r="S3" s="26" t="s">
        <v>9</v>
      </c>
      <c r="T3" s="26" t="s">
        <v>10</v>
      </c>
      <c r="U3" s="27" t="s">
        <v>11</v>
      </c>
      <c r="V3" s="26" t="s">
        <v>15</v>
      </c>
      <c r="W3" s="26" t="s">
        <v>16</v>
      </c>
      <c r="Y3" s="19">
        <v>44561</v>
      </c>
      <c r="Z3" s="28">
        <f>Q4</f>
        <v>260275.13658656832</v>
      </c>
      <c r="AA3" s="1">
        <f>-Z3</f>
        <v>-260275.13658656832</v>
      </c>
      <c r="AB3" s="19">
        <v>44561</v>
      </c>
      <c r="AC3" s="1">
        <v>260275.13658656832</v>
      </c>
      <c r="AD3" s="1">
        <f>-AC3</f>
        <v>-260275.13658656832</v>
      </c>
      <c r="AE3" s="19">
        <v>44561</v>
      </c>
      <c r="AF3" s="1">
        <v>260275.13658656832</v>
      </c>
      <c r="AG3" s="1">
        <f>-AF3</f>
        <v>-260275.13658656832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15057.369992695269</v>
      </c>
      <c r="F4" s="17">
        <v>3023.1676108578522</v>
      </c>
      <c r="G4" s="17">
        <v>3023.1676108578522</v>
      </c>
      <c r="H4" s="17">
        <v>15057.369992695269</v>
      </c>
      <c r="I4" s="17">
        <v>15057.369992695269</v>
      </c>
      <c r="J4" s="17">
        <v>15057.369992695269</v>
      </c>
      <c r="K4" s="17">
        <v>0</v>
      </c>
      <c r="L4" s="16">
        <v>0</v>
      </c>
      <c r="M4" s="6"/>
      <c r="P4" s="19">
        <v>44561</v>
      </c>
      <c r="Q4" s="9">
        <v>260275.13658656832</v>
      </c>
      <c r="R4" s="4">
        <v>260275.13658656832</v>
      </c>
      <c r="S4" s="4">
        <v>262454.70028731175</v>
      </c>
      <c r="T4" s="4">
        <v>2179.563700743427</v>
      </c>
      <c r="U4" s="4">
        <v>657.86627675392538</v>
      </c>
      <c r="V4" s="8">
        <v>8.374075715904955E-3</v>
      </c>
      <c r="W4" s="8">
        <v>8.374075715904955E-3</v>
      </c>
      <c r="Y4" s="19">
        <v>44925</v>
      </c>
      <c r="Z4" s="28">
        <f>Q5</f>
        <v>3518640.0102128698</v>
      </c>
      <c r="AA4" s="1">
        <f>-Z4</f>
        <v>-3518640.0102128698</v>
      </c>
      <c r="AB4" s="19">
        <v>44925</v>
      </c>
      <c r="AC4" s="1">
        <v>3518640.0102128698</v>
      </c>
      <c r="AD4" s="1">
        <f>-AC4</f>
        <v>-3518640.0102128698</v>
      </c>
      <c r="AE4" s="19">
        <v>44925</v>
      </c>
      <c r="AF4" s="1">
        <v>3518640.0102128698</v>
      </c>
      <c r="AG4" s="1">
        <f>-AF4</f>
        <v>-3518640.0102128698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-657.86627675392538</v>
      </c>
      <c r="F5" s="17">
        <v>-128.70367814291075</v>
      </c>
      <c r="G5" s="17">
        <v>2894.4639327149416</v>
      </c>
      <c r="H5" s="17">
        <v>14794.994502793768</v>
      </c>
      <c r="I5" s="17">
        <v>15057.369992695269</v>
      </c>
      <c r="J5" s="17">
        <v>15452.860779547693</v>
      </c>
      <c r="K5" s="17">
        <v>395.49078685242421</v>
      </c>
      <c r="L5" s="16">
        <v>657.86627675392538</v>
      </c>
      <c r="M5" s="6"/>
      <c r="P5" s="19">
        <v>44925</v>
      </c>
      <c r="Q5" s="9">
        <v>3518640.0102128698</v>
      </c>
      <c r="R5" s="4">
        <v>3778915.1467994382</v>
      </c>
      <c r="S5" s="4">
        <v>3560170.8764541284</v>
      </c>
      <c r="T5" s="4">
        <v>-218744.27034530975</v>
      </c>
      <c r="U5" s="4">
        <v>657.86627675392538</v>
      </c>
      <c r="V5" s="8">
        <v>-5.7885467613787454E-2</v>
      </c>
      <c r="W5" s="8">
        <v>-5.4345789230150321E-2</v>
      </c>
      <c r="Y5" s="19">
        <v>44925</v>
      </c>
      <c r="AA5" s="1">
        <v>3560170.8764541284</v>
      </c>
      <c r="AB5" s="19">
        <v>45289</v>
      </c>
      <c r="AC5" s="1">
        <v>3101231.3499326068</v>
      </c>
      <c r="AD5" s="1">
        <f>-AC5</f>
        <v>-3101231.3499326068</v>
      </c>
      <c r="AE5" s="19">
        <v>45289</v>
      </c>
      <c r="AF5" s="1">
        <v>3101231.3499326068</v>
      </c>
      <c r="AG5" s="1">
        <f>-AF5</f>
        <v>-3101231.3499326068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3953.9484548014116</v>
      </c>
      <c r="F6" s="17">
        <v>794.33241352460209</v>
      </c>
      <c r="G6" s="17">
        <v>3688.7963462395437</v>
      </c>
      <c r="H6" s="17">
        <v>18361.721572676575</v>
      </c>
      <c r="I6" s="17">
        <v>19011.31844749668</v>
      </c>
      <c r="J6" s="17">
        <v>19019.5878494305</v>
      </c>
      <c r="K6" s="17">
        <v>8.2694019338196085</v>
      </c>
      <c r="L6" s="16">
        <v>657.86627675392538</v>
      </c>
      <c r="M6" s="6"/>
      <c r="P6" s="19">
        <v>45289</v>
      </c>
      <c r="Q6" s="9">
        <v>3101231.3499326068</v>
      </c>
      <c r="R6" s="4">
        <v>6880146.496732045</v>
      </c>
      <c r="S6" s="4">
        <v>5931030.5957214404</v>
      </c>
      <c r="T6" s="4">
        <v>-949115.90101060458</v>
      </c>
      <c r="U6" s="4">
        <v>657.86627675392538</v>
      </c>
      <c r="V6" s="8">
        <v>-0.13794995520246828</v>
      </c>
      <c r="W6" s="8">
        <v>-9.0099644036938709E-2</v>
      </c>
      <c r="AA6" s="2">
        <v>-5.4345789230150321E-2</v>
      </c>
      <c r="AB6" s="19">
        <v>45289</v>
      </c>
      <c r="AD6" s="1">
        <v>5931030.5957214404</v>
      </c>
      <c r="AE6" s="19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26388.788022123525</v>
      </c>
      <c r="F7" s="17">
        <v>5542.3377226274952</v>
      </c>
      <c r="G7" s="17">
        <v>9231.1340688670389</v>
      </c>
      <c r="H7" s="17">
        <v>43952.290953437332</v>
      </c>
      <c r="I7" s="17">
        <v>45400.106469620208</v>
      </c>
      <c r="J7" s="17">
        <v>44610.15723019126</v>
      </c>
      <c r="K7" s="17">
        <v>-789.9492394289482</v>
      </c>
      <c r="L7" s="16">
        <v>657.86627675392538</v>
      </c>
      <c r="M7" s="6"/>
      <c r="P7" s="19">
        <v>45657</v>
      </c>
      <c r="Q7" s="9">
        <v>2457066.9526406061</v>
      </c>
      <c r="R7" s="4">
        <v>9337213.4493726511</v>
      </c>
      <c r="S7" s="4">
        <v>10113154.970277667</v>
      </c>
      <c r="T7" s="4">
        <v>775941.52090501599</v>
      </c>
      <c r="U7" s="4">
        <v>657.86627675392538</v>
      </c>
      <c r="V7" s="8">
        <v>8.310204378557394E-2</v>
      </c>
      <c r="W7" s="8">
        <v>3.7251485634379744E-2</v>
      </c>
      <c r="AD7" s="2">
        <v>-9.0099644036938709E-2</v>
      </c>
      <c r="AE7" s="19">
        <v>45657</v>
      </c>
      <c r="AG7" s="1">
        <v>10113154.970262304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87657.679798291982</v>
      </c>
      <c r="F8" s="17">
        <v>18608.443820434586</v>
      </c>
      <c r="G8" s="17">
        <v>27839.577889301625</v>
      </c>
      <c r="H8" s="17">
        <v>131142.22918845981</v>
      </c>
      <c r="I8" s="17">
        <v>133057.78626791219</v>
      </c>
      <c r="J8" s="17">
        <v>131800.09546521373</v>
      </c>
      <c r="K8" s="17">
        <v>-1257.6908026984602</v>
      </c>
      <c r="L8" s="16">
        <v>657.86627675392538</v>
      </c>
      <c r="M8" s="6"/>
      <c r="AG8" s="2">
        <v>3.7251485634379744E-2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34459.3817973326</v>
      </c>
      <c r="F9" s="17">
        <v>7078.9009218210322</v>
      </c>
      <c r="G9" s="17">
        <v>34918.478811122659</v>
      </c>
      <c r="H9" s="17">
        <v>169979.66300466398</v>
      </c>
      <c r="I9" s="17">
        <v>167517.1680652448</v>
      </c>
      <c r="J9" s="17">
        <v>170637.5292814179</v>
      </c>
      <c r="K9" s="17">
        <v>3120.3612161730998</v>
      </c>
      <c r="L9" s="16">
        <v>657.86627675392538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41606.397754992307</v>
      </c>
      <c r="F10" s="17">
        <v>8397.3427472069034</v>
      </c>
      <c r="G10" s="17">
        <v>43315.821558329561</v>
      </c>
      <c r="H10" s="17">
        <v>214617.33254124675</v>
      </c>
      <c r="I10" s="17">
        <v>209123.5658202371</v>
      </c>
      <c r="J10" s="17">
        <v>215275.19881800067</v>
      </c>
      <c r="K10" s="17">
        <v>6151.632997763576</v>
      </c>
      <c r="L10" s="16">
        <v>657.86627675392538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51151.570766331228</v>
      </c>
      <c r="F11" s="17">
        <v>10518.500523668426</v>
      </c>
      <c r="G11" s="17">
        <v>53834.322081997991</v>
      </c>
      <c r="H11" s="17">
        <v>261796.8340105578</v>
      </c>
      <c r="I11" s="17">
        <v>260275.13658656832</v>
      </c>
      <c r="J11" s="17">
        <v>262454.70028731175</v>
      </c>
      <c r="K11" s="17">
        <v>2179.563700743427</v>
      </c>
      <c r="L11" s="16">
        <v>657.86627675392538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176776.10374106947</v>
      </c>
      <c r="F12" s="17">
        <v>40694.035833990267</v>
      </c>
      <c r="G12" s="17">
        <v>94528.35791598825</v>
      </c>
      <c r="H12" s="17">
        <v>410634.00232896354</v>
      </c>
      <c r="I12" s="17">
        <v>437051.24032763776</v>
      </c>
      <c r="J12" s="17">
        <v>411291.86860571749</v>
      </c>
      <c r="K12" s="17">
        <v>-25759.371721920266</v>
      </c>
      <c r="L12" s="16">
        <v>657.86627675392538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152776.38825066606</v>
      </c>
      <c r="F13" s="17">
        <v>35238.144931006522</v>
      </c>
      <c r="G13" s="17">
        <v>129766.50284699477</v>
      </c>
      <c r="H13" s="17">
        <v>562607.86882226367</v>
      </c>
      <c r="I13" s="17">
        <v>589827.62857830385</v>
      </c>
      <c r="J13" s="17">
        <v>563265.73509901762</v>
      </c>
      <c r="K13" s="17">
        <v>-26561.893479286227</v>
      </c>
      <c r="L13" s="16">
        <v>657.86627675392538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298978.39245292288</v>
      </c>
      <c r="F14" s="17">
        <v>77338.330483684447</v>
      </c>
      <c r="G14" s="17">
        <v>207104.83333067922</v>
      </c>
      <c r="H14" s="17">
        <v>800636.24015648768</v>
      </c>
      <c r="I14" s="17">
        <v>888806.02103122673</v>
      </c>
      <c r="J14" s="17">
        <v>801294.10643324163</v>
      </c>
      <c r="K14" s="17">
        <v>-87511.914597985102</v>
      </c>
      <c r="L14" s="16">
        <v>657.86627675392538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430204.46026693727</v>
      </c>
      <c r="F15" s="17">
        <v>122873.08246768033</v>
      </c>
      <c r="G15" s="17">
        <v>329977.91579835955</v>
      </c>
      <c r="H15" s="17">
        <v>1155321.965682612</v>
      </c>
      <c r="I15" s="17">
        <v>1319010.481298164</v>
      </c>
      <c r="J15" s="17">
        <v>1155979.8319593659</v>
      </c>
      <c r="K15" s="17">
        <v>-163030.64933879813</v>
      </c>
      <c r="L15" s="16">
        <v>657.86627675392538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444665.872061275</v>
      </c>
      <c r="F16" s="17">
        <v>122289.96601068616</v>
      </c>
      <c r="G16" s="17">
        <v>452267.88180904568</v>
      </c>
      <c r="H16" s="17">
        <v>1644518.3413686727</v>
      </c>
      <c r="I16" s="17">
        <v>1763676.3533594389</v>
      </c>
      <c r="J16" s="17">
        <v>1645176.2076454265</v>
      </c>
      <c r="K16" s="17">
        <v>-118500.14571401244</v>
      </c>
      <c r="L16" s="16">
        <v>657.86627675392538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157218.79125494338</v>
      </c>
      <c r="F17" s="17">
        <v>38256.283250467241</v>
      </c>
      <c r="G17" s="17">
        <v>490524.16505951295</v>
      </c>
      <c r="H17" s="17">
        <v>2015867.9766951762</v>
      </c>
      <c r="I17" s="17">
        <v>1920895.1446143824</v>
      </c>
      <c r="J17" s="17">
        <v>2016525.84297193</v>
      </c>
      <c r="K17" s="17">
        <v>95630.698357547633</v>
      </c>
      <c r="L17" s="16">
        <v>657.86627675392538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212559.40986178888</v>
      </c>
      <c r="F18" s="17">
        <v>54889.879449005624</v>
      </c>
      <c r="G18" s="17">
        <v>545414.04450851853</v>
      </c>
      <c r="H18" s="17">
        <v>2112099.5089589758</v>
      </c>
      <c r="I18" s="17">
        <v>2133454.5544761713</v>
      </c>
      <c r="J18" s="17">
        <v>2112757.3752357299</v>
      </c>
      <c r="K18" s="17">
        <v>-20697.179240441415</v>
      </c>
      <c r="L18" s="16">
        <v>657.86627675392538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252623.63773576493</v>
      </c>
      <c r="F19" s="17">
        <v>68235.902447789253</v>
      </c>
      <c r="G19" s="17">
        <v>613649.94695630774</v>
      </c>
      <c r="H19" s="17">
        <v>2271860.9461504109</v>
      </c>
      <c r="I19" s="17">
        <v>2386078.1922119362</v>
      </c>
      <c r="J19" s="17">
        <v>2272518.812427165</v>
      </c>
      <c r="K19" s="17">
        <v>-113559.37978477124</v>
      </c>
      <c r="L19" s="16">
        <v>657.86627675392538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397348.36684346898</v>
      </c>
      <c r="F20" s="17">
        <v>118691.88051654995</v>
      </c>
      <c r="G20" s="17">
        <v>732341.82747285767</v>
      </c>
      <c r="H20" s="17">
        <v>2451682.6917821583</v>
      </c>
      <c r="I20" s="17">
        <v>2783426.5590554052</v>
      </c>
      <c r="J20" s="17">
        <v>2452340.5580589124</v>
      </c>
      <c r="K20" s="17">
        <v>-331086.0009964928</v>
      </c>
      <c r="L20" s="16">
        <v>657.86627675392538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394530.34456032957</v>
      </c>
      <c r="F21" s="17">
        <v>119576.39456801595</v>
      </c>
      <c r="G21" s="17">
        <v>851918.2220408736</v>
      </c>
      <c r="H21" s="17">
        <v>2810818.8986065197</v>
      </c>
      <c r="I21" s="17">
        <v>3177956.9036157345</v>
      </c>
      <c r="J21" s="17">
        <v>2811476.7648832737</v>
      </c>
      <c r="K21" s="17">
        <v>-366480.13873246079</v>
      </c>
      <c r="L21" s="16">
        <v>657.86627675392538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313410.87349421479</v>
      </c>
      <c r="F22" s="17">
        <v>90053.090396638188</v>
      </c>
      <c r="G22" s="17">
        <v>941971.31243751175</v>
      </c>
      <c r="H22" s="17">
        <v>3278333.3757589022</v>
      </c>
      <c r="I22" s="17">
        <v>3491367.7771099494</v>
      </c>
      <c r="J22" s="17">
        <v>3278991.2420356562</v>
      </c>
      <c r="K22" s="17">
        <v>-212376.53507429315</v>
      </c>
      <c r="L22" s="16">
        <v>657.86627675392538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287547.36968948861</v>
      </c>
      <c r="F23" s="17">
        <v>82782.462585387533</v>
      </c>
      <c r="G23" s="17">
        <v>1024753.7750228993</v>
      </c>
      <c r="H23" s="17">
        <v>3559513.0101773744</v>
      </c>
      <c r="I23" s="17">
        <v>3778915.1467994382</v>
      </c>
      <c r="J23" s="17">
        <v>3560170.8764541284</v>
      </c>
      <c r="K23" s="17">
        <v>-218744.27034530975</v>
      </c>
      <c r="L23" s="16">
        <v>657.86627675392538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147460.08393568356</v>
      </c>
      <c r="F24" s="17">
        <v>38692.936320190762</v>
      </c>
      <c r="G24" s="17">
        <v>1063446.71134309</v>
      </c>
      <c r="H24" s="17">
        <v>4052831.2459436934</v>
      </c>
      <c r="I24" s="17">
        <v>3926375.2307351218</v>
      </c>
      <c r="J24" s="17">
        <v>4053489.1122204475</v>
      </c>
      <c r="K24" s="17">
        <v>127113.88148532575</v>
      </c>
      <c r="L24" s="16">
        <v>657.86627675392538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179887.95398935772</v>
      </c>
      <c r="F25" s="17">
        <v>48912.777928089869</v>
      </c>
      <c r="G25" s="17">
        <v>1112359.48927118</v>
      </c>
      <c r="H25" s="17">
        <v>4090957.0280351024</v>
      </c>
      <c r="I25" s="17">
        <v>4106263.1847244794</v>
      </c>
      <c r="J25" s="17">
        <v>4091614.8943118565</v>
      </c>
      <c r="K25" s="17">
        <v>-14648.29041262297</v>
      </c>
      <c r="L25" s="16">
        <v>657.86627675392538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153462.94234779794</v>
      </c>
      <c r="F26" s="17">
        <v>41295.685113778534</v>
      </c>
      <c r="G26" s="17">
        <v>1153655.1743849586</v>
      </c>
      <c r="H26" s="17">
        <v>4287211.0494858017</v>
      </c>
      <c r="I26" s="17">
        <v>4259726.1270722775</v>
      </c>
      <c r="J26" s="17">
        <v>4287868.9157625558</v>
      </c>
      <c r="K26" s="17">
        <v>28142.788690278307</v>
      </c>
      <c r="L26" s="16">
        <v>657.86627675392538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170728.87924527752</v>
      </c>
      <c r="F27" s="17">
        <v>47215.654637492669</v>
      </c>
      <c r="G27" s="17">
        <v>1200870.8290224513</v>
      </c>
      <c r="H27" s="17">
        <v>4342274.449681079</v>
      </c>
      <c r="I27" s="17">
        <v>4430455.006317555</v>
      </c>
      <c r="J27" s="17">
        <v>4342932.3159578331</v>
      </c>
      <c r="K27" s="17">
        <v>-87522.690359721892</v>
      </c>
      <c r="L27" s="16">
        <v>657.86627675392538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285678.28858478251</v>
      </c>
      <c r="F28" s="17">
        <v>82791.263457882145</v>
      </c>
      <c r="G28" s="17">
        <v>1283662.0924803335</v>
      </c>
      <c r="H28" s="17">
        <v>4429385.1112382011</v>
      </c>
      <c r="I28" s="17">
        <v>4716133.2949023377</v>
      </c>
      <c r="J28" s="17">
        <v>4430042.9775149552</v>
      </c>
      <c r="K28" s="17">
        <v>-286090.3173873825</v>
      </c>
      <c r="L28" s="16">
        <v>657.86627675392538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212836.78984509152</v>
      </c>
      <c r="F29" s="17">
        <v>58976.461100800429</v>
      </c>
      <c r="G29" s="17">
        <v>1342638.553581134</v>
      </c>
      <c r="H29" s="17">
        <v>4845371.7692224681</v>
      </c>
      <c r="I29" s="17">
        <v>4928970.084747429</v>
      </c>
      <c r="J29" s="17">
        <v>4846029.6354992222</v>
      </c>
      <c r="K29" s="17">
        <v>-82940.449248206802</v>
      </c>
      <c r="L29" s="16">
        <v>657.86627675392538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185507.43469307973</v>
      </c>
      <c r="F30" s="17">
        <v>51098.429673871236</v>
      </c>
      <c r="G30" s="17">
        <v>1393736.9832550052</v>
      </c>
      <c r="H30" s="17">
        <v>5059814.4414742067</v>
      </c>
      <c r="I30" s="17">
        <v>5114477.5194405084</v>
      </c>
      <c r="J30" s="17">
        <v>5060472.3077509608</v>
      </c>
      <c r="K30" s="17">
        <v>-54005.211689547636</v>
      </c>
      <c r="L30" s="16">
        <v>657.86627675392538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256090.62418715825</v>
      </c>
      <c r="F31" s="17">
        <v>75698.39409359709</v>
      </c>
      <c r="G31" s="17">
        <v>1469435.3773486023</v>
      </c>
      <c r="H31" s="17">
        <v>4971157.2813897496</v>
      </c>
      <c r="I31" s="17">
        <v>5370568.1436276669</v>
      </c>
      <c r="J31" s="17">
        <v>4971815.1476665037</v>
      </c>
      <c r="K31" s="17">
        <v>-398752.99596116319</v>
      </c>
      <c r="L31" s="16">
        <v>657.86627675392538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348430.6415648465</v>
      </c>
      <c r="F32" s="17">
        <v>107834.4011090729</v>
      </c>
      <c r="G32" s="17">
        <v>1577269.7784576751</v>
      </c>
      <c r="H32" s="17">
        <v>5096417.4250197764</v>
      </c>
      <c r="I32" s="17">
        <v>5718998.7851925138</v>
      </c>
      <c r="J32" s="17">
        <v>5097075.2912965305</v>
      </c>
      <c r="K32" s="17">
        <v>-621923.49389598332</v>
      </c>
      <c r="L32" s="16">
        <v>657.86627675392538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364192.9241091304</v>
      </c>
      <c r="F33" s="17">
        <v>116347.53531710533</v>
      </c>
      <c r="G33" s="17">
        <v>1693617.3137747804</v>
      </c>
      <c r="H33" s="17">
        <v>5301388.1226137662</v>
      </c>
      <c r="I33" s="17">
        <v>6083191.709301644</v>
      </c>
      <c r="J33" s="17">
        <v>5302045.9888905203</v>
      </c>
      <c r="K33" s="17">
        <v>-781145.72041112371</v>
      </c>
      <c r="L33" s="16">
        <v>657.86627675392538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403084.51837763441</v>
      </c>
      <c r="F34" s="17">
        <v>131496.97382227349</v>
      </c>
      <c r="G34" s="17">
        <v>1825114.2875970539</v>
      </c>
      <c r="H34" s="17">
        <v>5594617.8243957898</v>
      </c>
      <c r="I34" s="17">
        <v>6486276.2276792787</v>
      </c>
      <c r="J34" s="17">
        <v>5595275.6906725438</v>
      </c>
      <c r="K34" s="17">
        <v>-891000.53700673487</v>
      </c>
      <c r="L34" s="16">
        <v>657.86627675392538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393870.26905276586</v>
      </c>
      <c r="F35" s="17">
        <v>129839.77893094115</v>
      </c>
      <c r="G35" s="17">
        <v>1954954.066527995</v>
      </c>
      <c r="H35" s="17">
        <v>5930372.7294446863</v>
      </c>
      <c r="I35" s="17">
        <v>6880146.496732045</v>
      </c>
      <c r="J35" s="17">
        <v>5931030.5957214404</v>
      </c>
      <c r="K35" s="17">
        <v>-949115.90101060458</v>
      </c>
      <c r="L35" s="16">
        <v>657.86627675392538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564695.41176478763</v>
      </c>
      <c r="F36" s="17">
        <v>214644.28245689443</v>
      </c>
      <c r="G36" s="17">
        <v>2169598.3489848897</v>
      </c>
      <c r="H36" s="17">
        <v>5707872.6673759259</v>
      </c>
      <c r="I36" s="17">
        <v>7444841.9084968325</v>
      </c>
      <c r="J36" s="17">
        <v>5708530.53365268</v>
      </c>
      <c r="K36" s="17">
        <v>-1736311.3748441525</v>
      </c>
      <c r="L36" s="16">
        <v>657.86627675392538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366041.1327042802</v>
      </c>
      <c r="F37" s="17">
        <v>121923.2804995328</v>
      </c>
      <c r="G37" s="17">
        <v>2291521.6294844225</v>
      </c>
      <c r="H37" s="17">
        <v>6879663.7478602789</v>
      </c>
      <c r="I37" s="17">
        <v>7810883.0412011128</v>
      </c>
      <c r="J37" s="17">
        <v>6880321.614137033</v>
      </c>
      <c r="K37" s="17">
        <v>-930561.42706407979</v>
      </c>
      <c r="L37" s="16">
        <v>657.86627675392538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329957.88035550242</v>
      </c>
      <c r="F38" s="17">
        <v>108573.67182446766</v>
      </c>
      <c r="G38" s="17">
        <v>2400095.3013088903</v>
      </c>
      <c r="H38" s="17">
        <v>7293944.700989808</v>
      </c>
      <c r="I38" s="17">
        <v>8140840.9215566153</v>
      </c>
      <c r="J38" s="17">
        <v>7294602.567266562</v>
      </c>
      <c r="K38" s="17">
        <v>-846238.35429005325</v>
      </c>
      <c r="L38" s="16">
        <v>657.86627675392538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284335.14001448749</v>
      </c>
      <c r="F39" s="17">
        <v>91481.717783272994</v>
      </c>
      <c r="G39" s="17">
        <v>2491577.0190921635</v>
      </c>
      <c r="H39" s="17">
        <v>7744092.6749845659</v>
      </c>
      <c r="I39" s="17">
        <v>8425176.0615711026</v>
      </c>
      <c r="J39" s="17">
        <v>7744750.54126132</v>
      </c>
      <c r="K39" s="17">
        <v>-680425.52030978259</v>
      </c>
      <c r="L39" s="16">
        <v>657.86627675392538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256588.26308475045</v>
      </c>
      <c r="F40" s="17">
        <v>85023.39070146298</v>
      </c>
      <c r="G40" s="17">
        <v>2576600.4097936265</v>
      </c>
      <c r="H40" s="17">
        <v>7775806.3793735178</v>
      </c>
      <c r="I40" s="17">
        <v>8681764.3246558532</v>
      </c>
      <c r="J40" s="17">
        <v>7776464.2456502719</v>
      </c>
      <c r="K40" s="17">
        <v>-905300.07900558133</v>
      </c>
      <c r="L40" s="16">
        <v>657.86627675392538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274340.85662306892</v>
      </c>
      <c r="F41" s="17">
        <v>93408.181957825116</v>
      </c>
      <c r="G41" s="17">
        <v>2670008.5917514516</v>
      </c>
      <c r="H41" s="17">
        <v>7841844.5675644986</v>
      </c>
      <c r="I41" s="17">
        <v>8956105.1812789217</v>
      </c>
      <c r="J41" s="17">
        <v>7842502.4338412527</v>
      </c>
      <c r="K41" s="17">
        <v>-1113602.747437669</v>
      </c>
      <c r="L41" s="16">
        <v>657.86627675392538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268277.3952402196</v>
      </c>
      <c r="F42" s="17">
        <v>91994.34059441209</v>
      </c>
      <c r="G42" s="17">
        <v>2762002.9323458639</v>
      </c>
      <c r="H42" s="17">
        <v>8054658.0099146403</v>
      </c>
      <c r="I42" s="17">
        <v>9224382.576519141</v>
      </c>
      <c r="J42" s="17">
        <v>8055315.8761913944</v>
      </c>
      <c r="K42" s="17">
        <v>-1169066.7003277466</v>
      </c>
      <c r="L42" s="16">
        <v>657.86627675392538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105159.5377060835</v>
      </c>
      <c r="F43" s="17">
        <v>37514.611571833113</v>
      </c>
      <c r="G43" s="17">
        <v>2799517.5439176969</v>
      </c>
      <c r="H43" s="17">
        <v>7847501.5036406508</v>
      </c>
      <c r="I43" s="17">
        <v>9329542.1142252237</v>
      </c>
      <c r="J43" s="17">
        <v>7848159.3699174048</v>
      </c>
      <c r="K43" s="17">
        <v>-1481382.7443078188</v>
      </c>
      <c r="L43" s="16">
        <v>657.86627675392538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534.58334992613857</v>
      </c>
      <c r="F44" s="17">
        <v>150.44671548581977</v>
      </c>
      <c r="G44" s="17">
        <v>2799667.9906331827</v>
      </c>
      <c r="H44" s="17">
        <v>9948079.5461748317</v>
      </c>
      <c r="I44" s="17">
        <v>9330076.6975751501</v>
      </c>
      <c r="J44" s="17">
        <v>9948737.4124515858</v>
      </c>
      <c r="K44" s="17">
        <v>618660.7148764357</v>
      </c>
      <c r="L44" s="16">
        <v>657.86627675392538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1724.9199251330979</v>
      </c>
      <c r="F45" s="17">
        <v>484.95852568847351</v>
      </c>
      <c r="G45" s="17">
        <v>2800152.9491588711</v>
      </c>
      <c r="H45" s="17">
        <v>9959696.2617934309</v>
      </c>
      <c r="I45" s="17">
        <v>9331801.6175002828</v>
      </c>
      <c r="J45" s="17">
        <v>9960354.128070185</v>
      </c>
      <c r="K45" s="17">
        <v>628552.51056990214</v>
      </c>
      <c r="L45" s="16">
        <v>657.86627675392538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3012.6166526625288</v>
      </c>
      <c r="F46" s="17">
        <v>843.97918048068107</v>
      </c>
      <c r="G46" s="17">
        <v>2800996.9283393519</v>
      </c>
      <c r="H46" s="17">
        <v>9998267.9496498294</v>
      </c>
      <c r="I46" s="17">
        <v>9334814.2341529448</v>
      </c>
      <c r="J46" s="17">
        <v>9998925.8159265835</v>
      </c>
      <c r="K46" s="17">
        <v>664111.58177363873</v>
      </c>
      <c r="L46" s="16">
        <v>657.86627675392538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2399.2152197068949</v>
      </c>
      <c r="F47" s="17">
        <v>664.70122591801828</v>
      </c>
      <c r="G47" s="17">
        <v>2801661.6295652697</v>
      </c>
      <c r="H47" s="17">
        <v>10112497.104000913</v>
      </c>
      <c r="I47" s="17">
        <v>9337213.4493726511</v>
      </c>
      <c r="J47" s="17">
        <v>10113154.970277667</v>
      </c>
      <c r="K47" s="17">
        <v>775941.52090501599</v>
      </c>
      <c r="L47" s="16">
        <v>657.86627675392538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5136.0855205209327</v>
      </c>
      <c r="F48" s="17">
        <v>1444.3219917001484</v>
      </c>
      <c r="G48" s="17">
        <v>2803105.9515569699</v>
      </c>
      <c r="H48" s="17">
        <v>9967993.2681290377</v>
      </c>
      <c r="I48" s="17">
        <v>9342349.5348931719</v>
      </c>
      <c r="J48" s="17">
        <v>9968651.1344057918</v>
      </c>
      <c r="K48" s="17">
        <v>626301.5995126199</v>
      </c>
      <c r="L48" s="16">
        <v>657.86627675392538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-1054.5417431386754</v>
      </c>
      <c r="F49" s="17">
        <v>-278.45200927966528</v>
      </c>
      <c r="G49" s="17">
        <v>2802827.4995476902</v>
      </c>
      <c r="H49" s="17">
        <v>10614750.47257231</v>
      </c>
      <c r="I49" s="17">
        <v>9342349.5348931719</v>
      </c>
      <c r="J49" s="17">
        <v>10616462.880592203</v>
      </c>
      <c r="K49" s="17">
        <v>1274113.3456990309</v>
      </c>
      <c r="L49" s="16">
        <v>1712.4080198926008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-11.050952879581011</v>
      </c>
      <c r="F50" s="17">
        <v>-2.9752483867076496</v>
      </c>
      <c r="G50" s="17">
        <v>2802824.5242993035</v>
      </c>
      <c r="H50" s="17">
        <v>10410519.63464494</v>
      </c>
      <c r="I50" s="17">
        <v>9342349.5348931719</v>
      </c>
      <c r="J50" s="17">
        <v>10412243.093617713</v>
      </c>
      <c r="K50" s="17">
        <v>1069893.5587245412</v>
      </c>
      <c r="L50" s="16">
        <v>1723.4589727721818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9239.1347107527126</v>
      </c>
      <c r="F51" s="17">
        <v>2650.0995498918569</v>
      </c>
      <c r="G51" s="17">
        <v>2805474.6238491954</v>
      </c>
      <c r="H51" s="17">
        <v>9780824.2631484326</v>
      </c>
      <c r="I51" s="17">
        <v>9351588.6696039252</v>
      </c>
      <c r="J51" s="17">
        <v>9782547.7221212052</v>
      </c>
      <c r="K51" s="17">
        <v>430959.05251727998</v>
      </c>
      <c r="L51" s="16">
        <v>1723.4589727721818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19227.081497612831</v>
      </c>
      <c r="F52" s="17">
        <v>5441.9875691629777</v>
      </c>
      <c r="G52" s="17">
        <v>2810916.6114183585</v>
      </c>
      <c r="H52" s="17">
        <v>9931247.0092700254</v>
      </c>
      <c r="I52" s="17">
        <v>9370815.7511015385</v>
      </c>
      <c r="J52" s="17">
        <v>9932970.468242798</v>
      </c>
      <c r="K52" s="17">
        <v>562154.71714125946</v>
      </c>
      <c r="L52" s="16">
        <v>1723.4589727721818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5403.0564312410688</v>
      </c>
      <c r="F53" s="17">
        <v>1480.5177932627009</v>
      </c>
      <c r="G53" s="17">
        <v>2812397.1292116214</v>
      </c>
      <c r="H53" s="17">
        <v>10263666.174996451</v>
      </c>
      <c r="I53" s="17">
        <v>9376218.8075327799</v>
      </c>
      <c r="J53" s="17">
        <v>10265389.633969223</v>
      </c>
      <c r="K53" s="17">
        <v>889170.82643644325</v>
      </c>
      <c r="L53" s="16">
        <v>1723.4589727721818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173.38018734075604</v>
      </c>
      <c r="F54" s="17">
        <v>45.641498967150639</v>
      </c>
      <c r="G54" s="17">
        <v>2812442.7707105884</v>
      </c>
      <c r="H54" s="17">
        <v>10683738.823343879</v>
      </c>
      <c r="I54" s="17">
        <v>9376392.18772012</v>
      </c>
      <c r="J54" s="17">
        <v>10685462.282316651</v>
      </c>
      <c r="K54" s="17">
        <v>1309070.0945965312</v>
      </c>
      <c r="L54" s="16">
        <v>1723.4589727721818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-80971.164290520144</v>
      </c>
      <c r="F55" s="17">
        <v>-17843.135478065251</v>
      </c>
      <c r="G55" s="17">
        <v>2794599.6352325231</v>
      </c>
      <c r="H55" s="17">
        <v>12681738.950467033</v>
      </c>
      <c r="I55" s="17">
        <v>9376392.18772012</v>
      </c>
      <c r="J55" s="17">
        <v>12764433.573730325</v>
      </c>
      <c r="K55" s="17">
        <v>3388041.3860102054</v>
      </c>
      <c r="L55" s="16">
        <v>82694.62326329232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-207876.55105672523</v>
      </c>
      <c r="F56" s="17">
        <v>-41097.753512835407</v>
      </c>
      <c r="G56" s="17">
        <v>2753501.8817196875</v>
      </c>
      <c r="H56" s="17">
        <v>13927488.136823019</v>
      </c>
      <c r="I56" s="17">
        <v>9376392.18772012</v>
      </c>
      <c r="J56" s="17">
        <v>14218059.311143037</v>
      </c>
      <c r="K56" s="17">
        <v>4841667.123422917</v>
      </c>
      <c r="L56" s="16">
        <v>290571.17432001757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模型四 (1)PE副本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2025-10-31T08:32:43Z</dcterms:modified>
</cp:coreProperties>
</file>