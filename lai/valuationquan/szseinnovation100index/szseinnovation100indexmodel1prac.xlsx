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795" yWindow="195" windowWidth="15600" windowHeight="7620" activeTab="1"/>
  </bookViews>
  <sheets>
    <sheet name="model1" sheetId="5" r:id="rId1"/>
    <sheet name="myPEPB" sheetId="6" r:id="rId2"/>
  </sheets>
  <externalReferences>
    <externalReference r:id="rId3"/>
  </externalReferences>
  <definedNames>
    <definedName name="_xlnm._FilterDatabase" localSheetId="0" hidden="1">model1!$L$1:$L$33</definedName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/>
</workbook>
</file>

<file path=xl/calcChain.xml><?xml version="1.0" encoding="utf-8"?>
<calcChain xmlns="http://schemas.openxmlformats.org/spreadsheetml/2006/main">
  <c r="D1173" i="6" l="1"/>
  <c r="A1173" i="6"/>
  <c r="D1172" i="6" l="1"/>
  <c r="A1172" i="6"/>
  <c r="D1171" i="6" l="1"/>
  <c r="A1171" i="6"/>
  <c r="D1170" i="6" l="1"/>
  <c r="A1170" i="6"/>
  <c r="D1169" i="6" l="1"/>
  <c r="A1169" i="6"/>
  <c r="D1168" i="6" l="1"/>
  <c r="A1168" i="6"/>
  <c r="D1167" i="6" l="1"/>
  <c r="A1167" i="6"/>
  <c r="D1166" i="6" l="1"/>
  <c r="A1166" i="6"/>
  <c r="D1165" i="6" l="1"/>
  <c r="A1165" i="6"/>
  <c r="D1164" i="6" l="1"/>
  <c r="A1164" i="6"/>
  <c r="D1163" i="6" l="1"/>
  <c r="A1163" i="6"/>
  <c r="D1162" i="6" l="1"/>
  <c r="A1162" i="6"/>
  <c r="D1161" i="6" l="1"/>
  <c r="A1161" i="6"/>
  <c r="D1160" i="6" l="1"/>
  <c r="A1160" i="6"/>
  <c r="D1159" i="6" l="1"/>
  <c r="A1159" i="6"/>
  <c r="D1158" i="6" l="1"/>
  <c r="A1158" i="6"/>
  <c r="D1157" i="6" l="1"/>
  <c r="A1157" i="6"/>
  <c r="D1156" i="6" l="1"/>
  <c r="A1156" i="6"/>
  <c r="D1155" i="6" l="1"/>
  <c r="A1155" i="6"/>
  <c r="I73" i="5" l="1"/>
  <c r="H73" i="5"/>
  <c r="G73" i="5"/>
  <c r="F73" i="5"/>
  <c r="E73" i="5"/>
  <c r="D73" i="5"/>
  <c r="C73" i="5"/>
  <c r="B73" i="5"/>
  <c r="D1154" i="6" l="1"/>
  <c r="A1154" i="6"/>
  <c r="D1132" i="6" l="1"/>
  <c r="A1132" i="6"/>
  <c r="A1133" i="6" s="1"/>
  <c r="D1133" i="6" l="1"/>
  <c r="A1134" i="6"/>
  <c r="I72" i="5"/>
  <c r="H72" i="5"/>
  <c r="G72" i="5"/>
  <c r="F72" i="5"/>
  <c r="E72" i="5"/>
  <c r="D72" i="5"/>
  <c r="C72" i="5"/>
  <c r="B72" i="5"/>
  <c r="D1134" i="6" l="1"/>
  <c r="A1135" i="6"/>
  <c r="D1131" i="6"/>
  <c r="A1131" i="6"/>
  <c r="D1135" i="6" l="1"/>
  <c r="A1136" i="6"/>
  <c r="D1130" i="6"/>
  <c r="A1130" i="6"/>
  <c r="A1137" i="6" l="1"/>
  <c r="D1136" i="6"/>
  <c r="D1129" i="6"/>
  <c r="A1129" i="6"/>
  <c r="D1137" i="6" l="1"/>
  <c r="A1138" i="6"/>
  <c r="D1128" i="6"/>
  <c r="A1128" i="6"/>
  <c r="A1139" i="6" l="1"/>
  <c r="D1138" i="6"/>
  <c r="D1127" i="6"/>
  <c r="A1127" i="6"/>
  <c r="D1139" i="6" l="1"/>
  <c r="A1140" i="6"/>
  <c r="D1126" i="6"/>
  <c r="A1126" i="6"/>
  <c r="A1141" i="6" l="1"/>
  <c r="D1140" i="6"/>
  <c r="D1125" i="6"/>
  <c r="A1125" i="6"/>
  <c r="D1141" i="6" l="1"/>
  <c r="A1142" i="6"/>
  <c r="D1124" i="6"/>
  <c r="A1124" i="6"/>
  <c r="A1143" i="6" l="1"/>
  <c r="D1142" i="6"/>
  <c r="D1123" i="6"/>
  <c r="A1123" i="6"/>
  <c r="D1143" i="6" l="1"/>
  <c r="A1144" i="6"/>
  <c r="D1122" i="6"/>
  <c r="A1122" i="6"/>
  <c r="A1145" i="6" l="1"/>
  <c r="D1144" i="6"/>
  <c r="D1121" i="6"/>
  <c r="A1121" i="6"/>
  <c r="D1145" i="6" l="1"/>
  <c r="A1146" i="6"/>
  <c r="D1120" i="6"/>
  <c r="A1120" i="6"/>
  <c r="A1147" i="6" l="1"/>
  <c r="D1146" i="6"/>
  <c r="D1119" i="6"/>
  <c r="A1119" i="6"/>
  <c r="D1147" i="6" l="1"/>
  <c r="A1148" i="6"/>
  <c r="D1118" i="6"/>
  <c r="A1118" i="6"/>
  <c r="A1149" i="6" l="1"/>
  <c r="D1148" i="6"/>
  <c r="D1117" i="6"/>
  <c r="A1117" i="6"/>
  <c r="D1149" i="6" l="1"/>
  <c r="A1150" i="6"/>
  <c r="D1116" i="6"/>
  <c r="A1116" i="6"/>
  <c r="A1151" i="6" l="1"/>
  <c r="D1150" i="6"/>
  <c r="D1115" i="6"/>
  <c r="A1115" i="6"/>
  <c r="D1151" i="6" l="1"/>
  <c r="A1152" i="6"/>
  <c r="D1114" i="6"/>
  <c r="A1114" i="6"/>
  <c r="A1153" i="6" l="1"/>
  <c r="D1153" i="6" s="1"/>
  <c r="D1152" i="6"/>
  <c r="D1113" i="6"/>
  <c r="A1113" i="6"/>
  <c r="D1112" i="6" l="1"/>
  <c r="A1112" i="6"/>
  <c r="I71" i="5" l="1"/>
  <c r="H71" i="5"/>
  <c r="G71" i="5"/>
  <c r="F71" i="5"/>
  <c r="E71" i="5"/>
  <c r="D71" i="5"/>
  <c r="C71" i="5"/>
  <c r="B71" i="5"/>
  <c r="D1111" i="6" l="1"/>
  <c r="A1111" i="6"/>
  <c r="D1110" i="6" l="1"/>
  <c r="A1110" i="6"/>
  <c r="D1109" i="6" l="1"/>
  <c r="A1109" i="6"/>
  <c r="D1108" i="6" l="1"/>
  <c r="A1108" i="6"/>
  <c r="D1107" i="6" l="1"/>
  <c r="A1107" i="6"/>
  <c r="D1106" i="6" l="1"/>
  <c r="A1106" i="6"/>
  <c r="D1105" i="6" l="1"/>
  <c r="A1105" i="6"/>
  <c r="D1104" i="6" l="1"/>
  <c r="A1104" i="6"/>
  <c r="D1103" i="6" l="1"/>
  <c r="A1103" i="6"/>
  <c r="D1102" i="6" l="1"/>
  <c r="A1102" i="6"/>
  <c r="D1101" i="6" l="1"/>
  <c r="A1101" i="6"/>
  <c r="D1100" i="6" l="1"/>
  <c r="A1100" i="6"/>
  <c r="D1099" i="6" l="1"/>
  <c r="A1099" i="6"/>
  <c r="D1098" i="6" l="1"/>
  <c r="A1098" i="6"/>
  <c r="D1097" i="6" l="1"/>
  <c r="A1097" i="6"/>
  <c r="D1096" i="6" l="1"/>
  <c r="A1096" i="6"/>
  <c r="D1095" i="6" l="1"/>
  <c r="A1095" i="6"/>
  <c r="I70" i="5" l="1"/>
  <c r="H70" i="5"/>
  <c r="G70" i="5"/>
  <c r="F70" i="5"/>
  <c r="E70" i="5"/>
  <c r="D70" i="5"/>
  <c r="C70" i="5"/>
  <c r="B70" i="5"/>
  <c r="I69" i="5" l="1"/>
  <c r="H69" i="5"/>
  <c r="G69" i="5"/>
  <c r="F69" i="5"/>
  <c r="E69" i="5"/>
  <c r="D69" i="5"/>
  <c r="C69" i="5"/>
  <c r="B69" i="5"/>
  <c r="I68" i="5" l="1"/>
  <c r="H68" i="5"/>
  <c r="G68" i="5"/>
  <c r="F68" i="5"/>
  <c r="E68" i="5"/>
  <c r="D68" i="5"/>
  <c r="C68" i="5"/>
  <c r="B68" i="5"/>
  <c r="I67" i="5" l="1"/>
  <c r="H67" i="5"/>
  <c r="G67" i="5"/>
  <c r="F67" i="5"/>
  <c r="E67" i="5"/>
  <c r="D67" i="5"/>
  <c r="C67" i="5"/>
  <c r="B67" i="5"/>
  <c r="I66" i="5" l="1"/>
  <c r="H66" i="5"/>
  <c r="G66" i="5"/>
  <c r="F66" i="5"/>
  <c r="E66" i="5"/>
  <c r="D66" i="5"/>
  <c r="C66" i="5"/>
  <c r="B66" i="5"/>
  <c r="I65" i="5" l="1"/>
  <c r="H65" i="5"/>
  <c r="G65" i="5"/>
  <c r="F65" i="5"/>
  <c r="E65" i="5"/>
  <c r="D65" i="5"/>
  <c r="C65" i="5"/>
  <c r="B65" i="5"/>
  <c r="I64" i="5" l="1"/>
  <c r="H64" i="5"/>
  <c r="G64" i="5"/>
  <c r="F64" i="5"/>
  <c r="E64" i="5"/>
  <c r="D64" i="5"/>
  <c r="C64" i="5"/>
  <c r="B64" i="5"/>
  <c r="I63" i="5" l="1"/>
  <c r="H63" i="5"/>
  <c r="G63" i="5"/>
  <c r="F63" i="5"/>
  <c r="E63" i="5"/>
  <c r="D63" i="5"/>
  <c r="C63" i="5"/>
  <c r="B63" i="5"/>
  <c r="I62" i="5" l="1"/>
  <c r="H62" i="5"/>
  <c r="G62" i="5"/>
  <c r="F62" i="5"/>
  <c r="E62" i="5"/>
  <c r="D62" i="5"/>
  <c r="C62" i="5"/>
  <c r="B62" i="5"/>
  <c r="V13" i="5" l="1"/>
  <c r="V12" i="5"/>
  <c r="V11" i="5"/>
  <c r="V10" i="5"/>
  <c r="V15" i="5" s="1"/>
  <c r="V9" i="5"/>
  <c r="B61" i="5" l="1"/>
  <c r="B60" i="5" l="1"/>
  <c r="B59" i="5" l="1"/>
  <c r="B58" i="5" l="1"/>
  <c r="B57" i="5" l="1"/>
  <c r="B56" i="5" l="1"/>
  <c r="B55" i="5" l="1"/>
  <c r="AB6" i="5" l="1"/>
  <c r="AB5" i="5"/>
  <c r="AB4" i="5"/>
  <c r="AB3" i="5"/>
  <c r="AB8" i="5" s="1"/>
  <c r="B54" i="5" l="1"/>
  <c r="B53" i="5" l="1"/>
  <c r="B52" i="5" l="1"/>
  <c r="B51" i="5" l="1"/>
  <c r="B50" i="5" l="1"/>
  <c r="B49" i="5" l="1"/>
  <c r="B48" i="5" l="1"/>
  <c r="B47" i="5" l="1"/>
  <c r="B46" i="5" l="1"/>
  <c r="B45" i="5" l="1"/>
  <c r="B44" i="5" l="1"/>
  <c r="B43" i="5" l="1"/>
  <c r="B42" i="5" l="1"/>
  <c r="B41" i="5" l="1"/>
  <c r="B40" i="5" l="1"/>
  <c r="Y5" i="5" l="1"/>
  <c r="Y4" i="5"/>
  <c r="Y7" i="5" s="1"/>
  <c r="Y3" i="5"/>
  <c r="B39" i="5"/>
  <c r="B38" i="5" l="1"/>
  <c r="B37" i="5" l="1"/>
  <c r="B36" i="5" l="1"/>
  <c r="B35" i="5" l="1"/>
  <c r="B34" i="5" l="1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V4" i="5" l="1"/>
  <c r="V3" i="5"/>
  <c r="V6" i="5" s="1"/>
  <c r="C3" i="5"/>
  <c r="G3" i="5" s="1"/>
  <c r="C4" i="5" l="1"/>
  <c r="C5" i="5" s="1"/>
  <c r="C6" i="5" s="1"/>
  <c r="C7" i="5" s="1"/>
  <c r="C8" i="5" s="1"/>
  <c r="C9" i="5" s="1"/>
  <c r="C10" i="5" s="1"/>
  <c r="C11" i="5" s="1"/>
  <c r="C12" i="5" s="1"/>
  <c r="C13" i="5" s="1"/>
  <c r="C14" i="5" s="1"/>
  <c r="C15" i="5" s="1"/>
  <c r="D5" i="5"/>
  <c r="D3" i="5"/>
  <c r="E3" i="5" s="1"/>
  <c r="D11" i="5" l="1"/>
  <c r="D7" i="5"/>
  <c r="D4" i="5"/>
  <c r="D8" i="5"/>
  <c r="D12" i="5"/>
  <c r="D9" i="5"/>
  <c r="D13" i="5"/>
  <c r="D6" i="5"/>
  <c r="D10" i="5"/>
  <c r="D14" i="5"/>
  <c r="G4" i="5"/>
  <c r="G5" i="5" s="1"/>
  <c r="G6" i="5" s="1"/>
  <c r="G7" i="5" s="1"/>
  <c r="G8" i="5" s="1"/>
  <c r="G9" i="5" s="1"/>
  <c r="G10" i="5" s="1"/>
  <c r="G11" i="5" s="1"/>
  <c r="G12" i="5" s="1"/>
  <c r="G13" i="5" s="1"/>
  <c r="F3" i="5"/>
  <c r="H3" i="5" s="1"/>
  <c r="I3" i="5" s="1"/>
  <c r="E4" i="5"/>
  <c r="G14" i="5" l="1"/>
  <c r="G15" i="5" s="1"/>
  <c r="N4" i="5"/>
  <c r="M4" i="5" s="1"/>
  <c r="E5" i="5"/>
  <c r="F4" i="5"/>
  <c r="H4" i="5" s="1"/>
  <c r="I4" i="5" s="1"/>
  <c r="E6" i="5" l="1"/>
  <c r="F5" i="5"/>
  <c r="H5" i="5" s="1"/>
  <c r="I5" i="5" s="1"/>
  <c r="E7" i="5" l="1"/>
  <c r="F6" i="5"/>
  <c r="H6" i="5" s="1"/>
  <c r="I6" i="5" s="1"/>
  <c r="E8" i="5" l="1"/>
  <c r="F7" i="5"/>
  <c r="H7" i="5" s="1"/>
  <c r="I7" i="5" s="1"/>
  <c r="E9" i="5" l="1"/>
  <c r="F8" i="5"/>
  <c r="H8" i="5" s="1"/>
  <c r="I8" i="5" s="1"/>
  <c r="E10" i="5" l="1"/>
  <c r="F9" i="5"/>
  <c r="H9" i="5" s="1"/>
  <c r="I9" i="5" s="1"/>
  <c r="E11" i="5" l="1"/>
  <c r="F10" i="5"/>
  <c r="H10" i="5" s="1"/>
  <c r="I10" i="5" s="1"/>
  <c r="E12" i="5" l="1"/>
  <c r="F11" i="5"/>
  <c r="H11" i="5" s="1"/>
  <c r="I11" i="5" s="1"/>
  <c r="E13" i="5" l="1"/>
  <c r="F12" i="5"/>
  <c r="H12" i="5" s="1"/>
  <c r="I12" i="5" s="1"/>
  <c r="E14" i="5" l="1"/>
  <c r="F13" i="5"/>
  <c r="H13" i="5" s="1"/>
  <c r="I13" i="5" l="1"/>
  <c r="P4" i="5" s="1"/>
  <c r="O4" i="5"/>
  <c r="Q4" i="5" s="1"/>
  <c r="R4" i="5" s="1"/>
  <c r="F14" i="5"/>
  <c r="H14" i="5" s="1"/>
  <c r="I14" i="5" s="1"/>
  <c r="A4" i="6" l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D124" i="6" l="1"/>
  <c r="A125" i="6"/>
  <c r="D122" i="6"/>
  <c r="D120" i="6"/>
  <c r="D118" i="6"/>
  <c r="D116" i="6"/>
  <c r="D114" i="6"/>
  <c r="D112" i="6"/>
  <c r="D110" i="6"/>
  <c r="D108" i="6"/>
  <c r="D106" i="6"/>
  <c r="D104" i="6"/>
  <c r="D102" i="6"/>
  <c r="D100" i="6"/>
  <c r="D98" i="6"/>
  <c r="D96" i="6"/>
  <c r="D94" i="6"/>
  <c r="D92" i="6"/>
  <c r="D90" i="6"/>
  <c r="D88" i="6"/>
  <c r="D86" i="6"/>
  <c r="D84" i="6"/>
  <c r="D82" i="6"/>
  <c r="D80" i="6"/>
  <c r="D78" i="6"/>
  <c r="D76" i="6"/>
  <c r="D74" i="6"/>
  <c r="D72" i="6"/>
  <c r="D70" i="6"/>
  <c r="D68" i="6"/>
  <c r="D66" i="6"/>
  <c r="D64" i="6"/>
  <c r="D62" i="6"/>
  <c r="D60" i="6"/>
  <c r="D58" i="6"/>
  <c r="D56" i="6"/>
  <c r="D54" i="6"/>
  <c r="D52" i="6"/>
  <c r="D50" i="6"/>
  <c r="D48" i="6"/>
  <c r="D46" i="6"/>
  <c r="D44" i="6"/>
  <c r="D42" i="6"/>
  <c r="D40" i="6"/>
  <c r="D38" i="6"/>
  <c r="D36" i="6"/>
  <c r="D34" i="6"/>
  <c r="D32" i="6"/>
  <c r="D30" i="6"/>
  <c r="D28" i="6"/>
  <c r="D26" i="6"/>
  <c r="D24" i="6"/>
  <c r="D22" i="6"/>
  <c r="D20" i="6"/>
  <c r="D18" i="6"/>
  <c r="D16" i="6"/>
  <c r="D14" i="6"/>
  <c r="D12" i="6"/>
  <c r="D10" i="6"/>
  <c r="D8" i="6"/>
  <c r="D6" i="6"/>
  <c r="D4" i="6"/>
  <c r="D123" i="6"/>
  <c r="D121" i="6"/>
  <c r="D119" i="6"/>
  <c r="D117" i="6"/>
  <c r="D115" i="6"/>
  <c r="D113" i="6"/>
  <c r="D111" i="6"/>
  <c r="D109" i="6"/>
  <c r="D107" i="6"/>
  <c r="D105" i="6"/>
  <c r="D103" i="6"/>
  <c r="D101" i="6"/>
  <c r="D99" i="6"/>
  <c r="D97" i="6"/>
  <c r="D95" i="6"/>
  <c r="D93" i="6"/>
  <c r="D91" i="6"/>
  <c r="D89" i="6"/>
  <c r="D87" i="6"/>
  <c r="D85" i="6"/>
  <c r="D83" i="6"/>
  <c r="D81" i="6"/>
  <c r="D79" i="6"/>
  <c r="D77" i="6"/>
  <c r="D75" i="6"/>
  <c r="D73" i="6"/>
  <c r="D71" i="6"/>
  <c r="D69" i="6"/>
  <c r="D67" i="6"/>
  <c r="D65" i="6"/>
  <c r="D63" i="6"/>
  <c r="D61" i="6"/>
  <c r="D59" i="6"/>
  <c r="D57" i="6"/>
  <c r="D55" i="6"/>
  <c r="D53" i="6"/>
  <c r="D51" i="6"/>
  <c r="D49" i="6"/>
  <c r="D47" i="6"/>
  <c r="D45" i="6"/>
  <c r="D43" i="6"/>
  <c r="D41" i="6"/>
  <c r="D39" i="6"/>
  <c r="D37" i="6"/>
  <c r="D35" i="6"/>
  <c r="D33" i="6"/>
  <c r="D31" i="6"/>
  <c r="D29" i="6"/>
  <c r="D27" i="6"/>
  <c r="D25" i="6"/>
  <c r="D23" i="6"/>
  <c r="D21" i="6"/>
  <c r="D19" i="6"/>
  <c r="D17" i="6"/>
  <c r="D15" i="6"/>
  <c r="D13" i="6"/>
  <c r="D11" i="6"/>
  <c r="D9" i="6"/>
  <c r="D7" i="6"/>
  <c r="D5" i="6"/>
  <c r="D3" i="6"/>
  <c r="A126" i="6" l="1"/>
  <c r="D125" i="6"/>
  <c r="D15" i="5"/>
  <c r="E15" i="5" s="1"/>
  <c r="C16" i="5"/>
  <c r="A127" i="6" l="1"/>
  <c r="D126" i="6"/>
  <c r="C17" i="5"/>
  <c r="D16" i="5"/>
  <c r="G16" i="5"/>
  <c r="G17" i="5" s="1"/>
  <c r="A128" i="6" l="1"/>
  <c r="D127" i="6"/>
  <c r="C18" i="5"/>
  <c r="G18" i="5" s="1"/>
  <c r="D17" i="5"/>
  <c r="A129" i="6" l="1"/>
  <c r="D128" i="6"/>
  <c r="C19" i="5"/>
  <c r="D18" i="5"/>
  <c r="A130" i="6" l="1"/>
  <c r="D129" i="6"/>
  <c r="C20" i="5"/>
  <c r="D19" i="5"/>
  <c r="G19" i="5"/>
  <c r="G20" i="5" s="1"/>
  <c r="A131" i="6" l="1"/>
  <c r="D130" i="6"/>
  <c r="C21" i="5"/>
  <c r="D20" i="5"/>
  <c r="A132" i="6" l="1"/>
  <c r="D131" i="6"/>
  <c r="C22" i="5"/>
  <c r="D21" i="5"/>
  <c r="G21" i="5"/>
  <c r="G22" i="5" s="1"/>
  <c r="A133" i="6" l="1"/>
  <c r="D132" i="6"/>
  <c r="D22" i="5"/>
  <c r="C23" i="5"/>
  <c r="A134" i="6" l="1"/>
  <c r="D133" i="6"/>
  <c r="C24" i="5"/>
  <c r="D23" i="5"/>
  <c r="G23" i="5"/>
  <c r="G24" i="5" s="1"/>
  <c r="A135" i="6" l="1"/>
  <c r="D134" i="6"/>
  <c r="C25" i="5"/>
  <c r="D24" i="5"/>
  <c r="A136" i="6" l="1"/>
  <c r="D135" i="6"/>
  <c r="C26" i="5"/>
  <c r="D25" i="5"/>
  <c r="G25" i="5"/>
  <c r="G26" i="5" s="1"/>
  <c r="A137" i="6" l="1"/>
  <c r="D136" i="6"/>
  <c r="D26" i="5"/>
  <c r="C27" i="5"/>
  <c r="N5" i="5"/>
  <c r="M5" i="5" l="1"/>
  <c r="D27" i="5"/>
  <c r="C28" i="5"/>
  <c r="A138" i="6"/>
  <c r="D137" i="6"/>
  <c r="G27" i="5"/>
  <c r="E16" i="5"/>
  <c r="F15" i="5"/>
  <c r="H15" i="5" s="1"/>
  <c r="I15" i="5" s="1"/>
  <c r="G28" i="5" l="1"/>
  <c r="C29" i="5"/>
  <c r="D28" i="5"/>
  <c r="G29" i="5"/>
  <c r="A139" i="6"/>
  <c r="D138" i="6"/>
  <c r="F16" i="5"/>
  <c r="H16" i="5" s="1"/>
  <c r="I16" i="5" s="1"/>
  <c r="E17" i="5"/>
  <c r="C30" i="5" l="1"/>
  <c r="D29" i="5"/>
  <c r="A140" i="6"/>
  <c r="D139" i="6"/>
  <c r="E18" i="5"/>
  <c r="F17" i="5"/>
  <c r="H17" i="5" s="1"/>
  <c r="I17" i="5" s="1"/>
  <c r="C31" i="5" l="1"/>
  <c r="D30" i="5"/>
  <c r="G30" i="5"/>
  <c r="G31" i="5" s="1"/>
  <c r="A141" i="6"/>
  <c r="D140" i="6"/>
  <c r="E19" i="5"/>
  <c r="F18" i="5"/>
  <c r="H18" i="5" s="1"/>
  <c r="I18" i="5" s="1"/>
  <c r="C32" i="5" l="1"/>
  <c r="D31" i="5"/>
  <c r="A142" i="6"/>
  <c r="D141" i="6"/>
  <c r="E20" i="5"/>
  <c r="F19" i="5"/>
  <c r="H19" i="5" s="1"/>
  <c r="I19" i="5" s="1"/>
  <c r="C33" i="5" l="1"/>
  <c r="D32" i="5"/>
  <c r="G32" i="5"/>
  <c r="G33" i="5" s="1"/>
  <c r="A143" i="6"/>
  <c r="D142" i="6"/>
  <c r="E21" i="5"/>
  <c r="F20" i="5"/>
  <c r="H20" i="5" s="1"/>
  <c r="I20" i="5" s="1"/>
  <c r="D33" i="5" l="1"/>
  <c r="C34" i="5"/>
  <c r="A144" i="6"/>
  <c r="D143" i="6"/>
  <c r="E22" i="5"/>
  <c r="F21" i="5"/>
  <c r="H21" i="5" s="1"/>
  <c r="I21" i="5" s="1"/>
  <c r="D34" i="5" l="1"/>
  <c r="C35" i="5"/>
  <c r="G34" i="5"/>
  <c r="A145" i="6"/>
  <c r="D144" i="6"/>
  <c r="F22" i="5"/>
  <c r="H22" i="5" s="1"/>
  <c r="I22" i="5" s="1"/>
  <c r="E23" i="5"/>
  <c r="G35" i="5" l="1"/>
  <c r="C36" i="5"/>
  <c r="D35" i="5"/>
  <c r="A146" i="6"/>
  <c r="D145" i="6"/>
  <c r="E24" i="5"/>
  <c r="F23" i="5"/>
  <c r="H23" i="5" s="1"/>
  <c r="I23" i="5" s="1"/>
  <c r="D36" i="5" l="1"/>
  <c r="C37" i="5"/>
  <c r="G36" i="5"/>
  <c r="A147" i="6"/>
  <c r="D146" i="6"/>
  <c r="E25" i="5"/>
  <c r="F24" i="5"/>
  <c r="H24" i="5" s="1"/>
  <c r="I24" i="5" s="1"/>
  <c r="G37" i="5" l="1"/>
  <c r="N6" i="5"/>
  <c r="C38" i="5"/>
  <c r="G38" i="5" s="1"/>
  <c r="D37" i="5"/>
  <c r="A148" i="6"/>
  <c r="D147" i="6"/>
  <c r="E26" i="5"/>
  <c r="F25" i="5"/>
  <c r="H25" i="5" s="1"/>
  <c r="M6" i="5" l="1"/>
  <c r="C39" i="5"/>
  <c r="G39" i="5" s="1"/>
  <c r="D38" i="5"/>
  <c r="A149" i="6"/>
  <c r="D148" i="6"/>
  <c r="F26" i="5"/>
  <c r="H26" i="5" s="1"/>
  <c r="I26" i="5" s="1"/>
  <c r="E27" i="5"/>
  <c r="I25" i="5"/>
  <c r="P5" i="5" s="1"/>
  <c r="O5" i="5"/>
  <c r="Q5" i="5" s="1"/>
  <c r="C40" i="5" l="1"/>
  <c r="G40" i="5" s="1"/>
  <c r="D39" i="5"/>
  <c r="A150" i="6"/>
  <c r="D149" i="6"/>
  <c r="F27" i="5"/>
  <c r="H27" i="5" s="1"/>
  <c r="I27" i="5" s="1"/>
  <c r="E28" i="5"/>
  <c r="C41" i="5" l="1"/>
  <c r="G41" i="5" s="1"/>
  <c r="D40" i="5"/>
  <c r="A151" i="6"/>
  <c r="D150" i="6"/>
  <c r="E29" i="5"/>
  <c r="F28" i="5"/>
  <c r="H28" i="5" s="1"/>
  <c r="I28" i="5" s="1"/>
  <c r="C42" i="5" l="1"/>
  <c r="G42" i="5" s="1"/>
  <c r="D41" i="5"/>
  <c r="A152" i="6"/>
  <c r="D151" i="6"/>
  <c r="E30" i="5"/>
  <c r="F29" i="5"/>
  <c r="H29" i="5" s="1"/>
  <c r="I29" i="5" s="1"/>
  <c r="C43" i="5" l="1"/>
  <c r="G43" i="5" s="1"/>
  <c r="D42" i="5"/>
  <c r="A153" i="6"/>
  <c r="D152" i="6"/>
  <c r="E31" i="5"/>
  <c r="F30" i="5"/>
  <c r="H30" i="5" s="1"/>
  <c r="I30" i="5" s="1"/>
  <c r="C44" i="5" l="1"/>
  <c r="G44" i="5" s="1"/>
  <c r="D43" i="5"/>
  <c r="A154" i="6"/>
  <c r="D153" i="6"/>
  <c r="E32" i="5"/>
  <c r="F31" i="5"/>
  <c r="H31" i="5" s="1"/>
  <c r="I31" i="5" s="1"/>
  <c r="C45" i="5" l="1"/>
  <c r="G45" i="5" s="1"/>
  <c r="D44" i="5"/>
  <c r="A155" i="6"/>
  <c r="D154" i="6"/>
  <c r="E33" i="5"/>
  <c r="F32" i="5"/>
  <c r="H32" i="5" s="1"/>
  <c r="I32" i="5" s="1"/>
  <c r="C46" i="5" l="1"/>
  <c r="D45" i="5"/>
  <c r="F33" i="5"/>
  <c r="H33" i="5" s="1"/>
  <c r="I33" i="5" s="1"/>
  <c r="E34" i="5"/>
  <c r="A156" i="6"/>
  <c r="D155" i="6"/>
  <c r="D46" i="5" l="1"/>
  <c r="C47" i="5"/>
  <c r="G46" i="5"/>
  <c r="F34" i="5"/>
  <c r="H34" i="5" s="1"/>
  <c r="I34" i="5" s="1"/>
  <c r="E35" i="5"/>
  <c r="A157" i="6"/>
  <c r="D156" i="6"/>
  <c r="G47" i="5" l="1"/>
  <c r="G48" i="5"/>
  <c r="C48" i="5"/>
  <c r="D47" i="5"/>
  <c r="E36" i="5"/>
  <c r="F35" i="5"/>
  <c r="H35" i="5" s="1"/>
  <c r="I35" i="5" s="1"/>
  <c r="A158" i="6"/>
  <c r="D157" i="6"/>
  <c r="D48" i="5" l="1"/>
  <c r="C49" i="5"/>
  <c r="F36" i="5"/>
  <c r="H36" i="5" s="1"/>
  <c r="I36" i="5" s="1"/>
  <c r="E37" i="5"/>
  <c r="A159" i="6"/>
  <c r="D158" i="6"/>
  <c r="C50" i="5" l="1"/>
  <c r="D49" i="5"/>
  <c r="G49" i="5"/>
  <c r="F37" i="5"/>
  <c r="H37" i="5" s="1"/>
  <c r="E38" i="5"/>
  <c r="A160" i="6"/>
  <c r="D159" i="6"/>
  <c r="G50" i="5" l="1"/>
  <c r="N7" i="5"/>
  <c r="M7" i="5" s="1"/>
  <c r="C51" i="5"/>
  <c r="D50" i="5"/>
  <c r="E39" i="5"/>
  <c r="F38" i="5"/>
  <c r="H38" i="5" s="1"/>
  <c r="I38" i="5" s="1"/>
  <c r="I37" i="5"/>
  <c r="P6" i="5" s="1"/>
  <c r="O6" i="5"/>
  <c r="Q6" i="5" s="1"/>
  <c r="A161" i="6"/>
  <c r="D160" i="6"/>
  <c r="D51" i="5" l="1"/>
  <c r="C52" i="5"/>
  <c r="G51" i="5"/>
  <c r="F39" i="5"/>
  <c r="H39" i="5" s="1"/>
  <c r="I39" i="5" s="1"/>
  <c r="E40" i="5"/>
  <c r="A162" i="6"/>
  <c r="D161" i="6"/>
  <c r="C53" i="5" l="1"/>
  <c r="D52" i="5"/>
  <c r="G52" i="5"/>
  <c r="G53" i="5" s="1"/>
  <c r="E41" i="5"/>
  <c r="F40" i="5"/>
  <c r="H40" i="5" s="1"/>
  <c r="I40" i="5" s="1"/>
  <c r="A163" i="6"/>
  <c r="D162" i="6"/>
  <c r="C54" i="5" l="1"/>
  <c r="D53" i="5"/>
  <c r="F41" i="5"/>
  <c r="H41" i="5" s="1"/>
  <c r="I41" i="5" s="1"/>
  <c r="E42" i="5"/>
  <c r="A164" i="6"/>
  <c r="D163" i="6"/>
  <c r="C55" i="5" l="1"/>
  <c r="D54" i="5"/>
  <c r="G54" i="5"/>
  <c r="G55" i="5" s="1"/>
  <c r="E43" i="5"/>
  <c r="F42" i="5"/>
  <c r="H42" i="5" s="1"/>
  <c r="I42" i="5" s="1"/>
  <c r="A165" i="6"/>
  <c r="D164" i="6"/>
  <c r="C56" i="5" l="1"/>
  <c r="D55" i="5"/>
  <c r="E44" i="5"/>
  <c r="F43" i="5"/>
  <c r="H43" i="5" s="1"/>
  <c r="I43" i="5" s="1"/>
  <c r="A166" i="6"/>
  <c r="D165" i="6"/>
  <c r="C57" i="5" l="1"/>
  <c r="D56" i="5"/>
  <c r="G56" i="5"/>
  <c r="G57" i="5" s="1"/>
  <c r="E45" i="5"/>
  <c r="F44" i="5"/>
  <c r="H44" i="5" s="1"/>
  <c r="I44" i="5" s="1"/>
  <c r="A167" i="6"/>
  <c r="D166" i="6"/>
  <c r="C58" i="5" l="1"/>
  <c r="D57" i="5"/>
  <c r="F45" i="5"/>
  <c r="H45" i="5" s="1"/>
  <c r="I45" i="5" s="1"/>
  <c r="E46" i="5"/>
  <c r="A168" i="6"/>
  <c r="D167" i="6"/>
  <c r="C59" i="5" l="1"/>
  <c r="D58" i="5"/>
  <c r="G58" i="5"/>
  <c r="G59" i="5" s="1"/>
  <c r="F46" i="5"/>
  <c r="H46" i="5" s="1"/>
  <c r="I46" i="5" s="1"/>
  <c r="E47" i="5"/>
  <c r="A169" i="6"/>
  <c r="D168" i="6"/>
  <c r="C60" i="5" l="1"/>
  <c r="D59" i="5"/>
  <c r="E48" i="5"/>
  <c r="F47" i="5"/>
  <c r="H47" i="5" s="1"/>
  <c r="I47" i="5" s="1"/>
  <c r="A170" i="6"/>
  <c r="D169" i="6"/>
  <c r="C61" i="5" l="1"/>
  <c r="D61" i="5" s="1"/>
  <c r="D60" i="5"/>
  <c r="G60" i="5"/>
  <c r="G61" i="5" s="1"/>
  <c r="N8" i="5" s="1"/>
  <c r="M8" i="5" s="1"/>
  <c r="F48" i="5"/>
  <c r="H48" i="5" s="1"/>
  <c r="I48" i="5" s="1"/>
  <c r="E49" i="5"/>
  <c r="A171" i="6"/>
  <c r="D170" i="6"/>
  <c r="E50" i="5" l="1"/>
  <c r="F49" i="5"/>
  <c r="H49" i="5" s="1"/>
  <c r="A172" i="6"/>
  <c r="D171" i="6"/>
  <c r="I49" i="5" l="1"/>
  <c r="P7" i="5" s="1"/>
  <c r="O7" i="5"/>
  <c r="Q7" i="5" s="1"/>
  <c r="E51" i="5"/>
  <c r="F50" i="5"/>
  <c r="H50" i="5" s="1"/>
  <c r="I50" i="5" s="1"/>
  <c r="A173" i="6"/>
  <c r="D172" i="6"/>
  <c r="F51" i="5" l="1"/>
  <c r="H51" i="5" s="1"/>
  <c r="I51" i="5" s="1"/>
  <c r="E52" i="5"/>
  <c r="A174" i="6"/>
  <c r="D173" i="6"/>
  <c r="E53" i="5" l="1"/>
  <c r="F52" i="5"/>
  <c r="H52" i="5" s="1"/>
  <c r="I52" i="5" s="1"/>
  <c r="A175" i="6"/>
  <c r="D174" i="6"/>
  <c r="E54" i="5" l="1"/>
  <c r="F53" i="5"/>
  <c r="H53" i="5" s="1"/>
  <c r="I53" i="5" s="1"/>
  <c r="A176" i="6"/>
  <c r="D175" i="6"/>
  <c r="E55" i="5" l="1"/>
  <c r="F54" i="5"/>
  <c r="H54" i="5" s="1"/>
  <c r="I54" i="5" s="1"/>
  <c r="A177" i="6"/>
  <c r="D176" i="6"/>
  <c r="E56" i="5" l="1"/>
  <c r="F55" i="5"/>
  <c r="H55" i="5" s="1"/>
  <c r="I55" i="5" s="1"/>
  <c r="A178" i="6"/>
  <c r="D177" i="6"/>
  <c r="E57" i="5" l="1"/>
  <c r="F56" i="5"/>
  <c r="H56" i="5" s="1"/>
  <c r="I56" i="5" s="1"/>
  <c r="A179" i="6"/>
  <c r="D178" i="6"/>
  <c r="E58" i="5" l="1"/>
  <c r="F57" i="5"/>
  <c r="H57" i="5" s="1"/>
  <c r="I57" i="5" s="1"/>
  <c r="A180" i="6"/>
  <c r="D179" i="6"/>
  <c r="E59" i="5" l="1"/>
  <c r="F58" i="5"/>
  <c r="H58" i="5" s="1"/>
  <c r="I58" i="5" s="1"/>
  <c r="A181" i="6"/>
  <c r="D180" i="6"/>
  <c r="E60" i="5" l="1"/>
  <c r="F59" i="5"/>
  <c r="H59" i="5" s="1"/>
  <c r="I59" i="5" s="1"/>
  <c r="A182" i="6"/>
  <c r="D181" i="6"/>
  <c r="E61" i="5" l="1"/>
  <c r="F61" i="5" s="1"/>
  <c r="H61" i="5" s="1"/>
  <c r="F60" i="5"/>
  <c r="H60" i="5" s="1"/>
  <c r="I60" i="5" s="1"/>
  <c r="A183" i="6"/>
  <c r="D182" i="6"/>
  <c r="O8" i="5" l="1"/>
  <c r="Q8" i="5" s="1"/>
  <c r="I61" i="5"/>
  <c r="P8" i="5" s="1"/>
  <c r="A184" i="6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A242" i="6" l="1"/>
  <c r="D241" i="6"/>
  <c r="A243" i="6" l="1"/>
  <c r="D242" i="6"/>
  <c r="A244" i="6" l="1"/>
  <c r="D243" i="6"/>
  <c r="A245" i="6" l="1"/>
  <c r="D244" i="6"/>
  <c r="A246" i="6" l="1"/>
  <c r="D245" i="6"/>
  <c r="A247" i="6" l="1"/>
  <c r="D246" i="6"/>
  <c r="A248" i="6" l="1"/>
  <c r="D247" i="6"/>
  <c r="A249" i="6" l="1"/>
  <c r="D248" i="6"/>
  <c r="A250" i="6" l="1"/>
  <c r="D249" i="6"/>
  <c r="A251" i="6" l="1"/>
  <c r="D250" i="6"/>
  <c r="A252" i="6" l="1"/>
  <c r="D251" i="6"/>
  <c r="A253" i="6" l="1"/>
  <c r="D252" i="6"/>
  <c r="A254" i="6" l="1"/>
  <c r="D253" i="6"/>
  <c r="A255" i="6" l="1"/>
  <c r="D254" i="6"/>
  <c r="A256" i="6" l="1"/>
  <c r="D255" i="6"/>
  <c r="A257" i="6" l="1"/>
  <c r="D256" i="6"/>
  <c r="A258" i="6" l="1"/>
  <c r="D257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A344" i="6" l="1"/>
  <c r="D343" i="6"/>
  <c r="A345" i="6" l="1"/>
  <c r="D344" i="6"/>
  <c r="A346" i="6" l="1"/>
  <c r="D345" i="6"/>
  <c r="D346" i="6" l="1"/>
  <c r="A347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A403" i="6" l="1"/>
  <c r="D402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A461" i="6" l="1"/>
  <c r="D460" i="6"/>
  <c r="A462" i="6" l="1"/>
  <c r="D461" i="6"/>
  <c r="A463" i="6" l="1"/>
  <c r="D462" i="6"/>
  <c r="D463" i="6" l="1"/>
  <c r="A464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A624" i="6" l="1"/>
  <c r="D623" i="6"/>
  <c r="A625" i="6" l="1"/>
  <c r="D624" i="6"/>
  <c r="A626" i="6" l="1"/>
  <c r="D625" i="6"/>
  <c r="D626" i="6" l="1"/>
  <c r="A627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A666" i="6" l="1"/>
  <c r="D665" i="6"/>
  <c r="A667" i="6" l="1"/>
  <c r="D666" i="6"/>
  <c r="A668" i="6" l="1"/>
  <c r="D667" i="6"/>
  <c r="D668" i="6" l="1"/>
  <c r="A669" i="6"/>
  <c r="D669" i="6" l="1"/>
  <c r="A670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A689" i="6" l="1"/>
  <c r="D688" i="6"/>
  <c r="A690" i="6" l="1"/>
  <c r="D689" i="6"/>
  <c r="A691" i="6" l="1"/>
  <c r="D690" i="6"/>
  <c r="D691" i="6" l="1"/>
  <c r="A692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A724" i="6" l="1"/>
  <c r="D723" i="6"/>
  <c r="A725" i="6" l="1"/>
  <c r="D724" i="6"/>
  <c r="A726" i="6" l="1"/>
  <c r="D725" i="6"/>
  <c r="D726" i="6" l="1"/>
  <c r="A727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A909" i="6" l="1"/>
  <c r="D908" i="6"/>
  <c r="A910" i="6" l="1"/>
  <c r="D909" i="6"/>
  <c r="A911" i="6" l="1"/>
  <c r="D910" i="6"/>
  <c r="D911" i="6" l="1"/>
  <c r="A912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A927" i="6" l="1"/>
  <c r="D926" i="6"/>
  <c r="A928" i="6" l="1"/>
  <c r="D927" i="6"/>
  <c r="A929" i="6" l="1"/>
  <c r="D928" i="6"/>
  <c r="D929" i="6" l="1"/>
  <c r="A930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0" i="6"/>
  <c r="A1092" i="6" l="1"/>
  <c r="D1091" i="6"/>
  <c r="A1093" i="6" l="1"/>
  <c r="D1092" i="6"/>
  <c r="A1094" i="6" l="1"/>
  <c r="D1094" i="6" s="1"/>
  <c r="D1093" i="6"/>
</calcChain>
</file>

<file path=xl/sharedStrings.xml><?xml version="1.0" encoding="utf-8"?>
<sst xmlns="http://schemas.openxmlformats.org/spreadsheetml/2006/main" count="928" uniqueCount="924">
  <si>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</si>
  <si>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</si>
  <si>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</si>
  <si>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</si>
  <si>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</si>
  <si>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</si>
  <si>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</si>
  <si>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</si>
  <si>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</si>
  <si>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</si>
  <si>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</si>
  <si>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</si>
  <si>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</si>
  <si>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</si>
  <si>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</si>
  <si>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</si>
  <si>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</si>
  <si>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</si>
  <si>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</si>
  <si>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</si>
  <si>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</si>
  <si>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</si>
  <si>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</si>
  <si>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</si>
  <si>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</si>
  <si>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</si>
  <si>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</si>
  <si>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</si>
  <si>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</si>
  <si>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</si>
  <si>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</si>
  <si>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</si>
  <si>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</si>
  <si>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</si>
  <si>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</si>
  <si>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</si>
  <si>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</si>
  <si>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</si>
  <si>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</si>
  <si>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</si>
  <si>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</si>
  <si>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</si>
  <si>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</si>
  <si>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</si>
  <si>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</si>
  <si>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</si>
  <si>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</si>
  <si>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</si>
  <si>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</si>
  <si>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</si>
  <si>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</si>
  <si>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</si>
  <si>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</si>
  <si>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</si>
  <si>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</si>
  <si>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</si>
  <si>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</si>
  <si>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</si>
  <si>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</si>
  <si>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</si>
  <si>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</si>
  <si>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</si>
  <si>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</si>
  <si>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</si>
  <si>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</si>
  <si>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</si>
  <si>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</si>
  <si>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</si>
  <si>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</si>
  <si>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</si>
  <si>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</si>
  <si>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</si>
  <si>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</si>
  <si>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</si>
  <si>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</si>
  <si>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</si>
  <si>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</si>
  <si>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</si>
  <si>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</si>
  <si>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</si>
  <si>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</si>
  <si>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</si>
  <si>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</si>
  <si>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</si>
  <si>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</si>
  <si>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</si>
  <si>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</si>
  <si>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</si>
  <si>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</si>
  <si>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</si>
  <si>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</si>
  <si>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</si>
  <si>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</si>
  <si>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</si>
  <si>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</si>
  <si>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</si>
  <si>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</si>
  <si>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</si>
  <si>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</si>
  <si>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</si>
  <si>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</si>
  <si>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</si>
  <si>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</si>
  <si>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</si>
  <si>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</si>
  <si>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</si>
  <si>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</si>
  <si>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</si>
  <si>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</si>
  <si>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</si>
  <si>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</si>
  <si>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</si>
  <si>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</si>
  <si>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</si>
  <si>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</si>
  <si>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</si>
  <si>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</si>
  <si>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</si>
  <si>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</si>
  <si>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</si>
  <si>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</si>
  <si>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</si>
  <si>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</si>
  <si>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</si>
  <si>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</si>
  <si>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</si>
  <si>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</si>
  <si>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</si>
  <si>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</si>
  <si>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</si>
  <si>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</si>
  <si>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</si>
  <si>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</si>
  <si>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</si>
  <si>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</si>
  <si>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</si>
  <si>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</si>
  <si>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</si>
  <si>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</si>
  <si>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</si>
  <si>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</si>
  <si>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</si>
  <si>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</si>
  <si>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</si>
  <si>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</si>
  <si>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</si>
  <si>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</si>
  <si>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</si>
  <si>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</si>
  <si>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</si>
  <si>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</si>
  <si>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</si>
  <si>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</si>
  <si>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</si>
  <si>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</si>
  <si>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</si>
  <si>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</si>
  <si>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</si>
  <si>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</si>
  <si>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</si>
  <si>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</si>
  <si>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</si>
  <si>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</si>
  <si>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</si>
  <si>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</si>
  <si>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</si>
  <si>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</si>
  <si>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</si>
  <si>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</si>
  <si>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</si>
  <si>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</si>
  <si>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</si>
  <si>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</si>
  <si>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</si>
  <si>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</si>
  <si>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</si>
  <si>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</si>
  <si>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</si>
  <si>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</si>
  <si>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</si>
  <si>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</si>
  <si>
    <t>szse innovation100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</si>
  <si>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</si>
  <si>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</si>
  <si>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</si>
  <si>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</si>
  <si>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</si>
  <si>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</si>
  <si>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</si>
  <si>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investment per year</t>
  </si>
  <si>
    <t>absolute RR</t>
  </si>
  <si>
    <t>annualized RR</t>
  </si>
  <si>
    <t>unit:yuan</t>
    <phoneticPr fontId="1" type="noConversion"/>
  </si>
  <si>
    <t>PE MEAN</t>
  </si>
  <si>
    <t>DATE</t>
    <phoneticPr fontId="1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</si>
  <si>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</si>
  <si>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</si>
  <si>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</si>
  <si>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</si>
  <si>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</si>
  <si>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</si>
  <si>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</si>
  <si>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</si>
  <si>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</si>
  <si>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</si>
  <si>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</si>
  <si>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</si>
  <si>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</si>
  <si>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</si>
  <si>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</si>
  <si>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</si>
  <si>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</si>
  <si>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</si>
  <si>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</si>
  <si>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</si>
  <si>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</si>
  <si>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</si>
  <si>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</si>
  <si>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</si>
  <si>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</si>
  <si>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</si>
  <si>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</si>
  <si>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</si>
  <si>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</si>
  <si>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</si>
  <si>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</si>
  <si>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</si>
  <si>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</si>
  <si>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</si>
  <si>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</si>
  <si>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</si>
  <si>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</si>
  <si>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</si>
  <si>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</si>
  <si>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</si>
  <si>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</si>
  <si>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</si>
  <si>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</si>
  <si>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</si>
  <si>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</si>
  <si>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</si>
  <si>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</si>
  <si>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</si>
  <si>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</si>
  <si>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</si>
  <si>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</si>
  <si>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</si>
  <si>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</si>
  <si>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</si>
  <si>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</si>
  <si>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</si>
  <si>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</si>
  <si>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</si>
  <si>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</si>
  <si>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</si>
  <si>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</si>
  <si>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</si>
  <si>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</si>
  <si>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</si>
  <si>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</si>
  <si>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</si>
  <si>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</si>
  <si>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</si>
  <si>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</si>
  <si>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</si>
  <si>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</si>
  <si>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</si>
  <si>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</si>
  <si>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</si>
  <si>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</si>
  <si>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</si>
  <si>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</si>
  <si>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</si>
  <si>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</si>
  <si>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</si>
  <si>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</si>
  <si>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</si>
  <si>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</si>
  <si>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</si>
  <si>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</si>
  <si>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</si>
  <si>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</si>
  <si>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</si>
  <si>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</si>
  <si>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</si>
  <si>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</si>
  <si>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</si>
  <si>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</si>
  <si>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</si>
  <si>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</si>
  <si>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</si>
  <si>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</si>
  <si>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</si>
  <si>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</si>
  <si>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</si>
  <si>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</si>
  <si>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</si>
  <si>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</si>
  <si>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</si>
  <si>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</si>
  <si>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</si>
  <si>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</si>
  <si>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</si>
  <si>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</si>
  <si>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</si>
  <si>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</si>
  <si>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</si>
  <si>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</si>
  <si>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</si>
  <si>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</si>
  <si>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</si>
  <si>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</si>
  <si>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</si>
  <si>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</si>
  <si>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</si>
  <si>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</si>
  <si>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</si>
  <si>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</si>
  <si>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</si>
  <si>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</si>
  <si>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</si>
  <si>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</si>
  <si>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</si>
  <si>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</si>
  <si>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</si>
  <si>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</si>
  <si>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</si>
  <si>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</si>
  <si>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</si>
  <si>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</si>
  <si>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</si>
  <si>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</si>
  <si>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</si>
  <si>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</si>
  <si>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</si>
  <si>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</si>
  <si>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</si>
  <si>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</si>
  <si>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</si>
  <si>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</si>
  <si>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</si>
  <si>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</si>
  <si>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</si>
  <si>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</si>
  <si>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</si>
  <si>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</si>
  <si>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</si>
  <si>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</si>
  <si>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</si>
  <si>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</si>
  <si>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</si>
  <si>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</si>
  <si>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</si>
  <si>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</si>
  <si>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</si>
  <si>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</si>
  <si>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</si>
  <si>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</si>
  <si>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</si>
  <si>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</si>
  <si>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</si>
  <si>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</si>
  <si>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</si>
  <si>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</si>
  <si>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</si>
  <si>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</si>
  <si>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</si>
  <si>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</si>
  <si>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</si>
  <si>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</si>
  <si>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</si>
  <si>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</si>
  <si>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</si>
  <si>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</si>
  <si>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</si>
  <si>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</si>
  <si>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</si>
  <si>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</si>
  <si>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</si>
  <si>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</si>
  <si>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</si>
  <si>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</si>
  <si>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</si>
  <si>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</si>
  <si>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</si>
  <si>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</si>
  <si>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</si>
  <si>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</si>
  <si>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</si>
  <si>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</si>
  <si>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</si>
  <si>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</si>
  <si>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</si>
  <si>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</si>
  <si>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</si>
  <si>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</si>
  <si>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</si>
  <si>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</si>
  <si>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</si>
  <si>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</si>
  <si>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</si>
  <si>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</si>
  <si>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</si>
  <si>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</si>
  <si>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</si>
  <si>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</si>
  <si>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</si>
  <si>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</si>
  <si>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</si>
  <si>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</si>
  <si>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</si>
  <si>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</si>
  <si>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</si>
  <si>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</si>
  <si>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</si>
  <si>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</si>
  <si>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</si>
  <si>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</si>
  <si>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</si>
  <si>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</si>
  <si>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</si>
  <si>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</si>
  <si>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</si>
  <si>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</si>
  <si>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</si>
  <si>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</si>
  <si>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</si>
  <si>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</si>
  <si>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</si>
  <si>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</si>
  <si>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</si>
  <si>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</si>
  <si>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</si>
  <si>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</si>
  <si>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</si>
  <si>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</si>
  <si>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</si>
  <si>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</si>
  <si>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</si>
  <si>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</si>
  <si>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</si>
  <si>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</si>
  <si>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</si>
  <si>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</si>
  <si>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</si>
  <si>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</si>
  <si>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</si>
  <si>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</si>
  <si>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</si>
  <si>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</si>
  <si>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</si>
  <si>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</si>
  <si>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</si>
  <si>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</si>
  <si>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</si>
  <si>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</si>
  <si>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</si>
  <si>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</si>
  <si>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</si>
  <si>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</si>
  <si>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</si>
  <si>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</si>
  <si>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</si>
  <si>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</si>
  <si>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</si>
  <si>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</si>
  <si>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</si>
  <si>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</si>
  <si>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</si>
  <si>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</si>
  <si>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</si>
  <si>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</si>
  <si>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</si>
  <si>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</si>
  <si>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</si>
  <si>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</si>
  <si>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</si>
  <si>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</si>
  <si>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</si>
  <si>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</si>
  <si>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</si>
  <si>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</si>
  <si>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</si>
  <si>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</si>
  <si>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</si>
  <si>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</si>
  <si>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</si>
  <si>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</si>
  <si>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</si>
  <si>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</si>
  <si>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</si>
  <si>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</si>
  <si>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</si>
  <si>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</si>
  <si>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</si>
  <si>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</si>
  <si>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</si>
  <si>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</si>
  <si>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</si>
  <si>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</si>
  <si>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</si>
  <si>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</si>
  <si>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</si>
  <si>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</si>
  <si>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</si>
  <si>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</si>
  <si>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</si>
  <si>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</si>
  <si>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</si>
  <si>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</si>
  <si>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</si>
  <si>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</si>
  <si>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</si>
  <si>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</si>
  <si>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</si>
  <si>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</si>
  <si>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</si>
  <si>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</si>
  <si>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</si>
  <si>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</si>
  <si>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</si>
  <si>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</si>
  <si>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</si>
  <si>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</si>
  <si>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</si>
  <si>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</si>
  <si>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</si>
  <si>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</si>
  <si>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</si>
  <si>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</si>
  <si>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</si>
  <si>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</si>
  <si>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</si>
  <si>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</si>
  <si>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</si>
  <si>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</si>
  <si>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</si>
  <si>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</si>
  <si>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</si>
  <si>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</si>
  <si>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</si>
  <si>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</si>
  <si>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</si>
  <si>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</si>
  <si>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</si>
  <si>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</si>
  <si>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</si>
  <si>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</si>
  <si>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</si>
  <si>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</si>
  <si>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</si>
  <si>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</si>
  <si>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</si>
  <si>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</si>
  <si>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</si>
  <si>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</si>
  <si>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</si>
  <si>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</si>
  <si>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</si>
  <si>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</si>
  <si>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</si>
  <si>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</si>
  <si>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</si>
  <si>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</si>
  <si>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</si>
  <si>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</si>
  <si>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</si>
  <si>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</si>
  <si>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</si>
  <si>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</si>
  <si>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</si>
  <si>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</si>
  <si>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</si>
  <si>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</si>
  <si>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</si>
  <si>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</si>
  <si>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</si>
  <si>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</si>
  <si>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</si>
  <si>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</si>
  <si>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</si>
  <si>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</si>
  <si>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</si>
  <si>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</si>
  <si>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</si>
  <si>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</si>
  <si>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</si>
  <si>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</si>
  <si>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</si>
  <si>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</si>
  <si>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</si>
  <si>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</si>
  <si>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</si>
  <si>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</si>
  <si>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</si>
  <si>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</si>
  <si>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</si>
  <si>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</si>
  <si>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</si>
  <si>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</si>
  <si>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</si>
  <si>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</si>
  <si>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</si>
  <si>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</si>
  <si>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</si>
  <si>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</si>
  <si>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</si>
  <si>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</si>
  <si>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</si>
  <si>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</si>
  <si>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</si>
  <si>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</si>
  <si>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</si>
  <si>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</si>
  <si>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</si>
  <si>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</si>
  <si>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</si>
  <si>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</si>
  <si>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</si>
  <si>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</si>
  <si>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</si>
  <si>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</si>
  <si>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</si>
  <si>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</si>
  <si>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</si>
  <si>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</si>
  <si>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</si>
  <si>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</si>
  <si>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</si>
  <si>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</si>
  <si>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</si>
  <si>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</si>
  <si>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</si>
  <si>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</si>
  <si>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</si>
  <si>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</si>
  <si>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</si>
  <si>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</si>
  <si>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</si>
  <si>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</si>
  <si>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</si>
  <si>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</si>
  <si>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</si>
  <si>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</si>
  <si>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</si>
  <si>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</si>
  <si>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</si>
  <si>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</si>
  <si>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</si>
  <si>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</si>
  <si>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</si>
  <si>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</si>
  <si>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</si>
  <si>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</si>
  <si>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</si>
  <si>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</si>
  <si>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</si>
  <si>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</si>
  <si>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</si>
  <si>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</si>
  <si>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</si>
  <si>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</si>
  <si>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</si>
  <si>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</si>
  <si>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</si>
  <si>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</si>
  <si>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</si>
  <si>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</si>
  <si>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</si>
  <si>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</si>
  <si>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</si>
  <si>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</si>
  <si>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</si>
  <si>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</si>
  <si>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</si>
  <si>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</si>
  <si>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</si>
  <si>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</si>
  <si>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</si>
  <si>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</si>
  <si>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</si>
  <si>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</si>
  <si>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</si>
  <si>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</si>
  <si>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</si>
  <si>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</si>
  <si>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</si>
  <si>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</si>
  <si>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</si>
  <si>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</si>
  <si>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</si>
  <si>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</si>
  <si>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</si>
  <si>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</si>
  <si>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</si>
  <si>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</si>
  <si>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</si>
  <si>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</si>
  <si>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</si>
  <si>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</si>
  <si>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</si>
  <si>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</si>
  <si>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</si>
  <si>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</si>
  <si>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</si>
  <si>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</si>
  <si>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</si>
  <si>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</si>
  <si>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</si>
  <si>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</si>
  <si>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</si>
  <si>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</si>
  <si>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</si>
  <si>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</si>
  <si>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</si>
  <si>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</si>
  <si>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</si>
  <si>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</si>
  <si>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</si>
  <si>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</si>
  <si>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</si>
  <si>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</si>
  <si>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</si>
  <si>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</si>
  <si>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</si>
  <si>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</si>
  <si>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</si>
  <si>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</si>
  <si>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</si>
  <si>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</si>
  <si>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</si>
  <si>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</si>
  <si>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</si>
  <si>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</si>
  <si>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</si>
  <si>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</si>
  <si>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</si>
  <si>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</si>
  <si>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</si>
  <si>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</si>
  <si>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</si>
  <si>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</si>
  <si>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</si>
  <si>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</si>
  <si>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</si>
  <si>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</si>
  <si>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</si>
  <si>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</si>
  <si>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</si>
  <si>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</si>
  <si>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</si>
  <si>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</si>
  <si>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</si>
  <si>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</si>
  <si>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</si>
  <si>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</si>
  <si>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</si>
  <si>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</si>
  <si>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</si>
  <si>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</si>
  <si>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</si>
  <si>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</si>
  <si>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</si>
  <si>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</si>
  <si>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</si>
  <si>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</si>
  <si>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</si>
  <si>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</si>
  <si>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</si>
  <si>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</si>
  <si>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</si>
  <si>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</si>
  <si>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</si>
  <si>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</si>
  <si>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</si>
  <si>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</si>
  <si>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</si>
  <si>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</si>
  <si>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</si>
  <si>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</si>
  <si>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</si>
  <si>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</si>
  <si>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</si>
  <si>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</si>
  <si>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</si>
  <si>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</si>
  <si>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</si>
  <si>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</si>
  <si>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</si>
  <si>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</si>
  <si>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</si>
  <si>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</si>
  <si>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</si>
  <si>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</si>
  <si>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</si>
  <si>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</si>
  <si>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</si>
  <si>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</si>
  <si>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</si>
  <si>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</si>
  <si>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</si>
  <si>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</si>
  <si>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</si>
  <si>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</si>
  <si>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</si>
  <si>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</si>
  <si>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</si>
  <si>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</si>
  <si>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</si>
  <si>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</si>
  <si>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</si>
  <si>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</si>
  <si>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</si>
  <si>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</si>
  <si>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</si>
  <si>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</si>
  <si>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</si>
  <si>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</si>
  <si>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</si>
  <si>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</si>
  <si>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</si>
  <si>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</si>
  <si>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</si>
  <si>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</si>
  <si>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</si>
  <si>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</si>
  <si>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</si>
  <si>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</si>
  <si>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</si>
  <si>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</si>
  <si>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</si>
  <si>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</si>
  <si>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</si>
  <si>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</si>
  <si>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</si>
  <si>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</si>
  <si>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</si>
  <si>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</si>
  <si>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</si>
  <si>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</si>
  <si>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</si>
  <si>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</si>
  <si>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</si>
  <si>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</si>
  <si>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</si>
  <si>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</si>
  <si>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</si>
  <si>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</si>
  <si>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</si>
  <si>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</si>
  <si>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</si>
  <si>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</si>
  <si>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</si>
  <si>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</si>
  <si>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</si>
  <si>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</si>
  <si>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</si>
  <si>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</si>
  <si>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</si>
  <si>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</si>
  <si>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</si>
  <si>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</si>
  <si>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</si>
  <si>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</si>
  <si>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</si>
  <si>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</si>
  <si>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</si>
  <si>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</si>
  <si>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</si>
  <si>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</si>
  <si>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</si>
  <si>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</si>
  <si>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</si>
  <si>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</si>
  <si>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</si>
  <si>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</si>
  <si>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</si>
  <si>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</si>
  <si>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</si>
  <si>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</si>
  <si>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</si>
  <si>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</si>
  <si>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</si>
  <si>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</si>
  <si>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</si>
  <si>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</si>
  <si>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</si>
  <si>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</si>
  <si>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</si>
  <si>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</si>
  <si>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</si>
  <si>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</si>
  <si>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</si>
  <si>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</si>
  <si>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</si>
  <si>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</si>
  <si>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</si>
  <si>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</si>
  <si>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</si>
  <si>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</si>
  <si>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</si>
  <si>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</si>
  <si>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</si>
  <si>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</si>
  <si>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</si>
  <si>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</si>
  <si>
    <t xml:space="preserve">2026/1/5
</t>
  </si>
  <si>
    <t xml:space="preserve">2026/1/6
</t>
  </si>
  <si>
    <t xml:space="preserve">2026/1/7
</t>
  </si>
  <si>
    <t xml:space="preserve">2026/1/8
</t>
  </si>
  <si>
    <t xml:space="preserve">2026/1/9
</t>
  </si>
  <si>
    <t xml:space="preserve">2026/1/12
</t>
  </si>
  <si>
    <t xml:space="preserve">2026/1/13
</t>
  </si>
  <si>
    <t xml:space="preserve">2026/1/14
</t>
  </si>
  <si>
    <t xml:space="preserve">2026/1/15
</t>
  </si>
  <si>
    <t xml:space="preserve">2026/1/16
</t>
  </si>
  <si>
    <t xml:space="preserve">2026/1/19
</t>
  </si>
  <si>
    <t xml:space="preserve">2026/1/20
</t>
  </si>
  <si>
    <t xml:space="preserve">2026/1/21
</t>
  </si>
  <si>
    <t xml:space="preserve">2026/1/22
</t>
  </si>
  <si>
    <t xml:space="preserve">2026/1/23
</t>
  </si>
  <si>
    <t xml:space="preserve">2026/1/26
</t>
  </si>
  <si>
    <t xml:space="preserve">2026/1/27
</t>
  </si>
  <si>
    <t xml:space="preserve">2026/1/28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</si>
</sst>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0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33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0" fontId="11" fillId="5" borderId="0" xfId="2" applyFont="1" applyFill="1" applyAlignment="1">
      <alignment horizontal="center"/>
    </xf>
    <xf numFmtId="0" fontId="11" fillId="0" borderId="0" xfId="2" applyFont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General</c:formatCode>
                <c:ptCount val="71"/>
                <c:pt idx="0">
                  <c:v>3.25108</c:v>
                </c:pt>
                <c:pt idx="1">
                  <c:v>2.8991500000000001</c:v>
                </c:pt>
                <c:pt idx="2">
                  <c:v>3.17509</c:v>
                </c:pt>
                <c:pt idx="3">
                  <c:v>3.1906699999999999</c:v>
                </c:pt>
                <c:pt idx="4">
                  <c:v>3.6513100000000001</c:v>
                </c:pt>
                <c:pt idx="5">
                  <c:v>4.1706000000000003</c:v>
                </c:pt>
                <c:pt idx="6">
                  <c:v>4.1298999999999992</c:v>
                </c:pt>
                <c:pt idx="7">
                  <c:v>3.9869400000000002</c:v>
                </c:pt>
                <c:pt idx="8">
                  <c:v>4.2014499999999995</c:v>
                </c:pt>
                <c:pt idx="9">
                  <c:v>4.27712</c:v>
                </c:pt>
                <c:pt idx="10">
                  <c:v>4.7245600000000003</c:v>
                </c:pt>
                <c:pt idx="11">
                  <c:v>4.9833500000000006</c:v>
                </c:pt>
                <c:pt idx="12">
                  <c:v>4.7232599999999998</c:v>
                </c:pt>
                <c:pt idx="13">
                  <c:v>4.4379900000000001</c:v>
                </c:pt>
                <c:pt idx="14">
                  <c:v>4.7860299999999993</c:v>
                </c:pt>
                <c:pt idx="15">
                  <c:v>4.9806599999999994</c:v>
                </c:pt>
                <c:pt idx="16">
                  <c:v>5.1114799999999994</c:v>
                </c:pt>
                <c:pt idx="17">
                  <c:v>4.9776999999999996</c:v>
                </c:pt>
                <c:pt idx="18">
                  <c:v>4.7613100000000008</c:v>
                </c:pt>
                <c:pt idx="19">
                  <c:v>4.7106400000000006</c:v>
                </c:pt>
                <c:pt idx="20">
                  <c:v>4.8678999999999997</c:v>
                </c:pt>
                <c:pt idx="21">
                  <c:v>4.9547099609374996</c:v>
                </c:pt>
                <c:pt idx="22">
                  <c:v>4.8630097656249998</c:v>
                </c:pt>
                <c:pt idx="23">
                  <c:v>4.3440297851562502</c:v>
                </c:pt>
                <c:pt idx="24">
                  <c:v>4.3355400390624999</c:v>
                </c:pt>
                <c:pt idx="25">
                  <c:v>3.8658500976562502</c:v>
                </c:pt>
                <c:pt idx="26">
                  <c:v>3.5012099609375</c:v>
                </c:pt>
                <c:pt idx="27">
                  <c:v>3.6361599121093748</c:v>
                </c:pt>
                <c:pt idx="28">
                  <c:v>4.1096201171875002</c:v>
                </c:pt>
                <c:pt idx="29">
                  <c:v>3.8724699707031252</c:v>
                </c:pt>
                <c:pt idx="30">
                  <c:v>3.7022099609375001</c:v>
                </c:pt>
                <c:pt idx="31">
                  <c:v>3.3477299804687499</c:v>
                </c:pt>
                <c:pt idx="32">
                  <c:v>3.2993999023437501</c:v>
                </c:pt>
                <c:pt idx="33">
                  <c:v>3.4802900390625</c:v>
                </c:pt>
                <c:pt idx="34">
                  <c:v>3.4735300292968749</c:v>
                </c:pt>
                <c:pt idx="35">
                  <c:v>3.8110336914062501</c:v>
                </c:pt>
                <c:pt idx="36">
                  <c:v>3.6777292480468748</c:v>
                </c:pt>
                <c:pt idx="37">
                  <c:v>3.7161979980468751</c:v>
                </c:pt>
                <c:pt idx="38">
                  <c:v>3.6159379882812499</c:v>
                </c:pt>
                <c:pt idx="39">
                  <c:v>3.4505849609374999</c:v>
                </c:pt>
                <c:pt idx="40">
                  <c:v>3.608843017578125</c:v>
                </c:pt>
                <c:pt idx="41">
                  <c:v>3.6303940429687498</c:v>
                </c:pt>
                <c:pt idx="42">
                  <c:v>3.3830390625</c:v>
                </c:pt>
                <c:pt idx="43">
                  <c:v>3.2311640625</c:v>
                </c:pt>
                <c:pt idx="44">
                  <c:v>3.1302160644531249</c:v>
                </c:pt>
                <c:pt idx="45">
                  <c:v>3.0653520507812502</c:v>
                </c:pt>
                <c:pt idx="46">
                  <c:v>3.0335100097656249</c:v>
                </c:pt>
                <c:pt idx="47">
                  <c:v>2.6308430175781252</c:v>
                </c:pt>
                <c:pt idx="48">
                  <c:v>3.0022250976562499</c:v>
                </c:pt>
                <c:pt idx="49">
                  <c:v>3.0390229492187499</c:v>
                </c:pt>
                <c:pt idx="50">
                  <c:v>3.1081088867187501</c:v>
                </c:pt>
                <c:pt idx="51">
                  <c:v>3.01785498046875</c:v>
                </c:pt>
                <c:pt idx="52">
                  <c:v>2.9370109863281249</c:v>
                </c:pt>
                <c:pt idx="53">
                  <c:v>2.916238037109375</c:v>
                </c:pt>
                <c:pt idx="54">
                  <c:v>2.8031621093750001</c:v>
                </c:pt>
                <c:pt idx="55">
                  <c:v>3.5533068847656248</c:v>
                </c:pt>
                <c:pt idx="56">
                  <c:v>3.5568400878906248</c:v>
                </c:pt>
                <c:pt idx="57">
                  <c:v>3.5695390625000001</c:v>
                </c:pt>
                <c:pt idx="58">
                  <c:v>3.6094641113281249</c:v>
                </c:pt>
                <c:pt idx="59">
                  <c:v>3.5560529785156252</c:v>
                </c:pt>
                <c:pt idx="60">
                  <c:v>3.7871579589843751</c:v>
                </c:pt>
                <c:pt idx="61">
                  <c:v>3.7142958984374999</c:v>
                </c:pt>
                <c:pt idx="62">
                  <c:v>3.4863349609375001</c:v>
                </c:pt>
                <c:pt idx="63">
                  <c:v>3.5330991210937501</c:v>
                </c:pt>
                <c:pt idx="64">
                  <c:v>3.6494370117187498</c:v>
                </c:pt>
                <c:pt idx="65">
                  <c:v>3.7987399902343748</c:v>
                </c:pt>
                <c:pt idx="66">
                  <c:v>4.5379448242187497</c:v>
                </c:pt>
                <c:pt idx="67">
                  <c:v>5.0581000976562498</c:v>
                </c:pt>
                <c:pt idx="68">
                  <c:v>4.9933417968749998</c:v>
                </c:pt>
                <c:pt idx="69">
                  <c:v>4.8240952148437497</c:v>
                </c:pt>
                <c:pt idx="70">
                  <c:v>5.0477412109374997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71"/>
                <c:pt idx="0">
                  <c:v>2000.0000000000002</c:v>
                </c:pt>
                <c:pt idx="1">
                  <c:v>3783.4996370436897</c:v>
                </c:pt>
                <c:pt idx="2">
                  <c:v>6143.6117008713063</c:v>
                </c:pt>
                <c:pt idx="3">
                  <c:v>8173.7580810682693</c:v>
                </c:pt>
                <c:pt idx="4">
                  <c:v>11353.811149064422</c:v>
                </c:pt>
                <c:pt idx="5">
                  <c:v>14968.552321848347</c:v>
                </c:pt>
                <c:pt idx="6">
                  <c:v>16822.477397497114</c:v>
                </c:pt>
                <c:pt idx="7">
                  <c:v>18240.153038857396</c:v>
                </c:pt>
                <c:pt idx="8">
                  <c:v>21221.531045139225</c:v>
                </c:pt>
                <c:pt idx="9">
                  <c:v>23603.74034292587</c:v>
                </c:pt>
                <c:pt idx="10">
                  <c:v>28072.985437531297</c:v>
                </c:pt>
                <c:pt idx="11">
                  <c:v>31610.696441599135</c:v>
                </c:pt>
                <c:pt idx="12">
                  <c:v>31960.877336479982</c:v>
                </c:pt>
                <c:pt idx="13">
                  <c:v>32030.541196234128</c:v>
                </c:pt>
                <c:pt idx="14">
                  <c:v>36542.468793623324</c:v>
                </c:pt>
                <c:pt idx="15">
                  <c:v>40028.514786085325</c:v>
                </c:pt>
                <c:pt idx="16">
                  <c:v>43079.887556825692</c:v>
                </c:pt>
                <c:pt idx="17">
                  <c:v>43952.380972166822</c:v>
                </c:pt>
                <c:pt idx="18">
                  <c:v>44041.688138414858</c:v>
                </c:pt>
                <c:pt idx="19">
                  <c:v>45572.995207693384</c:v>
                </c:pt>
                <c:pt idx="20">
                  <c:v>49094.404023982002</c:v>
                </c:pt>
                <c:pt idx="21">
                  <c:v>51969.911593071687</c:v>
                </c:pt>
                <c:pt idx="22">
                  <c:v>53008.069006718506</c:v>
                </c:pt>
                <c:pt idx="23">
                  <c:v>49351.052479165373</c:v>
                </c:pt>
                <c:pt idx="24">
                  <c:v>51254.60334650999</c:v>
                </c:pt>
                <c:pt idx="25">
                  <c:v>47701.945217252243</c:v>
                </c:pt>
                <c:pt idx="26">
                  <c:v>45202.535414395512</c:v>
                </c:pt>
                <c:pt idx="27">
                  <c:v>48944.813088421164</c:v>
                </c:pt>
                <c:pt idx="28">
                  <c:v>57317.86097478633</c:v>
                </c:pt>
                <c:pt idx="29">
                  <c:v>56010.270798873862</c:v>
                </c:pt>
                <c:pt idx="30">
                  <c:v>55547.679913640975</c:v>
                </c:pt>
                <c:pt idx="31">
                  <c:v>52229.088937270295</c:v>
                </c:pt>
                <c:pt idx="32">
                  <c:v>53475.074735568647</c:v>
                </c:pt>
                <c:pt idx="33">
                  <c:v>58406.85441256113</c:v>
                </c:pt>
                <c:pt idx="34">
                  <c:v>60293.406710853284</c:v>
                </c:pt>
                <c:pt idx="35">
                  <c:v>68151.7828856181</c:v>
                </c:pt>
                <c:pt idx="36">
                  <c:v>67767.93214664339</c:v>
                </c:pt>
                <c:pt idx="37">
                  <c:v>70476.779226985323</c:v>
                </c:pt>
                <c:pt idx="38">
                  <c:v>70575.372849483087</c:v>
                </c:pt>
                <c:pt idx="39">
                  <c:v>69348.035546023719</c:v>
                </c:pt>
                <c:pt idx="40">
                  <c:v>74528.622449867675</c:v>
                </c:pt>
                <c:pt idx="41">
                  <c:v>76973.687038967822</c:v>
                </c:pt>
                <c:pt idx="42">
                  <c:v>73729.125531655038</c:v>
                </c:pt>
                <c:pt idx="43">
                  <c:v>72419.198943977608</c:v>
                </c:pt>
                <c:pt idx="44">
                  <c:v>72156.678993846508</c:v>
                </c:pt>
                <c:pt idx="45">
                  <c:v>72661.455751615897</c:v>
                </c:pt>
                <c:pt idx="46">
                  <c:v>73906.668367991137</c:v>
                </c:pt>
                <c:pt idx="47">
                  <c:v>66096.324654427022</c:v>
                </c:pt>
                <c:pt idx="48">
                  <c:v>77426.790353698336</c:v>
                </c:pt>
                <c:pt idx="49">
                  <c:v>80375.799653707334</c:v>
                </c:pt>
                <c:pt idx="50">
                  <c:v>84202.97817923181</c:v>
                </c:pt>
                <c:pt idx="51">
                  <c:v>83757.874749608338</c:v>
                </c:pt>
                <c:pt idx="52">
                  <c:v>83514.121759715897</c:v>
                </c:pt>
                <c:pt idx="53">
                  <c:v>84923.441432526524</c:v>
                </c:pt>
                <c:pt idx="54">
                  <c:v>83630.569998788138</c:v>
                </c:pt>
                <c:pt idx="55">
                  <c:v>108010.66529820641</c:v>
                </c:pt>
                <c:pt idx="56">
                  <c:v>110118.06486501588</c:v>
                </c:pt>
                <c:pt idx="57">
                  <c:v>112511.2190342222</c:v>
                </c:pt>
                <c:pt idx="58">
                  <c:v>115769.6492782961</c:v>
                </c:pt>
                <c:pt idx="59">
                  <c:v>116056.5450826197</c:v>
                </c:pt>
                <c:pt idx="60">
                  <c:v>125598.96521714347</c:v>
                </c:pt>
                <c:pt idx="61">
                  <c:v>125182.53592969685</c:v>
                </c:pt>
                <c:pt idx="62">
                  <c:v>119499.59169761084</c:v>
                </c:pt>
                <c:pt idx="63">
                  <c:v>123102.50653722534</c:v>
                </c:pt>
                <c:pt idx="64">
                  <c:v>129156.02596884477</c:v>
                </c:pt>
                <c:pt idx="65">
                  <c:v>136439.95861611856</c:v>
                </c:pt>
                <c:pt idx="66">
                  <c:v>164990.0981931735</c:v>
                </c:pt>
                <c:pt idx="67">
                  <c:v>185901.84634448006</c:v>
                </c:pt>
                <c:pt idx="68">
                  <c:v>185521.76539532212</c:v>
                </c:pt>
                <c:pt idx="69">
                  <c:v>181233.60689088883</c:v>
                </c:pt>
                <c:pt idx="70">
                  <c:v>191635.63229330175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General</c:formatCode>
                <c:ptCount val="71"/>
                <c:pt idx="0">
                  <c:v>3.25108</c:v>
                </c:pt>
                <c:pt idx="1">
                  <c:v>2.8991500000000001</c:v>
                </c:pt>
                <c:pt idx="2">
                  <c:v>3.17509</c:v>
                </c:pt>
                <c:pt idx="3">
                  <c:v>3.1906699999999999</c:v>
                </c:pt>
                <c:pt idx="4">
                  <c:v>3.6513100000000001</c:v>
                </c:pt>
                <c:pt idx="5">
                  <c:v>4.1706000000000003</c:v>
                </c:pt>
                <c:pt idx="6">
                  <c:v>4.1298999999999992</c:v>
                </c:pt>
                <c:pt idx="7">
                  <c:v>3.9869400000000002</c:v>
                </c:pt>
                <c:pt idx="8">
                  <c:v>4.2014499999999995</c:v>
                </c:pt>
                <c:pt idx="9">
                  <c:v>4.27712</c:v>
                </c:pt>
                <c:pt idx="10">
                  <c:v>4.7245600000000003</c:v>
                </c:pt>
                <c:pt idx="11">
                  <c:v>4.9833500000000006</c:v>
                </c:pt>
                <c:pt idx="12">
                  <c:v>4.7232599999999998</c:v>
                </c:pt>
                <c:pt idx="13">
                  <c:v>4.4379900000000001</c:v>
                </c:pt>
                <c:pt idx="14">
                  <c:v>4.7860299999999993</c:v>
                </c:pt>
                <c:pt idx="15">
                  <c:v>4.9806599999999994</c:v>
                </c:pt>
                <c:pt idx="16">
                  <c:v>5.1114799999999994</c:v>
                </c:pt>
                <c:pt idx="17">
                  <c:v>4.9776999999999996</c:v>
                </c:pt>
                <c:pt idx="18">
                  <c:v>4.7613100000000008</c:v>
                </c:pt>
                <c:pt idx="19">
                  <c:v>4.7106400000000006</c:v>
                </c:pt>
                <c:pt idx="20">
                  <c:v>4.8678999999999997</c:v>
                </c:pt>
                <c:pt idx="21">
                  <c:v>4.9547099609374996</c:v>
                </c:pt>
                <c:pt idx="22">
                  <c:v>4.8630097656249998</c:v>
                </c:pt>
                <c:pt idx="23">
                  <c:v>4.3440297851562502</c:v>
                </c:pt>
                <c:pt idx="24">
                  <c:v>4.3355400390624999</c:v>
                </c:pt>
                <c:pt idx="25">
                  <c:v>3.8658500976562502</c:v>
                </c:pt>
                <c:pt idx="26">
                  <c:v>3.5012099609375</c:v>
                </c:pt>
                <c:pt idx="27">
                  <c:v>3.6361599121093748</c:v>
                </c:pt>
                <c:pt idx="28">
                  <c:v>4.1096201171875002</c:v>
                </c:pt>
                <c:pt idx="29">
                  <c:v>3.8724699707031252</c:v>
                </c:pt>
                <c:pt idx="30">
                  <c:v>3.7022099609375001</c:v>
                </c:pt>
                <c:pt idx="31">
                  <c:v>3.3477299804687499</c:v>
                </c:pt>
                <c:pt idx="32">
                  <c:v>3.2993999023437501</c:v>
                </c:pt>
                <c:pt idx="33">
                  <c:v>3.4802900390625</c:v>
                </c:pt>
                <c:pt idx="34">
                  <c:v>3.4735300292968749</c:v>
                </c:pt>
                <c:pt idx="35">
                  <c:v>3.8110336914062501</c:v>
                </c:pt>
                <c:pt idx="36">
                  <c:v>3.6777292480468748</c:v>
                </c:pt>
                <c:pt idx="37">
                  <c:v>3.7161979980468751</c:v>
                </c:pt>
                <c:pt idx="38">
                  <c:v>3.6159379882812499</c:v>
                </c:pt>
                <c:pt idx="39">
                  <c:v>3.4505849609374999</c:v>
                </c:pt>
                <c:pt idx="40">
                  <c:v>3.608843017578125</c:v>
                </c:pt>
                <c:pt idx="41">
                  <c:v>3.6303940429687498</c:v>
                </c:pt>
                <c:pt idx="42">
                  <c:v>3.3830390625</c:v>
                </c:pt>
                <c:pt idx="43">
                  <c:v>3.2311640625</c:v>
                </c:pt>
                <c:pt idx="44">
                  <c:v>3.1302160644531249</c:v>
                </c:pt>
                <c:pt idx="45">
                  <c:v>3.0653520507812502</c:v>
                </c:pt>
                <c:pt idx="46">
                  <c:v>3.0335100097656249</c:v>
                </c:pt>
                <c:pt idx="47">
                  <c:v>2.6308430175781252</c:v>
                </c:pt>
                <c:pt idx="48">
                  <c:v>3.0022250976562499</c:v>
                </c:pt>
                <c:pt idx="49">
                  <c:v>3.0390229492187499</c:v>
                </c:pt>
                <c:pt idx="50">
                  <c:v>3.1081088867187501</c:v>
                </c:pt>
                <c:pt idx="51">
                  <c:v>3.01785498046875</c:v>
                </c:pt>
                <c:pt idx="52">
                  <c:v>2.9370109863281249</c:v>
                </c:pt>
                <c:pt idx="53">
                  <c:v>2.916238037109375</c:v>
                </c:pt>
                <c:pt idx="54">
                  <c:v>2.8031621093750001</c:v>
                </c:pt>
                <c:pt idx="55">
                  <c:v>3.5533068847656248</c:v>
                </c:pt>
                <c:pt idx="56">
                  <c:v>3.5568400878906248</c:v>
                </c:pt>
                <c:pt idx="57">
                  <c:v>3.5695390625000001</c:v>
                </c:pt>
                <c:pt idx="58">
                  <c:v>3.6094641113281249</c:v>
                </c:pt>
                <c:pt idx="59">
                  <c:v>3.5560529785156252</c:v>
                </c:pt>
                <c:pt idx="60">
                  <c:v>3.7871579589843751</c:v>
                </c:pt>
                <c:pt idx="61">
                  <c:v>3.7142958984374999</c:v>
                </c:pt>
                <c:pt idx="62">
                  <c:v>3.4863349609375001</c:v>
                </c:pt>
                <c:pt idx="63">
                  <c:v>3.5330991210937501</c:v>
                </c:pt>
                <c:pt idx="64">
                  <c:v>3.6494370117187498</c:v>
                </c:pt>
                <c:pt idx="65">
                  <c:v>3.7987399902343748</c:v>
                </c:pt>
                <c:pt idx="66">
                  <c:v>4.5379448242187497</c:v>
                </c:pt>
                <c:pt idx="67">
                  <c:v>5.0581000976562498</c:v>
                </c:pt>
                <c:pt idx="68">
                  <c:v>4.9933417968749998</c:v>
                </c:pt>
                <c:pt idx="69">
                  <c:v>4.8240952148437497</c:v>
                </c:pt>
                <c:pt idx="70">
                  <c:v>5.0477412109374997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71"/>
                <c:pt idx="0">
                  <c:v>0</c:v>
                </c:pt>
                <c:pt idx="1">
                  <c:v>-216.50036295631025</c:v>
                </c:pt>
                <c:pt idx="2">
                  <c:v>143.61170087130631</c:v>
                </c:pt>
                <c:pt idx="3">
                  <c:v>173.75808106826935</c:v>
                </c:pt>
                <c:pt idx="4">
                  <c:v>1353.8111490644224</c:v>
                </c:pt>
                <c:pt idx="5">
                  <c:v>2968.5523218483468</c:v>
                </c:pt>
                <c:pt idx="6">
                  <c:v>2822.477397497114</c:v>
                </c:pt>
                <c:pt idx="7">
                  <c:v>2240.1530388573956</c:v>
                </c:pt>
                <c:pt idx="8">
                  <c:v>3221.5310451392252</c:v>
                </c:pt>
                <c:pt idx="9">
                  <c:v>3603.7403429258702</c:v>
                </c:pt>
                <c:pt idx="10">
                  <c:v>6072.9854375312971</c:v>
                </c:pt>
                <c:pt idx="11">
                  <c:v>7610.6964415991351</c:v>
                </c:pt>
                <c:pt idx="12">
                  <c:v>5960.8773364799818</c:v>
                </c:pt>
                <c:pt idx="13">
                  <c:v>4030.5411962341277</c:v>
                </c:pt>
                <c:pt idx="14">
                  <c:v>6542.468793623324</c:v>
                </c:pt>
                <c:pt idx="15">
                  <c:v>8028.5147860853249</c:v>
                </c:pt>
                <c:pt idx="16">
                  <c:v>9079.8875568256917</c:v>
                </c:pt>
                <c:pt idx="17">
                  <c:v>7952.3809721668222</c:v>
                </c:pt>
                <c:pt idx="18">
                  <c:v>6041.6881384148583</c:v>
                </c:pt>
                <c:pt idx="19">
                  <c:v>5572.9952076933841</c:v>
                </c:pt>
                <c:pt idx="20">
                  <c:v>7094.4040239820024</c:v>
                </c:pt>
                <c:pt idx="21">
                  <c:v>7969.9115930716871</c:v>
                </c:pt>
                <c:pt idx="22">
                  <c:v>7008.069006718506</c:v>
                </c:pt>
                <c:pt idx="23">
                  <c:v>1351.0524791653734</c:v>
                </c:pt>
                <c:pt idx="24">
                  <c:v>1254.6033465099899</c:v>
                </c:pt>
                <c:pt idx="25">
                  <c:v>-4298.0547827477567</c:v>
                </c:pt>
                <c:pt idx="26">
                  <c:v>-8797.4645856044881</c:v>
                </c:pt>
                <c:pt idx="27">
                  <c:v>-7055.1869115788359</c:v>
                </c:pt>
                <c:pt idx="28">
                  <c:v>-682.13902521366981</c:v>
                </c:pt>
                <c:pt idx="29">
                  <c:v>-3989.7292011261379</c:v>
                </c:pt>
                <c:pt idx="30">
                  <c:v>-6452.3200863590246</c:v>
                </c:pt>
                <c:pt idx="31">
                  <c:v>-11770.911062729705</c:v>
                </c:pt>
                <c:pt idx="32">
                  <c:v>-12524.925264431353</c:v>
                </c:pt>
                <c:pt idx="33">
                  <c:v>-9593.1455874388703</c:v>
                </c:pt>
                <c:pt idx="34">
                  <c:v>-9706.5932891467164</c:v>
                </c:pt>
                <c:pt idx="35">
                  <c:v>-3848.2171143818996</c:v>
                </c:pt>
                <c:pt idx="36">
                  <c:v>-6232.0678533566097</c:v>
                </c:pt>
                <c:pt idx="37">
                  <c:v>-5523.2207730146765</c:v>
                </c:pt>
                <c:pt idx="38">
                  <c:v>-7424.6271505169134</c:v>
                </c:pt>
                <c:pt idx="39">
                  <c:v>-10651.964453976281</c:v>
                </c:pt>
                <c:pt idx="40">
                  <c:v>-7471.3775501323253</c:v>
                </c:pt>
                <c:pt idx="41">
                  <c:v>-7026.3129610321776</c:v>
                </c:pt>
                <c:pt idx="42">
                  <c:v>-12270.874468344962</c:v>
                </c:pt>
                <c:pt idx="43">
                  <c:v>-15580.801056022392</c:v>
                </c:pt>
                <c:pt idx="44">
                  <c:v>-17843.321006153492</c:v>
                </c:pt>
                <c:pt idx="45">
                  <c:v>-19338.544248384103</c:v>
                </c:pt>
                <c:pt idx="46">
                  <c:v>-20093.331632008863</c:v>
                </c:pt>
                <c:pt idx="47">
                  <c:v>-29903.675345572978</c:v>
                </c:pt>
                <c:pt idx="48">
                  <c:v>-20573.209646301664</c:v>
                </c:pt>
                <c:pt idx="49">
                  <c:v>-19624.200346292666</c:v>
                </c:pt>
                <c:pt idx="50">
                  <c:v>-17797.02182076819</c:v>
                </c:pt>
                <c:pt idx="51">
                  <c:v>-20242.125250391662</c:v>
                </c:pt>
                <c:pt idx="52">
                  <c:v>-22485.878240284103</c:v>
                </c:pt>
                <c:pt idx="53">
                  <c:v>-23076.558567473476</c:v>
                </c:pt>
                <c:pt idx="54">
                  <c:v>-26369.430001211862</c:v>
                </c:pt>
                <c:pt idx="55">
                  <c:v>-3989.3347017935885</c:v>
                </c:pt>
                <c:pt idx="56">
                  <c:v>-3881.9351349841163</c:v>
                </c:pt>
                <c:pt idx="57">
                  <c:v>-3488.780965777798</c:v>
                </c:pt>
                <c:pt idx="58">
                  <c:v>-2230.3507217039005</c:v>
                </c:pt>
                <c:pt idx="59">
                  <c:v>-3943.4549173802952</c:v>
                </c:pt>
                <c:pt idx="60">
                  <c:v>3598.9652171434718</c:v>
                </c:pt>
                <c:pt idx="61">
                  <c:v>1182.5359296968527</c:v>
                </c:pt>
                <c:pt idx="62">
                  <c:v>-6500.4083023891581</c:v>
                </c:pt>
                <c:pt idx="63">
                  <c:v>-4897.4934627746552</c:v>
                </c:pt>
                <c:pt idx="64">
                  <c:v>-843.97403115523048</c:v>
                </c:pt>
                <c:pt idx="65">
                  <c:v>4439.958616118558</c:v>
                </c:pt>
                <c:pt idx="66">
                  <c:v>30990.0981931735</c:v>
                </c:pt>
                <c:pt idx="67">
                  <c:v>49901.846344480058</c:v>
                </c:pt>
                <c:pt idx="68">
                  <c:v>47521.765395322116</c:v>
                </c:pt>
                <c:pt idx="69">
                  <c:v>41233.606890888826</c:v>
                </c:pt>
                <c:pt idx="70">
                  <c:v>49635.632293301751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General</c:formatCode>
                <c:ptCount val="71"/>
                <c:pt idx="0">
                  <c:v>3.25108</c:v>
                </c:pt>
                <c:pt idx="1">
                  <c:v>2.8991500000000001</c:v>
                </c:pt>
                <c:pt idx="2">
                  <c:v>3.17509</c:v>
                </c:pt>
                <c:pt idx="3">
                  <c:v>3.1906699999999999</c:v>
                </c:pt>
                <c:pt idx="4">
                  <c:v>3.6513100000000001</c:v>
                </c:pt>
                <c:pt idx="5">
                  <c:v>4.1706000000000003</c:v>
                </c:pt>
                <c:pt idx="6">
                  <c:v>4.1298999999999992</c:v>
                </c:pt>
                <c:pt idx="7">
                  <c:v>3.9869400000000002</c:v>
                </c:pt>
                <c:pt idx="8">
                  <c:v>4.2014499999999995</c:v>
                </c:pt>
                <c:pt idx="9">
                  <c:v>4.27712</c:v>
                </c:pt>
                <c:pt idx="10">
                  <c:v>4.7245600000000003</c:v>
                </c:pt>
                <c:pt idx="11">
                  <c:v>4.9833500000000006</c:v>
                </c:pt>
                <c:pt idx="12">
                  <c:v>4.7232599999999998</c:v>
                </c:pt>
                <c:pt idx="13">
                  <c:v>4.4379900000000001</c:v>
                </c:pt>
                <c:pt idx="14">
                  <c:v>4.7860299999999993</c:v>
                </c:pt>
                <c:pt idx="15">
                  <c:v>4.9806599999999994</c:v>
                </c:pt>
                <c:pt idx="16">
                  <c:v>5.1114799999999994</c:v>
                </c:pt>
                <c:pt idx="17">
                  <c:v>4.9776999999999996</c:v>
                </c:pt>
                <c:pt idx="18">
                  <c:v>4.7613100000000008</c:v>
                </c:pt>
                <c:pt idx="19">
                  <c:v>4.7106400000000006</c:v>
                </c:pt>
                <c:pt idx="20">
                  <c:v>4.8678999999999997</c:v>
                </c:pt>
                <c:pt idx="21">
                  <c:v>4.9547099609374996</c:v>
                </c:pt>
                <c:pt idx="22">
                  <c:v>4.8630097656249998</c:v>
                </c:pt>
                <c:pt idx="23">
                  <c:v>4.3440297851562502</c:v>
                </c:pt>
                <c:pt idx="24">
                  <c:v>4.3355400390624999</c:v>
                </c:pt>
                <c:pt idx="25">
                  <c:v>3.8658500976562502</c:v>
                </c:pt>
                <c:pt idx="26">
                  <c:v>3.5012099609375</c:v>
                </c:pt>
                <c:pt idx="27">
                  <c:v>3.6361599121093748</c:v>
                </c:pt>
                <c:pt idx="28">
                  <c:v>4.1096201171875002</c:v>
                </c:pt>
                <c:pt idx="29">
                  <c:v>3.8724699707031252</c:v>
                </c:pt>
                <c:pt idx="30">
                  <c:v>3.7022099609375001</c:v>
                </c:pt>
                <c:pt idx="31">
                  <c:v>3.3477299804687499</c:v>
                </c:pt>
                <c:pt idx="32">
                  <c:v>3.2993999023437501</c:v>
                </c:pt>
                <c:pt idx="33">
                  <c:v>3.4802900390625</c:v>
                </c:pt>
                <c:pt idx="34">
                  <c:v>3.4735300292968749</c:v>
                </c:pt>
                <c:pt idx="35">
                  <c:v>3.8110336914062501</c:v>
                </c:pt>
                <c:pt idx="36">
                  <c:v>3.6777292480468748</c:v>
                </c:pt>
                <c:pt idx="37">
                  <c:v>3.7161979980468751</c:v>
                </c:pt>
                <c:pt idx="38">
                  <c:v>3.6159379882812499</c:v>
                </c:pt>
                <c:pt idx="39">
                  <c:v>3.4505849609374999</c:v>
                </c:pt>
                <c:pt idx="40">
                  <c:v>3.608843017578125</c:v>
                </c:pt>
                <c:pt idx="41">
                  <c:v>3.6303940429687498</c:v>
                </c:pt>
                <c:pt idx="42">
                  <c:v>3.3830390625</c:v>
                </c:pt>
                <c:pt idx="43">
                  <c:v>3.2311640625</c:v>
                </c:pt>
                <c:pt idx="44">
                  <c:v>3.1302160644531249</c:v>
                </c:pt>
                <c:pt idx="45">
                  <c:v>3.0653520507812502</c:v>
                </c:pt>
                <c:pt idx="46">
                  <c:v>3.0335100097656249</c:v>
                </c:pt>
                <c:pt idx="47">
                  <c:v>2.6308430175781252</c:v>
                </c:pt>
                <c:pt idx="48">
                  <c:v>3.0022250976562499</c:v>
                </c:pt>
                <c:pt idx="49">
                  <c:v>3.0390229492187499</c:v>
                </c:pt>
                <c:pt idx="50">
                  <c:v>3.1081088867187501</c:v>
                </c:pt>
                <c:pt idx="51">
                  <c:v>3.01785498046875</c:v>
                </c:pt>
                <c:pt idx="52">
                  <c:v>2.9370109863281249</c:v>
                </c:pt>
                <c:pt idx="53">
                  <c:v>2.916238037109375</c:v>
                </c:pt>
                <c:pt idx="54">
                  <c:v>2.8031621093750001</c:v>
                </c:pt>
                <c:pt idx="55">
                  <c:v>3.5533068847656248</c:v>
                </c:pt>
                <c:pt idx="56">
                  <c:v>3.5568400878906248</c:v>
                </c:pt>
                <c:pt idx="57">
                  <c:v>3.5695390625000001</c:v>
                </c:pt>
                <c:pt idx="58">
                  <c:v>3.6094641113281249</c:v>
                </c:pt>
                <c:pt idx="59">
                  <c:v>3.5560529785156252</c:v>
                </c:pt>
                <c:pt idx="60">
                  <c:v>3.7871579589843751</c:v>
                </c:pt>
                <c:pt idx="61">
                  <c:v>3.7142958984374999</c:v>
                </c:pt>
                <c:pt idx="62">
                  <c:v>3.4863349609375001</c:v>
                </c:pt>
                <c:pt idx="63">
                  <c:v>3.5330991210937501</c:v>
                </c:pt>
                <c:pt idx="64">
                  <c:v>3.6494370117187498</c:v>
                </c:pt>
                <c:pt idx="65">
                  <c:v>3.7987399902343748</c:v>
                </c:pt>
                <c:pt idx="66">
                  <c:v>4.5379448242187497</c:v>
                </c:pt>
                <c:pt idx="67">
                  <c:v>5.0581000976562498</c:v>
                </c:pt>
                <c:pt idx="68">
                  <c:v>4.9933417968749998</c:v>
                </c:pt>
                <c:pt idx="69">
                  <c:v>4.8240952148437497</c:v>
                </c:pt>
                <c:pt idx="70">
                  <c:v>5.0477412109374997</c:v>
                </c:pt>
              </c:numCache>
            </c:numRef>
          </c:cat>
          <c:val>
            <c:numRef>
              <c:f>model1!金额</c:f>
              <c:numCache>
                <c:formatCode>General</c:formatCode>
                <c:ptCount val="1"/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5403776"/>
        <c:axId val="273663872"/>
      </c:lineChart>
      <c:catAx>
        <c:axId val="265403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73663872"/>
        <c:crosses val="autoZero"/>
        <c:auto val="1"/>
        <c:lblAlgn val="ctr"/>
        <c:lblOffset val="100"/>
        <c:noMultiLvlLbl val="1"/>
      </c:catAx>
      <c:valAx>
        <c:axId val="273663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654037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8</xdr:row>
      <xdr:rowOff>114299</xdr:rowOff>
    </xdr:from>
    <xdr:to>
      <xdr:col>18</xdr:col>
      <xdr:colOff>28575</xdr:colOff>
      <xdr:row>29</xdr:row>
      <xdr:rowOff>95250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aluationquan/szseinnovation100index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zse_innovation_100"/>
      <sheetName val="szseinnovation100index"/>
      <sheetName val="深创100指数"/>
    </sheetNames>
    <sheetDataSet>
      <sheetData sheetId="0">
        <row r="1">
          <cell r="A1" t="str">
            <v>399088 szseinnovation100index</v>
          </cell>
        </row>
        <row r="2">
          <cell r="A2" t="str">
            <v>date</v>
          </cell>
          <cell r="B2" t="str">
            <v>open</v>
          </cell>
          <cell r="C2" t="str">
            <v>high</v>
          </cell>
          <cell r="D2" t="str">
            <v>low</v>
          </cell>
          <cell r="E2" t="str">
            <v>close</v>
          </cell>
        </row>
        <row r="3">
          <cell r="A3">
            <v>43879</v>
          </cell>
          <cell r="B3">
            <v>3319.5</v>
          </cell>
          <cell r="C3">
            <v>3333.46</v>
          </cell>
          <cell r="D3">
            <v>3278.8</v>
          </cell>
          <cell r="E3">
            <v>3328.23</v>
          </cell>
          <cell r="F3">
            <v>3.32823</v>
          </cell>
        </row>
        <row r="4">
          <cell r="A4">
            <v>43880</v>
          </cell>
          <cell r="B4">
            <v>3330.48</v>
          </cell>
          <cell r="C4">
            <v>3350.66</v>
          </cell>
          <cell r="D4">
            <v>3301.54</v>
          </cell>
          <cell r="E4">
            <v>3303.9</v>
          </cell>
          <cell r="F4">
            <v>3.3039000000000001</v>
          </cell>
        </row>
        <row r="5">
          <cell r="A5">
            <v>43881</v>
          </cell>
          <cell r="B5">
            <v>3319.13</v>
          </cell>
          <cell r="C5">
            <v>3401.59</v>
          </cell>
          <cell r="D5">
            <v>3317.05</v>
          </cell>
          <cell r="E5">
            <v>3393.4</v>
          </cell>
          <cell r="F5">
            <v>3.3934000000000002</v>
          </cell>
        </row>
        <row r="6">
          <cell r="A6">
            <v>43882</v>
          </cell>
          <cell r="B6">
            <v>3389.37</v>
          </cell>
          <cell r="C6">
            <v>3462.83</v>
          </cell>
          <cell r="D6">
            <v>3386.68</v>
          </cell>
          <cell r="E6">
            <v>3432.47</v>
          </cell>
          <cell r="F6">
            <v>3.4324699999999999</v>
          </cell>
        </row>
        <row r="7">
          <cell r="A7">
            <v>43885</v>
          </cell>
          <cell r="B7">
            <v>3437.51</v>
          </cell>
          <cell r="C7">
            <v>3500.69</v>
          </cell>
          <cell r="D7">
            <v>3416.06</v>
          </cell>
          <cell r="E7">
            <v>3489.9</v>
          </cell>
          <cell r="F7">
            <v>3.4899</v>
          </cell>
        </row>
        <row r="8">
          <cell r="A8">
            <v>43886</v>
          </cell>
          <cell r="B8">
            <v>3424.1</v>
          </cell>
          <cell r="C8">
            <v>3530.51</v>
          </cell>
          <cell r="D8">
            <v>3365.91</v>
          </cell>
          <cell r="E8">
            <v>3527.1</v>
          </cell>
          <cell r="F8">
            <v>3.5270999999999999</v>
          </cell>
        </row>
        <row r="9">
          <cell r="A9">
            <v>43887</v>
          </cell>
          <cell r="B9">
            <v>3463.31</v>
          </cell>
          <cell r="C9">
            <v>3478.74</v>
          </cell>
          <cell r="D9">
            <v>3369.89</v>
          </cell>
          <cell r="E9">
            <v>3388.16</v>
          </cell>
          <cell r="F9">
            <v>3.3881600000000001</v>
          </cell>
        </row>
        <row r="10">
          <cell r="A10">
            <v>43888</v>
          </cell>
          <cell r="B10">
            <v>3405.35</v>
          </cell>
          <cell r="C10">
            <v>3451.97</v>
          </cell>
          <cell r="D10">
            <v>3352.9</v>
          </cell>
          <cell r="E10">
            <v>3400.72</v>
          </cell>
          <cell r="F10">
            <v>3.4007199999999997</v>
          </cell>
        </row>
        <row r="11">
          <cell r="A11">
            <v>43889</v>
          </cell>
          <cell r="B11">
            <v>3279.94</v>
          </cell>
          <cell r="C11">
            <v>3346.77</v>
          </cell>
          <cell r="D11">
            <v>3236.01</v>
          </cell>
          <cell r="E11">
            <v>3251.08</v>
          </cell>
          <cell r="F11">
            <v>3.25108</v>
          </cell>
        </row>
        <row r="12">
          <cell r="A12">
            <v>43892</v>
          </cell>
          <cell r="B12">
            <v>3295.84</v>
          </cell>
          <cell r="C12">
            <v>3377.72</v>
          </cell>
          <cell r="D12">
            <v>3251.98</v>
          </cell>
          <cell r="E12">
            <v>3352.28</v>
          </cell>
          <cell r="F12">
            <v>3.3522800000000004</v>
          </cell>
        </row>
        <row r="13">
          <cell r="A13">
            <v>43893</v>
          </cell>
          <cell r="B13">
            <v>3426.5</v>
          </cell>
          <cell r="C13">
            <v>3469.18</v>
          </cell>
          <cell r="D13">
            <v>3352.47</v>
          </cell>
          <cell r="E13">
            <v>3386.41</v>
          </cell>
          <cell r="F13">
            <v>3.3864099999999997</v>
          </cell>
        </row>
        <row r="14">
          <cell r="A14">
            <v>43894</v>
          </cell>
          <cell r="B14">
            <v>3360.95</v>
          </cell>
          <cell r="C14">
            <v>3381.47</v>
          </cell>
          <cell r="D14">
            <v>3287.08</v>
          </cell>
          <cell r="E14">
            <v>3350.01</v>
          </cell>
          <cell r="F14">
            <v>3.3500100000000002</v>
          </cell>
        </row>
        <row r="15">
          <cell r="A15">
            <v>43895</v>
          </cell>
          <cell r="B15">
            <v>3404.03</v>
          </cell>
          <cell r="C15">
            <v>3411.7</v>
          </cell>
          <cell r="D15">
            <v>3345.61</v>
          </cell>
          <cell r="E15">
            <v>3405.15</v>
          </cell>
          <cell r="F15">
            <v>3.4051499999999999</v>
          </cell>
        </row>
        <row r="16">
          <cell r="A16">
            <v>43896</v>
          </cell>
          <cell r="B16">
            <v>3353.91</v>
          </cell>
          <cell r="C16">
            <v>3406.36</v>
          </cell>
          <cell r="D16">
            <v>3350.1</v>
          </cell>
          <cell r="E16">
            <v>3372.51</v>
          </cell>
          <cell r="F16">
            <v>3.3725100000000001</v>
          </cell>
        </row>
        <row r="17">
          <cell r="A17">
            <v>43899</v>
          </cell>
          <cell r="B17">
            <v>3303.38</v>
          </cell>
          <cell r="C17">
            <v>3311.88</v>
          </cell>
          <cell r="D17">
            <v>3222.56</v>
          </cell>
          <cell r="E17">
            <v>3224.47</v>
          </cell>
          <cell r="F17">
            <v>3.2244699999999997</v>
          </cell>
        </row>
        <row r="18">
          <cell r="A18">
            <v>43900</v>
          </cell>
          <cell r="B18">
            <v>3199.32</v>
          </cell>
          <cell r="C18">
            <v>3326.78</v>
          </cell>
          <cell r="D18">
            <v>3178.96</v>
          </cell>
          <cell r="E18">
            <v>3324.77</v>
          </cell>
          <cell r="F18">
            <v>3.32477</v>
          </cell>
        </row>
        <row r="19">
          <cell r="A19">
            <v>43901</v>
          </cell>
          <cell r="B19">
            <v>3336.02</v>
          </cell>
          <cell r="C19">
            <v>3341.14</v>
          </cell>
          <cell r="D19">
            <v>3258.2</v>
          </cell>
          <cell r="E19">
            <v>3259.45</v>
          </cell>
          <cell r="F19">
            <v>3.2594499999999997</v>
          </cell>
        </row>
        <row r="20">
          <cell r="A20">
            <v>43902</v>
          </cell>
          <cell r="B20">
            <v>3204.02</v>
          </cell>
          <cell r="C20">
            <v>3217.98</v>
          </cell>
          <cell r="D20">
            <v>3142.17</v>
          </cell>
          <cell r="E20">
            <v>3173.85</v>
          </cell>
          <cell r="F20">
            <v>3.1738499999999998</v>
          </cell>
        </row>
        <row r="21">
          <cell r="A21">
            <v>43903</v>
          </cell>
          <cell r="B21">
            <v>3007.49</v>
          </cell>
          <cell r="C21">
            <v>3182.86</v>
          </cell>
          <cell r="D21">
            <v>3006.39</v>
          </cell>
          <cell r="E21">
            <v>3140.4</v>
          </cell>
          <cell r="F21">
            <v>3.1404000000000001</v>
          </cell>
        </row>
        <row r="22">
          <cell r="A22">
            <v>43906</v>
          </cell>
          <cell r="B22">
            <v>3144.11</v>
          </cell>
          <cell r="C22">
            <v>3144.11</v>
          </cell>
          <cell r="D22">
            <v>2948.69</v>
          </cell>
          <cell r="E22">
            <v>2958.86</v>
          </cell>
          <cell r="F22">
            <v>2.95886</v>
          </cell>
        </row>
        <row r="23">
          <cell r="A23">
            <v>43907</v>
          </cell>
          <cell r="B23">
            <v>2983.51</v>
          </cell>
          <cell r="C23">
            <v>3017.96</v>
          </cell>
          <cell r="D23">
            <v>2842.51</v>
          </cell>
          <cell r="E23">
            <v>2935.63</v>
          </cell>
          <cell r="F23">
            <v>2.9356300000000002</v>
          </cell>
        </row>
        <row r="24">
          <cell r="A24">
            <v>43908</v>
          </cell>
          <cell r="B24">
            <v>2967.22</v>
          </cell>
          <cell r="C24">
            <v>3027.99</v>
          </cell>
          <cell r="D24">
            <v>2894.03</v>
          </cell>
          <cell r="E24">
            <v>2894.15</v>
          </cell>
          <cell r="F24">
            <v>2.8941500000000002</v>
          </cell>
        </row>
        <row r="25">
          <cell r="A25">
            <v>43909</v>
          </cell>
          <cell r="B25">
            <v>2898.37</v>
          </cell>
          <cell r="C25">
            <v>2919.23</v>
          </cell>
          <cell r="D25">
            <v>2792.31</v>
          </cell>
          <cell r="E25">
            <v>2886.26</v>
          </cell>
          <cell r="F25">
            <v>2.88626</v>
          </cell>
        </row>
        <row r="26">
          <cell r="A26">
            <v>43910</v>
          </cell>
          <cell r="B26">
            <v>2926.11</v>
          </cell>
          <cell r="C26">
            <v>2934.77</v>
          </cell>
          <cell r="D26">
            <v>2867.61</v>
          </cell>
          <cell r="E26">
            <v>2918.89</v>
          </cell>
          <cell r="F26">
            <v>2.9188899999999998</v>
          </cell>
        </row>
        <row r="27">
          <cell r="A27">
            <v>43913</v>
          </cell>
          <cell r="B27">
            <v>2821.45</v>
          </cell>
          <cell r="C27">
            <v>2856.43</v>
          </cell>
          <cell r="D27">
            <v>2773.28</v>
          </cell>
          <cell r="E27">
            <v>2783.32</v>
          </cell>
          <cell r="F27">
            <v>2.7833200000000002</v>
          </cell>
        </row>
        <row r="28">
          <cell r="A28">
            <v>43914</v>
          </cell>
          <cell r="B28">
            <v>2843.97</v>
          </cell>
          <cell r="C28">
            <v>2859.37</v>
          </cell>
          <cell r="D28">
            <v>2762.7</v>
          </cell>
          <cell r="E28">
            <v>2851.18</v>
          </cell>
          <cell r="F28">
            <v>2.8511799999999998</v>
          </cell>
        </row>
        <row r="29">
          <cell r="A29">
            <v>43915</v>
          </cell>
          <cell r="B29">
            <v>2930.2</v>
          </cell>
          <cell r="C29">
            <v>2972.28</v>
          </cell>
          <cell r="D29">
            <v>2930.15</v>
          </cell>
          <cell r="E29">
            <v>2966.39</v>
          </cell>
          <cell r="F29">
            <v>2.9663900000000001</v>
          </cell>
        </row>
        <row r="30">
          <cell r="A30">
            <v>43916</v>
          </cell>
          <cell r="B30">
            <v>2945.06</v>
          </cell>
          <cell r="C30">
            <v>2981.91</v>
          </cell>
          <cell r="D30">
            <v>2929.93</v>
          </cell>
          <cell r="E30">
            <v>2948.29</v>
          </cell>
          <cell r="F30">
            <v>2.9482900000000001</v>
          </cell>
        </row>
        <row r="31">
          <cell r="A31">
            <v>43917</v>
          </cell>
          <cell r="B31">
            <v>3001.22</v>
          </cell>
          <cell r="C31">
            <v>3003.89</v>
          </cell>
          <cell r="D31">
            <v>2931.04</v>
          </cell>
          <cell r="E31">
            <v>2934.29</v>
          </cell>
          <cell r="F31">
            <v>2.9342899999999998</v>
          </cell>
        </row>
        <row r="32">
          <cell r="A32">
            <v>43920</v>
          </cell>
          <cell r="B32">
            <v>2888.04</v>
          </cell>
          <cell r="C32">
            <v>2897.23</v>
          </cell>
          <cell r="D32">
            <v>2833.12</v>
          </cell>
          <cell r="E32">
            <v>2874.13</v>
          </cell>
          <cell r="F32">
            <v>2.8741300000000001</v>
          </cell>
        </row>
        <row r="33">
          <cell r="A33">
            <v>43921</v>
          </cell>
          <cell r="B33">
            <v>2903.8</v>
          </cell>
          <cell r="C33">
            <v>2923.15</v>
          </cell>
          <cell r="D33">
            <v>2887.14</v>
          </cell>
          <cell r="E33">
            <v>2899.15</v>
          </cell>
          <cell r="F33">
            <v>2.8991500000000001</v>
          </cell>
        </row>
        <row r="34">
          <cell r="A34">
            <v>43922</v>
          </cell>
          <cell r="B34">
            <v>2901.1</v>
          </cell>
          <cell r="C34">
            <v>2951.73</v>
          </cell>
          <cell r="D34">
            <v>2885.5</v>
          </cell>
          <cell r="E34">
            <v>2896.83</v>
          </cell>
          <cell r="F34">
            <v>2.89683</v>
          </cell>
        </row>
        <row r="35">
          <cell r="A35">
            <v>43923</v>
          </cell>
          <cell r="B35">
            <v>2883.53</v>
          </cell>
          <cell r="C35">
            <v>2972.05</v>
          </cell>
          <cell r="D35">
            <v>2877.55</v>
          </cell>
          <cell r="E35">
            <v>2972.05</v>
          </cell>
          <cell r="F35">
            <v>2.9720500000000003</v>
          </cell>
        </row>
        <row r="36">
          <cell r="A36">
            <v>43924</v>
          </cell>
          <cell r="B36">
            <v>2962.94</v>
          </cell>
          <cell r="C36">
            <v>2977.56</v>
          </cell>
          <cell r="D36">
            <v>2933.15</v>
          </cell>
          <cell r="E36">
            <v>2945.64</v>
          </cell>
          <cell r="F36">
            <v>2.94564</v>
          </cell>
        </row>
        <row r="37">
          <cell r="A37">
            <v>43928</v>
          </cell>
          <cell r="B37">
            <v>3007.69</v>
          </cell>
          <cell r="C37">
            <v>3031</v>
          </cell>
          <cell r="D37">
            <v>2995.58</v>
          </cell>
          <cell r="E37">
            <v>3026.06</v>
          </cell>
          <cell r="F37">
            <v>3.0260599999999998</v>
          </cell>
        </row>
        <row r="38">
          <cell r="A38">
            <v>43929</v>
          </cell>
          <cell r="B38">
            <v>3006.75</v>
          </cell>
          <cell r="C38">
            <v>3017.59</v>
          </cell>
          <cell r="D38">
            <v>2990.42</v>
          </cell>
          <cell r="E38">
            <v>3004.13</v>
          </cell>
          <cell r="F38">
            <v>3.00413</v>
          </cell>
        </row>
        <row r="39">
          <cell r="A39">
            <v>43930</v>
          </cell>
          <cell r="B39">
            <v>3022.53</v>
          </cell>
          <cell r="C39">
            <v>3025.1</v>
          </cell>
          <cell r="D39">
            <v>3005.7</v>
          </cell>
          <cell r="E39">
            <v>3017.53</v>
          </cell>
          <cell r="F39">
            <v>3.0175300000000003</v>
          </cell>
        </row>
        <row r="40">
          <cell r="A40">
            <v>43931</v>
          </cell>
          <cell r="B40">
            <v>3014</v>
          </cell>
          <cell r="C40">
            <v>3037.55</v>
          </cell>
          <cell r="D40">
            <v>2962.35</v>
          </cell>
          <cell r="E40">
            <v>2972.7</v>
          </cell>
          <cell r="F40">
            <v>2.9726999999999997</v>
          </cell>
        </row>
        <row r="41">
          <cell r="A41">
            <v>43934</v>
          </cell>
          <cell r="B41">
            <v>2956.99</v>
          </cell>
          <cell r="C41">
            <v>2982.95</v>
          </cell>
          <cell r="D41">
            <v>2946.15</v>
          </cell>
          <cell r="E41">
            <v>2958.2</v>
          </cell>
          <cell r="F41">
            <v>2.9581999999999997</v>
          </cell>
        </row>
        <row r="42">
          <cell r="A42">
            <v>43935</v>
          </cell>
          <cell r="B42">
            <v>2986.64</v>
          </cell>
          <cell r="C42">
            <v>3047.89</v>
          </cell>
          <cell r="D42">
            <v>2974.58</v>
          </cell>
          <cell r="E42">
            <v>3047.89</v>
          </cell>
          <cell r="F42">
            <v>3.0478899999999998</v>
          </cell>
        </row>
        <row r="43">
          <cell r="A43">
            <v>43936</v>
          </cell>
          <cell r="B43">
            <v>3044.66</v>
          </cell>
          <cell r="C43">
            <v>3072.07</v>
          </cell>
          <cell r="D43">
            <v>3027.82</v>
          </cell>
          <cell r="E43">
            <v>3034.01</v>
          </cell>
          <cell r="F43">
            <v>3.0340100000000003</v>
          </cell>
        </row>
        <row r="44">
          <cell r="A44">
            <v>43937</v>
          </cell>
          <cell r="B44">
            <v>3018.54</v>
          </cell>
          <cell r="C44">
            <v>3054.72</v>
          </cell>
          <cell r="D44">
            <v>3008.08</v>
          </cell>
          <cell r="E44">
            <v>3049.64</v>
          </cell>
          <cell r="F44">
            <v>3.0496399999999997</v>
          </cell>
        </row>
        <row r="45">
          <cell r="A45">
            <v>43938</v>
          </cell>
          <cell r="B45">
            <v>3082.18</v>
          </cell>
          <cell r="C45">
            <v>3100.98</v>
          </cell>
          <cell r="D45">
            <v>3064.33</v>
          </cell>
          <cell r="E45">
            <v>3071.5</v>
          </cell>
          <cell r="F45">
            <v>3.0714999999999999</v>
          </cell>
        </row>
        <row r="46">
          <cell r="A46">
            <v>43941</v>
          </cell>
          <cell r="B46">
            <v>3078.71</v>
          </cell>
          <cell r="C46">
            <v>3101.16</v>
          </cell>
          <cell r="D46">
            <v>3070.07</v>
          </cell>
          <cell r="E46">
            <v>3100.72</v>
          </cell>
          <cell r="F46">
            <v>3.1007199999999999</v>
          </cell>
        </row>
        <row r="47">
          <cell r="A47">
            <v>43942</v>
          </cell>
          <cell r="B47">
            <v>3092.21</v>
          </cell>
          <cell r="C47">
            <v>3092.21</v>
          </cell>
          <cell r="D47">
            <v>3037.25</v>
          </cell>
          <cell r="E47">
            <v>3077.29</v>
          </cell>
          <cell r="F47">
            <v>3.0772900000000001</v>
          </cell>
        </row>
        <row r="48">
          <cell r="A48">
            <v>43943</v>
          </cell>
          <cell r="B48">
            <v>3052.94</v>
          </cell>
          <cell r="C48">
            <v>3107.27</v>
          </cell>
          <cell r="D48">
            <v>3046.97</v>
          </cell>
          <cell r="E48">
            <v>3107.27</v>
          </cell>
          <cell r="F48">
            <v>3.1072700000000002</v>
          </cell>
        </row>
        <row r="49">
          <cell r="A49">
            <v>43944</v>
          </cell>
          <cell r="B49">
            <v>3118.8</v>
          </cell>
          <cell r="C49">
            <v>3120.61</v>
          </cell>
          <cell r="D49">
            <v>3092.02</v>
          </cell>
          <cell r="E49">
            <v>3095.37</v>
          </cell>
          <cell r="F49">
            <v>3.09537</v>
          </cell>
        </row>
        <row r="50">
          <cell r="A50">
            <v>43945</v>
          </cell>
          <cell r="B50">
            <v>3094.25</v>
          </cell>
          <cell r="C50">
            <v>3102.1</v>
          </cell>
          <cell r="D50">
            <v>3044.28</v>
          </cell>
          <cell r="E50">
            <v>3056.68</v>
          </cell>
          <cell r="F50">
            <v>3.0566799999999996</v>
          </cell>
        </row>
        <row r="51">
          <cell r="A51">
            <v>43948</v>
          </cell>
          <cell r="B51">
            <v>3064.7</v>
          </cell>
          <cell r="C51">
            <v>3100.18</v>
          </cell>
          <cell r="D51">
            <v>3042.64</v>
          </cell>
          <cell r="E51">
            <v>3080.88</v>
          </cell>
          <cell r="F51">
            <v>3.0808800000000001</v>
          </cell>
        </row>
        <row r="52">
          <cell r="A52">
            <v>43949</v>
          </cell>
          <cell r="B52">
            <v>3085.25</v>
          </cell>
          <cell r="C52">
            <v>3121.72</v>
          </cell>
          <cell r="D52">
            <v>3010.85</v>
          </cell>
          <cell r="E52">
            <v>3111.91</v>
          </cell>
          <cell r="F52">
            <v>3.11191</v>
          </cell>
        </row>
        <row r="53">
          <cell r="A53">
            <v>43950</v>
          </cell>
          <cell r="B53">
            <v>3096.95</v>
          </cell>
          <cell r="C53">
            <v>3135.74</v>
          </cell>
          <cell r="D53">
            <v>3091.59</v>
          </cell>
          <cell r="E53">
            <v>3112.35</v>
          </cell>
          <cell r="F53">
            <v>3.1123499999999997</v>
          </cell>
        </row>
        <row r="54">
          <cell r="A54">
            <v>43951</v>
          </cell>
          <cell r="B54">
            <v>3132.94</v>
          </cell>
          <cell r="C54">
            <v>3186.61</v>
          </cell>
          <cell r="D54">
            <v>3132.94</v>
          </cell>
          <cell r="E54">
            <v>3175.09</v>
          </cell>
          <cell r="F54">
            <v>3.17509</v>
          </cell>
        </row>
        <row r="55">
          <cell r="A55">
            <v>43957</v>
          </cell>
          <cell r="B55">
            <v>3142.64</v>
          </cell>
          <cell r="C55">
            <v>3228.67</v>
          </cell>
          <cell r="D55">
            <v>3140.96</v>
          </cell>
          <cell r="E55">
            <v>3228.67</v>
          </cell>
          <cell r="F55">
            <v>3.2286700000000002</v>
          </cell>
        </row>
        <row r="56">
          <cell r="A56">
            <v>43958</v>
          </cell>
          <cell r="B56">
            <v>3240.5</v>
          </cell>
          <cell r="C56">
            <v>3244.46</v>
          </cell>
          <cell r="D56">
            <v>3208.28</v>
          </cell>
          <cell r="E56">
            <v>3218.92</v>
          </cell>
          <cell r="F56">
            <v>3.2189200000000002</v>
          </cell>
        </row>
        <row r="57">
          <cell r="A57">
            <v>43959</v>
          </cell>
          <cell r="B57">
            <v>3236.03</v>
          </cell>
          <cell r="C57">
            <v>3286.22</v>
          </cell>
          <cell r="D57">
            <v>3231.58</v>
          </cell>
          <cell r="E57">
            <v>3266.95</v>
          </cell>
          <cell r="F57">
            <v>3.26695</v>
          </cell>
        </row>
        <row r="58">
          <cell r="A58">
            <v>43962</v>
          </cell>
          <cell r="B58">
            <v>3287.47</v>
          </cell>
          <cell r="C58">
            <v>3300.71</v>
          </cell>
          <cell r="D58">
            <v>3236.47</v>
          </cell>
          <cell r="E58">
            <v>3258.78</v>
          </cell>
          <cell r="F58">
            <v>3.2587800000000002</v>
          </cell>
        </row>
        <row r="59">
          <cell r="A59">
            <v>43963</v>
          </cell>
          <cell r="B59">
            <v>3263.26</v>
          </cell>
          <cell r="C59">
            <v>3284.72</v>
          </cell>
          <cell r="D59">
            <v>3237.83</v>
          </cell>
          <cell r="E59">
            <v>3283.34</v>
          </cell>
          <cell r="F59">
            <v>3.2833399999999999</v>
          </cell>
        </row>
        <row r="60">
          <cell r="A60">
            <v>43964</v>
          </cell>
          <cell r="B60">
            <v>3273.6</v>
          </cell>
          <cell r="C60">
            <v>3307.12</v>
          </cell>
          <cell r="D60">
            <v>3261.42</v>
          </cell>
          <cell r="E60">
            <v>3297.83</v>
          </cell>
          <cell r="F60">
            <v>3.2978299999999998</v>
          </cell>
        </row>
        <row r="61">
          <cell r="A61">
            <v>43965</v>
          </cell>
          <cell r="B61">
            <v>3283.43</v>
          </cell>
          <cell r="C61">
            <v>3291.43</v>
          </cell>
          <cell r="D61">
            <v>3260.56</v>
          </cell>
          <cell r="E61">
            <v>3264.64</v>
          </cell>
          <cell r="F61">
            <v>3.26464</v>
          </cell>
        </row>
        <row r="62">
          <cell r="A62">
            <v>43966</v>
          </cell>
          <cell r="B62">
            <v>3279.56</v>
          </cell>
          <cell r="C62">
            <v>3287.79</v>
          </cell>
          <cell r="D62">
            <v>3244.12</v>
          </cell>
          <cell r="E62">
            <v>3262.88</v>
          </cell>
          <cell r="F62">
            <v>3.26288</v>
          </cell>
        </row>
        <row r="63">
          <cell r="A63">
            <v>43969</v>
          </cell>
          <cell r="B63">
            <v>3259.83</v>
          </cell>
          <cell r="C63">
            <v>3269.23</v>
          </cell>
          <cell r="D63">
            <v>3210.22</v>
          </cell>
          <cell r="E63">
            <v>3236.95</v>
          </cell>
          <cell r="F63">
            <v>3.2369499999999998</v>
          </cell>
        </row>
        <row r="64">
          <cell r="A64">
            <v>43970</v>
          </cell>
          <cell r="B64">
            <v>3272.68</v>
          </cell>
          <cell r="C64">
            <v>3293.35</v>
          </cell>
          <cell r="D64">
            <v>3265.26</v>
          </cell>
          <cell r="E64">
            <v>3292.72</v>
          </cell>
          <cell r="F64">
            <v>3.2927199999999996</v>
          </cell>
        </row>
        <row r="65">
          <cell r="A65">
            <v>43971</v>
          </cell>
          <cell r="B65">
            <v>3297.94</v>
          </cell>
          <cell r="C65">
            <v>3302.58</v>
          </cell>
          <cell r="D65">
            <v>3254.67</v>
          </cell>
          <cell r="E65">
            <v>3267.15</v>
          </cell>
          <cell r="F65">
            <v>3.26715</v>
          </cell>
        </row>
        <row r="66">
          <cell r="A66">
            <v>43972</v>
          </cell>
          <cell r="B66">
            <v>3285.22</v>
          </cell>
          <cell r="C66">
            <v>3287.65</v>
          </cell>
          <cell r="D66">
            <v>3226.33</v>
          </cell>
          <cell r="E66">
            <v>3236.82</v>
          </cell>
          <cell r="F66">
            <v>3.2368200000000003</v>
          </cell>
        </row>
        <row r="67">
          <cell r="A67">
            <v>43973</v>
          </cell>
          <cell r="B67">
            <v>3233.92</v>
          </cell>
          <cell r="C67">
            <v>3233.92</v>
          </cell>
          <cell r="D67">
            <v>3144.41</v>
          </cell>
          <cell r="E67">
            <v>3157.95</v>
          </cell>
          <cell r="F67">
            <v>3.15795</v>
          </cell>
        </row>
        <row r="68">
          <cell r="A68">
            <v>43976</v>
          </cell>
          <cell r="B68">
            <v>3157.53</v>
          </cell>
          <cell r="C68">
            <v>3158.72</v>
          </cell>
          <cell r="D68">
            <v>3118.82</v>
          </cell>
          <cell r="E68">
            <v>3138.57</v>
          </cell>
          <cell r="F68">
            <v>3.1385700000000001</v>
          </cell>
        </row>
        <row r="69">
          <cell r="A69">
            <v>43977</v>
          </cell>
          <cell r="B69">
            <v>3164.07</v>
          </cell>
          <cell r="C69">
            <v>3223.58</v>
          </cell>
          <cell r="D69">
            <v>3162.22</v>
          </cell>
          <cell r="E69">
            <v>3222.7</v>
          </cell>
          <cell r="F69">
            <v>3.2226999999999997</v>
          </cell>
        </row>
        <row r="70">
          <cell r="A70">
            <v>43978</v>
          </cell>
          <cell r="B70">
            <v>3226.61</v>
          </cell>
          <cell r="C70">
            <v>3226.73</v>
          </cell>
          <cell r="D70">
            <v>3163.64</v>
          </cell>
          <cell r="E70">
            <v>3172.58</v>
          </cell>
          <cell r="F70">
            <v>3.17258</v>
          </cell>
        </row>
        <row r="71">
          <cell r="A71">
            <v>43979</v>
          </cell>
          <cell r="B71">
            <v>3174.25</v>
          </cell>
          <cell r="C71">
            <v>3189.15</v>
          </cell>
          <cell r="D71">
            <v>3110.02</v>
          </cell>
          <cell r="E71">
            <v>3160</v>
          </cell>
          <cell r="F71">
            <v>3.16</v>
          </cell>
        </row>
        <row r="72">
          <cell r="A72">
            <v>43980</v>
          </cell>
          <cell r="B72">
            <v>3147.22</v>
          </cell>
          <cell r="C72">
            <v>3198.28</v>
          </cell>
          <cell r="D72">
            <v>3139.39</v>
          </cell>
          <cell r="E72">
            <v>3190.67</v>
          </cell>
          <cell r="F72">
            <v>3.1906699999999999</v>
          </cell>
        </row>
        <row r="73">
          <cell r="A73">
            <v>43983</v>
          </cell>
          <cell r="B73">
            <v>3219.86</v>
          </cell>
          <cell r="C73">
            <v>3303</v>
          </cell>
          <cell r="D73">
            <v>3219.86</v>
          </cell>
          <cell r="E73">
            <v>3296.33</v>
          </cell>
          <cell r="F73">
            <v>3.2963299999999998</v>
          </cell>
        </row>
        <row r="74">
          <cell r="A74">
            <v>43984</v>
          </cell>
          <cell r="B74">
            <v>3308.1</v>
          </cell>
          <cell r="C74">
            <v>3308.1</v>
          </cell>
          <cell r="D74">
            <v>3273.44</v>
          </cell>
          <cell r="E74">
            <v>3290.64</v>
          </cell>
          <cell r="F74">
            <v>3.2906399999999998</v>
          </cell>
        </row>
        <row r="75">
          <cell r="A75">
            <v>43985</v>
          </cell>
          <cell r="B75">
            <v>3303.71</v>
          </cell>
          <cell r="C75">
            <v>3331.67</v>
          </cell>
          <cell r="D75">
            <v>3286.85</v>
          </cell>
          <cell r="E75">
            <v>3299.19</v>
          </cell>
          <cell r="F75">
            <v>3.2991899999999998</v>
          </cell>
        </row>
        <row r="76">
          <cell r="A76">
            <v>43986</v>
          </cell>
          <cell r="B76">
            <v>3313.27</v>
          </cell>
          <cell r="C76">
            <v>3321.53</v>
          </cell>
          <cell r="D76">
            <v>3293.98</v>
          </cell>
          <cell r="E76">
            <v>3313.4</v>
          </cell>
          <cell r="F76">
            <v>3.3134000000000001</v>
          </cell>
        </row>
        <row r="77">
          <cell r="A77">
            <v>43987</v>
          </cell>
          <cell r="B77">
            <v>3318.87</v>
          </cell>
          <cell r="C77">
            <v>3336.18</v>
          </cell>
          <cell r="D77">
            <v>3307.34</v>
          </cell>
          <cell r="E77">
            <v>3336.12</v>
          </cell>
          <cell r="F77">
            <v>3.3361199999999998</v>
          </cell>
        </row>
        <row r="78">
          <cell r="A78">
            <v>43990</v>
          </cell>
          <cell r="B78">
            <v>3367.83</v>
          </cell>
          <cell r="C78">
            <v>3396.76</v>
          </cell>
          <cell r="D78">
            <v>3343.4</v>
          </cell>
          <cell r="E78">
            <v>3350.81</v>
          </cell>
          <cell r="F78">
            <v>3.3508100000000001</v>
          </cell>
        </row>
        <row r="79">
          <cell r="A79">
            <v>43991</v>
          </cell>
          <cell r="B79">
            <v>3358.14</v>
          </cell>
          <cell r="C79">
            <v>3379.63</v>
          </cell>
          <cell r="D79">
            <v>3342</v>
          </cell>
          <cell r="E79">
            <v>3368.45</v>
          </cell>
          <cell r="F79">
            <v>3.3684499999999997</v>
          </cell>
        </row>
        <row r="80">
          <cell r="A80">
            <v>43992</v>
          </cell>
          <cell r="B80">
            <v>3378.74</v>
          </cell>
          <cell r="C80">
            <v>3406.56</v>
          </cell>
          <cell r="D80">
            <v>3364.29</v>
          </cell>
          <cell r="E80">
            <v>3402.5</v>
          </cell>
          <cell r="F80">
            <v>3.4024999999999999</v>
          </cell>
        </row>
        <row r="81">
          <cell r="A81">
            <v>43993</v>
          </cell>
          <cell r="B81">
            <v>3401.69</v>
          </cell>
          <cell r="C81">
            <v>3430.62</v>
          </cell>
          <cell r="D81">
            <v>3357.9</v>
          </cell>
          <cell r="E81">
            <v>3381.67</v>
          </cell>
          <cell r="F81">
            <v>3.3816700000000002</v>
          </cell>
        </row>
        <row r="82">
          <cell r="A82">
            <v>43994</v>
          </cell>
          <cell r="B82">
            <v>3312.03</v>
          </cell>
          <cell r="C82">
            <v>3404.32</v>
          </cell>
          <cell r="D82">
            <v>3309.05</v>
          </cell>
          <cell r="E82">
            <v>3384.36</v>
          </cell>
          <cell r="F82">
            <v>3.38436</v>
          </cell>
        </row>
        <row r="83">
          <cell r="A83">
            <v>43997</v>
          </cell>
          <cell r="B83">
            <v>3377.43</v>
          </cell>
          <cell r="C83">
            <v>3409.01</v>
          </cell>
          <cell r="D83">
            <v>3359.89</v>
          </cell>
          <cell r="E83">
            <v>3359.89</v>
          </cell>
          <cell r="F83">
            <v>3.35989</v>
          </cell>
        </row>
        <row r="84">
          <cell r="A84">
            <v>43998</v>
          </cell>
          <cell r="B84">
            <v>3407.38</v>
          </cell>
          <cell r="C84">
            <v>3427.19</v>
          </cell>
          <cell r="D84">
            <v>3396.08</v>
          </cell>
          <cell r="E84">
            <v>3427.19</v>
          </cell>
          <cell r="F84">
            <v>3.42719</v>
          </cell>
        </row>
        <row r="85">
          <cell r="A85">
            <v>43999</v>
          </cell>
          <cell r="B85">
            <v>3434.88</v>
          </cell>
          <cell r="C85">
            <v>3438.52</v>
          </cell>
          <cell r="D85">
            <v>3409.39</v>
          </cell>
          <cell r="E85">
            <v>3435.25</v>
          </cell>
          <cell r="F85">
            <v>3.4352499999999999</v>
          </cell>
        </row>
        <row r="86">
          <cell r="A86">
            <v>44000</v>
          </cell>
          <cell r="B86">
            <v>3431.12</v>
          </cell>
          <cell r="C86">
            <v>3465.89</v>
          </cell>
          <cell r="D86">
            <v>3426.2</v>
          </cell>
          <cell r="E86">
            <v>3464.65</v>
          </cell>
          <cell r="F86">
            <v>3.4646500000000002</v>
          </cell>
        </row>
        <row r="87">
          <cell r="A87">
            <v>44001</v>
          </cell>
          <cell r="B87">
            <v>3468.94</v>
          </cell>
          <cell r="C87">
            <v>3533.79</v>
          </cell>
          <cell r="D87">
            <v>3466.81</v>
          </cell>
          <cell r="E87">
            <v>3523.39</v>
          </cell>
          <cell r="F87">
            <v>3.52339</v>
          </cell>
        </row>
        <row r="88">
          <cell r="A88">
            <v>44004</v>
          </cell>
          <cell r="B88">
            <v>3523.49</v>
          </cell>
          <cell r="C88">
            <v>3555.21</v>
          </cell>
          <cell r="D88">
            <v>3518.89</v>
          </cell>
          <cell r="E88">
            <v>3534.89</v>
          </cell>
          <cell r="F88">
            <v>3.5348899999999999</v>
          </cell>
        </row>
        <row r="89">
          <cell r="A89">
            <v>44005</v>
          </cell>
          <cell r="B89">
            <v>3539.01</v>
          </cell>
          <cell r="C89">
            <v>3577.36</v>
          </cell>
          <cell r="D89">
            <v>3522.42</v>
          </cell>
          <cell r="E89">
            <v>3573.87</v>
          </cell>
          <cell r="F89">
            <v>3.5738699999999999</v>
          </cell>
        </row>
        <row r="90">
          <cell r="A90">
            <v>44006</v>
          </cell>
          <cell r="B90">
            <v>3580.52</v>
          </cell>
          <cell r="C90">
            <v>3596.43</v>
          </cell>
          <cell r="D90">
            <v>3562.2</v>
          </cell>
          <cell r="E90">
            <v>3582.92</v>
          </cell>
          <cell r="F90">
            <v>3.5829200000000001</v>
          </cell>
        </row>
        <row r="91">
          <cell r="A91">
            <v>44011</v>
          </cell>
          <cell r="B91">
            <v>3573.44</v>
          </cell>
          <cell r="C91">
            <v>3589.53</v>
          </cell>
          <cell r="D91">
            <v>3555.26</v>
          </cell>
          <cell r="E91">
            <v>3573.19</v>
          </cell>
          <cell r="F91">
            <v>3.5731899999999999</v>
          </cell>
        </row>
        <row r="92">
          <cell r="A92">
            <v>44012</v>
          </cell>
          <cell r="B92">
            <v>3601.72</v>
          </cell>
          <cell r="C92">
            <v>3661.27</v>
          </cell>
          <cell r="D92">
            <v>3601.42</v>
          </cell>
          <cell r="E92">
            <v>3651.31</v>
          </cell>
          <cell r="F92">
            <v>3.6513100000000001</v>
          </cell>
        </row>
        <row r="93">
          <cell r="A93">
            <v>44013</v>
          </cell>
          <cell r="B93">
            <v>3661.67</v>
          </cell>
          <cell r="C93">
            <v>3680.93</v>
          </cell>
          <cell r="D93">
            <v>3617.02</v>
          </cell>
          <cell r="E93">
            <v>3667.5</v>
          </cell>
          <cell r="F93">
            <v>3.6675</v>
          </cell>
        </row>
        <row r="94">
          <cell r="A94">
            <v>44014</v>
          </cell>
          <cell r="B94">
            <v>3661.29</v>
          </cell>
          <cell r="C94">
            <v>3691.6</v>
          </cell>
          <cell r="D94">
            <v>3636.72</v>
          </cell>
          <cell r="E94">
            <v>3681.2</v>
          </cell>
          <cell r="F94">
            <v>3.6812</v>
          </cell>
        </row>
        <row r="95">
          <cell r="A95">
            <v>44015</v>
          </cell>
          <cell r="B95">
            <v>3687.29</v>
          </cell>
          <cell r="C95">
            <v>3725.04</v>
          </cell>
          <cell r="D95">
            <v>3656.89</v>
          </cell>
          <cell r="E95">
            <v>3724.7</v>
          </cell>
          <cell r="F95">
            <v>3.7246999999999999</v>
          </cell>
        </row>
        <row r="96">
          <cell r="A96">
            <v>44018</v>
          </cell>
          <cell r="B96">
            <v>3737.55</v>
          </cell>
          <cell r="C96">
            <v>3843.29</v>
          </cell>
          <cell r="D96">
            <v>3736.36</v>
          </cell>
          <cell r="E96">
            <v>3840.5</v>
          </cell>
          <cell r="F96">
            <v>3.8405</v>
          </cell>
        </row>
        <row r="97">
          <cell r="A97">
            <v>44019</v>
          </cell>
          <cell r="B97">
            <v>3882.37</v>
          </cell>
          <cell r="C97">
            <v>4012.45</v>
          </cell>
          <cell r="D97">
            <v>3882.37</v>
          </cell>
          <cell r="E97">
            <v>3942.51</v>
          </cell>
          <cell r="F97">
            <v>3.9425100000000004</v>
          </cell>
        </row>
        <row r="98">
          <cell r="A98">
            <v>44020</v>
          </cell>
          <cell r="B98">
            <v>3951</v>
          </cell>
          <cell r="C98">
            <v>3997.07</v>
          </cell>
          <cell r="D98">
            <v>3898.87</v>
          </cell>
          <cell r="E98">
            <v>3991.08</v>
          </cell>
          <cell r="F98">
            <v>3.9910799999999997</v>
          </cell>
        </row>
        <row r="99">
          <cell r="A99">
            <v>44021</v>
          </cell>
          <cell r="B99">
            <v>3991.33</v>
          </cell>
          <cell r="C99">
            <v>4121.84</v>
          </cell>
          <cell r="D99">
            <v>3989.45</v>
          </cell>
          <cell r="E99">
            <v>4106.99</v>
          </cell>
          <cell r="F99">
            <v>4.1069899999999997</v>
          </cell>
        </row>
        <row r="100">
          <cell r="A100">
            <v>44022</v>
          </cell>
          <cell r="B100">
            <v>4087.59</v>
          </cell>
          <cell r="C100">
            <v>4144.62</v>
          </cell>
          <cell r="D100">
            <v>4065.15</v>
          </cell>
          <cell r="E100">
            <v>4095.16</v>
          </cell>
          <cell r="F100">
            <v>4.0951599999999999</v>
          </cell>
        </row>
        <row r="101">
          <cell r="A101">
            <v>44025</v>
          </cell>
          <cell r="B101">
            <v>4106.37</v>
          </cell>
          <cell r="C101">
            <v>4236.91</v>
          </cell>
          <cell r="D101">
            <v>4106.37</v>
          </cell>
          <cell r="E101">
            <v>4235.3500000000004</v>
          </cell>
          <cell r="F101">
            <v>4.2353500000000004</v>
          </cell>
        </row>
        <row r="102">
          <cell r="A102">
            <v>44026</v>
          </cell>
          <cell r="B102">
            <v>4218.34</v>
          </cell>
          <cell r="C102">
            <v>4220.7299999999996</v>
          </cell>
          <cell r="D102">
            <v>4081.26</v>
          </cell>
          <cell r="E102">
            <v>4160.91</v>
          </cell>
          <cell r="F102">
            <v>4.1609099999999994</v>
          </cell>
        </row>
        <row r="103">
          <cell r="A103">
            <v>44027</v>
          </cell>
          <cell r="B103">
            <v>4172.09</v>
          </cell>
          <cell r="C103">
            <v>4207.3599999999997</v>
          </cell>
          <cell r="D103">
            <v>4079.69</v>
          </cell>
          <cell r="E103">
            <v>4105.09</v>
          </cell>
          <cell r="F103">
            <v>4.1050900000000006</v>
          </cell>
        </row>
        <row r="104">
          <cell r="A104">
            <v>44028</v>
          </cell>
          <cell r="B104">
            <v>4113.1400000000003</v>
          </cell>
          <cell r="C104">
            <v>4150.01</v>
          </cell>
          <cell r="D104">
            <v>3882.19</v>
          </cell>
          <cell r="E104">
            <v>3896.2</v>
          </cell>
          <cell r="F104">
            <v>3.8961999999999999</v>
          </cell>
        </row>
        <row r="105">
          <cell r="A105">
            <v>44029</v>
          </cell>
          <cell r="B105">
            <v>3910.08</v>
          </cell>
          <cell r="C105">
            <v>4009.58</v>
          </cell>
          <cell r="D105">
            <v>3879.13</v>
          </cell>
          <cell r="E105">
            <v>3956.49</v>
          </cell>
          <cell r="F105">
            <v>3.9564899999999996</v>
          </cell>
        </row>
        <row r="106">
          <cell r="A106">
            <v>44032</v>
          </cell>
          <cell r="B106">
            <v>4020.62</v>
          </cell>
          <cell r="C106">
            <v>4041.7</v>
          </cell>
          <cell r="D106">
            <v>3924.7</v>
          </cell>
          <cell r="E106">
            <v>4041.7</v>
          </cell>
          <cell r="F106">
            <v>4.0416999999999996</v>
          </cell>
        </row>
        <row r="107">
          <cell r="A107">
            <v>44033</v>
          </cell>
          <cell r="B107">
            <v>4050.35</v>
          </cell>
          <cell r="C107">
            <v>4092.24</v>
          </cell>
          <cell r="D107">
            <v>4021.79</v>
          </cell>
          <cell r="E107">
            <v>4082.89</v>
          </cell>
          <cell r="F107">
            <v>4.0828899999999999</v>
          </cell>
        </row>
        <row r="108">
          <cell r="A108">
            <v>44034</v>
          </cell>
          <cell r="B108">
            <v>4075.16</v>
          </cell>
          <cell r="C108">
            <v>4174.42</v>
          </cell>
          <cell r="D108">
            <v>4061.68</v>
          </cell>
          <cell r="E108">
            <v>4127.3500000000004</v>
          </cell>
          <cell r="F108">
            <v>4.1273500000000007</v>
          </cell>
        </row>
        <row r="109">
          <cell r="A109">
            <v>44035</v>
          </cell>
          <cell r="B109">
            <v>4080.97</v>
          </cell>
          <cell r="C109">
            <v>4153.7</v>
          </cell>
          <cell r="D109">
            <v>4028.65</v>
          </cell>
          <cell r="E109">
            <v>4151.33</v>
          </cell>
          <cell r="F109">
            <v>4.1513299999999997</v>
          </cell>
        </row>
        <row r="110">
          <cell r="A110">
            <v>44036</v>
          </cell>
          <cell r="B110">
            <v>4103.95</v>
          </cell>
          <cell r="C110">
            <v>4120.2299999999996</v>
          </cell>
          <cell r="D110">
            <v>3887.19</v>
          </cell>
          <cell r="E110">
            <v>3907.81</v>
          </cell>
          <cell r="F110">
            <v>3.90781</v>
          </cell>
        </row>
        <row r="111">
          <cell r="A111">
            <v>44039</v>
          </cell>
          <cell r="B111">
            <v>3935.91</v>
          </cell>
          <cell r="C111">
            <v>3980.95</v>
          </cell>
          <cell r="D111">
            <v>3900.37</v>
          </cell>
          <cell r="E111">
            <v>3941.92</v>
          </cell>
          <cell r="F111">
            <v>3.9419200000000001</v>
          </cell>
        </row>
        <row r="112">
          <cell r="A112">
            <v>44040</v>
          </cell>
          <cell r="B112">
            <v>3987.43</v>
          </cell>
          <cell r="C112">
            <v>4002.88</v>
          </cell>
          <cell r="D112">
            <v>3936.42</v>
          </cell>
          <cell r="E112">
            <v>3990.96</v>
          </cell>
          <cell r="F112">
            <v>3.9909599999999998</v>
          </cell>
        </row>
        <row r="113">
          <cell r="A113">
            <v>44041</v>
          </cell>
          <cell r="B113">
            <v>3977.77</v>
          </cell>
          <cell r="C113">
            <v>4141.75</v>
          </cell>
          <cell r="D113">
            <v>3971.67</v>
          </cell>
          <cell r="E113">
            <v>4141.46</v>
          </cell>
          <cell r="F113">
            <v>4.1414600000000004</v>
          </cell>
        </row>
        <row r="114">
          <cell r="A114">
            <v>44042</v>
          </cell>
          <cell r="B114">
            <v>4163.24</v>
          </cell>
          <cell r="C114">
            <v>4163.24</v>
          </cell>
          <cell r="D114">
            <v>4091.99</v>
          </cell>
          <cell r="E114">
            <v>4105.33</v>
          </cell>
          <cell r="F114">
            <v>4.1053300000000004</v>
          </cell>
        </row>
        <row r="115">
          <cell r="A115">
            <v>44043</v>
          </cell>
          <cell r="B115">
            <v>4108.6899999999996</v>
          </cell>
          <cell r="C115">
            <v>4203.01</v>
          </cell>
          <cell r="D115">
            <v>4090.55</v>
          </cell>
          <cell r="E115">
            <v>4170.6000000000004</v>
          </cell>
          <cell r="F115">
            <v>4.1706000000000003</v>
          </cell>
        </row>
        <row r="116">
          <cell r="A116">
            <v>44046</v>
          </cell>
          <cell r="B116">
            <v>4220.3599999999997</v>
          </cell>
          <cell r="C116">
            <v>4268.12</v>
          </cell>
          <cell r="D116">
            <v>4185.71</v>
          </cell>
          <cell r="E116">
            <v>4267.82</v>
          </cell>
          <cell r="F116">
            <v>4.2678199999999995</v>
          </cell>
        </row>
        <row r="117">
          <cell r="A117">
            <v>44047</v>
          </cell>
          <cell r="B117">
            <v>4259.07</v>
          </cell>
          <cell r="C117">
            <v>4279.63</v>
          </cell>
          <cell r="D117">
            <v>4190.57</v>
          </cell>
          <cell r="E117">
            <v>4218.4799999999996</v>
          </cell>
          <cell r="F117">
            <v>4.2184799999999996</v>
          </cell>
        </row>
        <row r="118">
          <cell r="A118">
            <v>44048</v>
          </cell>
          <cell r="B118">
            <v>4213.6099999999997</v>
          </cell>
          <cell r="C118">
            <v>4260.93</v>
          </cell>
          <cell r="D118">
            <v>4168.2299999999996</v>
          </cell>
          <cell r="E118">
            <v>4241.01</v>
          </cell>
          <cell r="F118">
            <v>4.2410100000000002</v>
          </cell>
        </row>
        <row r="119">
          <cell r="A119">
            <v>44049</v>
          </cell>
          <cell r="B119">
            <v>4244.03</v>
          </cell>
          <cell r="C119">
            <v>4244.03</v>
          </cell>
          <cell r="D119">
            <v>4136.2299999999996</v>
          </cell>
          <cell r="E119">
            <v>4185.38</v>
          </cell>
          <cell r="F119">
            <v>4.1853800000000003</v>
          </cell>
        </row>
        <row r="120">
          <cell r="A120">
            <v>44050</v>
          </cell>
          <cell r="B120">
            <v>4182.3</v>
          </cell>
          <cell r="C120">
            <v>4198.29</v>
          </cell>
          <cell r="D120">
            <v>4049.7</v>
          </cell>
          <cell r="E120">
            <v>4127.1000000000004</v>
          </cell>
          <cell r="F120">
            <v>4.1271000000000004</v>
          </cell>
        </row>
        <row r="121">
          <cell r="A121">
            <v>44053</v>
          </cell>
          <cell r="B121">
            <v>4094.62</v>
          </cell>
          <cell r="C121">
            <v>4146.53</v>
          </cell>
          <cell r="D121">
            <v>4041.53</v>
          </cell>
          <cell r="E121">
            <v>4115.93</v>
          </cell>
          <cell r="F121">
            <v>4.1159300000000005</v>
          </cell>
        </row>
        <row r="122">
          <cell r="A122">
            <v>44054</v>
          </cell>
          <cell r="B122">
            <v>4114.67</v>
          </cell>
          <cell r="C122">
            <v>4178.83</v>
          </cell>
          <cell r="D122">
            <v>4063.49</v>
          </cell>
          <cell r="E122">
            <v>4069.3</v>
          </cell>
          <cell r="F122">
            <v>4.0693000000000001</v>
          </cell>
        </row>
        <row r="123">
          <cell r="A123">
            <v>44055</v>
          </cell>
          <cell r="B123">
            <v>4063.66</v>
          </cell>
          <cell r="C123">
            <v>4079.87</v>
          </cell>
          <cell r="D123">
            <v>3929.59</v>
          </cell>
          <cell r="E123">
            <v>4019.27</v>
          </cell>
          <cell r="F123">
            <v>4.0192699999999997</v>
          </cell>
        </row>
        <row r="124">
          <cell r="A124">
            <v>44056</v>
          </cell>
          <cell r="B124">
            <v>4041.37</v>
          </cell>
          <cell r="C124">
            <v>4046.05</v>
          </cell>
          <cell r="D124">
            <v>3976.37</v>
          </cell>
          <cell r="E124">
            <v>3988.55</v>
          </cell>
          <cell r="F124">
            <v>3.98855</v>
          </cell>
        </row>
        <row r="125">
          <cell r="A125">
            <v>44057</v>
          </cell>
          <cell r="B125">
            <v>3983.79</v>
          </cell>
          <cell r="C125">
            <v>4062.91</v>
          </cell>
          <cell r="D125">
            <v>3974.93</v>
          </cell>
          <cell r="E125">
            <v>4060.94</v>
          </cell>
          <cell r="F125">
            <v>4.0609400000000004</v>
          </cell>
        </row>
        <row r="126">
          <cell r="A126">
            <v>44060</v>
          </cell>
          <cell r="B126">
            <v>4073.48</v>
          </cell>
          <cell r="C126">
            <v>4126.2700000000004</v>
          </cell>
          <cell r="D126">
            <v>4044.19</v>
          </cell>
          <cell r="E126">
            <v>4123.45</v>
          </cell>
          <cell r="F126">
            <v>4.1234500000000001</v>
          </cell>
        </row>
        <row r="127">
          <cell r="A127">
            <v>44061</v>
          </cell>
          <cell r="B127">
            <v>4126.93</v>
          </cell>
          <cell r="C127">
            <v>4141.59</v>
          </cell>
          <cell r="D127">
            <v>4090.29</v>
          </cell>
          <cell r="E127">
            <v>4120.6000000000004</v>
          </cell>
          <cell r="F127">
            <v>4.1206000000000005</v>
          </cell>
        </row>
        <row r="128">
          <cell r="A128">
            <v>44062</v>
          </cell>
          <cell r="B128">
            <v>4109.3999999999996</v>
          </cell>
          <cell r="C128">
            <v>4109.3999999999996</v>
          </cell>
          <cell r="D128">
            <v>4005.07</v>
          </cell>
          <cell r="E128">
            <v>4007.28</v>
          </cell>
          <cell r="F128">
            <v>4.0072800000000006</v>
          </cell>
        </row>
        <row r="129">
          <cell r="A129">
            <v>44063</v>
          </cell>
          <cell r="B129">
            <v>3978.36</v>
          </cell>
          <cell r="C129">
            <v>4014.17</v>
          </cell>
          <cell r="D129">
            <v>3951.53</v>
          </cell>
          <cell r="E129">
            <v>3967.34</v>
          </cell>
          <cell r="F129">
            <v>3.9673400000000001</v>
          </cell>
        </row>
        <row r="130">
          <cell r="A130">
            <v>44064</v>
          </cell>
          <cell r="B130">
            <v>4013.98</v>
          </cell>
          <cell r="C130">
            <v>4050.93</v>
          </cell>
          <cell r="D130">
            <v>3991.13</v>
          </cell>
          <cell r="E130">
            <v>4018.95</v>
          </cell>
          <cell r="F130">
            <v>4.0189500000000002</v>
          </cell>
        </row>
        <row r="131">
          <cell r="A131">
            <v>44067</v>
          </cell>
          <cell r="B131">
            <v>4052.98</v>
          </cell>
          <cell r="C131">
            <v>4115.0600000000004</v>
          </cell>
          <cell r="D131">
            <v>3999.2</v>
          </cell>
          <cell r="E131">
            <v>4095.43</v>
          </cell>
          <cell r="F131">
            <v>4.0954299999999995</v>
          </cell>
        </row>
        <row r="132">
          <cell r="A132">
            <v>44068</v>
          </cell>
          <cell r="B132">
            <v>4102.53</v>
          </cell>
          <cell r="C132">
            <v>4130.8900000000003</v>
          </cell>
          <cell r="D132">
            <v>4080.28</v>
          </cell>
          <cell r="E132">
            <v>4093.3</v>
          </cell>
          <cell r="F132">
            <v>4.0933000000000002</v>
          </cell>
        </row>
        <row r="133">
          <cell r="A133">
            <v>44069</v>
          </cell>
          <cell r="B133">
            <v>4103.79</v>
          </cell>
          <cell r="C133">
            <v>4121.2299999999996</v>
          </cell>
          <cell r="D133">
            <v>4013.81</v>
          </cell>
          <cell r="E133">
            <v>4027.64</v>
          </cell>
          <cell r="F133">
            <v>4.0276399999999999</v>
          </cell>
        </row>
        <row r="134">
          <cell r="A134">
            <v>44070</v>
          </cell>
          <cell r="B134">
            <v>4042.57</v>
          </cell>
          <cell r="C134">
            <v>4064.01</v>
          </cell>
          <cell r="D134">
            <v>4002.61</v>
          </cell>
          <cell r="E134">
            <v>4058.49</v>
          </cell>
          <cell r="F134">
            <v>4.0584899999999999</v>
          </cell>
        </row>
        <row r="135">
          <cell r="A135">
            <v>44071</v>
          </cell>
          <cell r="B135">
            <v>4052.44</v>
          </cell>
          <cell r="C135">
            <v>4171.9799999999996</v>
          </cell>
          <cell r="D135">
            <v>4044.39</v>
          </cell>
          <cell r="E135">
            <v>4166.38</v>
          </cell>
          <cell r="F135">
            <v>4.1663800000000002</v>
          </cell>
        </row>
        <row r="136">
          <cell r="A136">
            <v>44074</v>
          </cell>
          <cell r="B136">
            <v>4201.1099999999997</v>
          </cell>
          <cell r="C136">
            <v>4212.6099999999997</v>
          </cell>
          <cell r="D136">
            <v>4128.28</v>
          </cell>
          <cell r="E136">
            <v>4129.8999999999996</v>
          </cell>
          <cell r="F136">
            <v>4.1298999999999992</v>
          </cell>
        </row>
        <row r="137">
          <cell r="A137">
            <v>44075</v>
          </cell>
          <cell r="B137">
            <v>4122.47</v>
          </cell>
          <cell r="C137">
            <v>4172.29</v>
          </cell>
          <cell r="D137">
            <v>4113.32</v>
          </cell>
          <cell r="E137">
            <v>4172.29</v>
          </cell>
          <cell r="F137">
            <v>4.1722900000000003</v>
          </cell>
        </row>
        <row r="138">
          <cell r="A138">
            <v>44076</v>
          </cell>
          <cell r="B138">
            <v>4188.12</v>
          </cell>
          <cell r="C138">
            <v>4199.7700000000004</v>
          </cell>
          <cell r="D138">
            <v>4141.05</v>
          </cell>
          <cell r="E138">
            <v>4182.3500000000004</v>
          </cell>
          <cell r="F138">
            <v>4.1823500000000005</v>
          </cell>
        </row>
        <row r="139">
          <cell r="A139">
            <v>44077</v>
          </cell>
          <cell r="B139">
            <v>4175.96</v>
          </cell>
          <cell r="C139">
            <v>4200.58</v>
          </cell>
          <cell r="D139">
            <v>4130.99</v>
          </cell>
          <cell r="E139">
            <v>4143.58</v>
          </cell>
          <cell r="F139">
            <v>4.14358</v>
          </cell>
        </row>
        <row r="140">
          <cell r="A140">
            <v>44078</v>
          </cell>
          <cell r="B140">
            <v>4055.69</v>
          </cell>
          <cell r="C140">
            <v>4112.03</v>
          </cell>
          <cell r="D140">
            <v>4050.62</v>
          </cell>
          <cell r="E140">
            <v>4101.83</v>
          </cell>
          <cell r="F140">
            <v>4.1018299999999996</v>
          </cell>
        </row>
        <row r="141">
          <cell r="A141">
            <v>44081</v>
          </cell>
          <cell r="B141">
            <v>4093.8</v>
          </cell>
          <cell r="C141">
            <v>4114.9399999999996</v>
          </cell>
          <cell r="D141">
            <v>3959.7</v>
          </cell>
          <cell r="E141">
            <v>3975.89</v>
          </cell>
          <cell r="F141">
            <v>3.9758899999999997</v>
          </cell>
        </row>
        <row r="142">
          <cell r="A142">
            <v>44082</v>
          </cell>
          <cell r="B142">
            <v>3987.79</v>
          </cell>
          <cell r="C142">
            <v>3997.19</v>
          </cell>
          <cell r="D142">
            <v>3931.23</v>
          </cell>
          <cell r="E142">
            <v>3981.52</v>
          </cell>
          <cell r="F142">
            <v>3.9815200000000002</v>
          </cell>
        </row>
        <row r="143">
          <cell r="A143">
            <v>44083</v>
          </cell>
          <cell r="B143">
            <v>3916.19</v>
          </cell>
          <cell r="C143">
            <v>3919.05</v>
          </cell>
          <cell r="D143">
            <v>3796.63</v>
          </cell>
          <cell r="E143">
            <v>3828.16</v>
          </cell>
          <cell r="F143">
            <v>3.82816</v>
          </cell>
        </row>
        <row r="144">
          <cell r="A144">
            <v>44084</v>
          </cell>
          <cell r="B144">
            <v>3873.7</v>
          </cell>
          <cell r="C144">
            <v>3904.47</v>
          </cell>
          <cell r="D144">
            <v>3807.69</v>
          </cell>
          <cell r="E144">
            <v>3818.76</v>
          </cell>
          <cell r="F144">
            <v>3.8187600000000002</v>
          </cell>
        </row>
        <row r="145">
          <cell r="A145">
            <v>44085</v>
          </cell>
          <cell r="B145">
            <v>3813.31</v>
          </cell>
          <cell r="C145">
            <v>3903.58</v>
          </cell>
          <cell r="D145">
            <v>3813.31</v>
          </cell>
          <cell r="E145">
            <v>3897.42</v>
          </cell>
          <cell r="F145">
            <v>3.8974199999999999</v>
          </cell>
        </row>
        <row r="146">
          <cell r="A146">
            <v>44088</v>
          </cell>
          <cell r="B146">
            <v>3927.53</v>
          </cell>
          <cell r="C146">
            <v>3956.81</v>
          </cell>
          <cell r="D146">
            <v>3888</v>
          </cell>
          <cell r="E146">
            <v>3917.06</v>
          </cell>
          <cell r="F146">
            <v>3.9170599999999998</v>
          </cell>
        </row>
        <row r="147">
          <cell r="A147">
            <v>44089</v>
          </cell>
          <cell r="B147">
            <v>3925.46</v>
          </cell>
          <cell r="C147">
            <v>3980.94</v>
          </cell>
          <cell r="D147">
            <v>3909.29</v>
          </cell>
          <cell r="E147">
            <v>3977.63</v>
          </cell>
          <cell r="F147">
            <v>3.97763</v>
          </cell>
        </row>
        <row r="148">
          <cell r="A148">
            <v>44090</v>
          </cell>
          <cell r="B148">
            <v>3971.7</v>
          </cell>
          <cell r="C148">
            <v>3978.11</v>
          </cell>
          <cell r="D148">
            <v>3908.78</v>
          </cell>
          <cell r="E148">
            <v>3929.16</v>
          </cell>
          <cell r="F148">
            <v>3.92916</v>
          </cell>
        </row>
        <row r="149">
          <cell r="A149">
            <v>44091</v>
          </cell>
          <cell r="B149">
            <v>3920.59</v>
          </cell>
          <cell r="C149">
            <v>3972.28</v>
          </cell>
          <cell r="D149">
            <v>3893.54</v>
          </cell>
          <cell r="E149">
            <v>3943.21</v>
          </cell>
          <cell r="F149">
            <v>3.9432100000000001</v>
          </cell>
        </row>
        <row r="150">
          <cell r="A150">
            <v>44092</v>
          </cell>
          <cell r="B150">
            <v>3949.48</v>
          </cell>
          <cell r="C150">
            <v>3999.88</v>
          </cell>
          <cell r="D150">
            <v>3925.67</v>
          </cell>
          <cell r="E150">
            <v>3996.34</v>
          </cell>
          <cell r="F150">
            <v>3.99634</v>
          </cell>
        </row>
        <row r="151">
          <cell r="A151">
            <v>44095</v>
          </cell>
          <cell r="B151">
            <v>4002.61</v>
          </cell>
          <cell r="C151">
            <v>4013.06</v>
          </cell>
          <cell r="D151">
            <v>3959.63</v>
          </cell>
          <cell r="E151">
            <v>3964.76</v>
          </cell>
          <cell r="F151">
            <v>3.9647600000000001</v>
          </cell>
        </row>
        <row r="152">
          <cell r="A152">
            <v>44096</v>
          </cell>
          <cell r="B152">
            <v>3944.6</v>
          </cell>
          <cell r="C152">
            <v>3992.42</v>
          </cell>
          <cell r="D152">
            <v>3932.22</v>
          </cell>
          <cell r="E152">
            <v>3947.18</v>
          </cell>
          <cell r="F152">
            <v>3.9471799999999999</v>
          </cell>
        </row>
        <row r="153">
          <cell r="A153">
            <v>44097</v>
          </cell>
          <cell r="B153">
            <v>3958.07</v>
          </cell>
          <cell r="C153">
            <v>4012.92</v>
          </cell>
          <cell r="D153">
            <v>3943.41</v>
          </cell>
          <cell r="E153">
            <v>4002.55</v>
          </cell>
          <cell r="F153">
            <v>4.0025500000000003</v>
          </cell>
        </row>
        <row r="154">
          <cell r="A154">
            <v>44098</v>
          </cell>
          <cell r="B154">
            <v>3967.13</v>
          </cell>
          <cell r="C154">
            <v>3976.76</v>
          </cell>
          <cell r="D154">
            <v>3912.09</v>
          </cell>
          <cell r="E154">
            <v>3913.75</v>
          </cell>
          <cell r="F154">
            <v>3.9137499999999998</v>
          </cell>
        </row>
        <row r="155">
          <cell r="A155">
            <v>44099</v>
          </cell>
          <cell r="B155">
            <v>3932.97</v>
          </cell>
          <cell r="C155">
            <v>3954.83</v>
          </cell>
          <cell r="D155">
            <v>3905.93</v>
          </cell>
          <cell r="E155">
            <v>3917.02</v>
          </cell>
          <cell r="F155">
            <v>3.9170199999999999</v>
          </cell>
        </row>
        <row r="156">
          <cell r="A156">
            <v>44102</v>
          </cell>
          <cell r="B156">
            <v>3934.32</v>
          </cell>
          <cell r="C156">
            <v>3947.52</v>
          </cell>
          <cell r="D156">
            <v>3904.15</v>
          </cell>
          <cell r="E156">
            <v>3910.11</v>
          </cell>
          <cell r="F156">
            <v>3.91011</v>
          </cell>
        </row>
        <row r="157">
          <cell r="A157">
            <v>44103</v>
          </cell>
          <cell r="B157">
            <v>3937.9</v>
          </cell>
          <cell r="C157">
            <v>3979.85</v>
          </cell>
          <cell r="D157">
            <v>3919.26</v>
          </cell>
          <cell r="E157">
            <v>3959.86</v>
          </cell>
          <cell r="F157">
            <v>3.9598599999999999</v>
          </cell>
        </row>
        <row r="158">
          <cell r="A158">
            <v>44104</v>
          </cell>
          <cell r="B158">
            <v>3975.8</v>
          </cell>
          <cell r="C158">
            <v>4024.53</v>
          </cell>
          <cell r="D158">
            <v>3965.96</v>
          </cell>
          <cell r="E158">
            <v>3986.94</v>
          </cell>
          <cell r="F158">
            <v>3.9869400000000002</v>
          </cell>
        </row>
        <row r="159">
          <cell r="A159">
            <v>44113</v>
          </cell>
          <cell r="B159">
            <v>4078.45</v>
          </cell>
          <cell r="C159">
            <v>4140.46</v>
          </cell>
          <cell r="D159">
            <v>4075.94</v>
          </cell>
          <cell r="E159">
            <v>4128.3100000000004</v>
          </cell>
          <cell r="F159">
            <v>4.1283100000000008</v>
          </cell>
        </row>
        <row r="160">
          <cell r="A160">
            <v>44116</v>
          </cell>
          <cell r="B160">
            <v>4160.49</v>
          </cell>
          <cell r="C160">
            <v>4247.33</v>
          </cell>
          <cell r="D160">
            <v>4159.3599999999997</v>
          </cell>
          <cell r="E160">
            <v>4247.33</v>
          </cell>
          <cell r="F160">
            <v>4.2473299999999998</v>
          </cell>
        </row>
        <row r="161">
          <cell r="A161">
            <v>44117</v>
          </cell>
          <cell r="B161">
            <v>4244.57</v>
          </cell>
          <cell r="C161">
            <v>4301.3999999999996</v>
          </cell>
          <cell r="D161">
            <v>4230.07</v>
          </cell>
          <cell r="E161">
            <v>4291.75</v>
          </cell>
          <cell r="F161">
            <v>4.2917500000000004</v>
          </cell>
        </row>
        <row r="162">
          <cell r="A162">
            <v>44118</v>
          </cell>
          <cell r="B162">
            <v>4289.7700000000004</v>
          </cell>
          <cell r="C162">
            <v>4295.99</v>
          </cell>
          <cell r="D162">
            <v>4263.3900000000003</v>
          </cell>
          <cell r="E162">
            <v>4271.92</v>
          </cell>
          <cell r="F162">
            <v>4.2719199999999997</v>
          </cell>
        </row>
        <row r="163">
          <cell r="A163">
            <v>44119</v>
          </cell>
          <cell r="B163">
            <v>4278.01</v>
          </cell>
          <cell r="C163">
            <v>4294.5600000000004</v>
          </cell>
          <cell r="D163">
            <v>4252.72</v>
          </cell>
          <cell r="E163">
            <v>4257.8999999999996</v>
          </cell>
          <cell r="F163">
            <v>4.2578999999999994</v>
          </cell>
        </row>
        <row r="164">
          <cell r="A164">
            <v>44120</v>
          </cell>
          <cell r="B164">
            <v>4251.54</v>
          </cell>
          <cell r="C164">
            <v>4276.0600000000004</v>
          </cell>
          <cell r="D164">
            <v>4191.07</v>
          </cell>
          <cell r="E164">
            <v>4222.1099999999997</v>
          </cell>
          <cell r="F164">
            <v>4.2221099999999998</v>
          </cell>
        </row>
        <row r="165">
          <cell r="A165">
            <v>44123</v>
          </cell>
          <cell r="B165">
            <v>4257.3500000000004</v>
          </cell>
          <cell r="C165">
            <v>4264.8900000000003</v>
          </cell>
          <cell r="D165">
            <v>4177.8500000000004</v>
          </cell>
          <cell r="E165">
            <v>4186.76</v>
          </cell>
          <cell r="F165">
            <v>4.1867600000000005</v>
          </cell>
        </row>
        <row r="166">
          <cell r="A166">
            <v>44124</v>
          </cell>
          <cell r="B166">
            <v>4189.17</v>
          </cell>
          <cell r="C166">
            <v>4252.8500000000004</v>
          </cell>
          <cell r="D166">
            <v>4176.75</v>
          </cell>
          <cell r="E166">
            <v>4252.8500000000004</v>
          </cell>
          <cell r="F166">
            <v>4.2528500000000005</v>
          </cell>
        </row>
        <row r="167">
          <cell r="A167">
            <v>44125</v>
          </cell>
          <cell r="B167">
            <v>4256.26</v>
          </cell>
          <cell r="C167">
            <v>4258.4399999999996</v>
          </cell>
          <cell r="D167">
            <v>4184.07</v>
          </cell>
          <cell r="E167">
            <v>4210.0600000000004</v>
          </cell>
          <cell r="F167">
            <v>4.2100600000000004</v>
          </cell>
        </row>
        <row r="168">
          <cell r="A168">
            <v>44126</v>
          </cell>
          <cell r="B168">
            <v>4187.47</v>
          </cell>
          <cell r="C168">
            <v>4193.45</v>
          </cell>
          <cell r="D168">
            <v>4130.71</v>
          </cell>
          <cell r="E168">
            <v>4182.7700000000004</v>
          </cell>
          <cell r="F168">
            <v>4.1827700000000005</v>
          </cell>
        </row>
        <row r="169">
          <cell r="A169">
            <v>44127</v>
          </cell>
          <cell r="B169">
            <v>4193.96</v>
          </cell>
          <cell r="C169">
            <v>4220.66</v>
          </cell>
          <cell r="D169">
            <v>4076.9</v>
          </cell>
          <cell r="E169">
            <v>4085.35</v>
          </cell>
          <cell r="F169">
            <v>4.08535</v>
          </cell>
        </row>
        <row r="170">
          <cell r="A170">
            <v>44130</v>
          </cell>
          <cell r="B170">
            <v>4066.61</v>
          </cell>
          <cell r="C170">
            <v>4156.45</v>
          </cell>
          <cell r="D170">
            <v>4027.9</v>
          </cell>
          <cell r="E170">
            <v>4140.2700000000004</v>
          </cell>
          <cell r="F170">
            <v>4.1402700000000001</v>
          </cell>
        </row>
        <row r="171">
          <cell r="A171">
            <v>44131</v>
          </cell>
          <cell r="B171">
            <v>4136.54</v>
          </cell>
          <cell r="C171">
            <v>4184.17</v>
          </cell>
          <cell r="D171">
            <v>4124.37</v>
          </cell>
          <cell r="E171">
            <v>4174.6499999999996</v>
          </cell>
          <cell r="F171">
            <v>4.1746499999999997</v>
          </cell>
        </row>
        <row r="172">
          <cell r="A172">
            <v>44132</v>
          </cell>
          <cell r="B172">
            <v>4176.18</v>
          </cell>
          <cell r="C172">
            <v>4250.5600000000004</v>
          </cell>
          <cell r="D172">
            <v>4151.8900000000003</v>
          </cell>
          <cell r="E172">
            <v>4226.76</v>
          </cell>
          <cell r="F172">
            <v>4.2267600000000005</v>
          </cell>
        </row>
        <row r="173">
          <cell r="A173">
            <v>44133</v>
          </cell>
          <cell r="B173">
            <v>4167.1099999999997</v>
          </cell>
          <cell r="C173">
            <v>4295.71</v>
          </cell>
          <cell r="D173">
            <v>4160.79</v>
          </cell>
          <cell r="E173">
            <v>4272.6899999999996</v>
          </cell>
          <cell r="F173">
            <v>4.2726899999999999</v>
          </cell>
        </row>
        <row r="174">
          <cell r="A174">
            <v>44134</v>
          </cell>
          <cell r="B174">
            <v>4293.54</v>
          </cell>
          <cell r="C174">
            <v>4295.96</v>
          </cell>
          <cell r="D174">
            <v>4188</v>
          </cell>
          <cell r="E174">
            <v>4201.45</v>
          </cell>
          <cell r="F174">
            <v>4.2014499999999995</v>
          </cell>
        </row>
        <row r="175">
          <cell r="A175">
            <v>44137</v>
          </cell>
          <cell r="B175">
            <v>4218.2</v>
          </cell>
          <cell r="C175">
            <v>4316.38</v>
          </cell>
          <cell r="D175">
            <v>4218.2</v>
          </cell>
          <cell r="E175">
            <v>4300.26</v>
          </cell>
          <cell r="F175">
            <v>4.3002600000000006</v>
          </cell>
        </row>
        <row r="176">
          <cell r="A176">
            <v>44138</v>
          </cell>
          <cell r="B176">
            <v>4320.8</v>
          </cell>
          <cell r="C176">
            <v>4339.67</v>
          </cell>
          <cell r="D176">
            <v>4289.9399999999996</v>
          </cell>
          <cell r="E176">
            <v>4336.32</v>
          </cell>
          <cell r="F176">
            <v>4.3363199999999997</v>
          </cell>
        </row>
        <row r="177">
          <cell r="A177">
            <v>44139</v>
          </cell>
          <cell r="B177">
            <v>4342.5</v>
          </cell>
          <cell r="C177">
            <v>4397.5200000000004</v>
          </cell>
          <cell r="D177">
            <v>4334.1899999999996</v>
          </cell>
          <cell r="E177">
            <v>4389.74</v>
          </cell>
          <cell r="F177">
            <v>4.3897399999999998</v>
          </cell>
        </row>
        <row r="178">
          <cell r="A178">
            <v>44140</v>
          </cell>
          <cell r="B178">
            <v>4443.75</v>
          </cell>
          <cell r="C178">
            <v>4464.03</v>
          </cell>
          <cell r="D178">
            <v>4405.4399999999996</v>
          </cell>
          <cell r="E178">
            <v>4463.17</v>
          </cell>
          <cell r="F178">
            <v>4.4631699999999999</v>
          </cell>
        </row>
        <row r="179">
          <cell r="A179">
            <v>44141</v>
          </cell>
          <cell r="B179">
            <v>4482.82</v>
          </cell>
          <cell r="C179">
            <v>4482.82</v>
          </cell>
          <cell r="D179">
            <v>4408.87</v>
          </cell>
          <cell r="E179">
            <v>4461.6400000000003</v>
          </cell>
          <cell r="F179">
            <v>4.4616400000000001</v>
          </cell>
        </row>
        <row r="180">
          <cell r="A180">
            <v>44144</v>
          </cell>
          <cell r="B180">
            <v>4501.21</v>
          </cell>
          <cell r="C180">
            <v>4570.66</v>
          </cell>
          <cell r="D180">
            <v>4501.21</v>
          </cell>
          <cell r="E180">
            <v>4542.7299999999996</v>
          </cell>
          <cell r="F180">
            <v>4.5427299999999997</v>
          </cell>
        </row>
        <row r="181">
          <cell r="A181">
            <v>44145</v>
          </cell>
          <cell r="B181">
            <v>4523.43</v>
          </cell>
          <cell r="C181">
            <v>4523.43</v>
          </cell>
          <cell r="D181">
            <v>4447</v>
          </cell>
          <cell r="E181">
            <v>4476.59</v>
          </cell>
          <cell r="F181">
            <v>4.4765899999999998</v>
          </cell>
        </row>
        <row r="182">
          <cell r="A182">
            <v>44146</v>
          </cell>
          <cell r="B182">
            <v>4449.03</v>
          </cell>
          <cell r="C182">
            <v>4463.6899999999996</v>
          </cell>
          <cell r="D182">
            <v>4355.21</v>
          </cell>
          <cell r="E182">
            <v>4355.21</v>
          </cell>
          <cell r="F182">
            <v>4.3552100000000005</v>
          </cell>
        </row>
        <row r="183">
          <cell r="A183">
            <v>44147</v>
          </cell>
          <cell r="B183">
            <v>4398.67</v>
          </cell>
          <cell r="C183">
            <v>4426.29</v>
          </cell>
          <cell r="D183">
            <v>4383.38</v>
          </cell>
          <cell r="E183">
            <v>4407.76</v>
          </cell>
          <cell r="F183">
            <v>4.4077600000000006</v>
          </cell>
        </row>
        <row r="184">
          <cell r="A184">
            <v>44148</v>
          </cell>
          <cell r="B184">
            <v>4401.49</v>
          </cell>
          <cell r="C184">
            <v>4408.42</v>
          </cell>
          <cell r="D184">
            <v>4352.12</v>
          </cell>
          <cell r="E184">
            <v>4392.5600000000004</v>
          </cell>
          <cell r="F184">
            <v>4.3925600000000005</v>
          </cell>
        </row>
        <row r="185">
          <cell r="A185">
            <v>44151</v>
          </cell>
          <cell r="B185">
            <v>4409.6099999999997</v>
          </cell>
          <cell r="C185">
            <v>4411.92</v>
          </cell>
          <cell r="D185">
            <v>4329.5600000000004</v>
          </cell>
          <cell r="E185">
            <v>4380.5600000000004</v>
          </cell>
          <cell r="F185">
            <v>4.38056</v>
          </cell>
        </row>
        <row r="186">
          <cell r="A186">
            <v>44152</v>
          </cell>
          <cell r="B186">
            <v>4382.13</v>
          </cell>
          <cell r="C186">
            <v>4386.55</v>
          </cell>
          <cell r="D186">
            <v>4291.38</v>
          </cell>
          <cell r="E186">
            <v>4336.22</v>
          </cell>
          <cell r="F186">
            <v>4.33622</v>
          </cell>
        </row>
        <row r="187">
          <cell r="A187">
            <v>44153</v>
          </cell>
          <cell r="B187">
            <v>4328.82</v>
          </cell>
          <cell r="C187">
            <v>4342.3</v>
          </cell>
          <cell r="D187">
            <v>4268.0600000000004</v>
          </cell>
          <cell r="E187">
            <v>4283.4799999999996</v>
          </cell>
          <cell r="F187">
            <v>4.28348</v>
          </cell>
        </row>
        <row r="188">
          <cell r="A188">
            <v>44154</v>
          </cell>
          <cell r="B188">
            <v>4283.1499999999996</v>
          </cell>
          <cell r="C188">
            <v>4354.45</v>
          </cell>
          <cell r="D188">
            <v>4261.57</v>
          </cell>
          <cell r="E188">
            <v>4339.7700000000004</v>
          </cell>
          <cell r="F188">
            <v>4.3397700000000006</v>
          </cell>
        </row>
        <row r="189">
          <cell r="A189">
            <v>44155</v>
          </cell>
          <cell r="B189">
            <v>4349.41</v>
          </cell>
          <cell r="C189">
            <v>4379.68</v>
          </cell>
          <cell r="D189">
            <v>4347.28</v>
          </cell>
          <cell r="E189">
            <v>4364.32</v>
          </cell>
          <cell r="F189">
            <v>4.3643199999999993</v>
          </cell>
        </row>
        <row r="190">
          <cell r="A190">
            <v>44158</v>
          </cell>
          <cell r="B190">
            <v>4371.55</v>
          </cell>
          <cell r="C190">
            <v>4413.1899999999996</v>
          </cell>
          <cell r="D190">
            <v>4336.47</v>
          </cell>
          <cell r="E190">
            <v>4394.76</v>
          </cell>
          <cell r="F190">
            <v>4.3947599999999998</v>
          </cell>
        </row>
        <row r="191">
          <cell r="A191">
            <v>44159</v>
          </cell>
          <cell r="B191">
            <v>4401.3599999999997</v>
          </cell>
          <cell r="C191">
            <v>4401.3599999999997</v>
          </cell>
          <cell r="D191">
            <v>4330.3500000000004</v>
          </cell>
          <cell r="E191">
            <v>4351.7</v>
          </cell>
          <cell r="F191">
            <v>4.3517000000000001</v>
          </cell>
        </row>
        <row r="192">
          <cell r="A192">
            <v>44160</v>
          </cell>
          <cell r="B192">
            <v>4355.3500000000004</v>
          </cell>
          <cell r="C192">
            <v>4362.17</v>
          </cell>
          <cell r="D192">
            <v>4277.12</v>
          </cell>
          <cell r="E192">
            <v>4278.99</v>
          </cell>
          <cell r="F192">
            <v>4.2789899999999994</v>
          </cell>
        </row>
        <row r="193">
          <cell r="A193">
            <v>44161</v>
          </cell>
          <cell r="B193">
            <v>4280.09</v>
          </cell>
          <cell r="C193">
            <v>4289.5600000000004</v>
          </cell>
          <cell r="D193">
            <v>4200.4399999999996</v>
          </cell>
          <cell r="E193">
            <v>4245.0600000000004</v>
          </cell>
          <cell r="F193">
            <v>4.2450600000000005</v>
          </cell>
        </row>
        <row r="194">
          <cell r="A194">
            <v>44162</v>
          </cell>
          <cell r="B194">
            <v>4260.3500000000004</v>
          </cell>
          <cell r="C194">
            <v>4274.6499999999996</v>
          </cell>
          <cell r="D194">
            <v>4222.2700000000004</v>
          </cell>
          <cell r="E194">
            <v>4266.8999999999996</v>
          </cell>
          <cell r="F194">
            <v>4.2668999999999997</v>
          </cell>
        </row>
        <row r="195">
          <cell r="A195">
            <v>44165</v>
          </cell>
          <cell r="B195">
            <v>4275.76</v>
          </cell>
          <cell r="C195">
            <v>4315.2700000000004</v>
          </cell>
          <cell r="D195">
            <v>4239.2299999999996</v>
          </cell>
          <cell r="E195">
            <v>4277.12</v>
          </cell>
          <cell r="F195">
            <v>4.27712</v>
          </cell>
        </row>
        <row r="196">
          <cell r="A196">
            <v>44166</v>
          </cell>
          <cell r="B196">
            <v>4270.13</v>
          </cell>
          <cell r="C196">
            <v>4362.32</v>
          </cell>
          <cell r="D196">
            <v>4268.26</v>
          </cell>
          <cell r="E196">
            <v>4362.32</v>
          </cell>
          <cell r="F196">
            <v>4.3623199999999995</v>
          </cell>
        </row>
        <row r="197">
          <cell r="A197">
            <v>44167</v>
          </cell>
          <cell r="B197">
            <v>4368.7</v>
          </cell>
          <cell r="C197">
            <v>4377.5200000000004</v>
          </cell>
          <cell r="D197">
            <v>4326.3999999999996</v>
          </cell>
          <cell r="E197">
            <v>4365.6899999999996</v>
          </cell>
          <cell r="F197">
            <v>4.3656899999999998</v>
          </cell>
        </row>
        <row r="198">
          <cell r="A198">
            <v>44168</v>
          </cell>
          <cell r="B198">
            <v>4360.43</v>
          </cell>
          <cell r="C198">
            <v>4383.8100000000004</v>
          </cell>
          <cell r="D198">
            <v>4337.37</v>
          </cell>
          <cell r="E198">
            <v>4374.33</v>
          </cell>
          <cell r="F198">
            <v>4.3743299999999996</v>
          </cell>
        </row>
        <row r="199">
          <cell r="A199">
            <v>44169</v>
          </cell>
          <cell r="B199">
            <v>4361.8599999999997</v>
          </cell>
          <cell r="C199">
            <v>4400.08</v>
          </cell>
          <cell r="D199">
            <v>4356.3999999999996</v>
          </cell>
          <cell r="E199">
            <v>4399.0600000000004</v>
          </cell>
          <cell r="F199">
            <v>4.3990600000000004</v>
          </cell>
        </row>
        <row r="200">
          <cell r="A200">
            <v>44172</v>
          </cell>
          <cell r="B200">
            <v>4389.92</v>
          </cell>
          <cell r="C200">
            <v>4412.26</v>
          </cell>
          <cell r="D200">
            <v>4374.2299999999996</v>
          </cell>
          <cell r="E200">
            <v>4391.34</v>
          </cell>
          <cell r="F200">
            <v>4.3913400000000005</v>
          </cell>
        </row>
        <row r="201">
          <cell r="A201">
            <v>44173</v>
          </cell>
          <cell r="B201">
            <v>4401.21</v>
          </cell>
          <cell r="C201">
            <v>4412.18</v>
          </cell>
          <cell r="D201">
            <v>4371.47</v>
          </cell>
          <cell r="E201">
            <v>4382.7700000000004</v>
          </cell>
          <cell r="F201">
            <v>4.3827700000000007</v>
          </cell>
        </row>
        <row r="202">
          <cell r="A202">
            <v>44174</v>
          </cell>
          <cell r="B202">
            <v>4395.7299999999996</v>
          </cell>
          <cell r="C202">
            <v>4405.05</v>
          </cell>
          <cell r="D202">
            <v>4305</v>
          </cell>
          <cell r="E202">
            <v>4309.79</v>
          </cell>
          <cell r="F202">
            <v>4.3097899999999996</v>
          </cell>
        </row>
        <row r="203">
          <cell r="A203">
            <v>44175</v>
          </cell>
          <cell r="B203">
            <v>4293.8599999999997</v>
          </cell>
          <cell r="C203">
            <v>4352.01</v>
          </cell>
          <cell r="D203">
            <v>4274.5</v>
          </cell>
          <cell r="E203">
            <v>4328.7299999999996</v>
          </cell>
          <cell r="F203">
            <v>4.3287299999999993</v>
          </cell>
        </row>
        <row r="204">
          <cell r="A204">
            <v>44176</v>
          </cell>
          <cell r="B204">
            <v>4345.16</v>
          </cell>
          <cell r="C204">
            <v>4346.32</v>
          </cell>
          <cell r="D204">
            <v>4233.08</v>
          </cell>
          <cell r="E204">
            <v>4273.6400000000003</v>
          </cell>
          <cell r="F204">
            <v>4.2736400000000003</v>
          </cell>
        </row>
        <row r="205">
          <cell r="A205">
            <v>44179</v>
          </cell>
          <cell r="B205">
            <v>4284.8900000000003</v>
          </cell>
          <cell r="C205">
            <v>4309.05</v>
          </cell>
          <cell r="D205">
            <v>4245.76</v>
          </cell>
          <cell r="E205">
            <v>4307.5</v>
          </cell>
          <cell r="F205">
            <v>4.3075000000000001</v>
          </cell>
        </row>
        <row r="206">
          <cell r="A206">
            <v>44180</v>
          </cell>
          <cell r="B206">
            <v>4310.1400000000003</v>
          </cell>
          <cell r="C206">
            <v>4372.87</v>
          </cell>
          <cell r="D206">
            <v>4297.18</v>
          </cell>
          <cell r="E206">
            <v>4366.5</v>
          </cell>
          <cell r="F206">
            <v>4.3665000000000003</v>
          </cell>
        </row>
        <row r="207">
          <cell r="A207">
            <v>44181</v>
          </cell>
          <cell r="B207">
            <v>4380.7299999999996</v>
          </cell>
          <cell r="C207">
            <v>4397.6000000000004</v>
          </cell>
          <cell r="D207">
            <v>4358.75</v>
          </cell>
          <cell r="E207">
            <v>4379.13</v>
          </cell>
          <cell r="F207">
            <v>4.37913</v>
          </cell>
        </row>
        <row r="208">
          <cell r="A208">
            <v>44182</v>
          </cell>
          <cell r="B208">
            <v>4381.43</v>
          </cell>
          <cell r="C208">
            <v>4414.3500000000004</v>
          </cell>
          <cell r="D208">
            <v>4357.43</v>
          </cell>
          <cell r="E208">
            <v>4408.8100000000004</v>
          </cell>
          <cell r="F208">
            <v>4.4088100000000008</v>
          </cell>
        </row>
        <row r="209">
          <cell r="A209">
            <v>44183</v>
          </cell>
          <cell r="B209">
            <v>4423.92</v>
          </cell>
          <cell r="C209">
            <v>4444.37</v>
          </cell>
          <cell r="D209">
            <v>4396.6400000000003</v>
          </cell>
          <cell r="E209">
            <v>4423.12</v>
          </cell>
          <cell r="F209">
            <v>4.4231199999999999</v>
          </cell>
        </row>
        <row r="210">
          <cell r="A210">
            <v>44186</v>
          </cell>
          <cell r="B210">
            <v>4428.7299999999996</v>
          </cell>
          <cell r="C210">
            <v>4533.13</v>
          </cell>
          <cell r="D210">
            <v>4417.59</v>
          </cell>
          <cell r="E210">
            <v>4533.13</v>
          </cell>
          <cell r="F210">
            <v>4.5331299999999999</v>
          </cell>
        </row>
        <row r="211">
          <cell r="A211">
            <v>44187</v>
          </cell>
          <cell r="B211">
            <v>4518.62</v>
          </cell>
          <cell r="C211">
            <v>4568.3900000000003</v>
          </cell>
          <cell r="D211">
            <v>4464.43</v>
          </cell>
          <cell r="E211">
            <v>4467.75</v>
          </cell>
          <cell r="F211">
            <v>4.4677499999999997</v>
          </cell>
        </row>
        <row r="212">
          <cell r="A212">
            <v>44188</v>
          </cell>
          <cell r="B212">
            <v>4483.04</v>
          </cell>
          <cell r="C212">
            <v>4563.07</v>
          </cell>
          <cell r="D212">
            <v>4482.6899999999996</v>
          </cell>
          <cell r="E212">
            <v>4537.12</v>
          </cell>
          <cell r="F212">
            <v>4.5371199999999998</v>
          </cell>
        </row>
        <row r="213">
          <cell r="A213">
            <v>44189</v>
          </cell>
          <cell r="B213">
            <v>4541.43</v>
          </cell>
          <cell r="C213">
            <v>4561.2700000000004</v>
          </cell>
          <cell r="D213">
            <v>4506.76</v>
          </cell>
          <cell r="E213">
            <v>4525.79</v>
          </cell>
          <cell r="F213">
            <v>4.5257899999999998</v>
          </cell>
        </row>
        <row r="214">
          <cell r="A214">
            <v>44190</v>
          </cell>
          <cell r="B214">
            <v>4518.0600000000004</v>
          </cell>
          <cell r="C214">
            <v>4559.1099999999997</v>
          </cell>
          <cell r="D214">
            <v>4509.4399999999996</v>
          </cell>
          <cell r="E214">
            <v>4559.1099999999997</v>
          </cell>
          <cell r="F214">
            <v>4.5591099999999996</v>
          </cell>
        </row>
        <row r="215">
          <cell r="A215">
            <v>44193</v>
          </cell>
          <cell r="B215">
            <v>4562.46</v>
          </cell>
          <cell r="C215">
            <v>4588.2</v>
          </cell>
          <cell r="D215">
            <v>4529.97</v>
          </cell>
          <cell r="E215">
            <v>4561.04</v>
          </cell>
          <cell r="F215">
            <v>4.5610400000000002</v>
          </cell>
        </row>
        <row r="216">
          <cell r="A216">
            <v>44194</v>
          </cell>
          <cell r="B216">
            <v>4560.17</v>
          </cell>
          <cell r="C216">
            <v>4564.33</v>
          </cell>
          <cell r="D216">
            <v>4494.3900000000003</v>
          </cell>
          <cell r="E216">
            <v>4526.7</v>
          </cell>
          <cell r="F216">
            <v>4.5266999999999999</v>
          </cell>
        </row>
        <row r="217">
          <cell r="A217">
            <v>44195</v>
          </cell>
          <cell r="B217">
            <v>4533.16</v>
          </cell>
          <cell r="C217">
            <v>4640.96</v>
          </cell>
          <cell r="D217">
            <v>4533.16</v>
          </cell>
          <cell r="E217">
            <v>4636.3</v>
          </cell>
          <cell r="F217">
            <v>4.6363000000000003</v>
          </cell>
        </row>
        <row r="218">
          <cell r="A218">
            <v>44196</v>
          </cell>
          <cell r="B218">
            <v>4643.66</v>
          </cell>
          <cell r="C218">
            <v>4727.3999999999996</v>
          </cell>
          <cell r="D218">
            <v>4642.49</v>
          </cell>
          <cell r="E218">
            <v>4724.5600000000004</v>
          </cell>
          <cell r="F218">
            <v>4.7245600000000003</v>
          </cell>
        </row>
        <row r="219">
          <cell r="A219">
            <v>44200</v>
          </cell>
          <cell r="B219">
            <v>4729.12</v>
          </cell>
          <cell r="C219">
            <v>4859.62</v>
          </cell>
          <cell r="D219">
            <v>4727.26</v>
          </cell>
          <cell r="E219">
            <v>4845.9399999999996</v>
          </cell>
          <cell r="F219">
            <v>4.8459399999999997</v>
          </cell>
        </row>
        <row r="220">
          <cell r="A220">
            <v>44201</v>
          </cell>
          <cell r="B220">
            <v>4807.22</v>
          </cell>
          <cell r="C220">
            <v>4957.9399999999996</v>
          </cell>
          <cell r="D220">
            <v>4790.96</v>
          </cell>
          <cell r="E220">
            <v>4957.9399999999996</v>
          </cell>
          <cell r="F220">
            <v>4.9579399999999998</v>
          </cell>
        </row>
        <row r="221">
          <cell r="A221">
            <v>44202</v>
          </cell>
          <cell r="B221">
            <v>4995.82</v>
          </cell>
          <cell r="C221">
            <v>5022.6899999999996</v>
          </cell>
          <cell r="D221">
            <v>4913.28</v>
          </cell>
          <cell r="E221">
            <v>4982.58</v>
          </cell>
          <cell r="F221">
            <v>4.9825799999999996</v>
          </cell>
        </row>
        <row r="222">
          <cell r="A222">
            <v>44203</v>
          </cell>
          <cell r="B222">
            <v>4984.5</v>
          </cell>
          <cell r="C222">
            <v>5091.0200000000004</v>
          </cell>
          <cell r="D222">
            <v>4973.84</v>
          </cell>
          <cell r="E222">
            <v>5091.0200000000004</v>
          </cell>
          <cell r="F222">
            <v>5.0910200000000003</v>
          </cell>
        </row>
        <row r="223">
          <cell r="A223">
            <v>44204</v>
          </cell>
          <cell r="B223">
            <v>5124.54</v>
          </cell>
          <cell r="C223">
            <v>5152.67</v>
          </cell>
          <cell r="D223">
            <v>5032.16</v>
          </cell>
          <cell r="E223">
            <v>5095.3500000000004</v>
          </cell>
          <cell r="F223">
            <v>5.0953500000000007</v>
          </cell>
        </row>
        <row r="224">
          <cell r="A224">
            <v>44207</v>
          </cell>
          <cell r="B224">
            <v>5119.97</v>
          </cell>
          <cell r="C224">
            <v>5163.7700000000004</v>
          </cell>
          <cell r="D224">
            <v>5013.49</v>
          </cell>
          <cell r="E224">
            <v>5057.51</v>
          </cell>
          <cell r="F224">
            <v>5.0575100000000006</v>
          </cell>
        </row>
        <row r="225">
          <cell r="A225">
            <v>44208</v>
          </cell>
          <cell r="B225">
            <v>5037.3599999999997</v>
          </cell>
          <cell r="C225">
            <v>5182.76</v>
          </cell>
          <cell r="D225">
            <v>5006.82</v>
          </cell>
          <cell r="E225">
            <v>5182.76</v>
          </cell>
          <cell r="F225">
            <v>5.18276</v>
          </cell>
        </row>
        <row r="226">
          <cell r="A226">
            <v>44209</v>
          </cell>
          <cell r="B226">
            <v>5198.3599999999997</v>
          </cell>
          <cell r="C226">
            <v>5253.7</v>
          </cell>
          <cell r="D226">
            <v>5090.53</v>
          </cell>
          <cell r="E226">
            <v>5133.4399999999996</v>
          </cell>
          <cell r="F226">
            <v>5.1334399999999993</v>
          </cell>
        </row>
        <row r="227">
          <cell r="A227">
            <v>44210</v>
          </cell>
          <cell r="B227">
            <v>5102.71</v>
          </cell>
          <cell r="C227">
            <v>5135.18</v>
          </cell>
          <cell r="D227">
            <v>5000.1099999999997</v>
          </cell>
          <cell r="E227">
            <v>5010.33</v>
          </cell>
          <cell r="F227">
            <v>5.0103299999999997</v>
          </cell>
        </row>
        <row r="228">
          <cell r="A228">
            <v>44211</v>
          </cell>
          <cell r="B228">
            <v>4992.55</v>
          </cell>
          <cell r="C228">
            <v>5041.3999999999996</v>
          </cell>
          <cell r="D228">
            <v>4912.8999999999996</v>
          </cell>
          <cell r="E228">
            <v>5019.7</v>
          </cell>
          <cell r="F228">
            <v>5.0196999999999994</v>
          </cell>
        </row>
        <row r="229">
          <cell r="A229">
            <v>44214</v>
          </cell>
          <cell r="B229">
            <v>4992.7</v>
          </cell>
          <cell r="C229">
            <v>5121.47</v>
          </cell>
          <cell r="D229">
            <v>4953.42</v>
          </cell>
          <cell r="E229">
            <v>5104.9399999999996</v>
          </cell>
          <cell r="F229">
            <v>5.10494</v>
          </cell>
        </row>
        <row r="230">
          <cell r="A230">
            <v>44215</v>
          </cell>
          <cell r="B230">
            <v>5110.09</v>
          </cell>
          <cell r="C230">
            <v>5133.17</v>
          </cell>
          <cell r="D230">
            <v>4970.67</v>
          </cell>
          <cell r="E230">
            <v>4990.3999999999996</v>
          </cell>
          <cell r="F230">
            <v>4.9903999999999993</v>
          </cell>
        </row>
        <row r="231">
          <cell r="A231">
            <v>44216</v>
          </cell>
          <cell r="B231">
            <v>5010.6000000000004</v>
          </cell>
          <cell r="C231">
            <v>5118.96</v>
          </cell>
          <cell r="D231">
            <v>4994.47</v>
          </cell>
          <cell r="E231">
            <v>5108.6899999999996</v>
          </cell>
          <cell r="F231">
            <v>5.1086899999999993</v>
          </cell>
        </row>
        <row r="232">
          <cell r="A232">
            <v>44217</v>
          </cell>
          <cell r="B232">
            <v>5119.87</v>
          </cell>
          <cell r="C232">
            <v>5255.06</v>
          </cell>
          <cell r="D232">
            <v>5119.87</v>
          </cell>
          <cell r="E232">
            <v>5220.6400000000003</v>
          </cell>
          <cell r="F232">
            <v>5.2206400000000004</v>
          </cell>
        </row>
        <row r="233">
          <cell r="A233">
            <v>44218</v>
          </cell>
          <cell r="B233">
            <v>5223.55</v>
          </cell>
          <cell r="C233">
            <v>5310.26</v>
          </cell>
          <cell r="D233">
            <v>5200.1099999999997</v>
          </cell>
          <cell r="E233">
            <v>5310.13</v>
          </cell>
          <cell r="F233">
            <v>5.31013</v>
          </cell>
        </row>
        <row r="234">
          <cell r="A234">
            <v>44221</v>
          </cell>
          <cell r="B234">
            <v>5292.28</v>
          </cell>
          <cell r="C234">
            <v>5416.54</v>
          </cell>
          <cell r="D234">
            <v>5258.58</v>
          </cell>
          <cell r="E234">
            <v>5323.25</v>
          </cell>
          <cell r="F234">
            <v>5.3232499999999998</v>
          </cell>
        </row>
        <row r="235">
          <cell r="A235">
            <v>44222</v>
          </cell>
          <cell r="B235">
            <v>5286.54</v>
          </cell>
          <cell r="C235">
            <v>5286.54</v>
          </cell>
          <cell r="D235">
            <v>5155.6400000000003</v>
          </cell>
          <cell r="E235">
            <v>5168.34</v>
          </cell>
          <cell r="F235">
            <v>5.1683399999999997</v>
          </cell>
        </row>
        <row r="236">
          <cell r="A236">
            <v>44223</v>
          </cell>
          <cell r="B236">
            <v>5165.3</v>
          </cell>
          <cell r="C236">
            <v>5224.37</v>
          </cell>
          <cell r="D236">
            <v>5068.9799999999996</v>
          </cell>
          <cell r="E236">
            <v>5216.8599999999997</v>
          </cell>
          <cell r="F236">
            <v>5.2168599999999996</v>
          </cell>
        </row>
        <row r="237">
          <cell r="A237">
            <v>44224</v>
          </cell>
          <cell r="B237">
            <v>5117.49</v>
          </cell>
          <cell r="C237">
            <v>5132.84</v>
          </cell>
          <cell r="D237">
            <v>4987.12</v>
          </cell>
          <cell r="E237">
            <v>4999.6899999999996</v>
          </cell>
          <cell r="F237">
            <v>4.9996899999999993</v>
          </cell>
        </row>
        <row r="238">
          <cell r="A238">
            <v>44225</v>
          </cell>
          <cell r="B238">
            <v>5049.84</v>
          </cell>
          <cell r="C238">
            <v>5074.32</v>
          </cell>
          <cell r="D238">
            <v>4905.8599999999997</v>
          </cell>
          <cell r="E238">
            <v>4983.3500000000004</v>
          </cell>
          <cell r="F238">
            <v>4.9833500000000006</v>
          </cell>
        </row>
        <row r="239">
          <cell r="A239">
            <v>44228</v>
          </cell>
          <cell r="B239">
            <v>4993.47</v>
          </cell>
          <cell r="C239">
            <v>5072.41</v>
          </cell>
          <cell r="D239">
            <v>4963.9799999999996</v>
          </cell>
          <cell r="E239">
            <v>5064.46</v>
          </cell>
          <cell r="F239">
            <v>5.0644600000000004</v>
          </cell>
        </row>
        <row r="240">
          <cell r="A240">
            <v>44229</v>
          </cell>
          <cell r="B240">
            <v>5073.1899999999996</v>
          </cell>
          <cell r="C240">
            <v>5174.04</v>
          </cell>
          <cell r="D240">
            <v>5036.7</v>
          </cell>
          <cell r="E240">
            <v>5171.8599999999997</v>
          </cell>
          <cell r="F240">
            <v>5.1718599999999997</v>
          </cell>
        </row>
        <row r="241">
          <cell r="A241">
            <v>44230</v>
          </cell>
          <cell r="B241">
            <v>5193.49</v>
          </cell>
          <cell r="C241">
            <v>5230.8100000000004</v>
          </cell>
          <cell r="D241">
            <v>5128.5600000000004</v>
          </cell>
          <cell r="E241">
            <v>5132.41</v>
          </cell>
          <cell r="F241">
            <v>5.1324100000000001</v>
          </cell>
        </row>
        <row r="242">
          <cell r="A242">
            <v>44231</v>
          </cell>
          <cell r="B242">
            <v>5097.8599999999997</v>
          </cell>
          <cell r="C242">
            <v>5157.37</v>
          </cell>
          <cell r="D242">
            <v>5019.6400000000003</v>
          </cell>
          <cell r="E242">
            <v>5094.28</v>
          </cell>
          <cell r="F242">
            <v>5.0942799999999995</v>
          </cell>
        </row>
        <row r="243">
          <cell r="A243">
            <v>44232</v>
          </cell>
          <cell r="B243">
            <v>5117.49</v>
          </cell>
          <cell r="C243">
            <v>5144.25</v>
          </cell>
          <cell r="D243">
            <v>5050.92</v>
          </cell>
          <cell r="E243">
            <v>5055.97</v>
          </cell>
          <cell r="F243">
            <v>5.0559700000000003</v>
          </cell>
        </row>
        <row r="244">
          <cell r="A244">
            <v>44235</v>
          </cell>
          <cell r="B244">
            <v>5069.0200000000004</v>
          </cell>
          <cell r="C244">
            <v>5155.76</v>
          </cell>
          <cell r="D244">
            <v>5015.74</v>
          </cell>
          <cell r="E244">
            <v>5155.3100000000004</v>
          </cell>
          <cell r="F244">
            <v>5.1553100000000001</v>
          </cell>
        </row>
        <row r="245">
          <cell r="A245">
            <v>44236</v>
          </cell>
          <cell r="B245">
            <v>5184.91</v>
          </cell>
          <cell r="C245">
            <v>5278.64</v>
          </cell>
          <cell r="D245">
            <v>5163.29</v>
          </cell>
          <cell r="E245">
            <v>5278.16</v>
          </cell>
          <cell r="F245">
            <v>5.2781599999999997</v>
          </cell>
        </row>
        <row r="246">
          <cell r="A246">
            <v>44237</v>
          </cell>
          <cell r="B246">
            <v>5318.9</v>
          </cell>
          <cell r="C246">
            <v>5455.81</v>
          </cell>
          <cell r="D246">
            <v>5279.17</v>
          </cell>
          <cell r="E246">
            <v>5439.84</v>
          </cell>
          <cell r="F246">
            <v>5.4398400000000002</v>
          </cell>
        </row>
        <row r="247">
          <cell r="A247">
            <v>44245</v>
          </cell>
          <cell r="B247">
            <v>5532.69</v>
          </cell>
          <cell r="C247">
            <v>5534.2</v>
          </cell>
          <cell r="D247">
            <v>5272.92</v>
          </cell>
          <cell r="E247">
            <v>5298.83</v>
          </cell>
          <cell r="F247">
            <v>5.2988299999999997</v>
          </cell>
        </row>
        <row r="248">
          <cell r="A248">
            <v>44246</v>
          </cell>
          <cell r="B248">
            <v>5244.32</v>
          </cell>
          <cell r="C248">
            <v>5250.68</v>
          </cell>
          <cell r="D248">
            <v>5115.07</v>
          </cell>
          <cell r="E248">
            <v>5242.8500000000004</v>
          </cell>
          <cell r="F248">
            <v>5.2428500000000007</v>
          </cell>
        </row>
        <row r="249">
          <cell r="A249">
            <v>44249</v>
          </cell>
          <cell r="B249">
            <v>5227.92</v>
          </cell>
          <cell r="C249">
            <v>5227.92</v>
          </cell>
          <cell r="D249">
            <v>5018.1400000000003</v>
          </cell>
          <cell r="E249">
            <v>5018.1400000000003</v>
          </cell>
          <cell r="F249">
            <v>5.0181400000000007</v>
          </cell>
        </row>
        <row r="250">
          <cell r="A250">
            <v>44250</v>
          </cell>
          <cell r="B250">
            <v>4959.6400000000003</v>
          </cell>
          <cell r="C250">
            <v>5047.8999999999996</v>
          </cell>
          <cell r="D250">
            <v>4945.75</v>
          </cell>
          <cell r="E250">
            <v>4985.22</v>
          </cell>
          <cell r="F250">
            <v>4.98522</v>
          </cell>
        </row>
        <row r="251">
          <cell r="A251">
            <v>44251</v>
          </cell>
          <cell r="B251">
            <v>5013.26</v>
          </cell>
          <cell r="C251">
            <v>5034.1899999999996</v>
          </cell>
          <cell r="D251">
            <v>4784.1000000000004</v>
          </cell>
          <cell r="E251">
            <v>4843.6499999999996</v>
          </cell>
          <cell r="F251">
            <v>4.8436499999999993</v>
          </cell>
        </row>
        <row r="252">
          <cell r="A252">
            <v>44252</v>
          </cell>
          <cell r="B252">
            <v>4898.26</v>
          </cell>
          <cell r="C252">
            <v>4913.58</v>
          </cell>
          <cell r="D252">
            <v>4813.62</v>
          </cell>
          <cell r="E252">
            <v>4825.8500000000004</v>
          </cell>
          <cell r="F252">
            <v>4.82585</v>
          </cell>
        </row>
        <row r="253">
          <cell r="A253">
            <v>44253</v>
          </cell>
          <cell r="B253">
            <v>4702.53</v>
          </cell>
          <cell r="C253">
            <v>4793</v>
          </cell>
          <cell r="D253">
            <v>4674.8100000000004</v>
          </cell>
          <cell r="E253">
            <v>4723.26</v>
          </cell>
          <cell r="F253">
            <v>4.7232599999999998</v>
          </cell>
        </row>
        <row r="254">
          <cell r="A254">
            <v>44256</v>
          </cell>
          <cell r="B254">
            <v>4788.43</v>
          </cell>
          <cell r="C254">
            <v>4855.87</v>
          </cell>
          <cell r="D254">
            <v>4763.47</v>
          </cell>
          <cell r="E254">
            <v>4852.72</v>
          </cell>
          <cell r="F254">
            <v>4.8527200000000006</v>
          </cell>
        </row>
        <row r="255">
          <cell r="A255">
            <v>44257</v>
          </cell>
          <cell r="B255">
            <v>4900.12</v>
          </cell>
          <cell r="C255">
            <v>4918.68</v>
          </cell>
          <cell r="D255">
            <v>4780.0200000000004</v>
          </cell>
          <cell r="E255">
            <v>4830.8500000000004</v>
          </cell>
          <cell r="F255">
            <v>4.8308500000000008</v>
          </cell>
        </row>
        <row r="256">
          <cell r="A256">
            <v>44258</v>
          </cell>
          <cell r="B256">
            <v>4799.55</v>
          </cell>
          <cell r="C256">
            <v>4873.63</v>
          </cell>
          <cell r="D256">
            <v>4762.68</v>
          </cell>
          <cell r="E256">
            <v>4873.63</v>
          </cell>
          <cell r="F256">
            <v>4.8736300000000004</v>
          </cell>
        </row>
        <row r="257">
          <cell r="A257">
            <v>44259</v>
          </cell>
          <cell r="B257">
            <v>4816.3</v>
          </cell>
          <cell r="C257">
            <v>4816.3</v>
          </cell>
          <cell r="D257">
            <v>4642.79</v>
          </cell>
          <cell r="E257">
            <v>4662.7</v>
          </cell>
          <cell r="F257">
            <v>4.6627000000000001</v>
          </cell>
        </row>
        <row r="258">
          <cell r="A258">
            <v>44260</v>
          </cell>
          <cell r="B258">
            <v>4566.8900000000003</v>
          </cell>
          <cell r="C258">
            <v>4704.71</v>
          </cell>
          <cell r="D258">
            <v>4553.95</v>
          </cell>
          <cell r="E258">
            <v>4664.9799999999996</v>
          </cell>
          <cell r="F258">
            <v>4.6649799999999999</v>
          </cell>
        </row>
        <row r="259">
          <cell r="A259">
            <v>44263</v>
          </cell>
          <cell r="B259">
            <v>4692.01</v>
          </cell>
          <cell r="C259">
            <v>4729.3</v>
          </cell>
          <cell r="D259">
            <v>4455.22</v>
          </cell>
          <cell r="E259">
            <v>4459.71</v>
          </cell>
          <cell r="F259">
            <v>4.4597100000000003</v>
          </cell>
        </row>
        <row r="260">
          <cell r="A260">
            <v>44264</v>
          </cell>
          <cell r="B260">
            <v>4436.54</v>
          </cell>
          <cell r="C260">
            <v>4460.82</v>
          </cell>
          <cell r="D260">
            <v>4266</v>
          </cell>
          <cell r="E260">
            <v>4326.53</v>
          </cell>
          <cell r="F260">
            <v>4.32653</v>
          </cell>
        </row>
        <row r="261">
          <cell r="A261">
            <v>44265</v>
          </cell>
          <cell r="B261">
            <v>4432.33</v>
          </cell>
          <cell r="C261">
            <v>4452.68</v>
          </cell>
          <cell r="D261">
            <v>4364.6400000000003</v>
          </cell>
          <cell r="E261">
            <v>4395.7299999999996</v>
          </cell>
          <cell r="F261">
            <v>4.3957299999999995</v>
          </cell>
        </row>
        <row r="262">
          <cell r="A262">
            <v>44266</v>
          </cell>
          <cell r="B262">
            <v>4407.32</v>
          </cell>
          <cell r="C262">
            <v>4505.9799999999996</v>
          </cell>
          <cell r="D262">
            <v>4386.54</v>
          </cell>
          <cell r="E262">
            <v>4483.1099999999997</v>
          </cell>
          <cell r="F262">
            <v>4.4831099999999999</v>
          </cell>
        </row>
        <row r="263">
          <cell r="A263">
            <v>44267</v>
          </cell>
          <cell r="B263">
            <v>4512.3900000000003</v>
          </cell>
          <cell r="C263">
            <v>4515.57</v>
          </cell>
          <cell r="D263">
            <v>4438.2299999999996</v>
          </cell>
          <cell r="E263">
            <v>4493.76</v>
          </cell>
          <cell r="F263">
            <v>4.49376</v>
          </cell>
        </row>
        <row r="264">
          <cell r="A264">
            <v>44270</v>
          </cell>
          <cell r="B264">
            <v>4452.46</v>
          </cell>
          <cell r="C264">
            <v>4452.46</v>
          </cell>
          <cell r="D264">
            <v>4281.13</v>
          </cell>
          <cell r="E264">
            <v>4327.3599999999997</v>
          </cell>
          <cell r="F264">
            <v>4.3273599999999997</v>
          </cell>
        </row>
        <row r="265">
          <cell r="A265">
            <v>44271</v>
          </cell>
          <cell r="B265">
            <v>4357.13</v>
          </cell>
          <cell r="C265">
            <v>4379.7700000000004</v>
          </cell>
          <cell r="D265">
            <v>4302.8900000000003</v>
          </cell>
          <cell r="E265">
            <v>4363.6000000000004</v>
          </cell>
          <cell r="F265">
            <v>4.3635999999999999</v>
          </cell>
        </row>
        <row r="266">
          <cell r="A266">
            <v>44272</v>
          </cell>
          <cell r="B266">
            <v>4349.5</v>
          </cell>
          <cell r="C266">
            <v>4450.16</v>
          </cell>
          <cell r="D266">
            <v>4303.57</v>
          </cell>
          <cell r="E266">
            <v>4432.18</v>
          </cell>
          <cell r="F266">
            <v>4.4321800000000007</v>
          </cell>
        </row>
        <row r="267">
          <cell r="A267">
            <v>44273</v>
          </cell>
          <cell r="B267">
            <v>4455.22</v>
          </cell>
          <cell r="C267">
            <v>4496.7</v>
          </cell>
          <cell r="D267">
            <v>4444.04</v>
          </cell>
          <cell r="E267">
            <v>4493.47</v>
          </cell>
          <cell r="F267">
            <v>4.4934700000000003</v>
          </cell>
        </row>
        <row r="268">
          <cell r="A268">
            <v>44274</v>
          </cell>
          <cell r="B268">
            <v>4411.55</v>
          </cell>
          <cell r="C268">
            <v>4445.26</v>
          </cell>
          <cell r="D268">
            <v>4313.38</v>
          </cell>
          <cell r="E268">
            <v>4341.43</v>
          </cell>
          <cell r="F268">
            <v>4.3414299999999999</v>
          </cell>
        </row>
        <row r="269">
          <cell r="A269">
            <v>44277</v>
          </cell>
          <cell r="B269">
            <v>4344.62</v>
          </cell>
          <cell r="C269">
            <v>4406.9799999999996</v>
          </cell>
          <cell r="D269">
            <v>4313.83</v>
          </cell>
          <cell r="E269">
            <v>4382.8599999999997</v>
          </cell>
          <cell r="F269">
            <v>4.38286</v>
          </cell>
        </row>
        <row r="270">
          <cell r="A270">
            <v>44278</v>
          </cell>
          <cell r="B270">
            <v>4375.3500000000004</v>
          </cell>
          <cell r="C270">
            <v>4403.91</v>
          </cell>
          <cell r="D270">
            <v>4293.34</v>
          </cell>
          <cell r="E270">
            <v>4330.1000000000004</v>
          </cell>
          <cell r="F270">
            <v>4.3301000000000007</v>
          </cell>
        </row>
        <row r="271">
          <cell r="A271">
            <v>44279</v>
          </cell>
          <cell r="B271">
            <v>4307.57</v>
          </cell>
          <cell r="C271">
            <v>4349.17</v>
          </cell>
          <cell r="D271">
            <v>4249.45</v>
          </cell>
          <cell r="E271">
            <v>4262.24</v>
          </cell>
          <cell r="F271">
            <v>4.2622399999999994</v>
          </cell>
        </row>
        <row r="272">
          <cell r="A272">
            <v>44280</v>
          </cell>
          <cell r="B272">
            <v>4227.4399999999996</v>
          </cell>
          <cell r="C272">
            <v>4297.08</v>
          </cell>
          <cell r="D272">
            <v>4208.1499999999996</v>
          </cell>
          <cell r="E272">
            <v>4278.3100000000004</v>
          </cell>
          <cell r="F272">
            <v>4.2783100000000003</v>
          </cell>
        </row>
        <row r="273">
          <cell r="A273">
            <v>44281</v>
          </cell>
          <cell r="B273">
            <v>4309.96</v>
          </cell>
          <cell r="C273">
            <v>4439.13</v>
          </cell>
          <cell r="D273">
            <v>4309.96</v>
          </cell>
          <cell r="E273">
            <v>4422.71</v>
          </cell>
          <cell r="F273">
            <v>4.4227100000000004</v>
          </cell>
        </row>
        <row r="274">
          <cell r="A274">
            <v>44284</v>
          </cell>
          <cell r="B274">
            <v>4433.1400000000003</v>
          </cell>
          <cell r="C274">
            <v>4453.28</v>
          </cell>
          <cell r="D274">
            <v>4379.1499999999996</v>
          </cell>
          <cell r="E274">
            <v>4406.78</v>
          </cell>
          <cell r="F274">
            <v>4.4067799999999995</v>
          </cell>
        </row>
        <row r="275">
          <cell r="A275">
            <v>44285</v>
          </cell>
          <cell r="B275">
            <v>4401.75</v>
          </cell>
          <cell r="C275">
            <v>4482.1499999999996</v>
          </cell>
          <cell r="D275">
            <v>4389.21</v>
          </cell>
          <cell r="E275">
            <v>4467.6899999999996</v>
          </cell>
          <cell r="F275">
            <v>4.4676899999999993</v>
          </cell>
        </row>
        <row r="276">
          <cell r="A276">
            <v>44286</v>
          </cell>
          <cell r="B276">
            <v>4469.21</v>
          </cell>
          <cell r="C276">
            <v>4469.21</v>
          </cell>
          <cell r="D276">
            <v>4396.29</v>
          </cell>
          <cell r="E276">
            <v>4437.99</v>
          </cell>
          <cell r="F276">
            <v>4.4379900000000001</v>
          </cell>
        </row>
        <row r="277">
          <cell r="A277">
            <v>44287</v>
          </cell>
          <cell r="B277">
            <v>4449.8999999999996</v>
          </cell>
          <cell r="C277">
            <v>4518.1000000000004</v>
          </cell>
          <cell r="D277">
            <v>4449.7</v>
          </cell>
          <cell r="E277">
            <v>4511.4799999999996</v>
          </cell>
          <cell r="F277">
            <v>4.5114799999999997</v>
          </cell>
        </row>
        <row r="278">
          <cell r="A278">
            <v>44288</v>
          </cell>
          <cell r="B278">
            <v>4530.34</v>
          </cell>
          <cell r="C278">
            <v>4594.59</v>
          </cell>
          <cell r="D278">
            <v>4512.09</v>
          </cell>
          <cell r="E278">
            <v>4558.07</v>
          </cell>
          <cell r="F278">
            <v>4.5580699999999998</v>
          </cell>
        </row>
        <row r="279">
          <cell r="A279">
            <v>44292</v>
          </cell>
          <cell r="B279">
            <v>4580.83</v>
          </cell>
          <cell r="C279">
            <v>4587.74</v>
          </cell>
          <cell r="D279">
            <v>4511</v>
          </cell>
          <cell r="E279">
            <v>4527.59</v>
          </cell>
          <cell r="F279">
            <v>4.52759</v>
          </cell>
        </row>
        <row r="280">
          <cell r="A280">
            <v>44293</v>
          </cell>
          <cell r="B280">
            <v>4545.8999999999996</v>
          </cell>
          <cell r="C280">
            <v>4545.8999999999996</v>
          </cell>
          <cell r="D280">
            <v>4452.43</v>
          </cell>
          <cell r="E280">
            <v>4496.8500000000004</v>
          </cell>
          <cell r="F280">
            <v>4.4968500000000002</v>
          </cell>
        </row>
        <row r="281">
          <cell r="A281">
            <v>44294</v>
          </cell>
          <cell r="B281">
            <v>4476.58</v>
          </cell>
          <cell r="C281">
            <v>4524.87</v>
          </cell>
          <cell r="D281">
            <v>4452.5</v>
          </cell>
          <cell r="E281">
            <v>4511.05</v>
          </cell>
          <cell r="F281">
            <v>4.51105</v>
          </cell>
        </row>
        <row r="282">
          <cell r="A282">
            <v>44295</v>
          </cell>
          <cell r="B282">
            <v>4506.8100000000004</v>
          </cell>
          <cell r="C282">
            <v>4506.8100000000004</v>
          </cell>
          <cell r="D282">
            <v>4418.6000000000004</v>
          </cell>
          <cell r="E282">
            <v>4434.0600000000004</v>
          </cell>
          <cell r="F282">
            <v>4.4340600000000006</v>
          </cell>
        </row>
        <row r="283">
          <cell r="A283">
            <v>44298</v>
          </cell>
          <cell r="B283">
            <v>4439.7299999999996</v>
          </cell>
          <cell r="C283">
            <v>4465.34</v>
          </cell>
          <cell r="D283">
            <v>4306.46</v>
          </cell>
          <cell r="E283">
            <v>4321.2299999999996</v>
          </cell>
          <cell r="F283">
            <v>4.3212299999999999</v>
          </cell>
        </row>
        <row r="284">
          <cell r="A284">
            <v>44299</v>
          </cell>
          <cell r="B284">
            <v>4323.12</v>
          </cell>
          <cell r="C284">
            <v>4403.43</v>
          </cell>
          <cell r="D284">
            <v>4323.12</v>
          </cell>
          <cell r="E284">
            <v>4353.38</v>
          </cell>
          <cell r="F284">
            <v>4.3533800000000005</v>
          </cell>
        </row>
        <row r="285">
          <cell r="A285">
            <v>44300</v>
          </cell>
          <cell r="B285">
            <v>4372</v>
          </cell>
          <cell r="C285">
            <v>4454.2299999999996</v>
          </cell>
          <cell r="D285">
            <v>4372</v>
          </cell>
          <cell r="E285">
            <v>4447.8</v>
          </cell>
          <cell r="F285">
            <v>4.4478</v>
          </cell>
        </row>
        <row r="286">
          <cell r="A286">
            <v>44301</v>
          </cell>
          <cell r="B286">
            <v>4437.1000000000004</v>
          </cell>
          <cell r="C286">
            <v>4442.1000000000004</v>
          </cell>
          <cell r="D286">
            <v>4383.43</v>
          </cell>
          <cell r="E286">
            <v>4430.58</v>
          </cell>
          <cell r="F286">
            <v>4.43058</v>
          </cell>
        </row>
        <row r="287">
          <cell r="A287">
            <v>44302</v>
          </cell>
          <cell r="B287">
            <v>4449.8999999999996</v>
          </cell>
          <cell r="C287">
            <v>4451.5600000000004</v>
          </cell>
          <cell r="D287">
            <v>4361.91</v>
          </cell>
          <cell r="E287">
            <v>4419.92</v>
          </cell>
          <cell r="F287">
            <v>4.4199200000000003</v>
          </cell>
        </row>
        <row r="288">
          <cell r="A288">
            <v>44305</v>
          </cell>
          <cell r="B288">
            <v>4422.88</v>
          </cell>
          <cell r="C288">
            <v>4604.54</v>
          </cell>
          <cell r="D288">
            <v>4422.3100000000004</v>
          </cell>
          <cell r="E288">
            <v>4604.3900000000003</v>
          </cell>
          <cell r="F288">
            <v>4.6043900000000004</v>
          </cell>
        </row>
        <row r="289">
          <cell r="A289">
            <v>44306</v>
          </cell>
          <cell r="B289">
            <v>4585.25</v>
          </cell>
          <cell r="C289">
            <v>4616.95</v>
          </cell>
          <cell r="D289">
            <v>4555.3999999999996</v>
          </cell>
          <cell r="E289">
            <v>4585.68</v>
          </cell>
          <cell r="F289">
            <v>4.58568</v>
          </cell>
        </row>
        <row r="290">
          <cell r="A290">
            <v>44307</v>
          </cell>
          <cell r="B290">
            <v>4555.4399999999996</v>
          </cell>
          <cell r="C290">
            <v>4617.1899999999996</v>
          </cell>
          <cell r="D290">
            <v>4541.38</v>
          </cell>
          <cell r="E290">
            <v>4610.57</v>
          </cell>
          <cell r="F290">
            <v>4.6105700000000001</v>
          </cell>
        </row>
        <row r="291">
          <cell r="A291">
            <v>44308</v>
          </cell>
          <cell r="B291">
            <v>4640.96</v>
          </cell>
          <cell r="C291">
            <v>4655.3100000000004</v>
          </cell>
          <cell r="D291">
            <v>4583.3</v>
          </cell>
          <cell r="E291">
            <v>4642.32</v>
          </cell>
          <cell r="F291">
            <v>4.6423199999999998</v>
          </cell>
        </row>
        <row r="292">
          <cell r="A292">
            <v>44309</v>
          </cell>
          <cell r="B292">
            <v>4646.3500000000004</v>
          </cell>
          <cell r="C292">
            <v>4735.0600000000004</v>
          </cell>
          <cell r="D292">
            <v>4645.57</v>
          </cell>
          <cell r="E292">
            <v>4716.09</v>
          </cell>
          <cell r="F292">
            <v>4.7160900000000003</v>
          </cell>
        </row>
        <row r="293">
          <cell r="A293">
            <v>44312</v>
          </cell>
          <cell r="B293">
            <v>4746.75</v>
          </cell>
          <cell r="C293">
            <v>4791.95</v>
          </cell>
          <cell r="D293">
            <v>4667.75</v>
          </cell>
          <cell r="E293">
            <v>4672.28</v>
          </cell>
          <cell r="F293">
            <v>4.6722799999999998</v>
          </cell>
        </row>
        <row r="294">
          <cell r="A294">
            <v>44313</v>
          </cell>
          <cell r="B294">
            <v>4669.67</v>
          </cell>
          <cell r="C294">
            <v>4705.6499999999996</v>
          </cell>
          <cell r="D294">
            <v>4642.18</v>
          </cell>
          <cell r="E294">
            <v>4700.3599999999997</v>
          </cell>
          <cell r="F294">
            <v>4.7003599999999999</v>
          </cell>
        </row>
        <row r="295">
          <cell r="A295">
            <v>44314</v>
          </cell>
          <cell r="B295">
            <v>4709.0600000000004</v>
          </cell>
          <cell r="C295">
            <v>4758.8100000000004</v>
          </cell>
          <cell r="D295">
            <v>4675.67</v>
          </cell>
          <cell r="E295">
            <v>4757.53</v>
          </cell>
          <cell r="F295">
            <v>4.75753</v>
          </cell>
        </row>
        <row r="296">
          <cell r="A296">
            <v>44315</v>
          </cell>
          <cell r="B296">
            <v>4766.8</v>
          </cell>
          <cell r="C296">
            <v>4804.37</v>
          </cell>
          <cell r="D296">
            <v>4721.55</v>
          </cell>
          <cell r="E296">
            <v>4773.2</v>
          </cell>
          <cell r="F296">
            <v>4.7732000000000001</v>
          </cell>
        </row>
        <row r="297">
          <cell r="A297">
            <v>44316</v>
          </cell>
          <cell r="B297">
            <v>4770.83</v>
          </cell>
          <cell r="C297">
            <v>4816.9399999999996</v>
          </cell>
          <cell r="D297">
            <v>4745.22</v>
          </cell>
          <cell r="E297">
            <v>4786.03</v>
          </cell>
          <cell r="F297">
            <v>4.7860299999999993</v>
          </cell>
        </row>
        <row r="298">
          <cell r="A298">
            <v>44322</v>
          </cell>
          <cell r="B298">
            <v>4739.3999999999996</v>
          </cell>
          <cell r="C298">
            <v>4747.97</v>
          </cell>
          <cell r="D298">
            <v>4632.97</v>
          </cell>
          <cell r="E298">
            <v>4687.58</v>
          </cell>
          <cell r="F298">
            <v>4.6875799999999996</v>
          </cell>
        </row>
        <row r="299">
          <cell r="A299">
            <v>44323</v>
          </cell>
          <cell r="B299">
            <v>4700.3100000000004</v>
          </cell>
          <cell r="C299">
            <v>4707.66</v>
          </cell>
          <cell r="D299">
            <v>4552.2</v>
          </cell>
          <cell r="E299">
            <v>4552.2</v>
          </cell>
          <cell r="F299">
            <v>4.5522</v>
          </cell>
        </row>
        <row r="300">
          <cell r="A300">
            <v>44326</v>
          </cell>
          <cell r="B300">
            <v>4561.38</v>
          </cell>
          <cell r="C300">
            <v>4610.28</v>
          </cell>
          <cell r="D300">
            <v>4533.96</v>
          </cell>
          <cell r="E300">
            <v>4570.53</v>
          </cell>
          <cell r="F300">
            <v>4.5705299999999998</v>
          </cell>
        </row>
        <row r="301">
          <cell r="A301">
            <v>44327</v>
          </cell>
          <cell r="B301">
            <v>4530.57</v>
          </cell>
          <cell r="C301">
            <v>4584.37</v>
          </cell>
          <cell r="D301">
            <v>4477.17</v>
          </cell>
          <cell r="E301">
            <v>4571.54</v>
          </cell>
          <cell r="F301">
            <v>4.5715399999999997</v>
          </cell>
        </row>
        <row r="302">
          <cell r="A302">
            <v>44328</v>
          </cell>
          <cell r="B302">
            <v>4563.5600000000004</v>
          </cell>
          <cell r="C302">
            <v>4609.0200000000004</v>
          </cell>
          <cell r="D302">
            <v>4526.67</v>
          </cell>
          <cell r="E302">
            <v>4603.1400000000003</v>
          </cell>
          <cell r="F302">
            <v>4.6031400000000007</v>
          </cell>
        </row>
        <row r="303">
          <cell r="A303">
            <v>44329</v>
          </cell>
          <cell r="B303">
            <v>4544.5200000000004</v>
          </cell>
          <cell r="C303">
            <v>4584.0600000000004</v>
          </cell>
          <cell r="D303">
            <v>4521.25</v>
          </cell>
          <cell r="E303">
            <v>4543.24</v>
          </cell>
          <cell r="F303">
            <v>4.5432399999999999</v>
          </cell>
        </row>
        <row r="304">
          <cell r="A304">
            <v>44330</v>
          </cell>
          <cell r="B304">
            <v>4552.8</v>
          </cell>
          <cell r="C304">
            <v>4643.6499999999996</v>
          </cell>
          <cell r="D304">
            <v>4515.34</v>
          </cell>
          <cell r="E304">
            <v>4638.6000000000004</v>
          </cell>
          <cell r="F304">
            <v>4.6386000000000003</v>
          </cell>
        </row>
        <row r="305">
          <cell r="A305">
            <v>44333</v>
          </cell>
          <cell r="B305">
            <v>4659.3999999999996</v>
          </cell>
          <cell r="C305">
            <v>4787.13</v>
          </cell>
          <cell r="D305">
            <v>4659.3999999999996</v>
          </cell>
          <cell r="E305">
            <v>4760.97</v>
          </cell>
          <cell r="F305">
            <v>4.7609700000000004</v>
          </cell>
        </row>
        <row r="306">
          <cell r="A306">
            <v>44334</v>
          </cell>
          <cell r="B306">
            <v>4765.91</v>
          </cell>
          <cell r="C306">
            <v>4784.8</v>
          </cell>
          <cell r="D306">
            <v>4715.0200000000004</v>
          </cell>
          <cell r="E306">
            <v>4748.6400000000003</v>
          </cell>
          <cell r="F306">
            <v>4.74864</v>
          </cell>
        </row>
        <row r="307">
          <cell r="A307">
            <v>44335</v>
          </cell>
          <cell r="B307">
            <v>4732.49</v>
          </cell>
          <cell r="C307">
            <v>4803.08</v>
          </cell>
          <cell r="D307">
            <v>4722.57</v>
          </cell>
          <cell r="E307">
            <v>4781.03</v>
          </cell>
          <cell r="F307">
            <v>4.7810299999999994</v>
          </cell>
        </row>
        <row r="308">
          <cell r="A308">
            <v>44336</v>
          </cell>
          <cell r="B308">
            <v>4781.07</v>
          </cell>
          <cell r="C308">
            <v>4834.28</v>
          </cell>
          <cell r="D308">
            <v>4774.6499999999996</v>
          </cell>
          <cell r="E308">
            <v>4821.58</v>
          </cell>
          <cell r="F308">
            <v>4.82158</v>
          </cell>
        </row>
        <row r="309">
          <cell r="A309">
            <v>44337</v>
          </cell>
          <cell r="B309">
            <v>4843.7</v>
          </cell>
          <cell r="C309">
            <v>4870.3999999999996</v>
          </cell>
          <cell r="D309">
            <v>4758.92</v>
          </cell>
          <cell r="E309">
            <v>4775.29</v>
          </cell>
          <cell r="F309">
            <v>4.77529</v>
          </cell>
        </row>
        <row r="310">
          <cell r="A310">
            <v>44340</v>
          </cell>
          <cell r="B310">
            <v>4782.3599999999997</v>
          </cell>
          <cell r="C310">
            <v>4811.12</v>
          </cell>
          <cell r="D310">
            <v>4720.41</v>
          </cell>
          <cell r="E310">
            <v>4810.66</v>
          </cell>
          <cell r="F310">
            <v>4.8106599999999995</v>
          </cell>
        </row>
        <row r="311">
          <cell r="A311">
            <v>44341</v>
          </cell>
          <cell r="B311">
            <v>4826.18</v>
          </cell>
          <cell r="C311">
            <v>4924.21</v>
          </cell>
          <cell r="D311">
            <v>4818.6000000000004</v>
          </cell>
          <cell r="E311">
            <v>4917.13</v>
          </cell>
          <cell r="F311">
            <v>4.9171300000000002</v>
          </cell>
        </row>
        <row r="312">
          <cell r="A312">
            <v>44342</v>
          </cell>
          <cell r="B312">
            <v>4917.17</v>
          </cell>
          <cell r="C312">
            <v>4924.54</v>
          </cell>
          <cell r="D312">
            <v>4873.1000000000004</v>
          </cell>
          <cell r="E312">
            <v>4887.95</v>
          </cell>
          <cell r="F312">
            <v>4.88795</v>
          </cell>
        </row>
        <row r="313">
          <cell r="A313">
            <v>44343</v>
          </cell>
          <cell r="B313">
            <v>4894.09</v>
          </cell>
          <cell r="C313">
            <v>4942.55</v>
          </cell>
          <cell r="D313">
            <v>4858.6899999999996</v>
          </cell>
          <cell r="E313">
            <v>4916.38</v>
          </cell>
          <cell r="F313">
            <v>4.9163800000000002</v>
          </cell>
        </row>
        <row r="314">
          <cell r="A314">
            <v>44344</v>
          </cell>
          <cell r="B314">
            <v>4914.38</v>
          </cell>
          <cell r="C314">
            <v>4971.08</v>
          </cell>
          <cell r="D314">
            <v>4883.33</v>
          </cell>
          <cell r="E314">
            <v>4910.1000000000004</v>
          </cell>
          <cell r="F314">
            <v>4.9101000000000008</v>
          </cell>
        </row>
        <row r="315">
          <cell r="A315">
            <v>44347</v>
          </cell>
          <cell r="B315">
            <v>4928.3599999999997</v>
          </cell>
          <cell r="C315">
            <v>4980.66</v>
          </cell>
          <cell r="D315">
            <v>4920.53</v>
          </cell>
          <cell r="E315">
            <v>4980.66</v>
          </cell>
          <cell r="F315">
            <v>4.9806599999999994</v>
          </cell>
        </row>
        <row r="316">
          <cell r="A316">
            <v>44348</v>
          </cell>
          <cell r="B316">
            <v>4963.66</v>
          </cell>
          <cell r="C316">
            <v>4994.25</v>
          </cell>
          <cell r="D316">
            <v>4908.8500000000004</v>
          </cell>
          <cell r="E316">
            <v>4980</v>
          </cell>
          <cell r="F316">
            <v>4.9800000000000004</v>
          </cell>
        </row>
        <row r="317">
          <cell r="A317">
            <v>44349</v>
          </cell>
          <cell r="B317">
            <v>4994.13</v>
          </cell>
          <cell r="C317">
            <v>4996.25</v>
          </cell>
          <cell r="D317">
            <v>4888.59</v>
          </cell>
          <cell r="E317">
            <v>4918.0200000000004</v>
          </cell>
          <cell r="F317">
            <v>4.9180200000000003</v>
          </cell>
        </row>
        <row r="318">
          <cell r="A318">
            <v>44350</v>
          </cell>
          <cell r="B318">
            <v>4914.43</v>
          </cell>
          <cell r="C318">
            <v>4930.26</v>
          </cell>
          <cell r="D318">
            <v>4860.8</v>
          </cell>
          <cell r="E318">
            <v>4863</v>
          </cell>
          <cell r="F318">
            <v>4.8630000000000004</v>
          </cell>
        </row>
        <row r="319">
          <cell r="A319">
            <v>44351</v>
          </cell>
          <cell r="B319">
            <v>4847.78</v>
          </cell>
          <cell r="C319">
            <v>4956.43</v>
          </cell>
          <cell r="D319">
            <v>4823.71</v>
          </cell>
          <cell r="E319">
            <v>4906.6400000000003</v>
          </cell>
          <cell r="F319">
            <v>4.9066400000000003</v>
          </cell>
        </row>
        <row r="320">
          <cell r="A320">
            <v>44354</v>
          </cell>
          <cell r="B320">
            <v>4906.0200000000004</v>
          </cell>
          <cell r="C320">
            <v>4906.46</v>
          </cell>
          <cell r="D320">
            <v>4852.3</v>
          </cell>
          <cell r="E320">
            <v>4887.5</v>
          </cell>
          <cell r="F320">
            <v>4.8875000000000002</v>
          </cell>
        </row>
        <row r="321">
          <cell r="A321">
            <v>44355</v>
          </cell>
          <cell r="B321">
            <v>4890.42</v>
          </cell>
          <cell r="C321">
            <v>4944.3900000000003</v>
          </cell>
          <cell r="D321">
            <v>4824.26</v>
          </cell>
          <cell r="E321">
            <v>4855.0200000000004</v>
          </cell>
          <cell r="F321">
            <v>4.8550200000000006</v>
          </cell>
        </row>
        <row r="322">
          <cell r="A322">
            <v>44356</v>
          </cell>
          <cell r="B322">
            <v>4851.78</v>
          </cell>
          <cell r="C322">
            <v>4873.7299999999996</v>
          </cell>
          <cell r="D322">
            <v>4829.34</v>
          </cell>
          <cell r="E322">
            <v>4860.46</v>
          </cell>
          <cell r="F322">
            <v>4.8604599999999998</v>
          </cell>
        </row>
        <row r="323">
          <cell r="A323">
            <v>44357</v>
          </cell>
          <cell r="B323">
            <v>4862.68</v>
          </cell>
          <cell r="C323">
            <v>4953.99</v>
          </cell>
          <cell r="D323">
            <v>4859.2700000000004</v>
          </cell>
          <cell r="E323">
            <v>4934.34</v>
          </cell>
          <cell r="F323">
            <v>4.9343399999999997</v>
          </cell>
        </row>
        <row r="324">
          <cell r="A324">
            <v>44358</v>
          </cell>
          <cell r="B324">
            <v>4951.38</v>
          </cell>
          <cell r="C324">
            <v>4951.59</v>
          </cell>
          <cell r="D324">
            <v>4881.54</v>
          </cell>
          <cell r="E324">
            <v>4924.57</v>
          </cell>
          <cell r="F324">
            <v>4.9245700000000001</v>
          </cell>
        </row>
        <row r="325">
          <cell r="A325">
            <v>44362</v>
          </cell>
          <cell r="B325">
            <v>4930.7700000000004</v>
          </cell>
          <cell r="C325">
            <v>4946.51</v>
          </cell>
          <cell r="D325">
            <v>4844.68</v>
          </cell>
          <cell r="E325">
            <v>4893.92</v>
          </cell>
          <cell r="F325">
            <v>4.8939200000000005</v>
          </cell>
        </row>
        <row r="326">
          <cell r="A326">
            <v>44363</v>
          </cell>
          <cell r="B326">
            <v>4890.83</v>
          </cell>
          <cell r="C326">
            <v>4892.22</v>
          </cell>
          <cell r="D326">
            <v>4734.46</v>
          </cell>
          <cell r="E326">
            <v>4739.62</v>
          </cell>
          <cell r="F326">
            <v>4.7396199999999995</v>
          </cell>
        </row>
        <row r="327">
          <cell r="A327">
            <v>44364</v>
          </cell>
          <cell r="B327">
            <v>4741.3</v>
          </cell>
          <cell r="C327">
            <v>4815.7299999999996</v>
          </cell>
          <cell r="D327">
            <v>4740.71</v>
          </cell>
          <cell r="E327">
            <v>4814.25</v>
          </cell>
          <cell r="F327">
            <v>4.8142500000000004</v>
          </cell>
        </row>
        <row r="328">
          <cell r="A328">
            <v>44365</v>
          </cell>
          <cell r="B328">
            <v>4838.6400000000003</v>
          </cell>
          <cell r="C328">
            <v>4908.7700000000004</v>
          </cell>
          <cell r="D328">
            <v>4832.0600000000004</v>
          </cell>
          <cell r="E328">
            <v>4883.08</v>
          </cell>
          <cell r="F328">
            <v>4.8830799999999996</v>
          </cell>
        </row>
        <row r="329">
          <cell r="A329">
            <v>44368</v>
          </cell>
          <cell r="B329">
            <v>4872.1899999999996</v>
          </cell>
          <cell r="C329">
            <v>4925.6000000000004</v>
          </cell>
          <cell r="D329">
            <v>4814</v>
          </cell>
          <cell r="E329">
            <v>4890.82</v>
          </cell>
          <cell r="F329">
            <v>4.8908199999999997</v>
          </cell>
        </row>
        <row r="330">
          <cell r="A330">
            <v>44369</v>
          </cell>
          <cell r="B330">
            <v>4900.79</v>
          </cell>
          <cell r="C330">
            <v>4908.17</v>
          </cell>
          <cell r="D330">
            <v>4844.8500000000004</v>
          </cell>
          <cell r="E330">
            <v>4902.55</v>
          </cell>
          <cell r="F330">
            <v>4.9025499999999997</v>
          </cell>
        </row>
        <row r="331">
          <cell r="A331">
            <v>44370</v>
          </cell>
          <cell r="B331">
            <v>4905.76</v>
          </cell>
          <cell r="C331">
            <v>5002.07</v>
          </cell>
          <cell r="D331">
            <v>4886.5600000000004</v>
          </cell>
          <cell r="E331">
            <v>4976.55</v>
          </cell>
          <cell r="F331">
            <v>4.9765500000000005</v>
          </cell>
        </row>
        <row r="332">
          <cell r="A332">
            <v>44371</v>
          </cell>
          <cell r="B332">
            <v>4996.58</v>
          </cell>
          <cell r="C332">
            <v>4997.99</v>
          </cell>
          <cell r="D332">
            <v>4926.33</v>
          </cell>
          <cell r="E332">
            <v>4955.76</v>
          </cell>
          <cell r="F332">
            <v>4.9557600000000006</v>
          </cell>
        </row>
        <row r="333">
          <cell r="A333">
            <v>44372</v>
          </cell>
          <cell r="B333">
            <v>4964.3500000000004</v>
          </cell>
          <cell r="C333">
            <v>5027.79</v>
          </cell>
          <cell r="D333">
            <v>4952.3</v>
          </cell>
          <cell r="E333">
            <v>5015.6499999999996</v>
          </cell>
          <cell r="F333">
            <v>5.0156499999999999</v>
          </cell>
        </row>
        <row r="334">
          <cell r="A334">
            <v>44375</v>
          </cell>
          <cell r="B334">
            <v>5029.7700000000004</v>
          </cell>
          <cell r="C334">
            <v>5086.76</v>
          </cell>
          <cell r="D334">
            <v>5013.04</v>
          </cell>
          <cell r="E334">
            <v>5074.1000000000004</v>
          </cell>
          <cell r="F334">
            <v>5.0741000000000005</v>
          </cell>
        </row>
        <row r="335">
          <cell r="A335">
            <v>44376</v>
          </cell>
          <cell r="B335">
            <v>5101.22</v>
          </cell>
          <cell r="C335">
            <v>5101.22</v>
          </cell>
          <cell r="D335">
            <v>5022.7700000000004</v>
          </cell>
          <cell r="E335">
            <v>5034.38</v>
          </cell>
          <cell r="F335">
            <v>5.0343800000000005</v>
          </cell>
        </row>
        <row r="336">
          <cell r="A336">
            <v>44377</v>
          </cell>
          <cell r="B336">
            <v>5041.68</v>
          </cell>
          <cell r="C336">
            <v>5116.22</v>
          </cell>
          <cell r="D336">
            <v>5012.1899999999996</v>
          </cell>
          <cell r="E336">
            <v>5111.4799999999996</v>
          </cell>
          <cell r="F336">
            <v>5.1114799999999994</v>
          </cell>
        </row>
        <row r="337">
          <cell r="A337">
            <v>44378</v>
          </cell>
          <cell r="B337">
            <v>5118.97</v>
          </cell>
          <cell r="C337">
            <v>5127.8900000000003</v>
          </cell>
          <cell r="D337">
            <v>5050.62</v>
          </cell>
          <cell r="E337">
            <v>5081.16</v>
          </cell>
          <cell r="F337">
            <v>5.0811599999999997</v>
          </cell>
        </row>
        <row r="338">
          <cell r="A338">
            <v>44379</v>
          </cell>
          <cell r="B338">
            <v>5037.18</v>
          </cell>
          <cell r="C338">
            <v>5038.3999999999996</v>
          </cell>
          <cell r="D338">
            <v>4924.79</v>
          </cell>
          <cell r="E338">
            <v>4932.58</v>
          </cell>
          <cell r="F338">
            <v>4.9325799999999997</v>
          </cell>
        </row>
        <row r="339">
          <cell r="A339">
            <v>44382</v>
          </cell>
          <cell r="B339">
            <v>4930.5</v>
          </cell>
          <cell r="C339">
            <v>4986.12</v>
          </cell>
          <cell r="D339">
            <v>4905.63</v>
          </cell>
          <cell r="E339">
            <v>4957.25</v>
          </cell>
          <cell r="F339">
            <v>4.9572500000000002</v>
          </cell>
        </row>
        <row r="340">
          <cell r="A340">
            <v>44383</v>
          </cell>
          <cell r="B340">
            <v>4969.17</v>
          </cell>
          <cell r="C340">
            <v>4998.9799999999996</v>
          </cell>
          <cell r="D340">
            <v>4858.18</v>
          </cell>
          <cell r="E340">
            <v>4928.8599999999997</v>
          </cell>
          <cell r="F340">
            <v>4.9288599999999994</v>
          </cell>
        </row>
        <row r="341">
          <cell r="A341">
            <v>44384</v>
          </cell>
          <cell r="B341">
            <v>4906.2</v>
          </cell>
          <cell r="C341">
            <v>5074.2700000000004</v>
          </cell>
          <cell r="D341">
            <v>4886.05</v>
          </cell>
          <cell r="E341">
            <v>5060.96</v>
          </cell>
          <cell r="F341">
            <v>5.0609599999999997</v>
          </cell>
        </row>
        <row r="342">
          <cell r="A342">
            <v>44385</v>
          </cell>
          <cell r="B342">
            <v>5086.91</v>
          </cell>
          <cell r="C342">
            <v>5119.1899999999996</v>
          </cell>
          <cell r="D342">
            <v>5062.07</v>
          </cell>
          <cell r="E342">
            <v>5079.75</v>
          </cell>
          <cell r="F342">
            <v>5.0797499999999998</v>
          </cell>
        </row>
        <row r="343">
          <cell r="A343">
            <v>44386</v>
          </cell>
          <cell r="B343">
            <v>5049.71</v>
          </cell>
          <cell r="C343">
            <v>5067.2</v>
          </cell>
          <cell r="D343">
            <v>4948.4399999999996</v>
          </cell>
          <cell r="E343">
            <v>5046.88</v>
          </cell>
          <cell r="F343">
            <v>5.0468799999999998</v>
          </cell>
        </row>
        <row r="344">
          <cell r="A344">
            <v>44389</v>
          </cell>
          <cell r="B344">
            <v>5094.7700000000004</v>
          </cell>
          <cell r="C344">
            <v>5200.68</v>
          </cell>
          <cell r="D344">
            <v>5061.29</v>
          </cell>
          <cell r="E344">
            <v>5181.21</v>
          </cell>
          <cell r="F344">
            <v>5.1812100000000001</v>
          </cell>
        </row>
        <row r="345">
          <cell r="A345">
            <v>44390</v>
          </cell>
          <cell r="B345">
            <v>5172.4399999999996</v>
          </cell>
          <cell r="C345">
            <v>5205.84</v>
          </cell>
          <cell r="D345">
            <v>5132.07</v>
          </cell>
          <cell r="E345">
            <v>5177.78</v>
          </cell>
          <cell r="F345">
            <v>5.1777799999999994</v>
          </cell>
        </row>
        <row r="346">
          <cell r="A346">
            <v>44391</v>
          </cell>
          <cell r="B346">
            <v>5158.55</v>
          </cell>
          <cell r="C346">
            <v>5189.2</v>
          </cell>
          <cell r="D346">
            <v>5113.22</v>
          </cell>
          <cell r="E346">
            <v>5126.12</v>
          </cell>
          <cell r="F346">
            <v>5.1261200000000002</v>
          </cell>
        </row>
        <row r="347">
          <cell r="A347">
            <v>44392</v>
          </cell>
          <cell r="B347">
            <v>5101.8500000000004</v>
          </cell>
          <cell r="C347">
            <v>5155.2299999999996</v>
          </cell>
          <cell r="D347">
            <v>5055.16</v>
          </cell>
          <cell r="E347">
            <v>5155.2299999999996</v>
          </cell>
          <cell r="F347">
            <v>5.1552299999999995</v>
          </cell>
        </row>
        <row r="348">
          <cell r="A348">
            <v>44393</v>
          </cell>
          <cell r="B348">
            <v>5139.93</v>
          </cell>
          <cell r="C348">
            <v>5139.93</v>
          </cell>
          <cell r="D348">
            <v>5039.37</v>
          </cell>
          <cell r="E348">
            <v>5046.0600000000004</v>
          </cell>
          <cell r="F348">
            <v>5.0460600000000007</v>
          </cell>
        </row>
        <row r="349">
          <cell r="A349">
            <v>44396</v>
          </cell>
          <cell r="B349">
            <v>5053.67</v>
          </cell>
          <cell r="C349">
            <v>5100.34</v>
          </cell>
          <cell r="D349">
            <v>5027.2</v>
          </cell>
          <cell r="E349">
            <v>5080.93</v>
          </cell>
          <cell r="F349">
            <v>5.0809300000000004</v>
          </cell>
        </row>
        <row r="350">
          <cell r="A350">
            <v>44397</v>
          </cell>
          <cell r="B350">
            <v>5041.6899999999996</v>
          </cell>
          <cell r="C350">
            <v>5111.49</v>
          </cell>
          <cell r="D350">
            <v>5024.54</v>
          </cell>
          <cell r="E350">
            <v>5086.26</v>
          </cell>
          <cell r="F350">
            <v>5.0862600000000002</v>
          </cell>
        </row>
        <row r="351">
          <cell r="A351">
            <v>44398</v>
          </cell>
          <cell r="B351">
            <v>5108.21</v>
          </cell>
          <cell r="C351">
            <v>5205.76</v>
          </cell>
          <cell r="D351">
            <v>5102.1400000000003</v>
          </cell>
          <cell r="E351">
            <v>5180.13</v>
          </cell>
          <cell r="F351">
            <v>5.1801300000000001</v>
          </cell>
        </row>
        <row r="352">
          <cell r="A352">
            <v>44399</v>
          </cell>
          <cell r="B352">
            <v>5204.51</v>
          </cell>
          <cell r="C352">
            <v>5215.1099999999997</v>
          </cell>
          <cell r="D352">
            <v>5138.78</v>
          </cell>
          <cell r="E352">
            <v>5178.62</v>
          </cell>
          <cell r="F352">
            <v>5.1786199999999996</v>
          </cell>
        </row>
        <row r="353">
          <cell r="A353">
            <v>44400</v>
          </cell>
          <cell r="B353">
            <v>5176.58</v>
          </cell>
          <cell r="C353">
            <v>5176.58</v>
          </cell>
          <cell r="D353">
            <v>5072.75</v>
          </cell>
          <cell r="E353">
            <v>5087.58</v>
          </cell>
          <cell r="F353">
            <v>5.08758</v>
          </cell>
        </row>
        <row r="354">
          <cell r="A354">
            <v>44403</v>
          </cell>
          <cell r="B354">
            <v>5068.33</v>
          </cell>
          <cell r="C354">
            <v>5071.3999999999996</v>
          </cell>
          <cell r="D354">
            <v>4859.47</v>
          </cell>
          <cell r="E354">
            <v>4960.95</v>
          </cell>
          <cell r="F354">
            <v>4.9609499999999995</v>
          </cell>
        </row>
        <row r="355">
          <cell r="A355">
            <v>44404</v>
          </cell>
          <cell r="B355">
            <v>4961.3</v>
          </cell>
          <cell r="C355">
            <v>5000.13</v>
          </cell>
          <cell r="D355">
            <v>4756.68</v>
          </cell>
          <cell r="E355">
            <v>4756.68</v>
          </cell>
          <cell r="F355">
            <v>4.7566800000000002</v>
          </cell>
        </row>
        <row r="356">
          <cell r="A356">
            <v>44405</v>
          </cell>
          <cell r="B356">
            <v>4711</v>
          </cell>
          <cell r="C356">
            <v>4837.57</v>
          </cell>
          <cell r="D356">
            <v>4639.7299999999996</v>
          </cell>
          <cell r="E356">
            <v>4800.28</v>
          </cell>
          <cell r="F356">
            <v>4.8002799999999999</v>
          </cell>
        </row>
        <row r="357">
          <cell r="A357">
            <v>44406</v>
          </cell>
          <cell r="B357">
            <v>4919.1000000000004</v>
          </cell>
          <cell r="C357">
            <v>4998.53</v>
          </cell>
          <cell r="D357">
            <v>4867.29</v>
          </cell>
          <cell r="E357">
            <v>4987.49</v>
          </cell>
          <cell r="F357">
            <v>4.9874900000000002</v>
          </cell>
        </row>
        <row r="358">
          <cell r="A358">
            <v>44407</v>
          </cell>
          <cell r="B358">
            <v>4984.09</v>
          </cell>
          <cell r="C358">
            <v>4998.3900000000003</v>
          </cell>
          <cell r="D358">
            <v>4899.47</v>
          </cell>
          <cell r="E358">
            <v>4977.7</v>
          </cell>
          <cell r="F358">
            <v>4.9776999999999996</v>
          </cell>
        </row>
        <row r="359">
          <cell r="A359">
            <v>44410</v>
          </cell>
          <cell r="B359">
            <v>4995.38</v>
          </cell>
          <cell r="C359">
            <v>5079.62</v>
          </cell>
          <cell r="D359">
            <v>4945.57</v>
          </cell>
          <cell r="E359">
            <v>5073</v>
          </cell>
          <cell r="F359">
            <v>5.0730000000000004</v>
          </cell>
        </row>
        <row r="360">
          <cell r="A360">
            <v>44411</v>
          </cell>
          <cell r="B360">
            <v>5059.3</v>
          </cell>
          <cell r="C360">
            <v>5084.28</v>
          </cell>
          <cell r="D360">
            <v>5014.55</v>
          </cell>
          <cell r="E360">
            <v>5054.22</v>
          </cell>
          <cell r="F360">
            <v>5.0542199999999999</v>
          </cell>
        </row>
        <row r="361">
          <cell r="A361">
            <v>44412</v>
          </cell>
          <cell r="B361">
            <v>5053.71</v>
          </cell>
          <cell r="C361">
            <v>5183.96</v>
          </cell>
          <cell r="D361">
            <v>5035.6400000000003</v>
          </cell>
          <cell r="E361">
            <v>5183.96</v>
          </cell>
          <cell r="F361">
            <v>5.1839599999999999</v>
          </cell>
        </row>
        <row r="362">
          <cell r="A362">
            <v>44413</v>
          </cell>
          <cell r="B362">
            <v>5151.63</v>
          </cell>
          <cell r="C362">
            <v>5181.8100000000004</v>
          </cell>
          <cell r="D362">
            <v>5107.8599999999997</v>
          </cell>
          <cell r="E362">
            <v>5138.96</v>
          </cell>
          <cell r="F362">
            <v>5.13896</v>
          </cell>
        </row>
        <row r="363">
          <cell r="A363">
            <v>44414</v>
          </cell>
          <cell r="B363">
            <v>5160.45</v>
          </cell>
          <cell r="C363">
            <v>5163.6000000000004</v>
          </cell>
          <cell r="D363">
            <v>5060.43</v>
          </cell>
          <cell r="E363">
            <v>5097.42</v>
          </cell>
          <cell r="F363">
            <v>5.0974200000000005</v>
          </cell>
        </row>
        <row r="364">
          <cell r="A364">
            <v>44417</v>
          </cell>
          <cell r="B364">
            <v>5051.1899999999996</v>
          </cell>
          <cell r="C364">
            <v>5116.83</v>
          </cell>
          <cell r="D364">
            <v>5002.55</v>
          </cell>
          <cell r="E364">
            <v>5096.72</v>
          </cell>
          <cell r="F364">
            <v>5.0967200000000004</v>
          </cell>
        </row>
        <row r="365">
          <cell r="A365">
            <v>44418</v>
          </cell>
          <cell r="B365">
            <v>5086.8999999999996</v>
          </cell>
          <cell r="C365">
            <v>5103.57</v>
          </cell>
          <cell r="D365">
            <v>5040.5</v>
          </cell>
          <cell r="E365">
            <v>5103.57</v>
          </cell>
          <cell r="F365">
            <v>5.1035699999999995</v>
          </cell>
        </row>
        <row r="366">
          <cell r="A366">
            <v>44419</v>
          </cell>
          <cell r="B366">
            <v>5103.09</v>
          </cell>
          <cell r="C366">
            <v>5122.1899999999996</v>
          </cell>
          <cell r="D366">
            <v>5061.29</v>
          </cell>
          <cell r="E366">
            <v>5072.07</v>
          </cell>
          <cell r="F366">
            <v>5.0720700000000001</v>
          </cell>
        </row>
        <row r="367">
          <cell r="A367">
            <v>44420</v>
          </cell>
          <cell r="B367">
            <v>5043.49</v>
          </cell>
          <cell r="C367">
            <v>5076.22</v>
          </cell>
          <cell r="D367">
            <v>5010.62</v>
          </cell>
          <cell r="E367">
            <v>5034.7700000000004</v>
          </cell>
          <cell r="F367">
            <v>5.0347700000000009</v>
          </cell>
        </row>
        <row r="368">
          <cell r="A368">
            <v>44421</v>
          </cell>
          <cell r="B368">
            <v>5004.17</v>
          </cell>
          <cell r="C368">
            <v>5062.34</v>
          </cell>
          <cell r="D368">
            <v>4938.55</v>
          </cell>
          <cell r="E368">
            <v>4962.05</v>
          </cell>
          <cell r="F368">
            <v>4.9620500000000005</v>
          </cell>
        </row>
        <row r="369">
          <cell r="A369">
            <v>44424</v>
          </cell>
          <cell r="B369">
            <v>4933.8500000000004</v>
          </cell>
          <cell r="C369">
            <v>4954.84</v>
          </cell>
          <cell r="D369">
            <v>4891.03</v>
          </cell>
          <cell r="E369">
            <v>4903.29</v>
          </cell>
          <cell r="F369">
            <v>4.9032900000000001</v>
          </cell>
        </row>
        <row r="370">
          <cell r="A370">
            <v>44425</v>
          </cell>
          <cell r="B370">
            <v>4907.01</v>
          </cell>
          <cell r="C370">
            <v>4932.05</v>
          </cell>
          <cell r="D370">
            <v>4783.25</v>
          </cell>
          <cell r="E370">
            <v>4800.46</v>
          </cell>
          <cell r="F370">
            <v>4.8004600000000002</v>
          </cell>
        </row>
        <row r="371">
          <cell r="A371">
            <v>44426</v>
          </cell>
          <cell r="B371">
            <v>4823.32</v>
          </cell>
          <cell r="C371">
            <v>4858</v>
          </cell>
          <cell r="D371">
            <v>4782.7299999999996</v>
          </cell>
          <cell r="E371">
            <v>4828.67</v>
          </cell>
          <cell r="F371">
            <v>4.8286699999999998</v>
          </cell>
        </row>
        <row r="372">
          <cell r="A372">
            <v>44427</v>
          </cell>
          <cell r="B372">
            <v>4839.8900000000003</v>
          </cell>
          <cell r="C372">
            <v>4896.8900000000003</v>
          </cell>
          <cell r="D372">
            <v>4807.12</v>
          </cell>
          <cell r="E372">
            <v>4864.54</v>
          </cell>
          <cell r="F372">
            <v>4.8645399999999999</v>
          </cell>
        </row>
        <row r="373">
          <cell r="A373">
            <v>44428</v>
          </cell>
          <cell r="B373">
            <v>4832.66</v>
          </cell>
          <cell r="C373">
            <v>4852.09</v>
          </cell>
          <cell r="D373">
            <v>4721.26</v>
          </cell>
          <cell r="E373">
            <v>4775.3100000000004</v>
          </cell>
          <cell r="F373">
            <v>4.7753100000000002</v>
          </cell>
        </row>
        <row r="374">
          <cell r="A374">
            <v>44431</v>
          </cell>
          <cell r="B374">
            <v>4789.93</v>
          </cell>
          <cell r="C374">
            <v>4898.3100000000004</v>
          </cell>
          <cell r="D374">
            <v>4767.47</v>
          </cell>
          <cell r="E374">
            <v>4890.51</v>
          </cell>
          <cell r="F374">
            <v>4.8905099999999999</v>
          </cell>
        </row>
        <row r="375">
          <cell r="A375">
            <v>44432</v>
          </cell>
          <cell r="B375">
            <v>4897.32</v>
          </cell>
          <cell r="C375">
            <v>4952.2</v>
          </cell>
          <cell r="D375">
            <v>4878.2299999999996</v>
          </cell>
          <cell r="E375">
            <v>4927.54</v>
          </cell>
          <cell r="F375">
            <v>4.9275399999999996</v>
          </cell>
        </row>
        <row r="376">
          <cell r="A376">
            <v>44433</v>
          </cell>
          <cell r="B376">
            <v>4932.8900000000003</v>
          </cell>
          <cell r="C376">
            <v>4944.0600000000004</v>
          </cell>
          <cell r="D376">
            <v>4886.74</v>
          </cell>
          <cell r="E376">
            <v>4935.42</v>
          </cell>
          <cell r="F376">
            <v>4.9354199999999997</v>
          </cell>
        </row>
        <row r="377">
          <cell r="A377">
            <v>44434</v>
          </cell>
          <cell r="B377">
            <v>4949.71</v>
          </cell>
          <cell r="C377">
            <v>4957.7</v>
          </cell>
          <cell r="D377">
            <v>4826.51</v>
          </cell>
          <cell r="E377">
            <v>4827.49</v>
          </cell>
          <cell r="F377">
            <v>4.8274900000000001</v>
          </cell>
        </row>
        <row r="378">
          <cell r="A378">
            <v>44435</v>
          </cell>
          <cell r="B378">
            <v>4822.9399999999996</v>
          </cell>
          <cell r="C378">
            <v>4886.66</v>
          </cell>
          <cell r="D378">
            <v>4816.41</v>
          </cell>
          <cell r="E378">
            <v>4834.74</v>
          </cell>
          <cell r="F378">
            <v>4.83474</v>
          </cell>
        </row>
        <row r="379">
          <cell r="A379">
            <v>44438</v>
          </cell>
          <cell r="B379">
            <v>4858.2299999999996</v>
          </cell>
          <cell r="C379">
            <v>4887.0600000000004</v>
          </cell>
          <cell r="D379">
            <v>4784.01</v>
          </cell>
          <cell r="E379">
            <v>4821.5</v>
          </cell>
          <cell r="F379">
            <v>4.8215000000000003</v>
          </cell>
        </row>
        <row r="380">
          <cell r="A380">
            <v>44439</v>
          </cell>
          <cell r="B380">
            <v>4828.2</v>
          </cell>
          <cell r="C380">
            <v>4828.2</v>
          </cell>
          <cell r="D380">
            <v>4711.05</v>
          </cell>
          <cell r="E380">
            <v>4761.3100000000004</v>
          </cell>
          <cell r="F380">
            <v>4.7613100000000008</v>
          </cell>
        </row>
        <row r="381">
          <cell r="A381">
            <v>44440</v>
          </cell>
          <cell r="B381">
            <v>4768.08</v>
          </cell>
          <cell r="C381">
            <v>4781.92</v>
          </cell>
          <cell r="D381">
            <v>4651.6000000000004</v>
          </cell>
          <cell r="E381">
            <v>4746.93</v>
          </cell>
          <cell r="F381">
            <v>4.7469299999999999</v>
          </cell>
        </row>
        <row r="382">
          <cell r="A382">
            <v>44441</v>
          </cell>
          <cell r="B382">
            <v>4749.72</v>
          </cell>
          <cell r="C382">
            <v>4761.32</v>
          </cell>
          <cell r="D382">
            <v>4681.49</v>
          </cell>
          <cell r="E382">
            <v>4695.28</v>
          </cell>
          <cell r="F382">
            <v>4.6952799999999995</v>
          </cell>
        </row>
        <row r="383">
          <cell r="A383">
            <v>44442</v>
          </cell>
          <cell r="B383">
            <v>4688.49</v>
          </cell>
          <cell r="C383">
            <v>4694.21</v>
          </cell>
          <cell r="D383">
            <v>4614.13</v>
          </cell>
          <cell r="E383">
            <v>4635.47</v>
          </cell>
          <cell r="F383">
            <v>4.6354700000000006</v>
          </cell>
        </row>
        <row r="384">
          <cell r="A384">
            <v>44445</v>
          </cell>
          <cell r="B384">
            <v>4642.13</v>
          </cell>
          <cell r="C384">
            <v>4812.66</v>
          </cell>
          <cell r="D384">
            <v>4623.13</v>
          </cell>
          <cell r="E384">
            <v>4805.21</v>
          </cell>
          <cell r="F384">
            <v>4.8052099999999998</v>
          </cell>
        </row>
        <row r="385">
          <cell r="A385">
            <v>44446</v>
          </cell>
          <cell r="B385">
            <v>4807.95</v>
          </cell>
          <cell r="C385">
            <v>4843.84</v>
          </cell>
          <cell r="D385">
            <v>4783.16</v>
          </cell>
          <cell r="E385">
            <v>4834.2700000000004</v>
          </cell>
          <cell r="F385">
            <v>4.8342700000000001</v>
          </cell>
        </row>
        <row r="386">
          <cell r="A386">
            <v>44447</v>
          </cell>
          <cell r="B386">
            <v>4839.99</v>
          </cell>
          <cell r="C386">
            <v>4865.75</v>
          </cell>
          <cell r="D386">
            <v>4787.97</v>
          </cell>
          <cell r="E386">
            <v>4810.45</v>
          </cell>
          <cell r="F386">
            <v>4.8104499999999994</v>
          </cell>
        </row>
        <row r="387">
          <cell r="A387">
            <v>44448</v>
          </cell>
          <cell r="B387">
            <v>4809.68</v>
          </cell>
          <cell r="C387">
            <v>4831.16</v>
          </cell>
          <cell r="D387">
            <v>4738.3999999999996</v>
          </cell>
          <cell r="E387">
            <v>4797.66</v>
          </cell>
          <cell r="F387">
            <v>4.7976599999999996</v>
          </cell>
        </row>
        <row r="388">
          <cell r="A388">
            <v>44449</v>
          </cell>
          <cell r="B388">
            <v>4782.1400000000003</v>
          </cell>
          <cell r="C388">
            <v>4834.37</v>
          </cell>
          <cell r="D388">
            <v>4754.7</v>
          </cell>
          <cell r="E388">
            <v>4826.45</v>
          </cell>
          <cell r="F388">
            <v>4.8264499999999995</v>
          </cell>
        </row>
        <row r="389">
          <cell r="A389">
            <v>44452</v>
          </cell>
          <cell r="B389">
            <v>4829.41</v>
          </cell>
          <cell r="C389">
            <v>4840.6499999999996</v>
          </cell>
          <cell r="D389">
            <v>4751.26</v>
          </cell>
          <cell r="E389">
            <v>4765.21</v>
          </cell>
          <cell r="F389">
            <v>4.7652099999999997</v>
          </cell>
        </row>
        <row r="390">
          <cell r="A390">
            <v>44453</v>
          </cell>
          <cell r="B390">
            <v>4767.25</v>
          </cell>
          <cell r="C390">
            <v>4844.66</v>
          </cell>
          <cell r="D390">
            <v>4758.08</v>
          </cell>
          <cell r="E390">
            <v>4779.13</v>
          </cell>
          <cell r="F390">
            <v>4.7791300000000003</v>
          </cell>
        </row>
        <row r="391">
          <cell r="A391">
            <v>44454</v>
          </cell>
          <cell r="B391">
            <v>4768.59</v>
          </cell>
          <cell r="C391">
            <v>4770.41</v>
          </cell>
          <cell r="D391">
            <v>4709.5</v>
          </cell>
          <cell r="E391">
            <v>4734.4799999999996</v>
          </cell>
          <cell r="F391">
            <v>4.7344799999999996</v>
          </cell>
        </row>
        <row r="392">
          <cell r="A392">
            <v>44455</v>
          </cell>
          <cell r="B392">
            <v>4724.0600000000004</v>
          </cell>
          <cell r="C392">
            <v>4726.99</v>
          </cell>
          <cell r="D392">
            <v>4630.09</v>
          </cell>
          <cell r="E392">
            <v>4630.09</v>
          </cell>
          <cell r="F392">
            <v>4.63009</v>
          </cell>
        </row>
        <row r="393">
          <cell r="A393">
            <v>44456</v>
          </cell>
          <cell r="B393">
            <v>4619.1400000000003</v>
          </cell>
          <cell r="C393">
            <v>4691.59</v>
          </cell>
          <cell r="D393">
            <v>4595.1499999999996</v>
          </cell>
          <cell r="E393">
            <v>4682.29</v>
          </cell>
          <cell r="F393">
            <v>4.6822900000000001</v>
          </cell>
        </row>
        <row r="394">
          <cell r="A394">
            <v>44461</v>
          </cell>
          <cell r="B394">
            <v>4605.62</v>
          </cell>
          <cell r="C394">
            <v>4667.37</v>
          </cell>
          <cell r="D394">
            <v>4598.3599999999997</v>
          </cell>
          <cell r="E394">
            <v>4637.8500000000004</v>
          </cell>
          <cell r="F394">
            <v>4.6378500000000003</v>
          </cell>
        </row>
        <row r="395">
          <cell r="A395">
            <v>44462</v>
          </cell>
          <cell r="B395">
            <v>4680.71</v>
          </cell>
          <cell r="C395">
            <v>4690.88</v>
          </cell>
          <cell r="D395">
            <v>4642.47</v>
          </cell>
          <cell r="E395">
            <v>4672.3100000000004</v>
          </cell>
          <cell r="F395">
            <v>4.6723100000000004</v>
          </cell>
        </row>
        <row r="396">
          <cell r="A396">
            <v>44463</v>
          </cell>
          <cell r="B396">
            <v>4665.8900000000003</v>
          </cell>
          <cell r="C396">
            <v>4742.92</v>
          </cell>
          <cell r="D396">
            <v>4648.2700000000004</v>
          </cell>
          <cell r="E396">
            <v>4683.22</v>
          </cell>
          <cell r="F396">
            <v>4.6832200000000004</v>
          </cell>
        </row>
        <row r="397">
          <cell r="A397">
            <v>44466</v>
          </cell>
          <cell r="B397">
            <v>4706.22</v>
          </cell>
          <cell r="C397">
            <v>4763.3500000000004</v>
          </cell>
          <cell r="D397">
            <v>4672.6499999999996</v>
          </cell>
          <cell r="E397">
            <v>4717.7700000000004</v>
          </cell>
          <cell r="F397">
            <v>4.7177700000000007</v>
          </cell>
        </row>
        <row r="398">
          <cell r="A398">
            <v>44467</v>
          </cell>
          <cell r="B398">
            <v>4698.57</v>
          </cell>
          <cell r="C398">
            <v>4745.75</v>
          </cell>
          <cell r="D398">
            <v>4671.57</v>
          </cell>
          <cell r="E398">
            <v>4685.75</v>
          </cell>
          <cell r="F398">
            <v>4.6857499999999996</v>
          </cell>
        </row>
        <row r="399">
          <cell r="A399">
            <v>44468</v>
          </cell>
          <cell r="B399">
            <v>4647.07</v>
          </cell>
          <cell r="C399">
            <v>4666.05</v>
          </cell>
          <cell r="D399">
            <v>4602.82</v>
          </cell>
          <cell r="E399">
            <v>4621.91</v>
          </cell>
          <cell r="F399">
            <v>4.6219099999999997</v>
          </cell>
        </row>
        <row r="400">
          <cell r="A400">
            <v>44469</v>
          </cell>
          <cell r="B400">
            <v>4642.0600000000004</v>
          </cell>
          <cell r="C400">
            <v>4723.3999999999996</v>
          </cell>
          <cell r="D400">
            <v>4640.6099999999997</v>
          </cell>
          <cell r="E400">
            <v>4710.6400000000003</v>
          </cell>
          <cell r="F400">
            <v>4.7106400000000006</v>
          </cell>
        </row>
        <row r="401">
          <cell r="A401">
            <v>44477</v>
          </cell>
          <cell r="B401">
            <v>4759.76</v>
          </cell>
          <cell r="C401">
            <v>4784.5</v>
          </cell>
          <cell r="D401">
            <v>4718.71</v>
          </cell>
          <cell r="E401">
            <v>4747.32</v>
          </cell>
          <cell r="F401">
            <v>4.7473199999999993</v>
          </cell>
        </row>
        <row r="402">
          <cell r="A402">
            <v>44480</v>
          </cell>
          <cell r="B402">
            <v>4754.63</v>
          </cell>
          <cell r="C402">
            <v>4771.53</v>
          </cell>
          <cell r="D402">
            <v>4707.05</v>
          </cell>
          <cell r="E402">
            <v>4713.12</v>
          </cell>
          <cell r="F402">
            <v>4.71312</v>
          </cell>
        </row>
        <row r="403">
          <cell r="A403">
            <v>44481</v>
          </cell>
          <cell r="B403">
            <v>4707.79</v>
          </cell>
          <cell r="C403">
            <v>4721.6099999999997</v>
          </cell>
          <cell r="D403">
            <v>4601.6000000000004</v>
          </cell>
          <cell r="E403">
            <v>4643.6000000000004</v>
          </cell>
          <cell r="F403">
            <v>4.6436000000000002</v>
          </cell>
        </row>
        <row r="404">
          <cell r="A404">
            <v>44482</v>
          </cell>
          <cell r="B404">
            <v>4647.76</v>
          </cell>
          <cell r="C404">
            <v>4726.79</v>
          </cell>
          <cell r="D404">
            <v>4640.37</v>
          </cell>
          <cell r="E404">
            <v>4725.9399999999996</v>
          </cell>
          <cell r="F404">
            <v>4.7259399999999996</v>
          </cell>
        </row>
        <row r="405">
          <cell r="A405">
            <v>44483</v>
          </cell>
          <cell r="B405">
            <v>4734.59</v>
          </cell>
          <cell r="C405">
            <v>4749.68</v>
          </cell>
          <cell r="D405">
            <v>4708.1400000000003</v>
          </cell>
          <cell r="E405">
            <v>4724.57</v>
          </cell>
          <cell r="F405">
            <v>4.7245699999999999</v>
          </cell>
        </row>
        <row r="406">
          <cell r="A406">
            <v>44484</v>
          </cell>
          <cell r="B406">
            <v>4717.99</v>
          </cell>
          <cell r="C406">
            <v>4802.09</v>
          </cell>
          <cell r="D406">
            <v>4689.28</v>
          </cell>
          <cell r="E406">
            <v>4790.17</v>
          </cell>
          <cell r="F406">
            <v>4.7901699999999998</v>
          </cell>
        </row>
        <row r="407">
          <cell r="A407">
            <v>44487</v>
          </cell>
          <cell r="B407">
            <v>4796.59</v>
          </cell>
          <cell r="C407">
            <v>4796.59</v>
          </cell>
          <cell r="D407">
            <v>4717.6499999999996</v>
          </cell>
          <cell r="E407">
            <v>4778.49</v>
          </cell>
          <cell r="F407">
            <v>4.7784899999999997</v>
          </cell>
        </row>
        <row r="408">
          <cell r="A408">
            <v>44488</v>
          </cell>
          <cell r="B408">
            <v>4794.3100000000004</v>
          </cell>
          <cell r="C408">
            <v>4822.97</v>
          </cell>
          <cell r="D408">
            <v>4783.99</v>
          </cell>
          <cell r="E408">
            <v>4813.37</v>
          </cell>
          <cell r="F408">
            <v>4.8133699999999999</v>
          </cell>
        </row>
        <row r="409">
          <cell r="A409">
            <v>44489</v>
          </cell>
          <cell r="B409">
            <v>4818.51</v>
          </cell>
          <cell r="C409">
            <v>4838.54</v>
          </cell>
          <cell r="D409">
            <v>4781.24</v>
          </cell>
          <cell r="E409">
            <v>4782.92</v>
          </cell>
          <cell r="F409">
            <v>4.7829199999999998</v>
          </cell>
        </row>
        <row r="410">
          <cell r="A410">
            <v>44490</v>
          </cell>
          <cell r="B410">
            <v>4787.6899999999996</v>
          </cell>
          <cell r="C410">
            <v>4804.92</v>
          </cell>
          <cell r="D410">
            <v>4752.78</v>
          </cell>
          <cell r="E410">
            <v>4793.74</v>
          </cell>
          <cell r="F410">
            <v>4.7937399999999997</v>
          </cell>
        </row>
        <row r="411">
          <cell r="A411">
            <v>44491</v>
          </cell>
          <cell r="B411">
            <v>4807.6499999999996</v>
          </cell>
          <cell r="C411">
            <v>4865.8100000000004</v>
          </cell>
          <cell r="D411">
            <v>4798.49</v>
          </cell>
          <cell r="E411">
            <v>4842.63</v>
          </cell>
          <cell r="F411">
            <v>4.8426299999999998</v>
          </cell>
        </row>
        <row r="412">
          <cell r="A412">
            <v>44494</v>
          </cell>
          <cell r="B412">
            <v>4845.6899999999996</v>
          </cell>
          <cell r="C412">
            <v>4885.34</v>
          </cell>
          <cell r="D412">
            <v>4824.6899999999996</v>
          </cell>
          <cell r="E412">
            <v>4882.96</v>
          </cell>
          <cell r="F412">
            <v>4.8829599999999997</v>
          </cell>
        </row>
        <row r="413">
          <cell r="A413">
            <v>44495</v>
          </cell>
          <cell r="B413">
            <v>4923.71</v>
          </cell>
          <cell r="C413">
            <v>4929.58</v>
          </cell>
          <cell r="D413">
            <v>4873.62</v>
          </cell>
          <cell r="E413">
            <v>4880.37</v>
          </cell>
          <cell r="F413">
            <v>4.8803700000000001</v>
          </cell>
        </row>
        <row r="414">
          <cell r="A414">
            <v>44496</v>
          </cell>
          <cell r="B414">
            <v>4866.3</v>
          </cell>
          <cell r="C414">
            <v>4866.3</v>
          </cell>
          <cell r="D414">
            <v>4813.62</v>
          </cell>
          <cell r="E414">
            <v>4833.03</v>
          </cell>
          <cell r="F414">
            <v>4.8330299999999999</v>
          </cell>
        </row>
        <row r="415">
          <cell r="A415">
            <v>44497</v>
          </cell>
          <cell r="B415">
            <v>4822.71</v>
          </cell>
          <cell r="C415">
            <v>4873.34</v>
          </cell>
          <cell r="D415">
            <v>4783.22</v>
          </cell>
          <cell r="E415">
            <v>4803.53</v>
          </cell>
          <cell r="F415">
            <v>4.8035299999999994</v>
          </cell>
        </row>
        <row r="416">
          <cell r="A416">
            <v>44498</v>
          </cell>
          <cell r="B416">
            <v>4795.09</v>
          </cell>
          <cell r="C416">
            <v>4875.8100000000004</v>
          </cell>
          <cell r="D416">
            <v>4769</v>
          </cell>
          <cell r="E416">
            <v>4867.8999999999996</v>
          </cell>
          <cell r="F416">
            <v>4.8678999999999997</v>
          </cell>
        </row>
        <row r="417">
          <cell r="A417">
            <v>44501</v>
          </cell>
          <cell r="B417">
            <v>4867.18994140625</v>
          </cell>
          <cell r="C417">
            <v>4923.4501953125</v>
          </cell>
          <cell r="D417">
            <v>4833.14990234375</v>
          </cell>
          <cell r="E417">
            <v>4878.35986328125</v>
          </cell>
          <cell r="F417">
            <v>4.8783598632812497</v>
          </cell>
        </row>
        <row r="418">
          <cell r="A418">
            <v>44502</v>
          </cell>
          <cell r="B418">
            <v>4889.330078125</v>
          </cell>
          <cell r="C418">
            <v>4928.02001953125</v>
          </cell>
          <cell r="D418">
            <v>4829.27001953125</v>
          </cell>
          <cell r="E418">
            <v>4872.83984375</v>
          </cell>
          <cell r="F418">
            <v>4.8728398437499996</v>
          </cell>
        </row>
        <row r="419">
          <cell r="A419">
            <v>44503</v>
          </cell>
          <cell r="B419">
            <v>4862.85009765625</v>
          </cell>
          <cell r="C419">
            <v>4884.009765625</v>
          </cell>
          <cell r="D419">
            <v>4803.83984375</v>
          </cell>
          <cell r="E419">
            <v>4835.27001953125</v>
          </cell>
          <cell r="F419">
            <v>4.8352700195312499</v>
          </cell>
        </row>
        <row r="420">
          <cell r="A420">
            <v>44504</v>
          </cell>
          <cell r="B420">
            <v>4868.64013671875</v>
          </cell>
          <cell r="C420">
            <v>4904.5400390625</v>
          </cell>
          <cell r="D420">
            <v>4850.39013671875</v>
          </cell>
          <cell r="E420">
            <v>4894.9501953125</v>
          </cell>
          <cell r="F420">
            <v>4.8949501953125001</v>
          </cell>
        </row>
        <row r="421">
          <cell r="A421">
            <v>44505</v>
          </cell>
          <cell r="B421">
            <v>4885.64990234375</v>
          </cell>
          <cell r="C421">
            <v>4920.7001953125</v>
          </cell>
          <cell r="D421">
            <v>4869.1298828125</v>
          </cell>
          <cell r="E421">
            <v>4869.1298828125</v>
          </cell>
          <cell r="F421">
            <v>4.8691298828124996</v>
          </cell>
        </row>
        <row r="422">
          <cell r="A422">
            <v>44508</v>
          </cell>
          <cell r="B422">
            <v>4861.419921875</v>
          </cell>
          <cell r="C422">
            <v>4909.83984375</v>
          </cell>
          <cell r="D422">
            <v>4841.8798828125</v>
          </cell>
          <cell r="E422">
            <v>4895.31005859375</v>
          </cell>
          <cell r="F422">
            <v>4.8953100585937497</v>
          </cell>
        </row>
        <row r="423">
          <cell r="A423">
            <v>44509</v>
          </cell>
          <cell r="B423">
            <v>4912.6298828125</v>
          </cell>
          <cell r="C423">
            <v>4918.06982421875</v>
          </cell>
          <cell r="D423">
            <v>4878.64013671875</v>
          </cell>
          <cell r="E423">
            <v>4916.3798828125</v>
          </cell>
          <cell r="F423">
            <v>4.9163798828124996</v>
          </cell>
        </row>
        <row r="424">
          <cell r="A424">
            <v>44510</v>
          </cell>
          <cell r="B424">
            <v>4889.22998046875</v>
          </cell>
          <cell r="C424">
            <v>4898.47998046875</v>
          </cell>
          <cell r="D424">
            <v>4807.93994140625</v>
          </cell>
          <cell r="E424">
            <v>4888.509765625</v>
          </cell>
          <cell r="F424">
            <v>4.8885097656249998</v>
          </cell>
        </row>
        <row r="425">
          <cell r="A425">
            <v>44511</v>
          </cell>
          <cell r="B425">
            <v>4877.93017578125</v>
          </cell>
          <cell r="C425">
            <v>4948.08984375</v>
          </cell>
          <cell r="D425">
            <v>4872.89990234375</v>
          </cell>
          <cell r="E425">
            <v>4943.06982421875</v>
          </cell>
          <cell r="F425">
            <v>4.9430698242187496</v>
          </cell>
        </row>
        <row r="426">
          <cell r="A426">
            <v>44512</v>
          </cell>
          <cell r="B426">
            <v>4946.43017578125</v>
          </cell>
          <cell r="C426">
            <v>4951.14013671875</v>
          </cell>
          <cell r="D426">
            <v>4900.77978515625</v>
          </cell>
          <cell r="E426">
            <v>4929.2998046875</v>
          </cell>
          <cell r="F426">
            <v>4.9292998046875001</v>
          </cell>
        </row>
        <row r="427">
          <cell r="A427">
            <v>44515</v>
          </cell>
          <cell r="B427">
            <v>4936.580078125</v>
          </cell>
          <cell r="C427">
            <v>4936.580078125</v>
          </cell>
          <cell r="D427">
            <v>4861.080078125</v>
          </cell>
          <cell r="E427">
            <v>4888.64013671875</v>
          </cell>
          <cell r="F427">
            <v>4.8886401367187498</v>
          </cell>
        </row>
        <row r="428">
          <cell r="A428">
            <v>44516</v>
          </cell>
          <cell r="B428">
            <v>4884.60986328125</v>
          </cell>
          <cell r="C428">
            <v>4925.06982421875</v>
          </cell>
          <cell r="D428">
            <v>4873.2099609375</v>
          </cell>
          <cell r="E428">
            <v>4885.56005859375</v>
          </cell>
          <cell r="F428">
            <v>4.8855600585937502</v>
          </cell>
        </row>
        <row r="429">
          <cell r="A429">
            <v>44517</v>
          </cell>
          <cell r="B429">
            <v>4910.68994140625</v>
          </cell>
          <cell r="C429">
            <v>4927.41015625</v>
          </cell>
          <cell r="D429">
            <v>4894.14013671875</v>
          </cell>
          <cell r="E429">
            <v>4923.10009765625</v>
          </cell>
          <cell r="F429">
            <v>4.92310009765625</v>
          </cell>
        </row>
        <row r="430">
          <cell r="A430">
            <v>44518</v>
          </cell>
          <cell r="B430">
            <v>4909.2001953125</v>
          </cell>
          <cell r="C430">
            <v>4909.2001953125</v>
          </cell>
          <cell r="D430">
            <v>4854.06005859375</v>
          </cell>
          <cell r="E430">
            <v>4865.669921875</v>
          </cell>
          <cell r="F430">
            <v>4.8656699218749999</v>
          </cell>
        </row>
        <row r="431">
          <cell r="A431">
            <v>44519</v>
          </cell>
          <cell r="B431">
            <v>4867.52001953125</v>
          </cell>
          <cell r="C431">
            <v>4917.02978515625</v>
          </cell>
          <cell r="D431">
            <v>4854.47998046875</v>
          </cell>
          <cell r="E431">
            <v>4915.0498046875</v>
          </cell>
          <cell r="F431">
            <v>4.9150498046875004</v>
          </cell>
        </row>
        <row r="432">
          <cell r="A432">
            <v>44522</v>
          </cell>
          <cell r="B432">
            <v>4929.18994140625</v>
          </cell>
          <cell r="C432">
            <v>5016.259765625</v>
          </cell>
          <cell r="D432">
            <v>4925.3701171875</v>
          </cell>
          <cell r="E432">
            <v>5016.259765625</v>
          </cell>
          <cell r="F432">
            <v>5.0162597656249996</v>
          </cell>
        </row>
        <row r="433">
          <cell r="A433">
            <v>44523</v>
          </cell>
          <cell r="B433">
            <v>5005</v>
          </cell>
          <cell r="C433">
            <v>5005</v>
          </cell>
          <cell r="D433">
            <v>4963.169921875</v>
          </cell>
          <cell r="E433">
            <v>4979.5400390625</v>
          </cell>
          <cell r="F433">
            <v>4.9795400390625</v>
          </cell>
        </row>
        <row r="434">
          <cell r="A434">
            <v>44524</v>
          </cell>
          <cell r="B434">
            <v>4979.93017578125</v>
          </cell>
          <cell r="C434">
            <v>4989.35986328125</v>
          </cell>
          <cell r="D434">
            <v>4949.669921875</v>
          </cell>
          <cell r="E434">
            <v>4961.25</v>
          </cell>
          <cell r="F434">
            <v>4.9612499999999997</v>
          </cell>
        </row>
        <row r="435">
          <cell r="A435">
            <v>44525</v>
          </cell>
          <cell r="B435">
            <v>4954.81982421875</v>
          </cell>
          <cell r="C435">
            <v>4961.169921875</v>
          </cell>
          <cell r="D435">
            <v>4929.83984375</v>
          </cell>
          <cell r="E435">
            <v>4941.4501953125</v>
          </cell>
          <cell r="F435">
            <v>4.9414501953125001</v>
          </cell>
        </row>
        <row r="436">
          <cell r="A436">
            <v>44526</v>
          </cell>
          <cell r="B436">
            <v>4932.490234375</v>
          </cell>
          <cell r="C436">
            <v>4962.2900390625</v>
          </cell>
          <cell r="D436">
            <v>4910.2001953125</v>
          </cell>
          <cell r="E436">
            <v>4918.14990234375</v>
          </cell>
          <cell r="F436">
            <v>4.9181499023437496</v>
          </cell>
        </row>
        <row r="437">
          <cell r="A437">
            <v>44529</v>
          </cell>
          <cell r="B437">
            <v>4880.5</v>
          </cell>
          <cell r="C437">
            <v>4958.330078125</v>
          </cell>
          <cell r="D437">
            <v>4879.259765625</v>
          </cell>
          <cell r="E437">
            <v>4944.9501953125</v>
          </cell>
          <cell r="F437">
            <v>4.9449501953124999</v>
          </cell>
        </row>
        <row r="438">
          <cell r="A438">
            <v>44530</v>
          </cell>
          <cell r="B438">
            <v>4964.27978515625</v>
          </cell>
          <cell r="C438">
            <v>4970.9501953125</v>
          </cell>
          <cell r="D438">
            <v>4924.509765625</v>
          </cell>
          <cell r="E438">
            <v>4954.7099609375</v>
          </cell>
          <cell r="F438">
            <v>4.9547099609374996</v>
          </cell>
        </row>
        <row r="439">
          <cell r="A439">
            <v>44531</v>
          </cell>
          <cell r="B439">
            <v>4949.33984375</v>
          </cell>
          <cell r="C439">
            <v>4956.85986328125</v>
          </cell>
          <cell r="D439">
            <v>4909.14013671875</v>
          </cell>
          <cell r="E439">
            <v>4932.009765625</v>
          </cell>
          <cell r="F439">
            <v>4.9320097656249997</v>
          </cell>
        </row>
        <row r="440">
          <cell r="A440">
            <v>44532</v>
          </cell>
          <cell r="B440">
            <v>4924.56982421875</v>
          </cell>
          <cell r="C440">
            <v>4947.919921875</v>
          </cell>
          <cell r="D440">
            <v>4906</v>
          </cell>
          <cell r="E440">
            <v>4920.02978515625</v>
          </cell>
          <cell r="F440">
            <v>4.9200297851562498</v>
          </cell>
        </row>
        <row r="441">
          <cell r="A441">
            <v>44533</v>
          </cell>
          <cell r="B441">
            <v>4921.1201171875</v>
          </cell>
          <cell r="C441">
            <v>4936.14013671875</v>
          </cell>
          <cell r="D441">
            <v>4890.3798828125</v>
          </cell>
          <cell r="E441">
            <v>4936.14013671875</v>
          </cell>
          <cell r="F441">
            <v>4.9361401367187501</v>
          </cell>
        </row>
        <row r="442">
          <cell r="A442">
            <v>44536</v>
          </cell>
          <cell r="B442">
            <v>4915.68017578125</v>
          </cell>
          <cell r="C442">
            <v>4947.7998046875</v>
          </cell>
          <cell r="D442">
            <v>4874.56005859375</v>
          </cell>
          <cell r="E442">
            <v>4877.10009765625</v>
          </cell>
          <cell r="F442">
            <v>4.8771000976562497</v>
          </cell>
        </row>
        <row r="443">
          <cell r="A443">
            <v>44537</v>
          </cell>
          <cell r="B443">
            <v>4914.77978515625</v>
          </cell>
          <cell r="C443">
            <v>4919.08984375</v>
          </cell>
          <cell r="D443">
            <v>4816.91015625</v>
          </cell>
          <cell r="E443">
            <v>4847.7900390625</v>
          </cell>
          <cell r="F443">
            <v>4.8477900390624997</v>
          </cell>
        </row>
        <row r="444">
          <cell r="A444">
            <v>44538</v>
          </cell>
          <cell r="B444">
            <v>4869.490234375</v>
          </cell>
          <cell r="C444">
            <v>4933.31005859375</v>
          </cell>
          <cell r="D444">
            <v>4864.91015625</v>
          </cell>
          <cell r="E444">
            <v>4932.5498046875</v>
          </cell>
          <cell r="F444">
            <v>4.9325498046874996</v>
          </cell>
        </row>
        <row r="445">
          <cell r="A445">
            <v>44539</v>
          </cell>
          <cell r="B445">
            <v>4931.89013671875</v>
          </cell>
          <cell r="C445">
            <v>5013.14013671875</v>
          </cell>
          <cell r="D445">
            <v>4928.3798828125</v>
          </cell>
          <cell r="E445">
            <v>5003.6201171875</v>
          </cell>
          <cell r="F445">
            <v>5.0036201171875003</v>
          </cell>
        </row>
        <row r="446">
          <cell r="A446">
            <v>44540</v>
          </cell>
          <cell r="B446">
            <v>4965.39990234375</v>
          </cell>
          <cell r="C446">
            <v>5021.43994140625</v>
          </cell>
          <cell r="D446">
            <v>4960.56005859375</v>
          </cell>
          <cell r="E446">
            <v>5003.830078125</v>
          </cell>
          <cell r="F446">
            <v>5.0038300781249996</v>
          </cell>
        </row>
        <row r="447">
          <cell r="A447">
            <v>44543</v>
          </cell>
          <cell r="B447">
            <v>5013.0498046875</v>
          </cell>
          <cell r="C447">
            <v>5070.0400390625</v>
          </cell>
          <cell r="D447">
            <v>5012.9501953125</v>
          </cell>
          <cell r="E447">
            <v>5040.85009765625</v>
          </cell>
          <cell r="F447">
            <v>5.04085009765625</v>
          </cell>
        </row>
        <row r="448">
          <cell r="A448">
            <v>44544</v>
          </cell>
          <cell r="B448">
            <v>5031.169921875</v>
          </cell>
          <cell r="C448">
            <v>5033.4501953125</v>
          </cell>
          <cell r="D448">
            <v>4993.72998046875</v>
          </cell>
          <cell r="E448">
            <v>5004.8798828125</v>
          </cell>
          <cell r="F448">
            <v>5.0048798828125003</v>
          </cell>
        </row>
        <row r="449">
          <cell r="A449">
            <v>44545</v>
          </cell>
          <cell r="B449">
            <v>4993.5498046875</v>
          </cell>
          <cell r="C449">
            <v>5015.97021484375</v>
          </cell>
          <cell r="D449">
            <v>4952.27001953125</v>
          </cell>
          <cell r="E449">
            <v>4955.1298828125</v>
          </cell>
          <cell r="F449">
            <v>4.9551298828124999</v>
          </cell>
        </row>
        <row r="450">
          <cell r="A450">
            <v>44546</v>
          </cell>
          <cell r="B450">
            <v>4965.89990234375</v>
          </cell>
          <cell r="C450">
            <v>4989.10986328125</v>
          </cell>
          <cell r="D450">
            <v>4945.72998046875</v>
          </cell>
          <cell r="E450">
            <v>4989.10986328125</v>
          </cell>
          <cell r="F450">
            <v>4.9891098632812501</v>
          </cell>
        </row>
        <row r="451">
          <cell r="A451">
            <v>44547</v>
          </cell>
          <cell r="B451">
            <v>4969.47998046875</v>
          </cell>
          <cell r="C451">
            <v>4971.5400390625</v>
          </cell>
          <cell r="D451">
            <v>4902.43994140625</v>
          </cell>
          <cell r="E451">
            <v>4903.91015625</v>
          </cell>
          <cell r="F451">
            <v>4.9039101562500003</v>
          </cell>
        </row>
        <row r="452">
          <cell r="A452">
            <v>44550</v>
          </cell>
          <cell r="B452">
            <v>4888.4599609375</v>
          </cell>
          <cell r="C452">
            <v>4908.240234375</v>
          </cell>
          <cell r="D452">
            <v>4777.4599609375</v>
          </cell>
          <cell r="E452">
            <v>4785.8798828125</v>
          </cell>
          <cell r="F452">
            <v>4.7858798828125</v>
          </cell>
        </row>
        <row r="453">
          <cell r="A453">
            <v>44551</v>
          </cell>
          <cell r="B453">
            <v>4780.740234375</v>
          </cell>
          <cell r="C453">
            <v>4839.06982421875</v>
          </cell>
          <cell r="D453">
            <v>4780.740234375</v>
          </cell>
          <cell r="E453">
            <v>4833.669921875</v>
          </cell>
          <cell r="F453">
            <v>4.8336699218749999</v>
          </cell>
        </row>
        <row r="454">
          <cell r="A454">
            <v>44552</v>
          </cell>
          <cell r="B454">
            <v>4848.60986328125</v>
          </cell>
          <cell r="C454">
            <v>4876.64013671875</v>
          </cell>
          <cell r="D454">
            <v>4837.66015625</v>
          </cell>
          <cell r="E454">
            <v>4868.009765625</v>
          </cell>
          <cell r="F454">
            <v>4.8680097656249997</v>
          </cell>
        </row>
        <row r="455">
          <cell r="A455">
            <v>44553</v>
          </cell>
          <cell r="B455">
            <v>4880.3798828125</v>
          </cell>
          <cell r="C455">
            <v>4906.5498046875</v>
          </cell>
          <cell r="D455">
            <v>4859.0400390625</v>
          </cell>
          <cell r="E455">
            <v>4882.1201171875</v>
          </cell>
          <cell r="F455">
            <v>4.8821201171875002</v>
          </cell>
        </row>
        <row r="456">
          <cell r="A456">
            <v>44554</v>
          </cell>
          <cell r="B456">
            <v>4882.31005859375</v>
          </cell>
          <cell r="C456">
            <v>4888.72021484375</v>
          </cell>
          <cell r="D456">
            <v>4797.02978515625</v>
          </cell>
          <cell r="E456">
            <v>4814.4599609375</v>
          </cell>
          <cell r="F456">
            <v>4.8144599609374996</v>
          </cell>
        </row>
        <row r="457">
          <cell r="A457">
            <v>44557</v>
          </cell>
          <cell r="B457">
            <v>4813.72998046875</v>
          </cell>
          <cell r="C457">
            <v>4854.1201171875</v>
          </cell>
          <cell r="D457">
            <v>4803.0498046875</v>
          </cell>
          <cell r="E457">
            <v>4829.97021484375</v>
          </cell>
          <cell r="F457">
            <v>4.8299702148437502</v>
          </cell>
        </row>
        <row r="458">
          <cell r="A458">
            <v>44558</v>
          </cell>
          <cell r="B458">
            <v>4836.080078125</v>
          </cell>
          <cell r="C458">
            <v>4876.169921875</v>
          </cell>
          <cell r="D458">
            <v>4817.52978515625</v>
          </cell>
          <cell r="E458">
            <v>4872.7001953125</v>
          </cell>
          <cell r="F458">
            <v>4.8727001953125004</v>
          </cell>
        </row>
        <row r="459">
          <cell r="A459">
            <v>44559</v>
          </cell>
          <cell r="B459">
            <v>4873.419921875</v>
          </cell>
          <cell r="C459">
            <v>4873.419921875</v>
          </cell>
          <cell r="D459">
            <v>4814.47021484375</v>
          </cell>
          <cell r="E459">
            <v>4814.9501953125</v>
          </cell>
          <cell r="F459">
            <v>4.8149501953125</v>
          </cell>
        </row>
        <row r="460">
          <cell r="A460">
            <v>44560</v>
          </cell>
          <cell r="B460">
            <v>4813.8701171875</v>
          </cell>
          <cell r="C460">
            <v>4879.02001953125</v>
          </cell>
          <cell r="D460">
            <v>4812.68017578125</v>
          </cell>
          <cell r="E460">
            <v>4858.02978515625</v>
          </cell>
          <cell r="F460">
            <v>4.8580297851562504</v>
          </cell>
        </row>
        <row r="461">
          <cell r="A461">
            <v>44561</v>
          </cell>
          <cell r="B461">
            <v>4879</v>
          </cell>
          <cell r="C461">
            <v>4886.7001953125</v>
          </cell>
          <cell r="D461">
            <v>4840.330078125</v>
          </cell>
          <cell r="E461">
            <v>4863.009765625</v>
          </cell>
          <cell r="F461">
            <v>4.8630097656249998</v>
          </cell>
        </row>
        <row r="462">
          <cell r="A462">
            <v>44565</v>
          </cell>
          <cell r="B462">
            <v>4903.56005859375</v>
          </cell>
          <cell r="C462">
            <v>4906.7900390625</v>
          </cell>
          <cell r="D462">
            <v>4779.93994140625</v>
          </cell>
          <cell r="E462">
            <v>4814.39013671875</v>
          </cell>
          <cell r="F462">
            <v>4.8143901367187496</v>
          </cell>
        </row>
        <row r="463">
          <cell r="A463">
            <v>44566</v>
          </cell>
          <cell r="B463">
            <v>4796.9501953125</v>
          </cell>
          <cell r="C463">
            <v>4802.27978515625</v>
          </cell>
          <cell r="D463">
            <v>4690.06982421875</v>
          </cell>
          <cell r="E463">
            <v>4705.97998046875</v>
          </cell>
          <cell r="F463">
            <v>4.7059799804687499</v>
          </cell>
        </row>
        <row r="464">
          <cell r="A464">
            <v>44567</v>
          </cell>
          <cell r="B464">
            <v>4666.18994140625</v>
          </cell>
          <cell r="C464">
            <v>4696.39990234375</v>
          </cell>
          <cell r="D464">
            <v>4617.9501953125</v>
          </cell>
          <cell r="E464">
            <v>4659.7099609375</v>
          </cell>
          <cell r="F464">
            <v>4.6597099609374997</v>
          </cell>
        </row>
        <row r="465">
          <cell r="A465">
            <v>44568</v>
          </cell>
          <cell r="B465">
            <v>4671.7001953125</v>
          </cell>
          <cell r="C465">
            <v>4703.41015625</v>
          </cell>
          <cell r="D465">
            <v>4650.89990234375</v>
          </cell>
          <cell r="E465">
            <v>4659.1298828125</v>
          </cell>
          <cell r="F465">
            <v>4.6591298828124996</v>
          </cell>
        </row>
        <row r="466">
          <cell r="A466">
            <v>44571</v>
          </cell>
          <cell r="B466">
            <v>4649.64990234375</v>
          </cell>
          <cell r="C466">
            <v>4688.52978515625</v>
          </cell>
          <cell r="D466">
            <v>4597.7900390625</v>
          </cell>
          <cell r="E466">
            <v>4671.22998046875</v>
          </cell>
          <cell r="F466">
            <v>4.67122998046875</v>
          </cell>
        </row>
        <row r="467">
          <cell r="A467">
            <v>44572</v>
          </cell>
          <cell r="B467">
            <v>4672.35009765625</v>
          </cell>
          <cell r="C467">
            <v>4677.3701171875</v>
          </cell>
          <cell r="D467">
            <v>4593.43017578125</v>
          </cell>
          <cell r="E467">
            <v>4598.9501953125</v>
          </cell>
          <cell r="F467">
            <v>4.5989501953124998</v>
          </cell>
        </row>
        <row r="468">
          <cell r="A468">
            <v>44573</v>
          </cell>
          <cell r="B468">
            <v>4636.89990234375</v>
          </cell>
          <cell r="C468">
            <v>4675.3701171875</v>
          </cell>
          <cell r="D468">
            <v>4625.56005859375</v>
          </cell>
          <cell r="E468">
            <v>4671.0400390625</v>
          </cell>
          <cell r="F468">
            <v>4.6710400390625004</v>
          </cell>
        </row>
        <row r="469">
          <cell r="A469">
            <v>44574</v>
          </cell>
          <cell r="B469">
            <v>4681.35986328125</v>
          </cell>
          <cell r="C469">
            <v>4681.35986328125</v>
          </cell>
          <cell r="D469">
            <v>4579.9599609375</v>
          </cell>
          <cell r="E469">
            <v>4580.3798828125</v>
          </cell>
          <cell r="F469">
            <v>4.5803798828125002</v>
          </cell>
        </row>
        <row r="470">
          <cell r="A470">
            <v>44575</v>
          </cell>
          <cell r="B470">
            <v>4553.60009765625</v>
          </cell>
          <cell r="C470">
            <v>4620.66015625</v>
          </cell>
          <cell r="D470">
            <v>4547</v>
          </cell>
          <cell r="E470">
            <v>4601.009765625</v>
          </cell>
          <cell r="F470">
            <v>4.6010097656250002</v>
          </cell>
        </row>
        <row r="471">
          <cell r="A471">
            <v>44578</v>
          </cell>
          <cell r="B471">
            <v>4605.080078125</v>
          </cell>
          <cell r="C471">
            <v>4683.72998046875</v>
          </cell>
          <cell r="D471">
            <v>4604.7099609375</v>
          </cell>
          <cell r="E471">
            <v>4674.85986328125</v>
          </cell>
          <cell r="F471">
            <v>4.6748598632812497</v>
          </cell>
        </row>
        <row r="472">
          <cell r="A472">
            <v>44579</v>
          </cell>
          <cell r="B472">
            <v>4674.169921875</v>
          </cell>
          <cell r="C472">
            <v>4707.93994140625</v>
          </cell>
          <cell r="D472">
            <v>4645.27001953125</v>
          </cell>
          <cell r="E472">
            <v>4678.68994140625</v>
          </cell>
          <cell r="F472">
            <v>4.6786899414062502</v>
          </cell>
        </row>
        <row r="473">
          <cell r="A473">
            <v>44580</v>
          </cell>
          <cell r="B473">
            <v>4668.89013671875</v>
          </cell>
          <cell r="C473">
            <v>4682.8798828125</v>
          </cell>
          <cell r="D473">
            <v>4569.7099609375</v>
          </cell>
          <cell r="E473">
            <v>4596.14990234375</v>
          </cell>
          <cell r="F473">
            <v>4.5961499023437504</v>
          </cell>
        </row>
        <row r="474">
          <cell r="A474">
            <v>44581</v>
          </cell>
          <cell r="B474">
            <v>4587.72021484375</v>
          </cell>
          <cell r="C474">
            <v>4633.3701171875</v>
          </cell>
          <cell r="D474">
            <v>4581.169921875</v>
          </cell>
          <cell r="E474">
            <v>4607</v>
          </cell>
          <cell r="F474">
            <v>4.6070000000000002</v>
          </cell>
        </row>
        <row r="475">
          <cell r="A475">
            <v>44582</v>
          </cell>
          <cell r="B475">
            <v>4585.97998046875</v>
          </cell>
          <cell r="C475">
            <v>4606.27978515625</v>
          </cell>
          <cell r="D475">
            <v>4532.27001953125</v>
          </cell>
          <cell r="E475">
            <v>4548.47998046875</v>
          </cell>
          <cell r="F475">
            <v>4.5484799804687501</v>
          </cell>
        </row>
        <row r="476">
          <cell r="A476">
            <v>44585</v>
          </cell>
          <cell r="B476">
            <v>4518.830078125</v>
          </cell>
          <cell r="C476">
            <v>4594.18994140625</v>
          </cell>
          <cell r="D476">
            <v>4513.7099609375</v>
          </cell>
          <cell r="E476">
            <v>4577.85986328125</v>
          </cell>
          <cell r="F476">
            <v>4.5778598632812502</v>
          </cell>
        </row>
        <row r="477">
          <cell r="A477">
            <v>44586</v>
          </cell>
          <cell r="B477">
            <v>4555.740234375</v>
          </cell>
          <cell r="C477">
            <v>4583.490234375</v>
          </cell>
          <cell r="D477">
            <v>4469.2001953125</v>
          </cell>
          <cell r="E477">
            <v>4469.6298828125</v>
          </cell>
          <cell r="F477">
            <v>4.4696298828124998</v>
          </cell>
        </row>
        <row r="478">
          <cell r="A478">
            <v>44587</v>
          </cell>
          <cell r="B478">
            <v>4489.10009765625</v>
          </cell>
          <cell r="C478">
            <v>4521.60009765625</v>
          </cell>
          <cell r="D478">
            <v>4437.75</v>
          </cell>
          <cell r="E478">
            <v>4503.7099609375</v>
          </cell>
          <cell r="F478">
            <v>4.5037099609375</v>
          </cell>
        </row>
        <row r="479">
          <cell r="A479">
            <v>44588</v>
          </cell>
          <cell r="B479">
            <v>4491.7001953125</v>
          </cell>
          <cell r="C479">
            <v>4492.259765625</v>
          </cell>
          <cell r="D479">
            <v>4361.43994140625</v>
          </cell>
          <cell r="E479">
            <v>4364.22021484375</v>
          </cell>
          <cell r="F479">
            <v>4.3642202148437503</v>
          </cell>
        </row>
        <row r="480">
          <cell r="A480">
            <v>44589</v>
          </cell>
          <cell r="B480">
            <v>4398.58984375</v>
          </cell>
          <cell r="C480">
            <v>4420.080078125</v>
          </cell>
          <cell r="D480">
            <v>4313.31982421875</v>
          </cell>
          <cell r="E480">
            <v>4344.02978515625</v>
          </cell>
          <cell r="F480">
            <v>4.3440297851562502</v>
          </cell>
        </row>
        <row r="481">
          <cell r="A481">
            <v>44599</v>
          </cell>
          <cell r="B481">
            <v>4434.1201171875</v>
          </cell>
          <cell r="C481">
            <v>4467.72021484375</v>
          </cell>
          <cell r="D481">
            <v>4355.740234375</v>
          </cell>
          <cell r="E481">
            <v>4372.02001953125</v>
          </cell>
          <cell r="F481">
            <v>4.3720200195312504</v>
          </cell>
        </row>
        <row r="482">
          <cell r="A482">
            <v>44600</v>
          </cell>
          <cell r="B482">
            <v>4361.85009765625</v>
          </cell>
          <cell r="C482">
            <v>4362.25</v>
          </cell>
          <cell r="D482">
            <v>4204.68017578125</v>
          </cell>
          <cell r="E482">
            <v>4292.52978515625</v>
          </cell>
          <cell r="F482">
            <v>4.2925297851562503</v>
          </cell>
        </row>
        <row r="483">
          <cell r="A483">
            <v>44601</v>
          </cell>
          <cell r="B483">
            <v>4294.919921875</v>
          </cell>
          <cell r="C483">
            <v>4353.080078125</v>
          </cell>
          <cell r="D483">
            <v>4260.25</v>
          </cell>
          <cell r="E483">
            <v>4347.97998046875</v>
          </cell>
          <cell r="F483">
            <v>4.3479799804687502</v>
          </cell>
        </row>
        <row r="484">
          <cell r="A484">
            <v>44602</v>
          </cell>
          <cell r="B484">
            <v>4353.990234375</v>
          </cell>
          <cell r="C484">
            <v>4354.5400390625</v>
          </cell>
          <cell r="D484">
            <v>4259.68017578125</v>
          </cell>
          <cell r="E484">
            <v>4291.56005859375</v>
          </cell>
          <cell r="F484">
            <v>4.2915600585937499</v>
          </cell>
        </row>
        <row r="485">
          <cell r="A485">
            <v>44603</v>
          </cell>
          <cell r="B485">
            <v>4261.60986328125</v>
          </cell>
          <cell r="C485">
            <v>4291.22021484375</v>
          </cell>
          <cell r="D485">
            <v>4197.0498046875</v>
          </cell>
          <cell r="E485">
            <v>4206.27001953125</v>
          </cell>
          <cell r="F485">
            <v>4.2062700195312503</v>
          </cell>
        </row>
        <row r="486">
          <cell r="A486">
            <v>44606</v>
          </cell>
          <cell r="B486">
            <v>4183.06005859375</v>
          </cell>
          <cell r="C486">
            <v>4235.009765625</v>
          </cell>
          <cell r="D486">
            <v>4163.27001953125</v>
          </cell>
          <cell r="E486">
            <v>4191.740234375</v>
          </cell>
          <cell r="F486">
            <v>4.1917402343749997</v>
          </cell>
        </row>
        <row r="487">
          <cell r="A487">
            <v>44607</v>
          </cell>
          <cell r="B487">
            <v>4199.75</v>
          </cell>
          <cell r="C487">
            <v>4290.14013671875</v>
          </cell>
          <cell r="D487">
            <v>4199.3701171875</v>
          </cell>
          <cell r="E487">
            <v>4289.25</v>
          </cell>
          <cell r="F487">
            <v>4.28925</v>
          </cell>
        </row>
        <row r="488">
          <cell r="A488">
            <v>44608</v>
          </cell>
          <cell r="B488">
            <v>4310.0400390625</v>
          </cell>
          <cell r="C488">
            <v>4321.93994140625</v>
          </cell>
          <cell r="D488">
            <v>4284.41015625</v>
          </cell>
          <cell r="E488">
            <v>4296.72998046875</v>
          </cell>
          <cell r="F488">
            <v>4.2967299804687498</v>
          </cell>
        </row>
        <row r="489">
          <cell r="A489">
            <v>44609</v>
          </cell>
          <cell r="B489">
            <v>4294.5400390625</v>
          </cell>
          <cell r="C489">
            <v>4349.56005859375</v>
          </cell>
          <cell r="D489">
            <v>4282.31005859375</v>
          </cell>
          <cell r="E489">
            <v>4320.56982421875</v>
          </cell>
          <cell r="F489">
            <v>4.32056982421875</v>
          </cell>
        </row>
        <row r="490">
          <cell r="A490">
            <v>44610</v>
          </cell>
          <cell r="B490">
            <v>4289.009765625</v>
          </cell>
          <cell r="C490">
            <v>4315.3798828125</v>
          </cell>
          <cell r="D490">
            <v>4278.64013671875</v>
          </cell>
          <cell r="E490">
            <v>4314.33984375</v>
          </cell>
          <cell r="F490">
            <v>4.31433984375</v>
          </cell>
        </row>
        <row r="491">
          <cell r="A491">
            <v>44613</v>
          </cell>
          <cell r="B491">
            <v>4316.2900390625</v>
          </cell>
          <cell r="C491">
            <v>4324.3701171875</v>
          </cell>
          <cell r="D491">
            <v>4288.14990234375</v>
          </cell>
          <cell r="E491">
            <v>4305.740234375</v>
          </cell>
          <cell r="F491">
            <v>4.3057402343750004</v>
          </cell>
        </row>
        <row r="492">
          <cell r="A492">
            <v>44614</v>
          </cell>
          <cell r="B492">
            <v>4269.169921875</v>
          </cell>
          <cell r="C492">
            <v>4269.169921875</v>
          </cell>
          <cell r="D492">
            <v>4212.419921875</v>
          </cell>
          <cell r="E492">
            <v>4242.1201171875</v>
          </cell>
          <cell r="F492">
            <v>4.2421201171874996</v>
          </cell>
        </row>
        <row r="493">
          <cell r="A493">
            <v>44615</v>
          </cell>
          <cell r="B493">
            <v>4253.72021484375</v>
          </cell>
          <cell r="C493">
            <v>4353.89990234375</v>
          </cell>
          <cell r="D493">
            <v>4253.72021484375</v>
          </cell>
          <cell r="E493">
            <v>4352.5498046875</v>
          </cell>
          <cell r="F493">
            <v>4.3525498046875004</v>
          </cell>
        </row>
        <row r="494">
          <cell r="A494">
            <v>44616</v>
          </cell>
          <cell r="B494">
            <v>4321.64013671875</v>
          </cell>
          <cell r="C494">
            <v>4353.43994140625</v>
          </cell>
          <cell r="D494">
            <v>4207.31982421875</v>
          </cell>
          <cell r="E494">
            <v>4258.64990234375</v>
          </cell>
          <cell r="F494">
            <v>4.2586499023437501</v>
          </cell>
        </row>
        <row r="495">
          <cell r="A495">
            <v>44617</v>
          </cell>
          <cell r="B495">
            <v>4308.93994140625</v>
          </cell>
          <cell r="C495">
            <v>4367.97998046875</v>
          </cell>
          <cell r="D495">
            <v>4308.93994140625</v>
          </cell>
          <cell r="E495">
            <v>4328.83984375</v>
          </cell>
          <cell r="F495">
            <v>4.32883984375</v>
          </cell>
        </row>
        <row r="496">
          <cell r="A496">
            <v>44620</v>
          </cell>
          <cell r="B496">
            <v>4315.0400390625</v>
          </cell>
          <cell r="C496">
            <v>4340.10986328125</v>
          </cell>
          <cell r="D496">
            <v>4283.5400390625</v>
          </cell>
          <cell r="E496">
            <v>4335.5400390625</v>
          </cell>
          <cell r="F496">
            <v>4.3355400390624999</v>
          </cell>
        </row>
        <row r="497">
          <cell r="A497">
            <v>44621</v>
          </cell>
          <cell r="B497">
            <v>4348.2998046875</v>
          </cell>
          <cell r="C497">
            <v>4354.3798828125</v>
          </cell>
          <cell r="D497">
            <v>4301.2099609375</v>
          </cell>
          <cell r="E497">
            <v>4333.22998046875</v>
          </cell>
          <cell r="F497">
            <v>4.33322998046875</v>
          </cell>
        </row>
        <row r="498">
          <cell r="A498">
            <v>44622</v>
          </cell>
          <cell r="B498">
            <v>4303.47021484375</v>
          </cell>
          <cell r="C498">
            <v>4303.47021484375</v>
          </cell>
          <cell r="D498">
            <v>4240.240234375</v>
          </cell>
          <cell r="E498">
            <v>4269.39013671875</v>
          </cell>
          <cell r="F498">
            <v>4.2693901367187497</v>
          </cell>
        </row>
        <row r="499">
          <cell r="A499">
            <v>44623</v>
          </cell>
          <cell r="B499">
            <v>4291.10986328125</v>
          </cell>
          <cell r="C499">
            <v>4293.93994140625</v>
          </cell>
          <cell r="D499">
            <v>4208.02978515625</v>
          </cell>
          <cell r="E499">
            <v>4212.419921875</v>
          </cell>
          <cell r="F499">
            <v>4.212419921875</v>
          </cell>
        </row>
        <row r="500">
          <cell r="A500">
            <v>44624</v>
          </cell>
          <cell r="B500">
            <v>4169.68017578125</v>
          </cell>
          <cell r="C500">
            <v>4208.56005859375</v>
          </cell>
          <cell r="D500">
            <v>4129.10009765625</v>
          </cell>
          <cell r="E500">
            <v>4146.06982421875</v>
          </cell>
          <cell r="F500">
            <v>4.1460698242187499</v>
          </cell>
        </row>
        <row r="501">
          <cell r="A501">
            <v>44627</v>
          </cell>
          <cell r="B501">
            <v>4099.91015625</v>
          </cell>
          <cell r="C501">
            <v>4099.91015625</v>
          </cell>
          <cell r="D501">
            <v>3958.31005859375</v>
          </cell>
          <cell r="E501">
            <v>3971.97998046875</v>
          </cell>
          <cell r="F501">
            <v>3.9719799804687499</v>
          </cell>
        </row>
        <row r="502">
          <cell r="A502">
            <v>44628</v>
          </cell>
          <cell r="B502">
            <v>3981.02001953125</v>
          </cell>
          <cell r="C502">
            <v>4004.9599609375</v>
          </cell>
          <cell r="D502">
            <v>3852.489990234375</v>
          </cell>
          <cell r="E502">
            <v>3880.800048828125</v>
          </cell>
          <cell r="F502">
            <v>3.8808000488281249</v>
          </cell>
        </row>
        <row r="503">
          <cell r="A503">
            <v>44629</v>
          </cell>
          <cell r="B503">
            <v>3892.489990234375</v>
          </cell>
          <cell r="C503">
            <v>3916.419921875</v>
          </cell>
          <cell r="D503">
            <v>3688.239990234375</v>
          </cell>
          <cell r="E503">
            <v>3852.919921875</v>
          </cell>
          <cell r="F503">
            <v>3.8529199218749999</v>
          </cell>
        </row>
        <row r="504">
          <cell r="A504">
            <v>44630</v>
          </cell>
          <cell r="B504">
            <v>3969.330078125</v>
          </cell>
          <cell r="C504">
            <v>3980.010009765625</v>
          </cell>
          <cell r="D504">
            <v>3926.39990234375</v>
          </cell>
          <cell r="E504">
            <v>3944.8701171875</v>
          </cell>
          <cell r="F504">
            <v>3.9448701171875</v>
          </cell>
        </row>
        <row r="505">
          <cell r="A505">
            <v>44631</v>
          </cell>
          <cell r="B505">
            <v>3876.050048828125</v>
          </cell>
          <cell r="C505">
            <v>3974.2099609375</v>
          </cell>
          <cell r="D505">
            <v>3835.090087890625</v>
          </cell>
          <cell r="E505">
            <v>3972.3798828125</v>
          </cell>
          <cell r="F505">
            <v>3.9723798828125001</v>
          </cell>
        </row>
        <row r="506">
          <cell r="A506">
            <v>44634</v>
          </cell>
          <cell r="B506">
            <v>3932.64990234375</v>
          </cell>
          <cell r="C506">
            <v>3949.889892578125</v>
          </cell>
          <cell r="D506">
            <v>3840.3798828125</v>
          </cell>
          <cell r="E506">
            <v>3840.3798828125</v>
          </cell>
          <cell r="F506">
            <v>3.8403798828125</v>
          </cell>
        </row>
        <row r="507">
          <cell r="A507">
            <v>44635</v>
          </cell>
          <cell r="B507">
            <v>3805.080078125</v>
          </cell>
          <cell r="C507">
            <v>3873.860107421875</v>
          </cell>
          <cell r="D507">
            <v>3708.60009765625</v>
          </cell>
          <cell r="E507">
            <v>3708.60009765625</v>
          </cell>
          <cell r="F507">
            <v>3.7086000976562499</v>
          </cell>
        </row>
        <row r="508">
          <cell r="A508">
            <v>44636</v>
          </cell>
          <cell r="B508">
            <v>3787.169921875</v>
          </cell>
          <cell r="C508">
            <v>3876.919921875</v>
          </cell>
          <cell r="D508">
            <v>3653.159912109375</v>
          </cell>
          <cell r="E508">
            <v>3865.919921875</v>
          </cell>
          <cell r="F508">
            <v>3.8659199218750002</v>
          </cell>
        </row>
        <row r="509">
          <cell r="A509">
            <v>44637</v>
          </cell>
          <cell r="B509">
            <v>3953.25</v>
          </cell>
          <cell r="C509">
            <v>4036.1298828125</v>
          </cell>
          <cell r="D509">
            <v>3942.360107421875</v>
          </cell>
          <cell r="E509">
            <v>3962.909912109375</v>
          </cell>
          <cell r="F509">
            <v>3.9629099121093749</v>
          </cell>
        </row>
        <row r="510">
          <cell r="A510">
            <v>44638</v>
          </cell>
          <cell r="B510">
            <v>3941.10009765625</v>
          </cell>
          <cell r="C510">
            <v>3976.070068359375</v>
          </cell>
          <cell r="D510">
            <v>3901.550048828125</v>
          </cell>
          <cell r="E510">
            <v>3959.929931640625</v>
          </cell>
          <cell r="F510">
            <v>3.9599299316406249</v>
          </cell>
        </row>
        <row r="511">
          <cell r="A511">
            <v>44641</v>
          </cell>
          <cell r="B511">
            <v>3989.489990234375</v>
          </cell>
          <cell r="C511">
            <v>4024.64990234375</v>
          </cell>
          <cell r="D511">
            <v>3950.239990234375</v>
          </cell>
          <cell r="E511">
            <v>3988.4599609375</v>
          </cell>
          <cell r="F511">
            <v>3.9884599609375</v>
          </cell>
        </row>
        <row r="512">
          <cell r="A512">
            <v>44642</v>
          </cell>
          <cell r="B512">
            <v>3979.169921875</v>
          </cell>
          <cell r="C512">
            <v>3983.35009765625</v>
          </cell>
          <cell r="D512">
            <v>3935.919921875</v>
          </cell>
          <cell r="E512">
            <v>3951.389892578125</v>
          </cell>
          <cell r="F512">
            <v>3.951389892578125</v>
          </cell>
        </row>
        <row r="513">
          <cell r="A513">
            <v>44643</v>
          </cell>
          <cell r="B513">
            <v>3977.889892578125</v>
          </cell>
          <cell r="C513">
            <v>3985.780029296875</v>
          </cell>
          <cell r="D513">
            <v>3940.89990234375</v>
          </cell>
          <cell r="E513">
            <v>3976.81005859375</v>
          </cell>
          <cell r="F513">
            <v>3.9768100585937498</v>
          </cell>
        </row>
        <row r="514">
          <cell r="A514">
            <v>44644</v>
          </cell>
          <cell r="B514">
            <v>3955.1201171875</v>
          </cell>
          <cell r="C514">
            <v>3978.18994140625</v>
          </cell>
          <cell r="D514">
            <v>3903.3701171875</v>
          </cell>
          <cell r="E514">
            <v>3952.949951171875</v>
          </cell>
          <cell r="F514">
            <v>3.9529499511718749</v>
          </cell>
        </row>
        <row r="515">
          <cell r="A515">
            <v>44645</v>
          </cell>
          <cell r="B515">
            <v>3953.929931640625</v>
          </cell>
          <cell r="C515">
            <v>3959.360107421875</v>
          </cell>
          <cell r="D515">
            <v>3858.6298828125</v>
          </cell>
          <cell r="E515">
            <v>3858.6298828125</v>
          </cell>
          <cell r="F515">
            <v>3.8586298828125001</v>
          </cell>
        </row>
        <row r="516">
          <cell r="A516">
            <v>44648</v>
          </cell>
          <cell r="B516">
            <v>3827.780029296875</v>
          </cell>
          <cell r="C516">
            <v>3835.97998046875</v>
          </cell>
          <cell r="D516">
            <v>3779.8701171875</v>
          </cell>
          <cell r="E516">
            <v>3801.47998046875</v>
          </cell>
          <cell r="F516">
            <v>3.8014799804687498</v>
          </cell>
        </row>
        <row r="517">
          <cell r="A517">
            <v>44649</v>
          </cell>
          <cell r="B517">
            <v>3818.3798828125</v>
          </cell>
          <cell r="C517">
            <v>3837.830078125</v>
          </cell>
          <cell r="D517">
            <v>3762.280029296875</v>
          </cell>
          <cell r="E517">
            <v>3775.219970703125</v>
          </cell>
          <cell r="F517">
            <v>3.7752199707031249</v>
          </cell>
        </row>
        <row r="518">
          <cell r="A518">
            <v>44650</v>
          </cell>
          <cell r="B518">
            <v>3801.780029296875</v>
          </cell>
          <cell r="C518">
            <v>3905.550048828125</v>
          </cell>
          <cell r="D518">
            <v>3793.139892578125</v>
          </cell>
          <cell r="E518">
            <v>3905.550048828125</v>
          </cell>
          <cell r="F518">
            <v>3.905550048828125</v>
          </cell>
        </row>
        <row r="519">
          <cell r="A519">
            <v>44651</v>
          </cell>
          <cell r="B519">
            <v>3888.659912109375</v>
          </cell>
          <cell r="C519">
            <v>3892.580078125</v>
          </cell>
          <cell r="D519">
            <v>3852.409912109375</v>
          </cell>
          <cell r="E519">
            <v>3865.85009765625</v>
          </cell>
          <cell r="F519">
            <v>3.8658500976562502</v>
          </cell>
        </row>
        <row r="520">
          <cell r="A520">
            <v>44652</v>
          </cell>
          <cell r="B520">
            <v>3837.280029296875</v>
          </cell>
          <cell r="C520">
            <v>3915.699951171875</v>
          </cell>
          <cell r="D520">
            <v>3825.699951171875</v>
          </cell>
          <cell r="E520">
            <v>3892.580078125</v>
          </cell>
          <cell r="F520">
            <v>3.892580078125</v>
          </cell>
        </row>
        <row r="521">
          <cell r="A521">
            <v>44657</v>
          </cell>
          <cell r="B521">
            <v>3898.469970703125</v>
          </cell>
          <cell r="C521">
            <v>3899.409912109375</v>
          </cell>
          <cell r="D521">
            <v>3842.860107421875</v>
          </cell>
          <cell r="E521">
            <v>3864.2099609375</v>
          </cell>
          <cell r="F521">
            <v>3.8642099609375</v>
          </cell>
        </row>
        <row r="522">
          <cell r="A522">
            <v>44658</v>
          </cell>
          <cell r="B522">
            <v>3839.18994140625</v>
          </cell>
          <cell r="C522">
            <v>3870.679931640625</v>
          </cell>
          <cell r="D522">
            <v>3799.5400390625</v>
          </cell>
          <cell r="E522">
            <v>3799.860107421875</v>
          </cell>
          <cell r="F522">
            <v>3.7998601074218752</v>
          </cell>
        </row>
        <row r="523">
          <cell r="A523">
            <v>44659</v>
          </cell>
          <cell r="B523">
            <v>3801.43994140625</v>
          </cell>
          <cell r="C523">
            <v>3817.419921875</v>
          </cell>
          <cell r="D523">
            <v>3750.300048828125</v>
          </cell>
          <cell r="E523">
            <v>3792.590087890625</v>
          </cell>
          <cell r="F523">
            <v>3.7925900878906251</v>
          </cell>
        </row>
        <row r="524">
          <cell r="A524">
            <v>44662</v>
          </cell>
          <cell r="B524">
            <v>3765.06005859375</v>
          </cell>
          <cell r="C524">
            <v>3765.06005859375</v>
          </cell>
          <cell r="D524">
            <v>3627.389892578125</v>
          </cell>
          <cell r="E524">
            <v>3637.5400390625</v>
          </cell>
          <cell r="F524">
            <v>3.6375400390624999</v>
          </cell>
        </row>
        <row r="525">
          <cell r="A525">
            <v>44663</v>
          </cell>
          <cell r="B525">
            <v>3638.010009765625</v>
          </cell>
          <cell r="C525">
            <v>3707.429931640625</v>
          </cell>
          <cell r="D525">
            <v>3614.5400390625</v>
          </cell>
          <cell r="E525">
            <v>3707.429931640625</v>
          </cell>
          <cell r="F525">
            <v>3.707429931640625</v>
          </cell>
        </row>
        <row r="526">
          <cell r="A526">
            <v>44664</v>
          </cell>
          <cell r="B526">
            <v>3676.81005859375</v>
          </cell>
          <cell r="C526">
            <v>3699.330078125</v>
          </cell>
          <cell r="D526">
            <v>3641.139892578125</v>
          </cell>
          <cell r="E526">
            <v>3641.139892578125</v>
          </cell>
          <cell r="F526">
            <v>3.6411398925781251</v>
          </cell>
        </row>
        <row r="527">
          <cell r="A527">
            <v>44665</v>
          </cell>
          <cell r="B527">
            <v>3679.52001953125</v>
          </cell>
          <cell r="C527">
            <v>3692.85009765625</v>
          </cell>
          <cell r="D527">
            <v>3631.7099609375</v>
          </cell>
          <cell r="E527">
            <v>3665.669921875</v>
          </cell>
          <cell r="F527">
            <v>3.6656699218750002</v>
          </cell>
        </row>
        <row r="528">
          <cell r="A528">
            <v>44666</v>
          </cell>
          <cell r="B528">
            <v>3630.8701171875</v>
          </cell>
          <cell r="C528">
            <v>3680.47998046875</v>
          </cell>
          <cell r="D528">
            <v>3606.739990234375</v>
          </cell>
          <cell r="E528">
            <v>3648.780029296875</v>
          </cell>
          <cell r="F528">
            <v>3.6487800292968751</v>
          </cell>
        </row>
        <row r="529">
          <cell r="A529">
            <v>44669</v>
          </cell>
          <cell r="B529">
            <v>3623.639892578125</v>
          </cell>
          <cell r="C529">
            <v>3681.110107421875</v>
          </cell>
          <cell r="D529">
            <v>3587.39990234375</v>
          </cell>
          <cell r="E529">
            <v>3677.6298828125</v>
          </cell>
          <cell r="F529">
            <v>3.6776298828125</v>
          </cell>
        </row>
        <row r="530">
          <cell r="A530">
            <v>44670</v>
          </cell>
          <cell r="B530">
            <v>3676.56005859375</v>
          </cell>
          <cell r="C530">
            <v>3704.929931640625</v>
          </cell>
          <cell r="D530">
            <v>3628.830078125</v>
          </cell>
          <cell r="E530">
            <v>3639.9599609375</v>
          </cell>
          <cell r="F530">
            <v>3.6399599609375</v>
          </cell>
        </row>
        <row r="531">
          <cell r="A531">
            <v>44671</v>
          </cell>
          <cell r="B531">
            <v>3635.219970703125</v>
          </cell>
          <cell r="C531">
            <v>3640.639892578125</v>
          </cell>
          <cell r="D531">
            <v>3549.080078125</v>
          </cell>
          <cell r="E531">
            <v>3556.719970703125</v>
          </cell>
          <cell r="F531">
            <v>3.5567199707031252</v>
          </cell>
        </row>
        <row r="532">
          <cell r="A532">
            <v>44672</v>
          </cell>
          <cell r="B532">
            <v>3535.639892578125</v>
          </cell>
          <cell r="C532">
            <v>3565.739990234375</v>
          </cell>
          <cell r="D532">
            <v>3451.47998046875</v>
          </cell>
          <cell r="E532">
            <v>3468.64990234375</v>
          </cell>
          <cell r="F532">
            <v>3.46864990234375</v>
          </cell>
        </row>
        <row r="533">
          <cell r="A533">
            <v>44673</v>
          </cell>
          <cell r="B533">
            <v>3446.419921875</v>
          </cell>
          <cell r="C533">
            <v>3492.590087890625</v>
          </cell>
          <cell r="D533">
            <v>3415.080078125</v>
          </cell>
          <cell r="E533">
            <v>3462.159912109375</v>
          </cell>
          <cell r="F533">
            <v>3.4621599121093749</v>
          </cell>
        </row>
        <row r="534">
          <cell r="A534">
            <v>44676</v>
          </cell>
          <cell r="B534">
            <v>3395.320068359375</v>
          </cell>
          <cell r="C534">
            <v>3409.580078125</v>
          </cell>
          <cell r="D534">
            <v>3256.93994140625</v>
          </cell>
          <cell r="E534">
            <v>3257</v>
          </cell>
          <cell r="F534">
            <v>3.2570000000000001</v>
          </cell>
        </row>
        <row r="535">
          <cell r="A535">
            <v>44677</v>
          </cell>
          <cell r="B535">
            <v>3267.510009765625</v>
          </cell>
          <cell r="C535">
            <v>3311.72998046875</v>
          </cell>
          <cell r="D535">
            <v>3204.68994140625</v>
          </cell>
          <cell r="E535">
            <v>3212.090087890625</v>
          </cell>
          <cell r="F535">
            <v>3.2120900878906249</v>
          </cell>
        </row>
        <row r="536">
          <cell r="A536">
            <v>44678</v>
          </cell>
          <cell r="B536">
            <v>3175.320068359375</v>
          </cell>
          <cell r="C536">
            <v>3371.97998046875</v>
          </cell>
          <cell r="D536">
            <v>3174.159912109375</v>
          </cell>
          <cell r="E536">
            <v>3369.840087890625</v>
          </cell>
          <cell r="F536">
            <v>3.3698400878906249</v>
          </cell>
        </row>
        <row r="537">
          <cell r="A537">
            <v>44679</v>
          </cell>
          <cell r="B537">
            <v>3365.219970703125</v>
          </cell>
          <cell r="C537">
            <v>3395.0400390625</v>
          </cell>
          <cell r="D537">
            <v>3319.199951171875</v>
          </cell>
          <cell r="E537">
            <v>3355.969970703125</v>
          </cell>
          <cell r="F537">
            <v>3.355969970703125</v>
          </cell>
        </row>
        <row r="538">
          <cell r="A538">
            <v>44680</v>
          </cell>
          <cell r="B538">
            <v>3385.199951171875</v>
          </cell>
          <cell r="C538">
            <v>3504.22998046875</v>
          </cell>
          <cell r="D538">
            <v>3354.360107421875</v>
          </cell>
          <cell r="E538">
            <v>3501.2099609375</v>
          </cell>
          <cell r="F538">
            <v>3.5012099609375</v>
          </cell>
        </row>
        <row r="539">
          <cell r="A539">
            <v>44686</v>
          </cell>
          <cell r="B539">
            <v>3460.2900390625</v>
          </cell>
          <cell r="C539">
            <v>3534.429931640625</v>
          </cell>
          <cell r="D539">
            <v>3443.699951171875</v>
          </cell>
          <cell r="E539">
            <v>3500.489990234375</v>
          </cell>
          <cell r="F539">
            <v>3.5004899902343749</v>
          </cell>
        </row>
        <row r="540">
          <cell r="A540">
            <v>44687</v>
          </cell>
          <cell r="B540">
            <v>3408.56005859375</v>
          </cell>
          <cell r="C540">
            <v>3456.280029296875</v>
          </cell>
          <cell r="D540">
            <v>3401.47998046875</v>
          </cell>
          <cell r="E540">
            <v>3424.47998046875</v>
          </cell>
          <cell r="F540">
            <v>3.42447998046875</v>
          </cell>
        </row>
        <row r="541">
          <cell r="A541">
            <v>44690</v>
          </cell>
          <cell r="B541">
            <v>3400.090087890625</v>
          </cell>
          <cell r="C541">
            <v>3430.02001953125</v>
          </cell>
          <cell r="D541">
            <v>3368.27001953125</v>
          </cell>
          <cell r="E541">
            <v>3386.510009765625</v>
          </cell>
          <cell r="F541">
            <v>3.3865100097656251</v>
          </cell>
        </row>
        <row r="542">
          <cell r="A542">
            <v>44691</v>
          </cell>
          <cell r="B542">
            <v>3330.909912109375</v>
          </cell>
          <cell r="C542">
            <v>3448.669921875</v>
          </cell>
          <cell r="D542">
            <v>3314.739990234375</v>
          </cell>
          <cell r="E542">
            <v>3436.7099609375</v>
          </cell>
          <cell r="F542">
            <v>3.4367099609374998</v>
          </cell>
        </row>
        <row r="543">
          <cell r="A543">
            <v>44692</v>
          </cell>
          <cell r="B543">
            <v>3440.47998046875</v>
          </cell>
          <cell r="C543">
            <v>3605.27001953125</v>
          </cell>
          <cell r="D543">
            <v>3438.1201171875</v>
          </cell>
          <cell r="E543">
            <v>3531.27001953125</v>
          </cell>
          <cell r="F543">
            <v>3.5312700195312501</v>
          </cell>
        </row>
        <row r="544">
          <cell r="A544">
            <v>44693</v>
          </cell>
          <cell r="B544">
            <v>3499.090087890625</v>
          </cell>
          <cell r="C544">
            <v>3548.1298828125</v>
          </cell>
          <cell r="D544">
            <v>3491.75</v>
          </cell>
          <cell r="E544">
            <v>3521.050048828125</v>
          </cell>
          <cell r="F544">
            <v>3.5210500488281249</v>
          </cell>
        </row>
        <row r="545">
          <cell r="A545">
            <v>44694</v>
          </cell>
          <cell r="B545">
            <v>3548.10009765625</v>
          </cell>
          <cell r="C545">
            <v>3562.969970703125</v>
          </cell>
          <cell r="D545">
            <v>3505.409912109375</v>
          </cell>
          <cell r="E545">
            <v>3544.56005859375</v>
          </cell>
          <cell r="F545">
            <v>3.54456005859375</v>
          </cell>
        </row>
        <row r="546">
          <cell r="A546">
            <v>44697</v>
          </cell>
          <cell r="B546">
            <v>3573.68994140625</v>
          </cell>
          <cell r="C546">
            <v>3596.340087890625</v>
          </cell>
          <cell r="D546">
            <v>3502.64990234375</v>
          </cell>
          <cell r="E546">
            <v>3506.3701171875</v>
          </cell>
          <cell r="F546">
            <v>3.5063701171875001</v>
          </cell>
        </row>
        <row r="547">
          <cell r="A547">
            <v>44698</v>
          </cell>
          <cell r="B547">
            <v>3509.02001953125</v>
          </cell>
          <cell r="C547">
            <v>3575.56005859375</v>
          </cell>
          <cell r="D547">
            <v>3499.3798828125</v>
          </cell>
          <cell r="E547">
            <v>3574.389892578125</v>
          </cell>
          <cell r="F547">
            <v>3.5743898925781248</v>
          </cell>
        </row>
        <row r="548">
          <cell r="A548">
            <v>44699</v>
          </cell>
          <cell r="B548">
            <v>3583.31005859375</v>
          </cell>
          <cell r="C548">
            <v>3601.949951171875</v>
          </cell>
          <cell r="D548">
            <v>3551.419921875</v>
          </cell>
          <cell r="E548">
            <v>3571.02001953125</v>
          </cell>
          <cell r="F548">
            <v>3.5710200195312498</v>
          </cell>
        </row>
        <row r="549">
          <cell r="A549">
            <v>44700</v>
          </cell>
          <cell r="B549">
            <v>3515.800048828125</v>
          </cell>
          <cell r="C549">
            <v>3583.64990234375</v>
          </cell>
          <cell r="D549">
            <v>3509.199951171875</v>
          </cell>
          <cell r="E549">
            <v>3583.219970703125</v>
          </cell>
          <cell r="F549">
            <v>3.5832199707031251</v>
          </cell>
        </row>
        <row r="550">
          <cell r="A550">
            <v>44701</v>
          </cell>
          <cell r="B550">
            <v>3607.77001953125</v>
          </cell>
          <cell r="C550">
            <v>3645.47998046875</v>
          </cell>
          <cell r="D550">
            <v>3588.1298828125</v>
          </cell>
          <cell r="E550">
            <v>3639.739990234375</v>
          </cell>
          <cell r="F550">
            <v>3.639739990234375</v>
          </cell>
        </row>
        <row r="551">
          <cell r="A551">
            <v>44704</v>
          </cell>
          <cell r="B551">
            <v>3645.52001953125</v>
          </cell>
          <cell r="C551">
            <v>3647.43994140625</v>
          </cell>
          <cell r="D551">
            <v>3586.669921875</v>
          </cell>
          <cell r="E551">
            <v>3620.14990234375</v>
          </cell>
          <cell r="F551">
            <v>3.62014990234375</v>
          </cell>
        </row>
        <row r="552">
          <cell r="A552">
            <v>44705</v>
          </cell>
          <cell r="B552">
            <v>3609.7900390625</v>
          </cell>
          <cell r="C552">
            <v>3613.800048828125</v>
          </cell>
          <cell r="D552">
            <v>3495.93994140625</v>
          </cell>
          <cell r="E552">
            <v>3495.93994140625</v>
          </cell>
          <cell r="F552">
            <v>3.4959399414062502</v>
          </cell>
        </row>
        <row r="553">
          <cell r="A553">
            <v>44706</v>
          </cell>
          <cell r="B553">
            <v>3495.830078125</v>
          </cell>
          <cell r="C553">
            <v>3518.389892578125</v>
          </cell>
          <cell r="D553">
            <v>3473.1298828125</v>
          </cell>
          <cell r="E553">
            <v>3510.10009765625</v>
          </cell>
          <cell r="F553">
            <v>3.5101000976562502</v>
          </cell>
        </row>
        <row r="554">
          <cell r="A554">
            <v>44707</v>
          </cell>
          <cell r="B554">
            <v>3513.510009765625</v>
          </cell>
          <cell r="C554">
            <v>3549.110107421875</v>
          </cell>
          <cell r="D554">
            <v>3452.72998046875</v>
          </cell>
          <cell r="E554">
            <v>3522.02001953125</v>
          </cell>
          <cell r="F554">
            <v>3.5220200195312499</v>
          </cell>
        </row>
        <row r="555">
          <cell r="A555">
            <v>44708</v>
          </cell>
          <cell r="B555">
            <v>3559.97998046875</v>
          </cell>
          <cell r="C555">
            <v>3595.010009765625</v>
          </cell>
          <cell r="D555">
            <v>3506.39990234375</v>
          </cell>
          <cell r="E555">
            <v>3525.489990234375</v>
          </cell>
          <cell r="F555">
            <v>3.5254899902343748</v>
          </cell>
        </row>
        <row r="556">
          <cell r="A556">
            <v>44711</v>
          </cell>
          <cell r="B556">
            <v>3541.360107421875</v>
          </cell>
          <cell r="C556">
            <v>3572.510009765625</v>
          </cell>
          <cell r="D556">
            <v>3520.610107421875</v>
          </cell>
          <cell r="E556">
            <v>3562.889892578125</v>
          </cell>
          <cell r="F556">
            <v>3.5628898925781249</v>
          </cell>
        </row>
        <row r="557">
          <cell r="A557">
            <v>44712</v>
          </cell>
          <cell r="B557">
            <v>3565.14990234375</v>
          </cell>
          <cell r="C557">
            <v>3640.659912109375</v>
          </cell>
          <cell r="D557">
            <v>3531.3798828125</v>
          </cell>
          <cell r="E557">
            <v>3636.159912109375</v>
          </cell>
          <cell r="F557">
            <v>3.6361599121093748</v>
          </cell>
        </row>
        <row r="558">
          <cell r="A558">
            <v>44713</v>
          </cell>
          <cell r="B558">
            <v>3631.7099609375</v>
          </cell>
          <cell r="C558">
            <v>3677.64990234375</v>
          </cell>
          <cell r="D558">
            <v>3619.639892578125</v>
          </cell>
          <cell r="E558">
            <v>3660.68994140625</v>
          </cell>
          <cell r="F558">
            <v>3.6606899414062499</v>
          </cell>
        </row>
        <row r="559">
          <cell r="A559">
            <v>44714</v>
          </cell>
          <cell r="B559">
            <v>3639.580078125</v>
          </cell>
          <cell r="C559">
            <v>3695.2900390625</v>
          </cell>
          <cell r="D559">
            <v>3632.7900390625</v>
          </cell>
          <cell r="E559">
            <v>3691.320068359375</v>
          </cell>
          <cell r="F559">
            <v>3.6913200683593752</v>
          </cell>
        </row>
        <row r="560">
          <cell r="A560">
            <v>44718</v>
          </cell>
          <cell r="B560">
            <v>3697.3798828125</v>
          </cell>
          <cell r="C560">
            <v>3813.030029296875</v>
          </cell>
          <cell r="D560">
            <v>3687.3798828125</v>
          </cell>
          <cell r="E560">
            <v>3812.22998046875</v>
          </cell>
          <cell r="F560">
            <v>3.8122299804687501</v>
          </cell>
        </row>
        <row r="561">
          <cell r="A561">
            <v>44719</v>
          </cell>
          <cell r="B561">
            <v>3809.0400390625</v>
          </cell>
          <cell r="C561">
            <v>3822.110107421875</v>
          </cell>
          <cell r="D561">
            <v>3771.6201171875</v>
          </cell>
          <cell r="E561">
            <v>3800.889892578125</v>
          </cell>
          <cell r="F561">
            <v>3.8008898925781249</v>
          </cell>
        </row>
        <row r="562">
          <cell r="A562">
            <v>44720</v>
          </cell>
          <cell r="B562">
            <v>3805.239990234375</v>
          </cell>
          <cell r="C562">
            <v>3829.10009765625</v>
          </cell>
          <cell r="D562">
            <v>3753.77001953125</v>
          </cell>
          <cell r="E562">
            <v>3829.10009765625</v>
          </cell>
          <cell r="F562">
            <v>3.8291000976562501</v>
          </cell>
        </row>
        <row r="563">
          <cell r="A563">
            <v>44721</v>
          </cell>
          <cell r="B563">
            <v>3815.780029296875</v>
          </cell>
          <cell r="C563">
            <v>3815.780029296875</v>
          </cell>
          <cell r="D563">
            <v>3716.280029296875</v>
          </cell>
          <cell r="E563">
            <v>3727.070068359375</v>
          </cell>
          <cell r="F563">
            <v>3.7270700683593749</v>
          </cell>
        </row>
        <row r="564">
          <cell r="A564">
            <v>44722</v>
          </cell>
          <cell r="B564">
            <v>3706.419921875</v>
          </cell>
          <cell r="C564">
            <v>3818.739990234375</v>
          </cell>
          <cell r="D564">
            <v>3704.8798828125</v>
          </cell>
          <cell r="E564">
            <v>3816.60009765625</v>
          </cell>
          <cell r="F564">
            <v>3.81660009765625</v>
          </cell>
        </row>
        <row r="565">
          <cell r="A565">
            <v>44725</v>
          </cell>
          <cell r="B565">
            <v>3777.909912109375</v>
          </cell>
          <cell r="C565">
            <v>3819.530029296875</v>
          </cell>
          <cell r="D565">
            <v>3764.280029296875</v>
          </cell>
          <cell r="E565">
            <v>3801.18994140625</v>
          </cell>
          <cell r="F565">
            <v>3.8011899414062502</v>
          </cell>
        </row>
        <row r="566">
          <cell r="A566">
            <v>44726</v>
          </cell>
          <cell r="B566">
            <v>3754.929931640625</v>
          </cell>
          <cell r="C566">
            <v>3795.10009765625</v>
          </cell>
          <cell r="D566">
            <v>3673.719970703125</v>
          </cell>
          <cell r="E566">
            <v>3793.550048828125</v>
          </cell>
          <cell r="F566">
            <v>3.7935500488281249</v>
          </cell>
        </row>
        <row r="567">
          <cell r="A567">
            <v>44727</v>
          </cell>
          <cell r="B567">
            <v>3805.840087890625</v>
          </cell>
          <cell r="C567">
            <v>3911.219970703125</v>
          </cell>
          <cell r="D567">
            <v>3798.1298828125</v>
          </cell>
          <cell r="E567">
            <v>3845.840087890625</v>
          </cell>
          <cell r="F567">
            <v>3.8458400878906249</v>
          </cell>
        </row>
        <row r="568">
          <cell r="A568">
            <v>44728</v>
          </cell>
          <cell r="B568">
            <v>3848.85009765625</v>
          </cell>
          <cell r="C568">
            <v>3891.360107421875</v>
          </cell>
          <cell r="D568">
            <v>3833.580078125</v>
          </cell>
          <cell r="E568">
            <v>3849.31005859375</v>
          </cell>
          <cell r="F568">
            <v>3.8493100585937499</v>
          </cell>
        </row>
        <row r="569">
          <cell r="A569">
            <v>44729</v>
          </cell>
          <cell r="B569">
            <v>3809.56005859375</v>
          </cell>
          <cell r="C569">
            <v>3933.530029296875</v>
          </cell>
          <cell r="D569">
            <v>3805.909912109375</v>
          </cell>
          <cell r="E569">
            <v>3924.0400390625</v>
          </cell>
          <cell r="F569">
            <v>3.9240400390625001</v>
          </cell>
        </row>
        <row r="570">
          <cell r="A570">
            <v>44732</v>
          </cell>
          <cell r="B570">
            <v>3959.47998046875</v>
          </cell>
          <cell r="C570">
            <v>4039.85009765625</v>
          </cell>
          <cell r="D570">
            <v>3959.47998046875</v>
          </cell>
          <cell r="E570">
            <v>3997.75</v>
          </cell>
          <cell r="F570">
            <v>3.9977499999999999</v>
          </cell>
        </row>
        <row r="571">
          <cell r="A571">
            <v>44733</v>
          </cell>
          <cell r="B571">
            <v>3995.639892578125</v>
          </cell>
          <cell r="C571">
            <v>4027.070068359375</v>
          </cell>
          <cell r="D571">
            <v>3948.5400390625</v>
          </cell>
          <cell r="E571">
            <v>3992.030029296875</v>
          </cell>
          <cell r="F571">
            <v>3.9920300292968749</v>
          </cell>
        </row>
        <row r="572">
          <cell r="A572">
            <v>44734</v>
          </cell>
          <cell r="B572">
            <v>3998.110107421875</v>
          </cell>
          <cell r="C572">
            <v>4002.60009765625</v>
          </cell>
          <cell r="D572">
            <v>3927.489990234375</v>
          </cell>
          <cell r="E572">
            <v>3929.919921875</v>
          </cell>
          <cell r="F572">
            <v>3.9299199218749998</v>
          </cell>
        </row>
        <row r="573">
          <cell r="A573">
            <v>44735</v>
          </cell>
          <cell r="B573">
            <v>3942.550048828125</v>
          </cell>
          <cell r="C573">
            <v>4024.52001953125</v>
          </cell>
          <cell r="D573">
            <v>3910.820068359375</v>
          </cell>
          <cell r="E573">
            <v>4024.52001953125</v>
          </cell>
          <cell r="F573">
            <v>4.0245200195312503</v>
          </cell>
        </row>
        <row r="574">
          <cell r="A574">
            <v>44736</v>
          </cell>
          <cell r="B574">
            <v>4042.030029296875</v>
          </cell>
          <cell r="C574">
            <v>4095.800048828125</v>
          </cell>
          <cell r="D574">
            <v>4021.77001953125</v>
          </cell>
          <cell r="E574">
            <v>4095.800048828125</v>
          </cell>
          <cell r="F574">
            <v>4.0958000488281252</v>
          </cell>
        </row>
        <row r="575">
          <cell r="A575">
            <v>44739</v>
          </cell>
          <cell r="B575">
            <v>4109.41015625</v>
          </cell>
          <cell r="C575">
            <v>4153.68017578125</v>
          </cell>
          <cell r="D575">
            <v>4093.909912109375</v>
          </cell>
          <cell r="E575">
            <v>4117.47998046875</v>
          </cell>
          <cell r="F575">
            <v>4.1174799804687501</v>
          </cell>
        </row>
        <row r="576">
          <cell r="A576">
            <v>44740</v>
          </cell>
          <cell r="B576">
            <v>4111.6201171875</v>
          </cell>
          <cell r="C576">
            <v>4168.43994140625</v>
          </cell>
          <cell r="D576">
            <v>4062.610107421875</v>
          </cell>
          <cell r="E576">
            <v>4160.72998046875</v>
          </cell>
          <cell r="F576">
            <v>4.1607299804687496</v>
          </cell>
        </row>
        <row r="577">
          <cell r="A577">
            <v>44741</v>
          </cell>
          <cell r="B577">
            <v>4139.7099609375</v>
          </cell>
          <cell r="C577">
            <v>4170.3701171875</v>
          </cell>
          <cell r="D577">
            <v>4060.469970703125</v>
          </cell>
          <cell r="E577">
            <v>4064.679931640625</v>
          </cell>
          <cell r="F577">
            <v>4.064679931640625</v>
          </cell>
        </row>
        <row r="578">
          <cell r="A578">
            <v>44742</v>
          </cell>
          <cell r="B578">
            <v>4061.14990234375</v>
          </cell>
          <cell r="C578">
            <v>4141.35009765625</v>
          </cell>
          <cell r="D578">
            <v>4059.659912109375</v>
          </cell>
          <cell r="E578">
            <v>4109.6201171875</v>
          </cell>
          <cell r="F578">
            <v>4.1096201171875002</v>
          </cell>
        </row>
        <row r="579">
          <cell r="A579">
            <v>44743</v>
          </cell>
          <cell r="B579">
            <v>4108.330078125</v>
          </cell>
          <cell r="C579">
            <v>4124.240234375</v>
          </cell>
          <cell r="D579">
            <v>4069.18994140625</v>
          </cell>
          <cell r="E579">
            <v>4086.3701171875</v>
          </cell>
          <cell r="F579">
            <v>4.0863701171875002</v>
          </cell>
        </row>
        <row r="580">
          <cell r="A580">
            <v>44746</v>
          </cell>
          <cell r="B580">
            <v>4055.179931640625</v>
          </cell>
          <cell r="C580">
            <v>4129.75</v>
          </cell>
          <cell r="D580">
            <v>4042.2099609375</v>
          </cell>
          <cell r="E580">
            <v>4125.68994140625</v>
          </cell>
          <cell r="F580">
            <v>4.1256899414062502</v>
          </cell>
        </row>
        <row r="581">
          <cell r="A581">
            <v>44747</v>
          </cell>
          <cell r="B581">
            <v>4138.14013671875</v>
          </cell>
          <cell r="C581">
            <v>4169.4501953125</v>
          </cell>
          <cell r="D581">
            <v>4040.010009765625</v>
          </cell>
          <cell r="E581">
            <v>4097.5400390625</v>
          </cell>
          <cell r="F581">
            <v>4.0975400390625003</v>
          </cell>
        </row>
        <row r="582">
          <cell r="A582">
            <v>44748</v>
          </cell>
          <cell r="B582">
            <v>4096.6298828125</v>
          </cell>
          <cell r="C582">
            <v>4131.33984375</v>
          </cell>
          <cell r="D582">
            <v>4032.5</v>
          </cell>
          <cell r="E582">
            <v>4069.4599609375</v>
          </cell>
          <cell r="F582">
            <v>4.0694599609375004</v>
          </cell>
        </row>
        <row r="583">
          <cell r="A583">
            <v>44749</v>
          </cell>
          <cell r="B583">
            <v>4078.68994140625</v>
          </cell>
          <cell r="C583">
            <v>4134.68994140625</v>
          </cell>
          <cell r="D583">
            <v>4050.199951171875</v>
          </cell>
          <cell r="E583">
            <v>4129.31005859375</v>
          </cell>
          <cell r="F583">
            <v>4.1293100585937497</v>
          </cell>
        </row>
        <row r="584">
          <cell r="A584">
            <v>44750</v>
          </cell>
          <cell r="B584">
            <v>4146.7001953125</v>
          </cell>
          <cell r="C584">
            <v>4165.1201171875</v>
          </cell>
          <cell r="D584">
            <v>4091.919921875</v>
          </cell>
          <cell r="E584">
            <v>4095.780029296875</v>
          </cell>
          <cell r="F584">
            <v>4.0957800292968747</v>
          </cell>
        </row>
        <row r="585">
          <cell r="A585">
            <v>44753</v>
          </cell>
          <cell r="B585">
            <v>4080.47998046875</v>
          </cell>
          <cell r="C585">
            <v>4080.47998046875</v>
          </cell>
          <cell r="D585">
            <v>3980.780029296875</v>
          </cell>
          <cell r="E585">
            <v>4012.260009765625</v>
          </cell>
          <cell r="F585">
            <v>4.0122600097656251</v>
          </cell>
        </row>
        <row r="586">
          <cell r="A586">
            <v>44754</v>
          </cell>
          <cell r="B586">
            <v>4012.530029296875</v>
          </cell>
          <cell r="C586">
            <v>4028.580078125</v>
          </cell>
          <cell r="D586">
            <v>3927.75</v>
          </cell>
          <cell r="E586">
            <v>3942.8798828125</v>
          </cell>
          <cell r="F586">
            <v>3.9428798828125</v>
          </cell>
        </row>
        <row r="587">
          <cell r="A587">
            <v>44755</v>
          </cell>
          <cell r="B587">
            <v>3947.590087890625</v>
          </cell>
          <cell r="C587">
            <v>3988.699951171875</v>
          </cell>
          <cell r="D587">
            <v>3891.719970703125</v>
          </cell>
          <cell r="E587">
            <v>3969.340087890625</v>
          </cell>
          <cell r="F587">
            <v>3.9693400878906249</v>
          </cell>
        </row>
        <row r="588">
          <cell r="A588">
            <v>44756</v>
          </cell>
          <cell r="B588">
            <v>3961.860107421875</v>
          </cell>
          <cell r="C588">
            <v>4060.989990234375</v>
          </cell>
          <cell r="D588">
            <v>3951.8798828125</v>
          </cell>
          <cell r="E588">
            <v>4027.159912109375</v>
          </cell>
          <cell r="F588">
            <v>4.0271599121093749</v>
          </cell>
        </row>
        <row r="589">
          <cell r="A589">
            <v>44757</v>
          </cell>
          <cell r="B589">
            <v>4020.27001953125</v>
          </cell>
          <cell r="C589">
            <v>4063.800048828125</v>
          </cell>
          <cell r="D589">
            <v>3969.43994140625</v>
          </cell>
          <cell r="E589">
            <v>3969.43994140625</v>
          </cell>
          <cell r="F589">
            <v>3.9694399414062498</v>
          </cell>
        </row>
        <row r="590">
          <cell r="A590">
            <v>44760</v>
          </cell>
          <cell r="B590">
            <v>3990.330078125</v>
          </cell>
          <cell r="C590">
            <v>4024.010009765625</v>
          </cell>
          <cell r="D590">
            <v>3928.72998046875</v>
          </cell>
          <cell r="E590">
            <v>4010.570068359375</v>
          </cell>
          <cell r="F590">
            <v>4.0105700683593746</v>
          </cell>
        </row>
        <row r="591">
          <cell r="A591">
            <v>44761</v>
          </cell>
          <cell r="B591">
            <v>4007.25</v>
          </cell>
          <cell r="C591">
            <v>4015.860107421875</v>
          </cell>
          <cell r="D591">
            <v>3948.739990234375</v>
          </cell>
          <cell r="E591">
            <v>3973.97998046875</v>
          </cell>
          <cell r="F591">
            <v>3.9739799804687501</v>
          </cell>
        </row>
        <row r="592">
          <cell r="A592">
            <v>44762</v>
          </cell>
          <cell r="B592">
            <v>3993.300048828125</v>
          </cell>
          <cell r="C592">
            <v>4013.949951171875</v>
          </cell>
          <cell r="D592">
            <v>3972.360107421875</v>
          </cell>
          <cell r="E592">
            <v>3986.139892578125</v>
          </cell>
          <cell r="F592">
            <v>3.9861398925781248</v>
          </cell>
        </row>
        <row r="593">
          <cell r="A593">
            <v>44763</v>
          </cell>
          <cell r="B593">
            <v>3976.530029296875</v>
          </cell>
          <cell r="C593">
            <v>4005.6201171875</v>
          </cell>
          <cell r="D593">
            <v>3952.7900390625</v>
          </cell>
          <cell r="E593">
            <v>3952.7900390625</v>
          </cell>
          <cell r="F593">
            <v>3.9527900390625001</v>
          </cell>
        </row>
        <row r="594">
          <cell r="A594">
            <v>44764</v>
          </cell>
          <cell r="B594">
            <v>3978.25</v>
          </cell>
          <cell r="C594">
            <v>3993.64990234375</v>
          </cell>
          <cell r="D594">
            <v>3900.6298828125</v>
          </cell>
          <cell r="E594">
            <v>3935.6201171875</v>
          </cell>
          <cell r="F594">
            <v>3.9356201171874998</v>
          </cell>
        </row>
        <row r="595">
          <cell r="A595">
            <v>44767</v>
          </cell>
          <cell r="B595">
            <v>3927.449951171875</v>
          </cell>
          <cell r="C595">
            <v>3940.2099609375</v>
          </cell>
          <cell r="D595">
            <v>3887.340087890625</v>
          </cell>
          <cell r="E595">
            <v>3904.669921875</v>
          </cell>
          <cell r="F595">
            <v>3.9046699218750001</v>
          </cell>
        </row>
        <row r="596">
          <cell r="A596">
            <v>44768</v>
          </cell>
          <cell r="B596">
            <v>3906.760009765625</v>
          </cell>
          <cell r="C596">
            <v>3941.139892578125</v>
          </cell>
          <cell r="D596">
            <v>3882.469970703125</v>
          </cell>
          <cell r="E596">
            <v>3925.300048828125</v>
          </cell>
          <cell r="F596">
            <v>3.9253000488281251</v>
          </cell>
        </row>
        <row r="597">
          <cell r="A597">
            <v>44769</v>
          </cell>
          <cell r="B597">
            <v>3917.159912109375</v>
          </cell>
          <cell r="C597">
            <v>3933.679931640625</v>
          </cell>
          <cell r="D597">
            <v>3889.7900390625</v>
          </cell>
          <cell r="E597">
            <v>3916.550048828125</v>
          </cell>
          <cell r="F597">
            <v>3.9165500488281251</v>
          </cell>
        </row>
        <row r="598">
          <cell r="A598">
            <v>44770</v>
          </cell>
          <cell r="B598">
            <v>3939.139892578125</v>
          </cell>
          <cell r="C598">
            <v>3971.419921875</v>
          </cell>
          <cell r="D598">
            <v>3913.510009765625</v>
          </cell>
          <cell r="E598">
            <v>3928.800048828125</v>
          </cell>
          <cell r="F598">
            <v>3.9288000488281249</v>
          </cell>
        </row>
        <row r="599">
          <cell r="A599">
            <v>44771</v>
          </cell>
          <cell r="B599">
            <v>3936.52001953125</v>
          </cell>
          <cell r="C599">
            <v>3943.659912109375</v>
          </cell>
          <cell r="D599">
            <v>3866.510009765625</v>
          </cell>
          <cell r="E599">
            <v>3872.469970703125</v>
          </cell>
          <cell r="F599">
            <v>3.8724699707031252</v>
          </cell>
        </row>
        <row r="600">
          <cell r="A600">
            <v>44774</v>
          </cell>
          <cell r="B600">
            <v>3861.780029296875</v>
          </cell>
          <cell r="C600">
            <v>3950.340087890625</v>
          </cell>
          <cell r="D600">
            <v>3830.68994140625</v>
          </cell>
          <cell r="E600">
            <v>3949.85009765625</v>
          </cell>
          <cell r="F600">
            <v>3.9498500976562498</v>
          </cell>
        </row>
        <row r="601">
          <cell r="A601">
            <v>44775</v>
          </cell>
          <cell r="B601">
            <v>3895.139892578125</v>
          </cell>
          <cell r="C601">
            <v>3913.159912109375</v>
          </cell>
          <cell r="D601">
            <v>3830.389892578125</v>
          </cell>
          <cell r="E601">
            <v>3868.35009765625</v>
          </cell>
          <cell r="F601">
            <v>3.8683500976562502</v>
          </cell>
        </row>
        <row r="602">
          <cell r="A602">
            <v>44776</v>
          </cell>
          <cell r="B602">
            <v>3876.830078125</v>
          </cell>
          <cell r="C602">
            <v>3924.8798828125</v>
          </cell>
          <cell r="D602">
            <v>3797.35009765625</v>
          </cell>
          <cell r="E602">
            <v>3812.659912109375</v>
          </cell>
          <cell r="F602">
            <v>3.8126599121093752</v>
          </cell>
        </row>
        <row r="603">
          <cell r="A603">
            <v>44777</v>
          </cell>
          <cell r="B603">
            <v>3837.320068359375</v>
          </cell>
          <cell r="C603">
            <v>3850.830078125</v>
          </cell>
          <cell r="D603">
            <v>3791.39990234375</v>
          </cell>
          <cell r="E603">
            <v>3831.909912109375</v>
          </cell>
          <cell r="F603">
            <v>3.8319099121093751</v>
          </cell>
        </row>
        <row r="604">
          <cell r="A604">
            <v>44778</v>
          </cell>
          <cell r="B604">
            <v>3835.330078125</v>
          </cell>
          <cell r="C604">
            <v>3892.77001953125</v>
          </cell>
          <cell r="D604">
            <v>3818.75</v>
          </cell>
          <cell r="E604">
            <v>3889.14990234375</v>
          </cell>
          <cell r="F604">
            <v>3.8891499023437501</v>
          </cell>
        </row>
        <row r="605">
          <cell r="A605">
            <v>44781</v>
          </cell>
          <cell r="B605">
            <v>3876.139892578125</v>
          </cell>
          <cell r="C605">
            <v>3890.889892578125</v>
          </cell>
          <cell r="D605">
            <v>3857.550048828125</v>
          </cell>
          <cell r="E605">
            <v>3890.030029296875</v>
          </cell>
          <cell r="F605">
            <v>3.890030029296875</v>
          </cell>
        </row>
        <row r="606">
          <cell r="A606">
            <v>44782</v>
          </cell>
          <cell r="B606">
            <v>3880.8701171875</v>
          </cell>
          <cell r="C606">
            <v>3912.580078125</v>
          </cell>
          <cell r="D606">
            <v>3867.820068359375</v>
          </cell>
          <cell r="E606">
            <v>3906.300048828125</v>
          </cell>
          <cell r="F606">
            <v>3.906300048828125</v>
          </cell>
        </row>
        <row r="607">
          <cell r="A607">
            <v>44783</v>
          </cell>
          <cell r="B607">
            <v>3897.85009765625</v>
          </cell>
          <cell r="C607">
            <v>3902.3701171875</v>
          </cell>
          <cell r="D607">
            <v>3836.110107421875</v>
          </cell>
          <cell r="E607">
            <v>3854.18994140625</v>
          </cell>
          <cell r="F607">
            <v>3.8541899414062502</v>
          </cell>
        </row>
        <row r="608">
          <cell r="A608">
            <v>44784</v>
          </cell>
          <cell r="B608">
            <v>3874.4599609375</v>
          </cell>
          <cell r="C608">
            <v>3947.409912109375</v>
          </cell>
          <cell r="D608">
            <v>3852.97998046875</v>
          </cell>
          <cell r="E608">
            <v>3944.52001953125</v>
          </cell>
          <cell r="F608">
            <v>3.9445200195312502</v>
          </cell>
        </row>
        <row r="609">
          <cell r="A609">
            <v>44785</v>
          </cell>
          <cell r="B609">
            <v>3939.889892578125</v>
          </cell>
          <cell r="C609">
            <v>3948.35009765625</v>
          </cell>
          <cell r="D609">
            <v>3915.469970703125</v>
          </cell>
          <cell r="E609">
            <v>3916.39990234375</v>
          </cell>
          <cell r="F609">
            <v>3.9163999023437501</v>
          </cell>
        </row>
        <row r="610">
          <cell r="A610">
            <v>44788</v>
          </cell>
          <cell r="B610">
            <v>3911.739990234375</v>
          </cell>
          <cell r="C610">
            <v>3964.35009765625</v>
          </cell>
          <cell r="D610">
            <v>3909.320068359375</v>
          </cell>
          <cell r="E610">
            <v>3932.830078125</v>
          </cell>
          <cell r="F610">
            <v>3.9328300781249999</v>
          </cell>
        </row>
        <row r="611">
          <cell r="A611">
            <v>44789</v>
          </cell>
          <cell r="B611">
            <v>3936.580078125</v>
          </cell>
          <cell r="C611">
            <v>3973.2099609375</v>
          </cell>
          <cell r="D611">
            <v>3924.719970703125</v>
          </cell>
          <cell r="E611">
            <v>3932.989990234375</v>
          </cell>
          <cell r="F611">
            <v>3.932989990234375</v>
          </cell>
        </row>
        <row r="612">
          <cell r="A612">
            <v>44790</v>
          </cell>
          <cell r="B612">
            <v>3937.719970703125</v>
          </cell>
          <cell r="C612">
            <v>4000.360107421875</v>
          </cell>
          <cell r="D612">
            <v>3907.030029296875</v>
          </cell>
          <cell r="E612">
            <v>3995.3798828125</v>
          </cell>
          <cell r="F612">
            <v>3.9953798828124998</v>
          </cell>
        </row>
        <row r="613">
          <cell r="A613">
            <v>44791</v>
          </cell>
          <cell r="B613">
            <v>3985.18994140625</v>
          </cell>
          <cell r="C613">
            <v>4001.510009765625</v>
          </cell>
          <cell r="D613">
            <v>3969.25</v>
          </cell>
          <cell r="E613">
            <v>3975.5400390625</v>
          </cell>
          <cell r="F613">
            <v>3.9755400390625</v>
          </cell>
        </row>
        <row r="614">
          <cell r="A614">
            <v>44792</v>
          </cell>
          <cell r="B614">
            <v>3976.419921875</v>
          </cell>
          <cell r="C614">
            <v>3976.47998046875</v>
          </cell>
          <cell r="D614">
            <v>3907.97998046875</v>
          </cell>
          <cell r="E614">
            <v>3907.97998046875</v>
          </cell>
          <cell r="F614">
            <v>3.9079799804687498</v>
          </cell>
        </row>
        <row r="615">
          <cell r="A615">
            <v>44795</v>
          </cell>
          <cell r="B615">
            <v>3898.52001953125</v>
          </cell>
          <cell r="C615">
            <v>3966.159912109375</v>
          </cell>
          <cell r="D615">
            <v>3888.5</v>
          </cell>
          <cell r="E615">
            <v>3963.56005859375</v>
          </cell>
          <cell r="F615">
            <v>3.96356005859375</v>
          </cell>
        </row>
        <row r="616">
          <cell r="A616">
            <v>44796</v>
          </cell>
          <cell r="B616">
            <v>3956.06005859375</v>
          </cell>
          <cell r="C616">
            <v>3977.3798828125</v>
          </cell>
          <cell r="D616">
            <v>3932.030029296875</v>
          </cell>
          <cell r="E616">
            <v>3948.639892578125</v>
          </cell>
          <cell r="F616">
            <v>3.9486398925781252</v>
          </cell>
        </row>
        <row r="617">
          <cell r="A617">
            <v>44797</v>
          </cell>
          <cell r="B617">
            <v>3968.580078125</v>
          </cell>
          <cell r="C617">
            <v>3971.669921875</v>
          </cell>
          <cell r="D617">
            <v>3808.81005859375</v>
          </cell>
          <cell r="E617">
            <v>3812.81005859375</v>
          </cell>
          <cell r="F617">
            <v>3.8128100585937501</v>
          </cell>
        </row>
        <row r="618">
          <cell r="A618">
            <v>44798</v>
          </cell>
          <cell r="B618">
            <v>3823.360107421875</v>
          </cell>
          <cell r="C618">
            <v>3829.7099609375</v>
          </cell>
          <cell r="D618">
            <v>3753.840087890625</v>
          </cell>
          <cell r="E618">
            <v>3806.840087890625</v>
          </cell>
          <cell r="F618">
            <v>3.8068400878906248</v>
          </cell>
        </row>
        <row r="619">
          <cell r="A619">
            <v>44799</v>
          </cell>
          <cell r="B619">
            <v>3821.889892578125</v>
          </cell>
          <cell r="C619">
            <v>3835.820068359375</v>
          </cell>
          <cell r="D619">
            <v>3783.5</v>
          </cell>
          <cell r="E619">
            <v>3789.090087890625</v>
          </cell>
          <cell r="F619">
            <v>3.7890900878906248</v>
          </cell>
        </row>
        <row r="620">
          <cell r="A620">
            <v>44802</v>
          </cell>
          <cell r="B620">
            <v>3735.330078125</v>
          </cell>
          <cell r="C620">
            <v>3783.75</v>
          </cell>
          <cell r="D620">
            <v>3729.219970703125</v>
          </cell>
          <cell r="E620">
            <v>3768.139892578125</v>
          </cell>
          <cell r="F620">
            <v>3.7681398925781249</v>
          </cell>
        </row>
        <row r="621">
          <cell r="A621">
            <v>44803</v>
          </cell>
          <cell r="B621">
            <v>3766.219970703125</v>
          </cell>
          <cell r="C621">
            <v>3778.510009765625</v>
          </cell>
          <cell r="D621">
            <v>3724.1201171875</v>
          </cell>
          <cell r="E621">
            <v>3747.219970703125</v>
          </cell>
          <cell r="F621">
            <v>3.7472199707031248</v>
          </cell>
        </row>
        <row r="622">
          <cell r="A622">
            <v>44804</v>
          </cell>
          <cell r="B622">
            <v>3720.7099609375</v>
          </cell>
          <cell r="C622">
            <v>3741.43994140625</v>
          </cell>
          <cell r="D622">
            <v>3673.969970703125</v>
          </cell>
          <cell r="E622">
            <v>3702.2099609375</v>
          </cell>
          <cell r="F622">
            <v>3.7022099609375001</v>
          </cell>
        </row>
        <row r="623">
          <cell r="A623">
            <v>44805</v>
          </cell>
          <cell r="B623">
            <v>3690.179931640625</v>
          </cell>
          <cell r="C623">
            <v>3731.1298828125</v>
          </cell>
          <cell r="D623">
            <v>3664.199951171875</v>
          </cell>
          <cell r="E623">
            <v>3668.27001953125</v>
          </cell>
          <cell r="F623">
            <v>3.6682700195312501</v>
          </cell>
        </row>
        <row r="624">
          <cell r="A624">
            <v>44806</v>
          </cell>
          <cell r="B624">
            <v>3687.219970703125</v>
          </cell>
          <cell r="C624">
            <v>3690.6201171875</v>
          </cell>
          <cell r="D624">
            <v>3644.409912109375</v>
          </cell>
          <cell r="E624">
            <v>3664.419921875</v>
          </cell>
          <cell r="F624">
            <v>3.664419921875</v>
          </cell>
        </row>
        <row r="625">
          <cell r="A625">
            <v>44809</v>
          </cell>
          <cell r="B625">
            <v>3645.6298828125</v>
          </cell>
          <cell r="C625">
            <v>3661.909912109375</v>
          </cell>
          <cell r="D625">
            <v>3622.2900390625</v>
          </cell>
          <cell r="E625">
            <v>3644.739990234375</v>
          </cell>
          <cell r="F625">
            <v>3.6447399902343749</v>
          </cell>
        </row>
        <row r="626">
          <cell r="A626">
            <v>44810</v>
          </cell>
          <cell r="B626">
            <v>3650.260009765625</v>
          </cell>
          <cell r="C626">
            <v>3660.989990234375</v>
          </cell>
          <cell r="D626">
            <v>3603.5</v>
          </cell>
          <cell r="E626">
            <v>3658.260009765625</v>
          </cell>
          <cell r="F626">
            <v>3.658260009765625</v>
          </cell>
        </row>
        <row r="627">
          <cell r="A627">
            <v>44811</v>
          </cell>
          <cell r="B627">
            <v>3641.89990234375</v>
          </cell>
          <cell r="C627">
            <v>3707.919921875</v>
          </cell>
          <cell r="D627">
            <v>3634.360107421875</v>
          </cell>
          <cell r="E627">
            <v>3689.739990234375</v>
          </cell>
          <cell r="F627">
            <v>3.6897399902343748</v>
          </cell>
        </row>
        <row r="628">
          <cell r="A628">
            <v>44812</v>
          </cell>
          <cell r="B628">
            <v>3690.409912109375</v>
          </cell>
          <cell r="C628">
            <v>3691.5400390625</v>
          </cell>
          <cell r="D628">
            <v>3637.89990234375</v>
          </cell>
          <cell r="E628">
            <v>3639.77001953125</v>
          </cell>
          <cell r="F628">
            <v>3.6397700195312499</v>
          </cell>
        </row>
        <row r="629">
          <cell r="A629">
            <v>44813</v>
          </cell>
          <cell r="B629">
            <v>3655.72998046875</v>
          </cell>
          <cell r="C629">
            <v>3692.409912109375</v>
          </cell>
          <cell r="D629">
            <v>3640.739990234375</v>
          </cell>
          <cell r="E629">
            <v>3688.760009765625</v>
          </cell>
          <cell r="F629">
            <v>3.688760009765625</v>
          </cell>
        </row>
        <row r="630">
          <cell r="A630">
            <v>44817</v>
          </cell>
          <cell r="B630">
            <v>3711.93994140625</v>
          </cell>
          <cell r="C630">
            <v>3722.070068359375</v>
          </cell>
          <cell r="D630">
            <v>3694.68994140625</v>
          </cell>
          <cell r="E630">
            <v>3709.360107421875</v>
          </cell>
          <cell r="F630">
            <v>3.7093601074218752</v>
          </cell>
        </row>
        <row r="631">
          <cell r="A631">
            <v>44818</v>
          </cell>
          <cell r="B631">
            <v>3652.949951171875</v>
          </cell>
          <cell r="C631">
            <v>3672.760009765625</v>
          </cell>
          <cell r="D631">
            <v>3626.93994140625</v>
          </cell>
          <cell r="E631">
            <v>3650.679931640625</v>
          </cell>
          <cell r="F631">
            <v>3.6506799316406249</v>
          </cell>
        </row>
        <row r="632">
          <cell r="A632">
            <v>44819</v>
          </cell>
          <cell r="B632">
            <v>3661.31005859375</v>
          </cell>
          <cell r="C632">
            <v>3664.39990234375</v>
          </cell>
          <cell r="D632">
            <v>3537.320068359375</v>
          </cell>
          <cell r="E632">
            <v>3568.22998046875</v>
          </cell>
          <cell r="F632">
            <v>3.5682299804687498</v>
          </cell>
        </row>
        <row r="633">
          <cell r="A633">
            <v>44820</v>
          </cell>
          <cell r="B633">
            <v>3559.1201171875</v>
          </cell>
          <cell r="C633">
            <v>3571.35009765625</v>
          </cell>
          <cell r="D633">
            <v>3502.580078125</v>
          </cell>
          <cell r="E633">
            <v>3502.6298828125</v>
          </cell>
          <cell r="F633">
            <v>3.5026298828125002</v>
          </cell>
        </row>
        <row r="634">
          <cell r="A634">
            <v>44823</v>
          </cell>
          <cell r="B634">
            <v>3496.85009765625</v>
          </cell>
          <cell r="C634">
            <v>3532.800048828125</v>
          </cell>
          <cell r="D634">
            <v>3478.909912109375</v>
          </cell>
          <cell r="E634">
            <v>3499.840087890625</v>
          </cell>
          <cell r="F634">
            <v>3.4998400878906248</v>
          </cell>
        </row>
        <row r="635">
          <cell r="A635">
            <v>44824</v>
          </cell>
          <cell r="B635">
            <v>3522.22998046875</v>
          </cell>
          <cell r="C635">
            <v>3541.6201171875</v>
          </cell>
          <cell r="D635">
            <v>3496</v>
          </cell>
          <cell r="E635">
            <v>3512.31005859375</v>
          </cell>
          <cell r="F635">
            <v>3.5123100585937501</v>
          </cell>
        </row>
        <row r="636">
          <cell r="A636">
            <v>44825</v>
          </cell>
          <cell r="B636">
            <v>3498.580078125</v>
          </cell>
          <cell r="C636">
            <v>3499.22998046875</v>
          </cell>
          <cell r="D636">
            <v>3456.489990234375</v>
          </cell>
          <cell r="E636">
            <v>3474.830078125</v>
          </cell>
          <cell r="F636">
            <v>3.4748300781250001</v>
          </cell>
        </row>
        <row r="637">
          <cell r="A637">
            <v>44826</v>
          </cell>
          <cell r="B637">
            <v>3445.10009765625</v>
          </cell>
          <cell r="C637">
            <v>3476.4599609375</v>
          </cell>
          <cell r="D637">
            <v>3427.830078125</v>
          </cell>
          <cell r="E637">
            <v>3434.419921875</v>
          </cell>
          <cell r="F637">
            <v>3.434419921875</v>
          </cell>
        </row>
        <row r="638">
          <cell r="A638">
            <v>44827</v>
          </cell>
          <cell r="B638">
            <v>3434.550048828125</v>
          </cell>
          <cell r="C638">
            <v>3446.8798828125</v>
          </cell>
          <cell r="D638">
            <v>3372.2900390625</v>
          </cell>
          <cell r="E638">
            <v>3410.840087890625</v>
          </cell>
          <cell r="F638">
            <v>3.4108400878906249</v>
          </cell>
        </row>
        <row r="639">
          <cell r="A639">
            <v>44830</v>
          </cell>
          <cell r="B639">
            <v>3386.06005859375</v>
          </cell>
          <cell r="C639">
            <v>3468.159912109375</v>
          </cell>
          <cell r="D639">
            <v>3382.179931640625</v>
          </cell>
          <cell r="E639">
            <v>3418.47998046875</v>
          </cell>
          <cell r="F639">
            <v>3.4184799804687498</v>
          </cell>
        </row>
        <row r="640">
          <cell r="A640">
            <v>44831</v>
          </cell>
          <cell r="B640">
            <v>3431.010009765625</v>
          </cell>
          <cell r="C640">
            <v>3483.31005859375</v>
          </cell>
          <cell r="D640">
            <v>3416.10009765625</v>
          </cell>
          <cell r="E640">
            <v>3483.31005859375</v>
          </cell>
          <cell r="F640">
            <v>3.4833100585937502</v>
          </cell>
        </row>
        <row r="641">
          <cell r="A641">
            <v>44832</v>
          </cell>
          <cell r="B641">
            <v>3471.14990234375</v>
          </cell>
          <cell r="C641">
            <v>3471.14990234375</v>
          </cell>
          <cell r="D641">
            <v>3399.590087890625</v>
          </cell>
          <cell r="E641">
            <v>3399.590087890625</v>
          </cell>
          <cell r="F641">
            <v>3.3995900878906249</v>
          </cell>
        </row>
        <row r="642">
          <cell r="A642">
            <v>44833</v>
          </cell>
          <cell r="B642">
            <v>3437.56005859375</v>
          </cell>
          <cell r="C642">
            <v>3443.739990234375</v>
          </cell>
          <cell r="D642">
            <v>3393.780029296875</v>
          </cell>
          <cell r="E642">
            <v>3409.159912109375</v>
          </cell>
          <cell r="F642">
            <v>3.409159912109375</v>
          </cell>
        </row>
        <row r="643">
          <cell r="A643">
            <v>44834</v>
          </cell>
          <cell r="B643">
            <v>3405.22998046875</v>
          </cell>
          <cell r="C643">
            <v>3410.699951171875</v>
          </cell>
          <cell r="D643">
            <v>3345.8701171875</v>
          </cell>
          <cell r="E643">
            <v>3347.72998046875</v>
          </cell>
          <cell r="F643">
            <v>3.3477299804687499</v>
          </cell>
        </row>
        <row r="644">
          <cell r="A644">
            <v>44844</v>
          </cell>
          <cell r="B644">
            <v>3343.81005859375</v>
          </cell>
          <cell r="C644">
            <v>3346.669921875</v>
          </cell>
          <cell r="D644">
            <v>3256.929931640625</v>
          </cell>
          <cell r="E644">
            <v>3261.929931640625</v>
          </cell>
          <cell r="F644">
            <v>3.2619299316406249</v>
          </cell>
        </row>
        <row r="645">
          <cell r="A645">
            <v>44845</v>
          </cell>
          <cell r="B645">
            <v>3279.3798828125</v>
          </cell>
          <cell r="C645">
            <v>3299.820068359375</v>
          </cell>
          <cell r="D645">
            <v>3265.889892578125</v>
          </cell>
          <cell r="E645">
            <v>3289.3798828125</v>
          </cell>
          <cell r="F645">
            <v>3.2893798828124998</v>
          </cell>
        </row>
        <row r="646">
          <cell r="A646">
            <v>44846</v>
          </cell>
          <cell r="B646">
            <v>3282.8701171875</v>
          </cell>
          <cell r="C646">
            <v>3394.090087890625</v>
          </cell>
          <cell r="D646">
            <v>3246.179931640625</v>
          </cell>
          <cell r="E646">
            <v>3393.550048828125</v>
          </cell>
          <cell r="F646">
            <v>3.3935500488281249</v>
          </cell>
        </row>
        <row r="647">
          <cell r="A647">
            <v>44847</v>
          </cell>
          <cell r="B647">
            <v>3370.300048828125</v>
          </cell>
          <cell r="C647">
            <v>3419.0400390625</v>
          </cell>
          <cell r="D647">
            <v>3360.389892578125</v>
          </cell>
          <cell r="E647">
            <v>3384.889892578125</v>
          </cell>
          <cell r="F647">
            <v>3.384889892578125</v>
          </cell>
        </row>
        <row r="648">
          <cell r="A648">
            <v>44848</v>
          </cell>
          <cell r="B648">
            <v>3422.25</v>
          </cell>
          <cell r="C648">
            <v>3514.3798828125</v>
          </cell>
          <cell r="D648">
            <v>3408.35009765625</v>
          </cell>
          <cell r="E648">
            <v>3494.800048828125</v>
          </cell>
          <cell r="F648">
            <v>3.4948000488281248</v>
          </cell>
        </row>
        <row r="649">
          <cell r="A649">
            <v>44851</v>
          </cell>
          <cell r="B649">
            <v>3476.409912109375</v>
          </cell>
          <cell r="C649">
            <v>3515.889892578125</v>
          </cell>
          <cell r="D649">
            <v>3470.8701171875</v>
          </cell>
          <cell r="E649">
            <v>3512.5</v>
          </cell>
          <cell r="F649">
            <v>3.5125000000000002</v>
          </cell>
        </row>
        <row r="650">
          <cell r="A650">
            <v>44852</v>
          </cell>
          <cell r="B650">
            <v>3541.27001953125</v>
          </cell>
          <cell r="C650">
            <v>3558.300048828125</v>
          </cell>
          <cell r="D650">
            <v>3508.800048828125</v>
          </cell>
          <cell r="E650">
            <v>3528.550048828125</v>
          </cell>
          <cell r="F650">
            <v>3.5285500488281252</v>
          </cell>
        </row>
        <row r="651">
          <cell r="A651">
            <v>44853</v>
          </cell>
          <cell r="B651">
            <v>3518.679931640625</v>
          </cell>
          <cell r="C651">
            <v>3538.050048828125</v>
          </cell>
          <cell r="D651">
            <v>3488.25</v>
          </cell>
          <cell r="E651">
            <v>3488.52001953125</v>
          </cell>
          <cell r="F651">
            <v>3.4885200195312498</v>
          </cell>
        </row>
        <row r="652">
          <cell r="A652">
            <v>44854</v>
          </cell>
          <cell r="B652">
            <v>3458.52001953125</v>
          </cell>
          <cell r="C652">
            <v>3513.31005859375</v>
          </cell>
          <cell r="D652">
            <v>3414.3701171875</v>
          </cell>
          <cell r="E652">
            <v>3460.64990234375</v>
          </cell>
          <cell r="F652">
            <v>3.46064990234375</v>
          </cell>
        </row>
        <row r="653">
          <cell r="A653">
            <v>44855</v>
          </cell>
          <cell r="B653">
            <v>3447.35009765625</v>
          </cell>
          <cell r="C653">
            <v>3468.64990234375</v>
          </cell>
          <cell r="D653">
            <v>3434.070068359375</v>
          </cell>
          <cell r="E653">
            <v>3452.3798828125</v>
          </cell>
          <cell r="F653">
            <v>3.4523798828125001</v>
          </cell>
        </row>
        <row r="654">
          <cell r="A654">
            <v>44858</v>
          </cell>
          <cell r="B654">
            <v>3446.139892578125</v>
          </cell>
          <cell r="C654">
            <v>3487.570068359375</v>
          </cell>
          <cell r="D654">
            <v>3357.989990234375</v>
          </cell>
          <cell r="E654">
            <v>3378.89990234375</v>
          </cell>
          <cell r="F654">
            <v>3.37889990234375</v>
          </cell>
        </row>
        <row r="655">
          <cell r="A655">
            <v>44859</v>
          </cell>
          <cell r="B655">
            <v>3364.510009765625</v>
          </cell>
          <cell r="C655">
            <v>3407.090087890625</v>
          </cell>
          <cell r="D655">
            <v>3325.6298828125</v>
          </cell>
          <cell r="E655">
            <v>3367.929931640625</v>
          </cell>
          <cell r="F655">
            <v>3.3679299316406248</v>
          </cell>
        </row>
        <row r="656">
          <cell r="A656">
            <v>44860</v>
          </cell>
          <cell r="B656">
            <v>3380.97998046875</v>
          </cell>
          <cell r="C656">
            <v>3468.889892578125</v>
          </cell>
          <cell r="D656">
            <v>3374.47998046875</v>
          </cell>
          <cell r="E656">
            <v>3434.7099609375</v>
          </cell>
          <cell r="F656">
            <v>3.4347099609375</v>
          </cell>
        </row>
        <row r="657">
          <cell r="A657">
            <v>44861</v>
          </cell>
          <cell r="B657">
            <v>3445.030029296875</v>
          </cell>
          <cell r="C657">
            <v>3451.7099609375</v>
          </cell>
          <cell r="D657">
            <v>3407.320068359375</v>
          </cell>
          <cell r="E657">
            <v>3408</v>
          </cell>
          <cell r="F657">
            <v>3.4079999999999999</v>
          </cell>
        </row>
        <row r="658">
          <cell r="A658">
            <v>44862</v>
          </cell>
          <cell r="B658">
            <v>3374.10009765625</v>
          </cell>
          <cell r="C658">
            <v>3387.27001953125</v>
          </cell>
          <cell r="D658">
            <v>3278.010009765625</v>
          </cell>
          <cell r="E658">
            <v>3287.969970703125</v>
          </cell>
          <cell r="F658">
            <v>3.2879699707031249</v>
          </cell>
        </row>
        <row r="659">
          <cell r="A659">
            <v>44865</v>
          </cell>
          <cell r="B659">
            <v>3256.2900390625</v>
          </cell>
          <cell r="C659">
            <v>3338.070068359375</v>
          </cell>
          <cell r="D659">
            <v>3254.77001953125</v>
          </cell>
          <cell r="E659">
            <v>3299.39990234375</v>
          </cell>
          <cell r="F659">
            <v>3.2993999023437501</v>
          </cell>
        </row>
        <row r="660">
          <cell r="A660">
            <v>44866</v>
          </cell>
          <cell r="B660">
            <v>3307.79</v>
          </cell>
          <cell r="C660">
            <v>3404.45</v>
          </cell>
          <cell r="D660">
            <v>3288.87</v>
          </cell>
          <cell r="E660">
            <v>3404.45</v>
          </cell>
          <cell r="F660">
            <v>3.4044499999999998</v>
          </cell>
        </row>
        <row r="661">
          <cell r="A661">
            <v>44867</v>
          </cell>
          <cell r="B661">
            <v>3394.83</v>
          </cell>
          <cell r="C661">
            <v>3483.02</v>
          </cell>
          <cell r="D661">
            <v>3390.67</v>
          </cell>
          <cell r="E661">
            <v>3456.57</v>
          </cell>
          <cell r="F661">
            <v>3.4565700000000001</v>
          </cell>
        </row>
        <row r="662">
          <cell r="A662">
            <v>44868</v>
          </cell>
          <cell r="B662">
            <v>3422.12</v>
          </cell>
          <cell r="C662">
            <v>3454.2</v>
          </cell>
          <cell r="D662">
            <v>3416.6</v>
          </cell>
          <cell r="E662">
            <v>3437.99</v>
          </cell>
          <cell r="F662">
            <v>3.4379899999999997</v>
          </cell>
        </row>
        <row r="663">
          <cell r="A663">
            <v>44869</v>
          </cell>
          <cell r="B663">
            <v>3443.2</v>
          </cell>
          <cell r="C663">
            <v>3561.29</v>
          </cell>
          <cell r="D663">
            <v>3443.2</v>
          </cell>
          <cell r="E663">
            <v>3547.9</v>
          </cell>
          <cell r="F663">
            <v>3.5479000000000003</v>
          </cell>
        </row>
        <row r="664">
          <cell r="A664">
            <v>44872</v>
          </cell>
          <cell r="B664">
            <v>3545.88</v>
          </cell>
          <cell r="C664">
            <v>3573.14</v>
          </cell>
          <cell r="D664">
            <v>3522.34</v>
          </cell>
          <cell r="E664">
            <v>3545.15</v>
          </cell>
          <cell r="F664">
            <v>3.54515</v>
          </cell>
        </row>
        <row r="665">
          <cell r="A665">
            <v>44873</v>
          </cell>
          <cell r="B665">
            <v>3545.03</v>
          </cell>
          <cell r="C665">
            <v>3551.8</v>
          </cell>
          <cell r="D665">
            <v>3492.53</v>
          </cell>
          <cell r="E665">
            <v>3520.99</v>
          </cell>
          <cell r="F665">
            <v>3.5209899999999998</v>
          </cell>
        </row>
        <row r="666">
          <cell r="A666">
            <v>44874</v>
          </cell>
          <cell r="B666">
            <v>3518.9</v>
          </cell>
          <cell r="C666">
            <v>3529.77</v>
          </cell>
          <cell r="D666">
            <v>3480.94</v>
          </cell>
          <cell r="E666">
            <v>3482.74</v>
          </cell>
          <cell r="F666">
            <v>3.4827399999999997</v>
          </cell>
        </row>
        <row r="667">
          <cell r="A667">
            <v>44875</v>
          </cell>
          <cell r="B667">
            <v>3447.840087890625</v>
          </cell>
          <cell r="C667">
            <v>3456.550048828125</v>
          </cell>
          <cell r="D667">
            <v>3395.860107421875</v>
          </cell>
          <cell r="E667">
            <v>3413.8701171875</v>
          </cell>
          <cell r="F667">
            <v>3.4138701171874999</v>
          </cell>
        </row>
        <row r="668">
          <cell r="A668">
            <v>44876</v>
          </cell>
          <cell r="B668">
            <v>3518.199951171875</v>
          </cell>
          <cell r="C668">
            <v>3543.360107421875</v>
          </cell>
          <cell r="D668">
            <v>3481.409912109375</v>
          </cell>
          <cell r="E668">
            <v>3499.14990234375</v>
          </cell>
          <cell r="F668">
            <v>3.49914990234375</v>
          </cell>
        </row>
        <row r="669">
          <cell r="A669">
            <v>44879</v>
          </cell>
          <cell r="B669">
            <v>3517.820068359375</v>
          </cell>
          <cell r="C669">
            <v>3547.3701171875</v>
          </cell>
          <cell r="D669">
            <v>3485.489990234375</v>
          </cell>
          <cell r="E669">
            <v>3500.659912109375</v>
          </cell>
          <cell r="F669">
            <v>3.5006599121093749</v>
          </cell>
        </row>
        <row r="670">
          <cell r="A670">
            <v>44880</v>
          </cell>
          <cell r="B670">
            <v>3501.409912109375</v>
          </cell>
          <cell r="C670">
            <v>3587.2900390625</v>
          </cell>
          <cell r="D670">
            <v>3484.409912109375</v>
          </cell>
          <cell r="E670">
            <v>3587.2900390625</v>
          </cell>
          <cell r="F670">
            <v>3.5872900390625002</v>
          </cell>
        </row>
        <row r="671">
          <cell r="A671">
            <v>44881</v>
          </cell>
          <cell r="B671">
            <v>3581.68994140625</v>
          </cell>
          <cell r="C671">
            <v>3593.52001953125</v>
          </cell>
          <cell r="D671">
            <v>3535.050048828125</v>
          </cell>
          <cell r="E671">
            <v>3538.889892578125</v>
          </cell>
          <cell r="F671">
            <v>3.5388898925781249</v>
          </cell>
        </row>
        <row r="672">
          <cell r="A672">
            <v>44882</v>
          </cell>
          <cell r="B672">
            <v>3524.179931640625</v>
          </cell>
          <cell r="C672">
            <v>3524.179931640625</v>
          </cell>
          <cell r="D672">
            <v>3471.820068359375</v>
          </cell>
          <cell r="E672">
            <v>3523.830078125</v>
          </cell>
          <cell r="F672">
            <v>3.523830078125</v>
          </cell>
        </row>
        <row r="673">
          <cell r="A673">
            <v>44883</v>
          </cell>
          <cell r="B673">
            <v>3533.02001953125</v>
          </cell>
          <cell r="C673">
            <v>3562.85009765625</v>
          </cell>
          <cell r="D673">
            <v>3518.969970703125</v>
          </cell>
          <cell r="E673">
            <v>3521.929931640625</v>
          </cell>
          <cell r="F673">
            <v>3.5219299316406252</v>
          </cell>
        </row>
        <row r="674">
          <cell r="A674">
            <v>44886</v>
          </cell>
          <cell r="B674">
            <v>3492.5</v>
          </cell>
          <cell r="C674">
            <v>3517.469970703125</v>
          </cell>
          <cell r="D674">
            <v>3472.719970703125</v>
          </cell>
          <cell r="E674">
            <v>3515.72998046875</v>
          </cell>
          <cell r="F674">
            <v>3.5157299804687501</v>
          </cell>
        </row>
        <row r="675">
          <cell r="A675">
            <v>44887</v>
          </cell>
          <cell r="B675">
            <v>3503.659912109375</v>
          </cell>
          <cell r="C675">
            <v>3509.800048828125</v>
          </cell>
          <cell r="D675">
            <v>3448.469970703125</v>
          </cell>
          <cell r="E675">
            <v>3461.9599609375</v>
          </cell>
          <cell r="F675">
            <v>3.4619599609375</v>
          </cell>
        </row>
        <row r="676">
          <cell r="A676">
            <v>44888</v>
          </cell>
          <cell r="B676">
            <v>3448.550048828125</v>
          </cell>
          <cell r="C676">
            <v>3465.469970703125</v>
          </cell>
          <cell r="D676">
            <v>3404.7099609375</v>
          </cell>
          <cell r="E676">
            <v>3446.010009765625</v>
          </cell>
          <cell r="F676">
            <v>3.446010009765625</v>
          </cell>
        </row>
        <row r="677">
          <cell r="A677">
            <v>44889</v>
          </cell>
          <cell r="B677">
            <v>3463.010009765625</v>
          </cell>
          <cell r="C677">
            <v>3475.219970703125</v>
          </cell>
          <cell r="D677">
            <v>3429.199951171875</v>
          </cell>
          <cell r="E677">
            <v>3439.31005859375</v>
          </cell>
          <cell r="F677">
            <v>3.4393100585937502</v>
          </cell>
        </row>
        <row r="678">
          <cell r="A678">
            <v>44890</v>
          </cell>
          <cell r="B678">
            <v>3427.909912109375</v>
          </cell>
          <cell r="C678">
            <v>3438.139892578125</v>
          </cell>
          <cell r="D678">
            <v>3410.330078125</v>
          </cell>
          <cell r="E678">
            <v>3413.85009765625</v>
          </cell>
          <cell r="F678">
            <v>3.4138500976562498</v>
          </cell>
        </row>
        <row r="679">
          <cell r="A679">
            <v>44893</v>
          </cell>
          <cell r="B679">
            <v>3349.239990234375</v>
          </cell>
          <cell r="C679">
            <v>3392.52001953125</v>
          </cell>
          <cell r="D679">
            <v>3340.739990234375</v>
          </cell>
          <cell r="E679">
            <v>3389.6201171875</v>
          </cell>
          <cell r="F679">
            <v>3.3896201171875</v>
          </cell>
        </row>
        <row r="680">
          <cell r="A680">
            <v>44894</v>
          </cell>
          <cell r="B680">
            <v>3408.320068359375</v>
          </cell>
          <cell r="C680">
            <v>3474.080078125</v>
          </cell>
          <cell r="D680">
            <v>3402.820068359375</v>
          </cell>
          <cell r="E680">
            <v>3466.5400390625</v>
          </cell>
          <cell r="F680">
            <v>3.4665400390625001</v>
          </cell>
        </row>
        <row r="681">
          <cell r="A681">
            <v>44895</v>
          </cell>
          <cell r="B681">
            <v>3459.139892578125</v>
          </cell>
          <cell r="C681">
            <v>3485.0400390625</v>
          </cell>
          <cell r="D681">
            <v>3448.510009765625</v>
          </cell>
          <cell r="E681">
            <v>3480.2900390625</v>
          </cell>
          <cell r="F681">
            <v>3.4802900390625</v>
          </cell>
        </row>
        <row r="682">
          <cell r="A682">
            <v>44896</v>
          </cell>
          <cell r="B682">
            <v>3544.57</v>
          </cell>
          <cell r="C682">
            <v>3562.04</v>
          </cell>
          <cell r="D682">
            <v>3530.68</v>
          </cell>
          <cell r="E682">
            <v>3531.42</v>
          </cell>
          <cell r="F682">
            <v>3.5314200000000002</v>
          </cell>
        </row>
        <row r="683">
          <cell r="A683">
            <v>44897</v>
          </cell>
          <cell r="B683">
            <v>3521.36</v>
          </cell>
          <cell r="C683">
            <v>3547.26</v>
          </cell>
          <cell r="D683">
            <v>3512.6</v>
          </cell>
          <cell r="E683">
            <v>3512.7</v>
          </cell>
          <cell r="F683">
            <v>3.5126999999999997</v>
          </cell>
        </row>
        <row r="684">
          <cell r="A684">
            <v>44900</v>
          </cell>
          <cell r="B684">
            <v>3528.98</v>
          </cell>
          <cell r="C684">
            <v>3542.16</v>
          </cell>
          <cell r="D684">
            <v>3513.21</v>
          </cell>
          <cell r="E684">
            <v>3539.95</v>
          </cell>
          <cell r="F684">
            <v>3.5399499999999997</v>
          </cell>
        </row>
        <row r="685">
          <cell r="A685">
            <v>44901</v>
          </cell>
          <cell r="B685">
            <v>3525.64</v>
          </cell>
          <cell r="C685">
            <v>3595.84</v>
          </cell>
          <cell r="D685">
            <v>3520.53</v>
          </cell>
          <cell r="E685">
            <v>3570.08</v>
          </cell>
          <cell r="F685">
            <v>3.5700799999999999</v>
          </cell>
        </row>
        <row r="686">
          <cell r="A686">
            <v>44902</v>
          </cell>
          <cell r="B686">
            <v>3559.21</v>
          </cell>
          <cell r="C686">
            <v>3620.11</v>
          </cell>
          <cell r="D686">
            <v>3559.21</v>
          </cell>
          <cell r="E686">
            <v>3596.38</v>
          </cell>
          <cell r="F686">
            <v>3.5963799999999999</v>
          </cell>
        </row>
        <row r="687">
          <cell r="A687">
            <v>44903</v>
          </cell>
          <cell r="B687">
            <v>3593.01</v>
          </cell>
          <cell r="C687">
            <v>3609.34</v>
          </cell>
          <cell r="D687">
            <v>3579.26</v>
          </cell>
          <cell r="E687">
            <v>3592.87</v>
          </cell>
          <cell r="F687">
            <v>3.59287</v>
          </cell>
        </row>
        <row r="688">
          <cell r="A688">
            <v>44904</v>
          </cell>
          <cell r="B688">
            <v>3596.55</v>
          </cell>
          <cell r="C688">
            <v>3628.6</v>
          </cell>
          <cell r="D688">
            <v>3585.23</v>
          </cell>
          <cell r="E688">
            <v>3626.43</v>
          </cell>
          <cell r="F688">
            <v>3.62643</v>
          </cell>
        </row>
        <row r="689">
          <cell r="A689">
            <v>44907</v>
          </cell>
          <cell r="B689">
            <v>3609.10009765625</v>
          </cell>
          <cell r="C689">
            <v>3629.239990234375</v>
          </cell>
          <cell r="D689">
            <v>3597.340087890625</v>
          </cell>
          <cell r="E689">
            <v>3607.06005859375</v>
          </cell>
          <cell r="F689">
            <v>3.60706005859375</v>
          </cell>
        </row>
        <row r="690">
          <cell r="A690">
            <v>44908</v>
          </cell>
          <cell r="B690">
            <v>3608.77001953125</v>
          </cell>
          <cell r="C690">
            <v>3608.969970703125</v>
          </cell>
          <cell r="D690">
            <v>3562.97998046875</v>
          </cell>
          <cell r="E690">
            <v>3564.9599609375</v>
          </cell>
          <cell r="F690">
            <v>3.5649599609374998</v>
          </cell>
        </row>
        <row r="691">
          <cell r="A691">
            <v>44909</v>
          </cell>
          <cell r="B691">
            <v>3578.050048828125</v>
          </cell>
          <cell r="C691">
            <v>3584.14990234375</v>
          </cell>
          <cell r="D691">
            <v>3549.389892578125</v>
          </cell>
          <cell r="E691">
            <v>3555.800048828125</v>
          </cell>
          <cell r="F691">
            <v>3.5558000488281252</v>
          </cell>
        </row>
        <row r="692">
          <cell r="A692">
            <v>44910</v>
          </cell>
          <cell r="B692">
            <v>3552.389892578125</v>
          </cell>
          <cell r="C692">
            <v>3592.31005859375</v>
          </cell>
          <cell r="D692">
            <v>3548.2099609375</v>
          </cell>
          <cell r="E692">
            <v>3589.489990234375</v>
          </cell>
          <cell r="F692">
            <v>3.5894899902343749</v>
          </cell>
        </row>
        <row r="693">
          <cell r="A693">
            <v>44911</v>
          </cell>
          <cell r="B693">
            <v>3565.719970703125</v>
          </cell>
          <cell r="C693">
            <v>3577.2900390625</v>
          </cell>
          <cell r="D693">
            <v>3546.7900390625</v>
          </cell>
          <cell r="E693">
            <v>3567.14990234375</v>
          </cell>
          <cell r="F693">
            <v>3.5671499023437501</v>
          </cell>
        </row>
        <row r="694">
          <cell r="A694">
            <v>44914</v>
          </cell>
          <cell r="B694">
            <v>3565.75</v>
          </cell>
          <cell r="C694">
            <v>3586.010009765625</v>
          </cell>
          <cell r="D694">
            <v>3513.10009765625</v>
          </cell>
          <cell r="E694">
            <v>3525.510009765625</v>
          </cell>
          <cell r="F694">
            <v>3.5255100097656249</v>
          </cell>
        </row>
        <row r="695">
          <cell r="A695">
            <v>44915</v>
          </cell>
          <cell r="B695">
            <v>3514.239990234375</v>
          </cell>
          <cell r="C695">
            <v>3514.570068359375</v>
          </cell>
          <cell r="D695">
            <v>3456.780029296875</v>
          </cell>
          <cell r="E695">
            <v>3467.97998046875</v>
          </cell>
          <cell r="F695">
            <v>3.4679799804687499</v>
          </cell>
        </row>
        <row r="696">
          <cell r="A696">
            <v>44916</v>
          </cell>
          <cell r="B696">
            <v>3471.60009765625</v>
          </cell>
          <cell r="C696">
            <v>3481.989990234375</v>
          </cell>
          <cell r="D696">
            <v>3440.239990234375</v>
          </cell>
          <cell r="E696">
            <v>3453.199951171875</v>
          </cell>
          <cell r="F696">
            <v>3.4531999511718752</v>
          </cell>
        </row>
        <row r="697">
          <cell r="A697">
            <v>44917</v>
          </cell>
          <cell r="B697">
            <v>3476.35009765625</v>
          </cell>
          <cell r="C697">
            <v>3489.139892578125</v>
          </cell>
          <cell r="D697">
            <v>3433.7900390625</v>
          </cell>
          <cell r="E697">
            <v>3443.830078125</v>
          </cell>
          <cell r="F697">
            <v>3.443830078125</v>
          </cell>
        </row>
        <row r="698">
          <cell r="A698">
            <v>44918</v>
          </cell>
          <cell r="B698">
            <v>3421.8701171875</v>
          </cell>
          <cell r="C698">
            <v>3450.989990234375</v>
          </cell>
          <cell r="D698">
            <v>3409.989990234375</v>
          </cell>
          <cell r="E698">
            <v>3426.989990234375</v>
          </cell>
          <cell r="F698">
            <v>3.4269899902343748</v>
          </cell>
        </row>
        <row r="699">
          <cell r="A699">
            <v>44921</v>
          </cell>
          <cell r="B699">
            <v>3430.8798828125</v>
          </cell>
          <cell r="C699">
            <v>3486.5</v>
          </cell>
          <cell r="D699">
            <v>3430.8798828125</v>
          </cell>
          <cell r="E699">
            <v>3480.330078125</v>
          </cell>
          <cell r="F699">
            <v>3.4803300781250002</v>
          </cell>
        </row>
        <row r="700">
          <cell r="A700">
            <v>44922</v>
          </cell>
          <cell r="B700">
            <v>3487.590087890625</v>
          </cell>
          <cell r="C700">
            <v>3517.739990234375</v>
          </cell>
          <cell r="D700">
            <v>3476.340087890625</v>
          </cell>
          <cell r="E700">
            <v>3513.85009765625</v>
          </cell>
          <cell r="F700">
            <v>3.5138500976562499</v>
          </cell>
        </row>
        <row r="701">
          <cell r="A701">
            <v>44923</v>
          </cell>
          <cell r="B701">
            <v>3492.9599609375</v>
          </cell>
          <cell r="C701">
            <v>3495.7099609375</v>
          </cell>
          <cell r="D701">
            <v>3455.699951171875</v>
          </cell>
          <cell r="E701">
            <v>3472.489990234375</v>
          </cell>
          <cell r="F701">
            <v>3.4724899902343749</v>
          </cell>
        </row>
        <row r="702">
          <cell r="A702">
            <v>44924</v>
          </cell>
          <cell r="B702">
            <v>3460.449951171875</v>
          </cell>
          <cell r="C702">
            <v>3499.260009765625</v>
          </cell>
          <cell r="D702">
            <v>3456.27001953125</v>
          </cell>
          <cell r="E702">
            <v>3476.469970703125</v>
          </cell>
          <cell r="F702">
            <v>3.4764699707031248</v>
          </cell>
        </row>
        <row r="703">
          <cell r="A703">
            <v>44925</v>
          </cell>
          <cell r="B703">
            <v>3494.699951171875</v>
          </cell>
          <cell r="C703">
            <v>3507.47998046875</v>
          </cell>
          <cell r="D703">
            <v>3473.530029296875</v>
          </cell>
          <cell r="E703">
            <v>3473.530029296875</v>
          </cell>
          <cell r="F703">
            <v>3.4735300292968749</v>
          </cell>
        </row>
        <row r="704">
          <cell r="A704">
            <v>44929</v>
          </cell>
          <cell r="B704">
            <v>3469.269287109375</v>
          </cell>
          <cell r="C704">
            <v>3516.888427734375</v>
          </cell>
          <cell r="D704">
            <v>3441.99169921875</v>
          </cell>
          <cell r="E704">
            <v>3508.3173828125</v>
          </cell>
          <cell r="F704">
            <v>3.5083173828124998</v>
          </cell>
        </row>
        <row r="705">
          <cell r="A705">
            <v>44930</v>
          </cell>
          <cell r="B705">
            <v>3500.761474609375</v>
          </cell>
          <cell r="C705">
            <v>3509.062744140625</v>
          </cell>
          <cell r="D705">
            <v>3469.442138671875</v>
          </cell>
          <cell r="E705">
            <v>3489.908447265625</v>
          </cell>
          <cell r="F705">
            <v>3.4899084472656252</v>
          </cell>
        </row>
        <row r="706">
          <cell r="A706">
            <v>44931</v>
          </cell>
          <cell r="B706">
            <v>3506.47021484375</v>
          </cell>
          <cell r="C706">
            <v>3584.12353515625</v>
          </cell>
          <cell r="D706">
            <v>3505.536376953125</v>
          </cell>
          <cell r="E706">
            <v>3577.919921875</v>
          </cell>
          <cell r="F706">
            <v>3.577919921875</v>
          </cell>
        </row>
        <row r="707">
          <cell r="A707">
            <v>44932</v>
          </cell>
          <cell r="B707">
            <v>3573.02392578125</v>
          </cell>
          <cell r="C707">
            <v>3624.267333984375</v>
          </cell>
          <cell r="D707">
            <v>3572.197998046875</v>
          </cell>
          <cell r="E707">
            <v>3590.678955078125</v>
          </cell>
          <cell r="F707">
            <v>3.5906789550781251</v>
          </cell>
        </row>
        <row r="708">
          <cell r="A708">
            <v>44935</v>
          </cell>
          <cell r="B708">
            <v>3601.79736328125</v>
          </cell>
          <cell r="C708">
            <v>3624.94677734375</v>
          </cell>
          <cell r="D708">
            <v>3596.2919921875</v>
          </cell>
          <cell r="E708">
            <v>3604.57666015625</v>
          </cell>
          <cell r="F708">
            <v>3.6045766601562499</v>
          </cell>
        </row>
        <row r="709">
          <cell r="A709">
            <v>44936</v>
          </cell>
          <cell r="B709">
            <v>3607.819580078125</v>
          </cell>
          <cell r="C709">
            <v>3646.35693359375</v>
          </cell>
          <cell r="D709">
            <v>3592.638671875</v>
          </cell>
          <cell r="E709">
            <v>3638.47021484375</v>
          </cell>
          <cell r="F709">
            <v>3.6384702148437502</v>
          </cell>
        </row>
        <row r="710">
          <cell r="A710">
            <v>44937</v>
          </cell>
          <cell r="B710">
            <v>3633.132568359375</v>
          </cell>
          <cell r="C710">
            <v>3653.69287109375</v>
          </cell>
          <cell r="D710">
            <v>3606.408203125</v>
          </cell>
          <cell r="E710">
            <v>3610.81103515625</v>
          </cell>
          <cell r="F710">
            <v>3.6108110351562499</v>
          </cell>
        </row>
        <row r="711">
          <cell r="A711">
            <v>44938</v>
          </cell>
          <cell r="B711">
            <v>3624.650634765625</v>
          </cell>
          <cell r="C711">
            <v>3652.45654296875</v>
          </cell>
          <cell r="D711">
            <v>3616.583251953125</v>
          </cell>
          <cell r="E711">
            <v>3631.021240234375</v>
          </cell>
          <cell r="F711">
            <v>3.6310212402343751</v>
          </cell>
        </row>
        <row r="712">
          <cell r="A712">
            <v>44939</v>
          </cell>
          <cell r="B712">
            <v>3653.294921875</v>
          </cell>
          <cell r="C712">
            <v>3673.21337890625</v>
          </cell>
          <cell r="D712">
            <v>3633.6328125</v>
          </cell>
          <cell r="E712">
            <v>3673.21337890625</v>
          </cell>
          <cell r="F712">
            <v>3.67321337890625</v>
          </cell>
        </row>
        <row r="713">
          <cell r="A713">
            <v>44942</v>
          </cell>
          <cell r="B713">
            <v>3671.072509765625</v>
          </cell>
          <cell r="C713">
            <v>3762.3359375</v>
          </cell>
          <cell r="D713">
            <v>3671.072509765625</v>
          </cell>
          <cell r="E713">
            <v>3731.450927734375</v>
          </cell>
          <cell r="F713">
            <v>3.7314509277343748</v>
          </cell>
        </row>
        <row r="714">
          <cell r="A714">
            <v>44943</v>
          </cell>
          <cell r="B714">
            <v>3735.49560546875</v>
          </cell>
          <cell r="C714">
            <v>3756.7470703125</v>
          </cell>
          <cell r="D714">
            <v>3730.148193359375</v>
          </cell>
          <cell r="E714">
            <v>3745.24853515625</v>
          </cell>
          <cell r="F714">
            <v>3.7452485351562501</v>
          </cell>
        </row>
        <row r="715">
          <cell r="A715">
            <v>44944</v>
          </cell>
          <cell r="B715">
            <v>3750.16259765625</v>
          </cell>
          <cell r="C715">
            <v>3760.9462890625</v>
          </cell>
          <cell r="D715">
            <v>3739.308349609375</v>
          </cell>
          <cell r="E715">
            <v>3748.58447265625</v>
          </cell>
          <cell r="F715">
            <v>3.7485844726562498</v>
          </cell>
        </row>
        <row r="716">
          <cell r="A716">
            <v>44945</v>
          </cell>
          <cell r="B716">
            <v>3743.17724609375</v>
          </cell>
          <cell r="C716">
            <v>3780.742431640625</v>
          </cell>
          <cell r="D716">
            <v>3733.563720703125</v>
          </cell>
          <cell r="E716">
            <v>3780.742431640625</v>
          </cell>
          <cell r="F716">
            <v>3.7807424316406251</v>
          </cell>
        </row>
        <row r="717">
          <cell r="A717">
            <v>44946</v>
          </cell>
          <cell r="B717">
            <v>3790.78759765625</v>
          </cell>
          <cell r="C717">
            <v>3804.211181640625</v>
          </cell>
          <cell r="D717">
            <v>3779.6181640625</v>
          </cell>
          <cell r="E717">
            <v>3797.16845703125</v>
          </cell>
          <cell r="F717">
            <v>3.7971684570312498</v>
          </cell>
        </row>
        <row r="718">
          <cell r="A718">
            <v>44956</v>
          </cell>
          <cell r="B718">
            <v>3897.607421875</v>
          </cell>
          <cell r="C718">
            <v>3912.39501953125</v>
          </cell>
          <cell r="D718">
            <v>3848.337158203125</v>
          </cell>
          <cell r="E718">
            <v>3853.490234375</v>
          </cell>
          <cell r="F718">
            <v>3.8534902343750002</v>
          </cell>
        </row>
        <row r="719">
          <cell r="A719">
            <v>44957</v>
          </cell>
          <cell r="B719">
            <v>3849.224609375</v>
          </cell>
          <cell r="C719">
            <v>3857.215087890625</v>
          </cell>
          <cell r="D719">
            <v>3805.035888671875</v>
          </cell>
          <cell r="E719">
            <v>3811.03369140625</v>
          </cell>
          <cell r="F719">
            <v>3.8110336914062501</v>
          </cell>
        </row>
        <row r="720">
          <cell r="A720">
            <v>44958</v>
          </cell>
          <cell r="B720">
            <v>3826.91259765625</v>
          </cell>
          <cell r="C720">
            <v>3861.890380859375</v>
          </cell>
          <cell r="D720">
            <v>3809.948486328125</v>
          </cell>
          <cell r="E720">
            <v>3861.890380859375</v>
          </cell>
          <cell r="F720">
            <v>3.861890380859375</v>
          </cell>
        </row>
        <row r="721">
          <cell r="A721">
            <v>44959</v>
          </cell>
          <cell r="B721">
            <v>3870.02783203125</v>
          </cell>
          <cell r="C721">
            <v>3875.9189453125</v>
          </cell>
          <cell r="D721">
            <v>3834.403564453125</v>
          </cell>
          <cell r="E721">
            <v>3841.62939453125</v>
          </cell>
          <cell r="F721">
            <v>3.8416293945312501</v>
          </cell>
        </row>
        <row r="722">
          <cell r="A722">
            <v>44960</v>
          </cell>
          <cell r="B722">
            <v>3827.781982421875</v>
          </cell>
          <cell r="C722">
            <v>3834.679931640625</v>
          </cell>
          <cell r="D722">
            <v>3764.18212890625</v>
          </cell>
          <cell r="E722">
            <v>3814.672607421875</v>
          </cell>
          <cell r="F722">
            <v>3.8146726074218749</v>
          </cell>
        </row>
        <row r="723">
          <cell r="A723">
            <v>44963</v>
          </cell>
          <cell r="B723">
            <v>3787.275390625</v>
          </cell>
          <cell r="C723">
            <v>3792.05712890625</v>
          </cell>
          <cell r="D723">
            <v>3741.56640625</v>
          </cell>
          <cell r="E723">
            <v>3767.203125</v>
          </cell>
          <cell r="F723">
            <v>3.767203125</v>
          </cell>
        </row>
        <row r="724">
          <cell r="A724">
            <v>44964</v>
          </cell>
          <cell r="B724">
            <v>3776.9912109375</v>
          </cell>
          <cell r="C724">
            <v>3785.594482421875</v>
          </cell>
          <cell r="D724">
            <v>3749.65185546875</v>
          </cell>
          <cell r="E724">
            <v>3765.985595703125</v>
          </cell>
          <cell r="F724">
            <v>3.7659855957031252</v>
          </cell>
        </row>
        <row r="725">
          <cell r="A725">
            <v>44965</v>
          </cell>
          <cell r="B725">
            <v>3771.941650390625</v>
          </cell>
          <cell r="C725">
            <v>3779.919189453125</v>
          </cell>
          <cell r="D725">
            <v>3744.5322265625</v>
          </cell>
          <cell r="E725">
            <v>3748.6572265625</v>
          </cell>
          <cell r="F725">
            <v>3.7486572265625</v>
          </cell>
        </row>
        <row r="726">
          <cell r="A726">
            <v>44966</v>
          </cell>
          <cell r="B726">
            <v>3737.456787109375</v>
          </cell>
          <cell r="C726">
            <v>3805.634033203125</v>
          </cell>
          <cell r="D726">
            <v>3728.27880859375</v>
          </cell>
          <cell r="E726">
            <v>3805.634033203125</v>
          </cell>
          <cell r="F726">
            <v>3.8056340332031251</v>
          </cell>
        </row>
        <row r="727">
          <cell r="A727">
            <v>44967</v>
          </cell>
          <cell r="B727">
            <v>3799.178466796875</v>
          </cell>
          <cell r="C727">
            <v>3808.2763671875</v>
          </cell>
          <cell r="D727">
            <v>3756.863037109375</v>
          </cell>
          <cell r="E727">
            <v>3773.57568359375</v>
          </cell>
          <cell r="F727">
            <v>3.7735756835937502</v>
          </cell>
        </row>
        <row r="728">
          <cell r="A728">
            <v>44970</v>
          </cell>
          <cell r="B728">
            <v>3769.485595703125</v>
          </cell>
          <cell r="C728">
            <v>3811.090576171875</v>
          </cell>
          <cell r="D728">
            <v>3759.244384765625</v>
          </cell>
          <cell r="E728">
            <v>3810.79931640625</v>
          </cell>
          <cell r="F728">
            <v>3.8107993164062499</v>
          </cell>
        </row>
        <row r="729">
          <cell r="A729">
            <v>44971</v>
          </cell>
          <cell r="B729">
            <v>3824.993896484375</v>
          </cell>
          <cell r="C729">
            <v>3825.396728515625</v>
          </cell>
          <cell r="D729">
            <v>3778.573974609375</v>
          </cell>
          <cell r="E729">
            <v>3799.543212890625</v>
          </cell>
          <cell r="F729">
            <v>3.799543212890625</v>
          </cell>
        </row>
        <row r="730">
          <cell r="A730">
            <v>44972</v>
          </cell>
          <cell r="B730">
            <v>3803.33544921875</v>
          </cell>
          <cell r="C730">
            <v>3819.007080078125</v>
          </cell>
          <cell r="D730">
            <v>3780.156005859375</v>
          </cell>
          <cell r="E730">
            <v>3792.92822265625</v>
          </cell>
          <cell r="F730">
            <v>3.7929282226562502</v>
          </cell>
        </row>
        <row r="731">
          <cell r="A731">
            <v>44973</v>
          </cell>
          <cell r="B731">
            <v>3795.4775390625</v>
          </cell>
          <cell r="C731">
            <v>3828.3017578125</v>
          </cell>
          <cell r="D731">
            <v>3725.235595703125</v>
          </cell>
          <cell r="E731">
            <v>3750.837646484375</v>
          </cell>
          <cell r="F731">
            <v>3.7508376464843751</v>
          </cell>
        </row>
        <row r="732">
          <cell r="A732">
            <v>44974</v>
          </cell>
          <cell r="B732">
            <v>3745.79541015625</v>
          </cell>
          <cell r="C732">
            <v>3750.267578125</v>
          </cell>
          <cell r="D732">
            <v>3665.463134765625</v>
          </cell>
          <cell r="E732">
            <v>3666.324462890625</v>
          </cell>
          <cell r="F732">
            <v>3.6663244628906249</v>
          </cell>
        </row>
        <row r="733">
          <cell r="A733">
            <v>44977</v>
          </cell>
          <cell r="B733">
            <v>3659.568603515625</v>
          </cell>
          <cell r="C733">
            <v>3738.56591796875</v>
          </cell>
          <cell r="D733">
            <v>3645.048095703125</v>
          </cell>
          <cell r="E733">
            <v>3738.56591796875</v>
          </cell>
          <cell r="F733">
            <v>3.7385659179687498</v>
          </cell>
        </row>
        <row r="734">
          <cell r="A734">
            <v>44978</v>
          </cell>
          <cell r="B734">
            <v>3732.120849609375</v>
          </cell>
          <cell r="C734">
            <v>3753.77587890625</v>
          </cell>
          <cell r="D734">
            <v>3713.380126953125</v>
          </cell>
          <cell r="E734">
            <v>3739.5302734375</v>
          </cell>
          <cell r="F734">
            <v>3.7395302734375</v>
          </cell>
        </row>
        <row r="735">
          <cell r="A735">
            <v>44979</v>
          </cell>
          <cell r="B735">
            <v>3712.302490234375</v>
          </cell>
          <cell r="C735">
            <v>3730.087646484375</v>
          </cell>
          <cell r="D735">
            <v>3697.661376953125</v>
          </cell>
          <cell r="E735">
            <v>3709.724609375</v>
          </cell>
          <cell r="F735">
            <v>3.7097246093749998</v>
          </cell>
        </row>
        <row r="736">
          <cell r="A736">
            <v>44980</v>
          </cell>
          <cell r="B736">
            <v>3706.565185546875</v>
          </cell>
          <cell r="C736">
            <v>3733.9375</v>
          </cell>
          <cell r="D736">
            <v>3697.26171875</v>
          </cell>
          <cell r="E736">
            <v>3713.523193359375</v>
          </cell>
          <cell r="F736">
            <v>3.7135231933593751</v>
          </cell>
        </row>
        <row r="737">
          <cell r="A737">
            <v>44981</v>
          </cell>
          <cell r="B737">
            <v>3713.09033203125</v>
          </cell>
          <cell r="C737">
            <v>3714.319580078125</v>
          </cell>
          <cell r="D737">
            <v>3672.4208984375</v>
          </cell>
          <cell r="E737">
            <v>3683.28759765625</v>
          </cell>
          <cell r="F737">
            <v>3.6832875976562498</v>
          </cell>
        </row>
        <row r="738">
          <cell r="A738">
            <v>44984</v>
          </cell>
          <cell r="B738">
            <v>3660.90966796875</v>
          </cell>
          <cell r="C738">
            <v>3677.21533203125</v>
          </cell>
          <cell r="D738">
            <v>3640.158203125</v>
          </cell>
          <cell r="E738">
            <v>3645.96533203125</v>
          </cell>
          <cell r="F738">
            <v>3.64596533203125</v>
          </cell>
        </row>
        <row r="739">
          <cell r="A739">
            <v>44985</v>
          </cell>
          <cell r="B739">
            <v>3662.222900390625</v>
          </cell>
          <cell r="C739">
            <v>3683.2353515625</v>
          </cell>
          <cell r="D739">
            <v>3641.981689453125</v>
          </cell>
          <cell r="E739">
            <v>3677.729248046875</v>
          </cell>
          <cell r="F739">
            <v>3.6777292480468748</v>
          </cell>
        </row>
        <row r="740">
          <cell r="A740">
            <v>44986</v>
          </cell>
          <cell r="B740">
            <v>3679.235595703125</v>
          </cell>
          <cell r="C740">
            <v>3734.964111328125</v>
          </cell>
          <cell r="D740">
            <v>3671.52880859375</v>
          </cell>
          <cell r="E740">
            <v>3727.04296875</v>
          </cell>
          <cell r="F740">
            <v>3.7270429687500002</v>
          </cell>
        </row>
        <row r="741">
          <cell r="A741">
            <v>44987</v>
          </cell>
          <cell r="B741">
            <v>3724.690185546875</v>
          </cell>
          <cell r="C741">
            <v>3737.31591796875</v>
          </cell>
          <cell r="D741">
            <v>3699.3193359375</v>
          </cell>
          <cell r="E741">
            <v>3703.163818359375</v>
          </cell>
          <cell r="F741">
            <v>3.7031638183593749</v>
          </cell>
        </row>
        <row r="742">
          <cell r="A742">
            <v>44988</v>
          </cell>
          <cell r="B742">
            <v>3707.760498046875</v>
          </cell>
          <cell r="C742">
            <v>3719.341552734375</v>
          </cell>
          <cell r="D742">
            <v>3677.580810546875</v>
          </cell>
          <cell r="E742">
            <v>3700.079833984375</v>
          </cell>
          <cell r="F742">
            <v>3.700079833984375</v>
          </cell>
        </row>
        <row r="743">
          <cell r="A743">
            <v>44991</v>
          </cell>
          <cell r="B743">
            <v>3700.73779296875</v>
          </cell>
          <cell r="C743">
            <v>3716.0791015625</v>
          </cell>
          <cell r="D743">
            <v>3663.602294921875</v>
          </cell>
          <cell r="E743">
            <v>3710.91259765625</v>
          </cell>
          <cell r="F743">
            <v>3.7109125976562498</v>
          </cell>
        </row>
        <row r="744">
          <cell r="A744">
            <v>44992</v>
          </cell>
          <cell r="B744">
            <v>3702.102294921875</v>
          </cell>
          <cell r="C744">
            <v>3710.8408203125</v>
          </cell>
          <cell r="D744">
            <v>3639.647216796875</v>
          </cell>
          <cell r="E744">
            <v>3642.208984375</v>
          </cell>
          <cell r="F744">
            <v>3.6422089843749998</v>
          </cell>
        </row>
        <row r="745">
          <cell r="A745">
            <v>44993</v>
          </cell>
          <cell r="B745">
            <v>3628.21240234375</v>
          </cell>
          <cell r="C745">
            <v>3639.055908203125</v>
          </cell>
          <cell r="D745">
            <v>3610.260498046875</v>
          </cell>
          <cell r="E745">
            <v>3631.111328125</v>
          </cell>
          <cell r="F745">
            <v>3.6311113281249998</v>
          </cell>
        </row>
        <row r="746">
          <cell r="A746">
            <v>44994</v>
          </cell>
          <cell r="B746">
            <v>3632.78173828125</v>
          </cell>
          <cell r="C746">
            <v>3655.949951171875</v>
          </cell>
          <cell r="D746">
            <v>3620.01806640625</v>
          </cell>
          <cell r="E746">
            <v>3635.63720703125</v>
          </cell>
          <cell r="F746">
            <v>3.6356372070312499</v>
          </cell>
        </row>
        <row r="747">
          <cell r="A747">
            <v>44995</v>
          </cell>
          <cell r="B747">
            <v>3616.142578125</v>
          </cell>
          <cell r="C747">
            <v>3633.265380859375</v>
          </cell>
          <cell r="D747">
            <v>3594.03271484375</v>
          </cell>
          <cell r="E747">
            <v>3600.42333984375</v>
          </cell>
          <cell r="F747">
            <v>3.6004233398437502</v>
          </cell>
        </row>
        <row r="748">
          <cell r="A748">
            <v>44998</v>
          </cell>
          <cell r="B748">
            <v>3585.982666015625</v>
          </cell>
          <cell r="C748">
            <v>3617.8994140625</v>
          </cell>
          <cell r="D748">
            <v>3581.552490234375</v>
          </cell>
          <cell r="E748">
            <v>3611.220703125</v>
          </cell>
          <cell r="F748">
            <v>3.6112207031249999</v>
          </cell>
        </row>
        <row r="749">
          <cell r="A749">
            <v>44999</v>
          </cell>
          <cell r="B749">
            <v>3602.19482421875</v>
          </cell>
          <cell r="C749">
            <v>3603.126953125</v>
          </cell>
          <cell r="D749">
            <v>3529.0546875</v>
          </cell>
          <cell r="E749">
            <v>3578.468017578125</v>
          </cell>
          <cell r="F749">
            <v>3.5784680175781252</v>
          </cell>
        </row>
        <row r="750">
          <cell r="A750">
            <v>45000</v>
          </cell>
          <cell r="B750">
            <v>3603.0341796875</v>
          </cell>
          <cell r="C750">
            <v>3622.616943359375</v>
          </cell>
          <cell r="D750">
            <v>3570.852294921875</v>
          </cell>
          <cell r="E750">
            <v>3573.798583984375</v>
          </cell>
          <cell r="F750">
            <v>3.5737985839843751</v>
          </cell>
        </row>
        <row r="751">
          <cell r="A751">
            <v>45001</v>
          </cell>
          <cell r="B751">
            <v>3543.778564453125</v>
          </cell>
          <cell r="C751">
            <v>3560.405029296875</v>
          </cell>
          <cell r="D751">
            <v>3508.775146484375</v>
          </cell>
          <cell r="E751">
            <v>3514.404296875</v>
          </cell>
          <cell r="F751">
            <v>3.514404296875</v>
          </cell>
        </row>
        <row r="752">
          <cell r="A752">
            <v>45002</v>
          </cell>
          <cell r="B752">
            <v>3545.07470703125</v>
          </cell>
          <cell r="C752">
            <v>3564.849365234375</v>
          </cell>
          <cell r="D752">
            <v>3518.380615234375</v>
          </cell>
          <cell r="E752">
            <v>3528.466552734375</v>
          </cell>
          <cell r="F752">
            <v>3.528466552734375</v>
          </cell>
        </row>
        <row r="753">
          <cell r="A753">
            <v>45005</v>
          </cell>
          <cell r="B753">
            <v>3529.004150390625</v>
          </cell>
          <cell r="C753">
            <v>3565.441162109375</v>
          </cell>
          <cell r="D753">
            <v>3520.334228515625</v>
          </cell>
          <cell r="E753">
            <v>3529.935791015625</v>
          </cell>
          <cell r="F753">
            <v>3.529935791015625</v>
          </cell>
        </row>
        <row r="754">
          <cell r="A754">
            <v>45006</v>
          </cell>
          <cell r="B754">
            <v>3536.402099609375</v>
          </cell>
          <cell r="C754">
            <v>3588.783203125</v>
          </cell>
          <cell r="D754">
            <v>3536.402099609375</v>
          </cell>
          <cell r="E754">
            <v>3588.783203125</v>
          </cell>
          <cell r="F754">
            <v>3.5887832031250002</v>
          </cell>
        </row>
        <row r="755">
          <cell r="A755">
            <v>45007</v>
          </cell>
          <cell r="B755">
            <v>3603.396484375</v>
          </cell>
          <cell r="C755">
            <v>3630.830810546875</v>
          </cell>
          <cell r="D755">
            <v>3600.8125</v>
          </cell>
          <cell r="E755">
            <v>3622.9248046875</v>
          </cell>
          <cell r="F755">
            <v>3.6229248046875</v>
          </cell>
        </row>
        <row r="756">
          <cell r="A756">
            <v>45008</v>
          </cell>
          <cell r="B756">
            <v>3610.755615234375</v>
          </cell>
          <cell r="C756">
            <v>3668.856689453125</v>
          </cell>
          <cell r="D756">
            <v>3605.07080078125</v>
          </cell>
          <cell r="E756">
            <v>3668.856689453125</v>
          </cell>
          <cell r="F756">
            <v>3.6688566894531252</v>
          </cell>
        </row>
        <row r="757">
          <cell r="A757">
            <v>45009</v>
          </cell>
          <cell r="B757">
            <v>3669.477783203125</v>
          </cell>
          <cell r="C757">
            <v>3677.586181640625</v>
          </cell>
          <cell r="D757">
            <v>3652.59228515625</v>
          </cell>
          <cell r="E757">
            <v>3675.0947265625</v>
          </cell>
          <cell r="F757">
            <v>3.6750947265625</v>
          </cell>
        </row>
        <row r="758">
          <cell r="A758">
            <v>45012</v>
          </cell>
          <cell r="B758">
            <v>3669.6025390625</v>
          </cell>
          <cell r="C758">
            <v>3686.9560546875</v>
          </cell>
          <cell r="D758">
            <v>3650.401611328125</v>
          </cell>
          <cell r="E758">
            <v>3681.478515625</v>
          </cell>
          <cell r="F758">
            <v>3.6814785156249998</v>
          </cell>
        </row>
        <row r="759">
          <cell r="A759">
            <v>45013</v>
          </cell>
          <cell r="B759">
            <v>3673.244140625</v>
          </cell>
          <cell r="C759">
            <v>3676.364501953125</v>
          </cell>
          <cell r="D759">
            <v>3636.5078125</v>
          </cell>
          <cell r="E759">
            <v>3641.67138671875</v>
          </cell>
          <cell r="F759">
            <v>3.64167138671875</v>
          </cell>
        </row>
        <row r="760">
          <cell r="A760">
            <v>45014</v>
          </cell>
          <cell r="B760">
            <v>3649.276611328125</v>
          </cell>
          <cell r="C760">
            <v>3678.656982421875</v>
          </cell>
          <cell r="D760">
            <v>3646.605712890625</v>
          </cell>
          <cell r="E760">
            <v>3664.1455078125</v>
          </cell>
          <cell r="F760">
            <v>3.6641455078125</v>
          </cell>
        </row>
        <row r="761">
          <cell r="A761">
            <v>45015</v>
          </cell>
          <cell r="B761">
            <v>3665.772216796875</v>
          </cell>
          <cell r="C761">
            <v>3689.90087890625</v>
          </cell>
          <cell r="D761">
            <v>3640.125</v>
          </cell>
          <cell r="E761">
            <v>3688.77880859375</v>
          </cell>
          <cell r="F761">
            <v>3.6887788085937498</v>
          </cell>
        </row>
        <row r="762">
          <cell r="A762">
            <v>45016</v>
          </cell>
          <cell r="B762">
            <v>3694.220703125</v>
          </cell>
          <cell r="C762">
            <v>3721.2080078125</v>
          </cell>
          <cell r="D762">
            <v>3687.50048828125</v>
          </cell>
          <cell r="E762">
            <v>3716.197998046875</v>
          </cell>
          <cell r="F762">
            <v>3.7161979980468751</v>
          </cell>
        </row>
        <row r="763">
          <cell r="A763">
            <v>45019</v>
          </cell>
          <cell r="B763">
            <v>3735.169921875</v>
          </cell>
          <cell r="C763">
            <v>3757.923095703125</v>
          </cell>
          <cell r="D763">
            <v>3724.37890625</v>
          </cell>
          <cell r="E763">
            <v>3756.660888671875</v>
          </cell>
          <cell r="F763">
            <v>3.7566608886718749</v>
          </cell>
        </row>
        <row r="764">
          <cell r="A764">
            <v>45020</v>
          </cell>
          <cell r="B764">
            <v>3748.618896484375</v>
          </cell>
          <cell r="C764">
            <v>3748.618896484375</v>
          </cell>
          <cell r="D764">
            <v>3709.16796875</v>
          </cell>
          <cell r="E764">
            <v>3734.16796875</v>
          </cell>
          <cell r="F764">
            <v>3.73416796875</v>
          </cell>
        </row>
        <row r="765">
          <cell r="A765">
            <v>45022</v>
          </cell>
          <cell r="B765">
            <v>3707.116943359375</v>
          </cell>
          <cell r="C765">
            <v>3753.595947265625</v>
          </cell>
          <cell r="D765">
            <v>3703.549072265625</v>
          </cell>
          <cell r="E765">
            <v>3748.825927734375</v>
          </cell>
          <cell r="F765">
            <v>3.7488259277343752</v>
          </cell>
        </row>
        <row r="766">
          <cell r="A766">
            <v>45023</v>
          </cell>
          <cell r="B766">
            <v>3751.512939453125</v>
          </cell>
          <cell r="C766">
            <v>3798.468994140625</v>
          </cell>
          <cell r="D766">
            <v>3751.512939453125</v>
          </cell>
          <cell r="E766">
            <v>3790.9189453125</v>
          </cell>
          <cell r="F766">
            <v>3.7909189453124998</v>
          </cell>
        </row>
        <row r="767">
          <cell r="A767">
            <v>45026</v>
          </cell>
          <cell r="B767">
            <v>3808.23193359375</v>
          </cell>
          <cell r="C767">
            <v>3811.922119140625</v>
          </cell>
          <cell r="D767">
            <v>3761.656005859375</v>
          </cell>
          <cell r="E767">
            <v>3770.716064453125</v>
          </cell>
          <cell r="F767">
            <v>3.7707160644531248</v>
          </cell>
        </row>
        <row r="768">
          <cell r="A768">
            <v>45027</v>
          </cell>
          <cell r="B768">
            <v>3771.031005859375</v>
          </cell>
          <cell r="C768">
            <v>3798.06396484375</v>
          </cell>
          <cell r="D768">
            <v>3756.18505859375</v>
          </cell>
          <cell r="E768">
            <v>3773.998046875</v>
          </cell>
          <cell r="F768">
            <v>3.7739980468750001</v>
          </cell>
        </row>
        <row r="769">
          <cell r="A769">
            <v>45028</v>
          </cell>
          <cell r="B769">
            <v>3772.18505859375</v>
          </cell>
          <cell r="C769">
            <v>3789.340087890625</v>
          </cell>
          <cell r="D769">
            <v>3759.844970703125</v>
          </cell>
          <cell r="E769">
            <v>3776.97412109375</v>
          </cell>
          <cell r="F769">
            <v>3.7769741210937502</v>
          </cell>
        </row>
        <row r="770">
          <cell r="A770">
            <v>45029</v>
          </cell>
          <cell r="B770">
            <v>3754.528076171875</v>
          </cell>
          <cell r="C770">
            <v>3755.3798828125</v>
          </cell>
          <cell r="D770">
            <v>3706.303955078125</v>
          </cell>
          <cell r="E770">
            <v>3709.1630859375</v>
          </cell>
          <cell r="F770">
            <v>3.7091630859375</v>
          </cell>
        </row>
        <row r="771">
          <cell r="A771">
            <v>45030</v>
          </cell>
          <cell r="B771">
            <v>3714.592041015625</v>
          </cell>
          <cell r="C771">
            <v>3740.471923828125</v>
          </cell>
          <cell r="D771">
            <v>3714.592041015625</v>
          </cell>
          <cell r="E771">
            <v>3735.10400390625</v>
          </cell>
          <cell r="F771">
            <v>3.7351040039062502</v>
          </cell>
        </row>
        <row r="772">
          <cell r="A772">
            <v>45033</v>
          </cell>
          <cell r="B772">
            <v>3727.0849609375</v>
          </cell>
          <cell r="C772">
            <v>3756.2900390625</v>
          </cell>
          <cell r="D772">
            <v>3725.239013671875</v>
          </cell>
          <cell r="E772">
            <v>3755.2890625</v>
          </cell>
          <cell r="F772">
            <v>3.7552890625000002</v>
          </cell>
        </row>
        <row r="773">
          <cell r="A773">
            <v>45034</v>
          </cell>
          <cell r="B773">
            <v>3747.367919921875</v>
          </cell>
          <cell r="C773">
            <v>3777.388916015625</v>
          </cell>
          <cell r="D773">
            <v>3747.10888671875</v>
          </cell>
          <cell r="E773">
            <v>3766.675048828125</v>
          </cell>
          <cell r="F773">
            <v>3.7666750488281249</v>
          </cell>
        </row>
        <row r="774">
          <cell r="A774">
            <v>45035</v>
          </cell>
          <cell r="B774">
            <v>3761.89599609375</v>
          </cell>
          <cell r="C774">
            <v>3761.89599609375</v>
          </cell>
          <cell r="D774">
            <v>3727.791015625</v>
          </cell>
          <cell r="E774">
            <v>3732.178955078125</v>
          </cell>
          <cell r="F774">
            <v>3.7321789550781248</v>
          </cell>
        </row>
        <row r="775">
          <cell r="A775">
            <v>45036</v>
          </cell>
          <cell r="B775">
            <v>3732.22802734375</v>
          </cell>
          <cell r="C775">
            <v>3733.04296875</v>
          </cell>
          <cell r="D775">
            <v>3696.89599609375</v>
          </cell>
          <cell r="E775">
            <v>3714.02197265625</v>
          </cell>
          <cell r="F775">
            <v>3.71402197265625</v>
          </cell>
        </row>
        <row r="776">
          <cell r="A776">
            <v>45037</v>
          </cell>
          <cell r="B776">
            <v>3727.196044921875</v>
          </cell>
          <cell r="C776">
            <v>3739.302001953125</v>
          </cell>
          <cell r="D776">
            <v>3641.012939453125</v>
          </cell>
          <cell r="E776">
            <v>3642.08203125</v>
          </cell>
          <cell r="F776">
            <v>3.6420820312500002</v>
          </cell>
        </row>
        <row r="777">
          <cell r="A777">
            <v>45040</v>
          </cell>
          <cell r="B777">
            <v>3645.385986328125</v>
          </cell>
          <cell r="C777">
            <v>3651.841064453125</v>
          </cell>
          <cell r="D777">
            <v>3588.010986328125</v>
          </cell>
          <cell r="E777">
            <v>3606.845947265625</v>
          </cell>
          <cell r="F777">
            <v>3.6068459472656249</v>
          </cell>
        </row>
        <row r="778">
          <cell r="A778">
            <v>45041</v>
          </cell>
          <cell r="B778">
            <v>3604.821044921875</v>
          </cell>
          <cell r="C778">
            <v>3610.23291015625</v>
          </cell>
          <cell r="D778">
            <v>3512.77197265625</v>
          </cell>
          <cell r="E778">
            <v>3541.445068359375</v>
          </cell>
          <cell r="F778">
            <v>3.541445068359375</v>
          </cell>
        </row>
        <row r="779">
          <cell r="A779">
            <v>45042</v>
          </cell>
          <cell r="B779">
            <v>3528.386962890625</v>
          </cell>
          <cell r="C779">
            <v>3588.485107421875</v>
          </cell>
          <cell r="D779">
            <v>3522.4580078125</v>
          </cell>
          <cell r="E779">
            <v>3569.028076171875</v>
          </cell>
          <cell r="F779">
            <v>3.5690280761718749</v>
          </cell>
        </row>
        <row r="780">
          <cell r="A780">
            <v>45043</v>
          </cell>
          <cell r="B780">
            <v>3554.64404296875</v>
          </cell>
          <cell r="C780">
            <v>3599.799072265625</v>
          </cell>
          <cell r="D780">
            <v>3551.9140625</v>
          </cell>
          <cell r="E780">
            <v>3593.64111328125</v>
          </cell>
          <cell r="F780">
            <v>3.59364111328125</v>
          </cell>
        </row>
        <row r="781">
          <cell r="A781">
            <v>45044</v>
          </cell>
          <cell r="B781">
            <v>3600.02197265625</v>
          </cell>
          <cell r="C781">
            <v>3618.89404296875</v>
          </cell>
          <cell r="D781">
            <v>3593.60693359375</v>
          </cell>
          <cell r="E781">
            <v>3615.93798828125</v>
          </cell>
          <cell r="F781">
            <v>3.6159379882812499</v>
          </cell>
        </row>
        <row r="782">
          <cell r="A782">
            <v>45050</v>
          </cell>
          <cell r="B782">
            <v>3600.3349609375</v>
          </cell>
          <cell r="C782">
            <v>3604.012939453125</v>
          </cell>
          <cell r="D782">
            <v>3566.62109375</v>
          </cell>
          <cell r="E782">
            <v>3574.118896484375</v>
          </cell>
          <cell r="F782">
            <v>3.5741188964843751</v>
          </cell>
        </row>
        <row r="783">
          <cell r="A783">
            <v>45051</v>
          </cell>
          <cell r="B783">
            <v>3570.10107421875</v>
          </cell>
          <cell r="C783">
            <v>3570.742919921875</v>
          </cell>
          <cell r="D783">
            <v>3515.02001953125</v>
          </cell>
          <cell r="E783">
            <v>3532.298095703125</v>
          </cell>
          <cell r="F783">
            <v>3.5322980957031249</v>
          </cell>
        </row>
        <row r="784">
          <cell r="A784">
            <v>45054</v>
          </cell>
          <cell r="B784">
            <v>3545.659912109375</v>
          </cell>
          <cell r="C784">
            <v>3550.7060546875</v>
          </cell>
          <cell r="D784">
            <v>3523.10791015625</v>
          </cell>
          <cell r="E784">
            <v>3541.653076171875</v>
          </cell>
          <cell r="F784">
            <v>3.5416530761718752</v>
          </cell>
        </row>
        <row r="785">
          <cell r="A785">
            <v>45055</v>
          </cell>
          <cell r="B785">
            <v>3536.5830078125</v>
          </cell>
          <cell r="C785">
            <v>3546.386962890625</v>
          </cell>
          <cell r="D785">
            <v>3504.087890625</v>
          </cell>
          <cell r="E785">
            <v>3505.407958984375</v>
          </cell>
          <cell r="F785">
            <v>3.505407958984375</v>
          </cell>
        </row>
        <row r="786">
          <cell r="A786">
            <v>45056</v>
          </cell>
          <cell r="B786">
            <v>3501.7939453125</v>
          </cell>
          <cell r="C786">
            <v>3537.72705078125</v>
          </cell>
          <cell r="D786">
            <v>3481.531982421875</v>
          </cell>
          <cell r="E786">
            <v>3524.303955078125</v>
          </cell>
          <cell r="F786">
            <v>3.5243039550781252</v>
          </cell>
        </row>
        <row r="787">
          <cell r="A787">
            <v>45057</v>
          </cell>
          <cell r="B787">
            <v>3528.123046875</v>
          </cell>
          <cell r="C787">
            <v>3557.41796875</v>
          </cell>
          <cell r="D787">
            <v>3523.27001953125</v>
          </cell>
          <cell r="E787">
            <v>3528.928955078125</v>
          </cell>
          <cell r="F787">
            <v>3.5289289550781251</v>
          </cell>
        </row>
        <row r="788">
          <cell r="A788">
            <v>45058</v>
          </cell>
          <cell r="B788">
            <v>3529.68798828125</v>
          </cell>
          <cell r="C788">
            <v>3547.076904296875</v>
          </cell>
          <cell r="D788">
            <v>3493.52490234375</v>
          </cell>
          <cell r="E788">
            <v>3493.597900390625</v>
          </cell>
          <cell r="F788">
            <v>3.493597900390625</v>
          </cell>
        </row>
        <row r="789">
          <cell r="A789">
            <v>45061</v>
          </cell>
          <cell r="B789">
            <v>3504.513916015625</v>
          </cell>
          <cell r="C789">
            <v>3557.287109375</v>
          </cell>
          <cell r="D789">
            <v>3495.458984375</v>
          </cell>
          <cell r="E789">
            <v>3557.287109375</v>
          </cell>
          <cell r="F789">
            <v>3.5572871093749998</v>
          </cell>
        </row>
        <row r="790">
          <cell r="A790">
            <v>45062</v>
          </cell>
          <cell r="B790">
            <v>3558.89697265625</v>
          </cell>
          <cell r="C790">
            <v>3561.876953125</v>
          </cell>
          <cell r="D790">
            <v>3528.847900390625</v>
          </cell>
          <cell r="E790">
            <v>3539.7900390625</v>
          </cell>
          <cell r="F790">
            <v>3.5397900390624999</v>
          </cell>
        </row>
        <row r="791">
          <cell r="A791">
            <v>45063</v>
          </cell>
          <cell r="B791">
            <v>3540.305908203125</v>
          </cell>
          <cell r="C791">
            <v>3550.85205078125</v>
          </cell>
          <cell r="D791">
            <v>3522.97412109375</v>
          </cell>
          <cell r="E791">
            <v>3542.89208984375</v>
          </cell>
          <cell r="F791">
            <v>3.5428920898437499</v>
          </cell>
        </row>
        <row r="792">
          <cell r="A792">
            <v>45064</v>
          </cell>
          <cell r="B792">
            <v>3552.06005859375</v>
          </cell>
          <cell r="C792">
            <v>3562.492919921875</v>
          </cell>
          <cell r="D792">
            <v>3520.902099609375</v>
          </cell>
          <cell r="E792">
            <v>3540.989013671875</v>
          </cell>
          <cell r="F792">
            <v>3.5409890136718749</v>
          </cell>
        </row>
        <row r="793">
          <cell r="A793">
            <v>45065</v>
          </cell>
          <cell r="B793">
            <v>3538.800048828125</v>
          </cell>
          <cell r="C793">
            <v>3567.85693359375</v>
          </cell>
          <cell r="D793">
            <v>3533.43994140625</v>
          </cell>
          <cell r="E793">
            <v>3549.6630859375</v>
          </cell>
          <cell r="F793">
            <v>3.5496630859375</v>
          </cell>
        </row>
        <row r="794">
          <cell r="A794">
            <v>45068</v>
          </cell>
          <cell r="B794">
            <v>3550.64990234375</v>
          </cell>
          <cell r="C794">
            <v>3569.218017578125</v>
          </cell>
          <cell r="D794">
            <v>3532.837890625</v>
          </cell>
          <cell r="E794">
            <v>3555.241943359375</v>
          </cell>
          <cell r="F794">
            <v>3.5552419433593752</v>
          </cell>
        </row>
        <row r="795">
          <cell r="A795">
            <v>45069</v>
          </cell>
          <cell r="B795">
            <v>3556.238037109375</v>
          </cell>
          <cell r="C795">
            <v>3567.822021484375</v>
          </cell>
          <cell r="D795">
            <v>3523.279052734375</v>
          </cell>
          <cell r="E795">
            <v>3523.506103515625</v>
          </cell>
          <cell r="F795">
            <v>3.5235061035156252</v>
          </cell>
        </row>
        <row r="796">
          <cell r="A796">
            <v>45070</v>
          </cell>
          <cell r="B796">
            <v>3511.430908203125</v>
          </cell>
          <cell r="C796">
            <v>3533.173095703125</v>
          </cell>
          <cell r="D796">
            <v>3494.09912109375</v>
          </cell>
          <cell r="E796">
            <v>3494.09912109375</v>
          </cell>
          <cell r="F796">
            <v>3.49409912109375</v>
          </cell>
        </row>
        <row r="797">
          <cell r="A797">
            <v>45071</v>
          </cell>
          <cell r="B797">
            <v>3497.89794921875</v>
          </cell>
          <cell r="C797">
            <v>3515.260986328125</v>
          </cell>
          <cell r="D797">
            <v>3472.6669921875</v>
          </cell>
          <cell r="E797">
            <v>3496.55810546875</v>
          </cell>
          <cell r="F797">
            <v>3.49655810546875</v>
          </cell>
        </row>
        <row r="798">
          <cell r="A798">
            <v>45072</v>
          </cell>
          <cell r="B798">
            <v>3495.389892578125</v>
          </cell>
          <cell r="C798">
            <v>3495.389892578125</v>
          </cell>
          <cell r="D798">
            <v>3453.39404296875</v>
          </cell>
          <cell r="E798">
            <v>3487.3779296875</v>
          </cell>
          <cell r="F798">
            <v>3.4873779296874998</v>
          </cell>
        </row>
        <row r="799">
          <cell r="A799">
            <v>45075</v>
          </cell>
          <cell r="B799">
            <v>3500.5849609375</v>
          </cell>
          <cell r="C799">
            <v>3504.076904296875</v>
          </cell>
          <cell r="D799">
            <v>3436.324951171875</v>
          </cell>
          <cell r="E799">
            <v>3446.52001953125</v>
          </cell>
          <cell r="F799">
            <v>3.44652001953125</v>
          </cell>
        </row>
        <row r="800">
          <cell r="A800">
            <v>45076</v>
          </cell>
          <cell r="B800">
            <v>3442.239990234375</v>
          </cell>
          <cell r="C800">
            <v>3478.193115234375</v>
          </cell>
          <cell r="D800">
            <v>3423.291015625</v>
          </cell>
          <cell r="E800">
            <v>3478.193115234375</v>
          </cell>
          <cell r="F800">
            <v>3.478193115234375</v>
          </cell>
        </row>
        <row r="801">
          <cell r="A801">
            <v>45077</v>
          </cell>
          <cell r="B801">
            <v>3475.318115234375</v>
          </cell>
          <cell r="C801">
            <v>3475.318115234375</v>
          </cell>
          <cell r="D801">
            <v>3431.27001953125</v>
          </cell>
          <cell r="E801">
            <v>3450.5849609375</v>
          </cell>
          <cell r="F801">
            <v>3.4505849609374999</v>
          </cell>
        </row>
        <row r="802">
          <cell r="A802">
            <v>45078</v>
          </cell>
          <cell r="B802">
            <v>3438.89208984375</v>
          </cell>
          <cell r="C802">
            <v>3489.427001953125</v>
          </cell>
          <cell r="D802">
            <v>3428.488037109375</v>
          </cell>
          <cell r="E802">
            <v>3464.00390625</v>
          </cell>
          <cell r="F802">
            <v>3.4640039062499999</v>
          </cell>
        </row>
        <row r="803">
          <cell r="A803">
            <v>45079</v>
          </cell>
          <cell r="B803">
            <v>3481.9970703125</v>
          </cell>
          <cell r="C803">
            <v>3520.947998046875</v>
          </cell>
          <cell r="D803">
            <v>3479.779052734375</v>
          </cell>
          <cell r="E803">
            <v>3516.64404296875</v>
          </cell>
          <cell r="F803">
            <v>3.5166440429687502</v>
          </cell>
        </row>
        <row r="804">
          <cell r="A804">
            <v>45082</v>
          </cell>
          <cell r="B804">
            <v>3516.721923828125</v>
          </cell>
          <cell r="C804">
            <v>3516.721923828125</v>
          </cell>
          <cell r="D804">
            <v>3482.343017578125</v>
          </cell>
          <cell r="E804">
            <v>3499.27392578125</v>
          </cell>
          <cell r="F804">
            <v>3.49927392578125</v>
          </cell>
        </row>
        <row r="805">
          <cell r="A805">
            <v>45083</v>
          </cell>
          <cell r="B805">
            <v>3490.20703125</v>
          </cell>
          <cell r="C805">
            <v>3490.219970703125</v>
          </cell>
          <cell r="D805">
            <v>3440.52099609375</v>
          </cell>
          <cell r="E805">
            <v>3446.449951171875</v>
          </cell>
          <cell r="F805">
            <v>3.4464499511718749</v>
          </cell>
        </row>
        <row r="806">
          <cell r="A806">
            <v>45084</v>
          </cell>
          <cell r="B806">
            <v>3449.971923828125</v>
          </cell>
          <cell r="C806">
            <v>3455.2880859375</v>
          </cell>
          <cell r="D806">
            <v>3406.01806640625</v>
          </cell>
          <cell r="E806">
            <v>3412.99609375</v>
          </cell>
          <cell r="F806">
            <v>3.4129960937499999</v>
          </cell>
        </row>
        <row r="807">
          <cell r="A807">
            <v>45085</v>
          </cell>
          <cell r="B807">
            <v>3420.968994140625</v>
          </cell>
          <cell r="C807">
            <v>3434.092041015625</v>
          </cell>
          <cell r="D807">
            <v>3394.821044921875</v>
          </cell>
          <cell r="E807">
            <v>3417.79296875</v>
          </cell>
          <cell r="F807">
            <v>3.4177929687500002</v>
          </cell>
        </row>
        <row r="808">
          <cell r="A808">
            <v>45086</v>
          </cell>
          <cell r="B808">
            <v>3423.762939453125</v>
          </cell>
          <cell r="C808">
            <v>3442.72412109375</v>
          </cell>
          <cell r="D808">
            <v>3407.5048828125</v>
          </cell>
          <cell r="E808">
            <v>3442.72412109375</v>
          </cell>
          <cell r="F808">
            <v>3.4427241210937498</v>
          </cell>
        </row>
        <row r="809">
          <cell r="A809">
            <v>45089</v>
          </cell>
          <cell r="B809">
            <v>3437.85009765625</v>
          </cell>
          <cell r="C809">
            <v>3487.762939453125</v>
          </cell>
          <cell r="D809">
            <v>3434.364990234375</v>
          </cell>
          <cell r="E809">
            <v>3473.324951171875</v>
          </cell>
          <cell r="F809">
            <v>3.4733249511718749</v>
          </cell>
        </row>
        <row r="810">
          <cell r="A810">
            <v>45090</v>
          </cell>
          <cell r="B810">
            <v>3468.035888671875</v>
          </cell>
          <cell r="C810">
            <v>3514.069091796875</v>
          </cell>
          <cell r="D810">
            <v>3466.596923828125</v>
          </cell>
          <cell r="E810">
            <v>3509.777099609375</v>
          </cell>
          <cell r="F810">
            <v>3.5097770996093751</v>
          </cell>
        </row>
        <row r="811">
          <cell r="A811">
            <v>45091</v>
          </cell>
          <cell r="B811">
            <v>3520.714111328125</v>
          </cell>
          <cell r="C811">
            <v>3533.196044921875</v>
          </cell>
          <cell r="D811">
            <v>3513.054931640625</v>
          </cell>
          <cell r="E811">
            <v>3515.47705078125</v>
          </cell>
          <cell r="F811">
            <v>3.5154770507812501</v>
          </cell>
        </row>
        <row r="812">
          <cell r="A812">
            <v>45092</v>
          </cell>
          <cell r="B812">
            <v>3526.760009765625</v>
          </cell>
          <cell r="C812">
            <v>3612.472900390625</v>
          </cell>
          <cell r="D812">
            <v>3526.760009765625</v>
          </cell>
          <cell r="E812">
            <v>3612.472900390625</v>
          </cell>
          <cell r="F812">
            <v>3.6124729003906251</v>
          </cell>
        </row>
        <row r="813">
          <cell r="A813">
            <v>45093</v>
          </cell>
          <cell r="B813">
            <v>3619.967041015625</v>
          </cell>
          <cell r="C813">
            <v>3668.912109375</v>
          </cell>
          <cell r="D813">
            <v>3612.169921875</v>
          </cell>
          <cell r="E813">
            <v>3665.73095703125</v>
          </cell>
          <cell r="F813">
            <v>3.6657309570312502</v>
          </cell>
        </row>
        <row r="814">
          <cell r="A814">
            <v>45096</v>
          </cell>
          <cell r="B814">
            <v>3667.412109375</v>
          </cell>
          <cell r="C814">
            <v>3668.7060546875</v>
          </cell>
          <cell r="D814">
            <v>3647.197998046875</v>
          </cell>
          <cell r="E814">
            <v>3661.821044921875</v>
          </cell>
          <cell r="F814">
            <v>3.6618210449218749</v>
          </cell>
        </row>
        <row r="815">
          <cell r="A815">
            <v>45097</v>
          </cell>
          <cell r="B815">
            <v>3659.44189453125</v>
          </cell>
          <cell r="C815">
            <v>3708.258056640625</v>
          </cell>
          <cell r="D815">
            <v>3658.5400390625</v>
          </cell>
          <cell r="E815">
            <v>3699.60693359375</v>
          </cell>
          <cell r="F815">
            <v>3.69960693359375</v>
          </cell>
        </row>
        <row r="816">
          <cell r="A816">
            <v>45098</v>
          </cell>
          <cell r="B816">
            <v>3686.404052734375</v>
          </cell>
          <cell r="C816">
            <v>3694.847900390625</v>
          </cell>
          <cell r="D816">
            <v>3625.64892578125</v>
          </cell>
          <cell r="E816">
            <v>3625.64892578125</v>
          </cell>
          <cell r="F816">
            <v>3.6256489257812499</v>
          </cell>
        </row>
        <row r="817">
          <cell r="A817">
            <v>45103</v>
          </cell>
          <cell r="B817">
            <v>3592.001953125</v>
          </cell>
          <cell r="C817">
            <v>3618.52490234375</v>
          </cell>
          <cell r="D817">
            <v>3562.0830078125</v>
          </cell>
          <cell r="E817">
            <v>3575.532958984375</v>
          </cell>
          <cell r="F817">
            <v>3.575532958984375</v>
          </cell>
        </row>
        <row r="818">
          <cell r="A818">
            <v>45104</v>
          </cell>
          <cell r="B818">
            <v>3575.675048828125</v>
          </cell>
          <cell r="C818">
            <v>3611.7099609375</v>
          </cell>
          <cell r="D818">
            <v>3573.60400390625</v>
          </cell>
          <cell r="E818">
            <v>3607.55810546875</v>
          </cell>
          <cell r="F818">
            <v>3.6075581054687502</v>
          </cell>
        </row>
        <row r="819">
          <cell r="A819">
            <v>45105</v>
          </cell>
          <cell r="B819">
            <v>3591.493896484375</v>
          </cell>
          <cell r="C819">
            <v>3592.4560546875</v>
          </cell>
          <cell r="D819">
            <v>3544.742919921875</v>
          </cell>
          <cell r="E819">
            <v>3580.074951171875</v>
          </cell>
          <cell r="F819">
            <v>3.5800749511718748</v>
          </cell>
        </row>
        <row r="820">
          <cell r="A820">
            <v>45106</v>
          </cell>
          <cell r="B820">
            <v>3575.736083984375</v>
          </cell>
          <cell r="C820">
            <v>3592.68310546875</v>
          </cell>
          <cell r="D820">
            <v>3559.125</v>
          </cell>
          <cell r="E820">
            <v>3574.8779296875</v>
          </cell>
          <cell r="F820">
            <v>3.5748779296875002</v>
          </cell>
        </row>
        <row r="821">
          <cell r="A821">
            <v>45107</v>
          </cell>
          <cell r="B821">
            <v>3566.43505859375</v>
          </cell>
          <cell r="C821">
            <v>3620.720947265625</v>
          </cell>
          <cell r="D821">
            <v>3560.928955078125</v>
          </cell>
          <cell r="E821">
            <v>3608.843017578125</v>
          </cell>
          <cell r="F821">
            <v>3.608843017578125</v>
          </cell>
        </row>
        <row r="822">
          <cell r="A822">
            <v>45110</v>
          </cell>
          <cell r="B822">
            <v>3625.368896484375</v>
          </cell>
          <cell r="C822">
            <v>3657.159912109375</v>
          </cell>
          <cell r="D822">
            <v>3614.764892578125</v>
          </cell>
          <cell r="E822">
            <v>3630.62890625</v>
          </cell>
          <cell r="F822">
            <v>3.6306289062500001</v>
          </cell>
        </row>
        <row r="823">
          <cell r="A823">
            <v>45111</v>
          </cell>
          <cell r="B823">
            <v>3623.865966796875</v>
          </cell>
          <cell r="C823">
            <v>3652.633056640625</v>
          </cell>
          <cell r="D823">
            <v>3615.550048828125</v>
          </cell>
          <cell r="E823">
            <v>3648.9619140625</v>
          </cell>
          <cell r="F823">
            <v>3.6489619140624998</v>
          </cell>
        </row>
        <row r="824">
          <cell r="A824">
            <v>45112</v>
          </cell>
          <cell r="B824">
            <v>3651.783935546875</v>
          </cell>
          <cell r="C824">
            <v>3652.60107421875</v>
          </cell>
          <cell r="D824">
            <v>3610.662109375</v>
          </cell>
          <cell r="E824">
            <v>3616.19189453125</v>
          </cell>
          <cell r="F824">
            <v>3.6161918945312501</v>
          </cell>
        </row>
        <row r="825">
          <cell r="A825">
            <v>45113</v>
          </cell>
          <cell r="B825">
            <v>3603.321044921875</v>
          </cell>
          <cell r="C825">
            <v>3631.429931640625</v>
          </cell>
          <cell r="D825">
            <v>3588.712890625</v>
          </cell>
          <cell r="E825">
            <v>3595.22705078125</v>
          </cell>
          <cell r="F825">
            <v>3.5952270507812498</v>
          </cell>
        </row>
        <row r="826">
          <cell r="A826">
            <v>45114</v>
          </cell>
          <cell r="B826">
            <v>3586.2119140625</v>
          </cell>
          <cell r="C826">
            <v>3586.2119140625</v>
          </cell>
          <cell r="D826">
            <v>3550.487060546875</v>
          </cell>
          <cell r="E826">
            <v>3559.60009765625</v>
          </cell>
          <cell r="F826">
            <v>3.5596000976562499</v>
          </cell>
        </row>
        <row r="827">
          <cell r="A827">
            <v>45117</v>
          </cell>
          <cell r="B827">
            <v>3571.35693359375</v>
          </cell>
          <cell r="C827">
            <v>3599.212890625</v>
          </cell>
          <cell r="D827">
            <v>3567.10595703125</v>
          </cell>
          <cell r="E827">
            <v>3581.135986328125</v>
          </cell>
          <cell r="F827">
            <v>3.5811359863281251</v>
          </cell>
        </row>
        <row r="828">
          <cell r="A828">
            <v>45118</v>
          </cell>
          <cell r="B828">
            <v>3585.593017578125</v>
          </cell>
          <cell r="C828">
            <v>3623.373046875</v>
          </cell>
          <cell r="D828">
            <v>3584.35595703125</v>
          </cell>
          <cell r="E828">
            <v>3621.675048828125</v>
          </cell>
          <cell r="F828">
            <v>3.6216750488281249</v>
          </cell>
        </row>
        <row r="829">
          <cell r="A829">
            <v>45119</v>
          </cell>
          <cell r="B829">
            <v>3618.887939453125</v>
          </cell>
          <cell r="C829">
            <v>3622.330078125</v>
          </cell>
          <cell r="D829">
            <v>3577.2099609375</v>
          </cell>
          <cell r="E829">
            <v>3582.94091796875</v>
          </cell>
          <cell r="F829">
            <v>3.5829409179687501</v>
          </cell>
        </row>
        <row r="830">
          <cell r="A830">
            <v>45120</v>
          </cell>
          <cell r="B830">
            <v>3597.64404296875</v>
          </cell>
          <cell r="C830">
            <v>3638.18798828125</v>
          </cell>
          <cell r="D830">
            <v>3597.64404296875</v>
          </cell>
          <cell r="E830">
            <v>3635.705078125</v>
          </cell>
          <cell r="F830">
            <v>3.635705078125</v>
          </cell>
        </row>
        <row r="831">
          <cell r="A831">
            <v>45121</v>
          </cell>
          <cell r="B831">
            <v>3639.19189453125</v>
          </cell>
          <cell r="C831">
            <v>3642.93408203125</v>
          </cell>
          <cell r="D831">
            <v>3625.51708984375</v>
          </cell>
          <cell r="E831">
            <v>3628.491943359375</v>
          </cell>
          <cell r="F831">
            <v>3.628491943359375</v>
          </cell>
        </row>
        <row r="832">
          <cell r="A832">
            <v>45124</v>
          </cell>
          <cell r="B832">
            <v>3618.2080078125</v>
          </cell>
          <cell r="C832">
            <v>3620.4619140625</v>
          </cell>
          <cell r="D832">
            <v>3595.73291015625</v>
          </cell>
          <cell r="E832">
            <v>3609.2119140625</v>
          </cell>
          <cell r="F832">
            <v>3.6092119140625001</v>
          </cell>
        </row>
        <row r="833">
          <cell r="A833">
            <v>45125</v>
          </cell>
          <cell r="B833">
            <v>3618.263916015625</v>
          </cell>
          <cell r="C833">
            <v>3618.52001953125</v>
          </cell>
          <cell r="D833">
            <v>3582.868896484375</v>
          </cell>
          <cell r="E833">
            <v>3590.555908203125</v>
          </cell>
          <cell r="F833">
            <v>3.5905559082031249</v>
          </cell>
        </row>
        <row r="834">
          <cell r="A834">
            <v>45126</v>
          </cell>
          <cell r="B834">
            <v>3587.531005859375</v>
          </cell>
          <cell r="C834">
            <v>3594.322021484375</v>
          </cell>
          <cell r="D834">
            <v>3553.283935546875</v>
          </cell>
          <cell r="E834">
            <v>3571.208984375</v>
          </cell>
          <cell r="F834">
            <v>3.5712089843750001</v>
          </cell>
        </row>
        <row r="835">
          <cell r="A835">
            <v>45127</v>
          </cell>
          <cell r="B835">
            <v>3575.800048828125</v>
          </cell>
          <cell r="C835">
            <v>3594.634033203125</v>
          </cell>
          <cell r="D835">
            <v>3519.5048828125</v>
          </cell>
          <cell r="E835">
            <v>3523.947998046875</v>
          </cell>
          <cell r="F835">
            <v>3.5239479980468751</v>
          </cell>
        </row>
        <row r="836">
          <cell r="A836">
            <v>45128</v>
          </cell>
          <cell r="B836">
            <v>3518.445068359375</v>
          </cell>
          <cell r="C836">
            <v>3538.85791015625</v>
          </cell>
          <cell r="D836">
            <v>3500.6689453125</v>
          </cell>
          <cell r="E836">
            <v>3513.552001953125</v>
          </cell>
          <cell r="F836">
            <v>3.513552001953125</v>
          </cell>
        </row>
        <row r="837">
          <cell r="A837">
            <v>45131</v>
          </cell>
          <cell r="B837">
            <v>3496.62890625</v>
          </cell>
          <cell r="C837">
            <v>3527.43505859375</v>
          </cell>
          <cell r="D837">
            <v>3483.616943359375</v>
          </cell>
          <cell r="E837">
            <v>3491.883056640625</v>
          </cell>
          <cell r="F837">
            <v>3.4918830566406251</v>
          </cell>
        </row>
        <row r="838">
          <cell r="A838">
            <v>45132</v>
          </cell>
          <cell r="B838">
            <v>3545.404052734375</v>
          </cell>
          <cell r="C838">
            <v>3584.660888671875</v>
          </cell>
          <cell r="D838">
            <v>3541.305908203125</v>
          </cell>
          <cell r="E838">
            <v>3580.70703125</v>
          </cell>
          <cell r="F838">
            <v>3.5807070312499998</v>
          </cell>
        </row>
        <row r="839">
          <cell r="A839">
            <v>45133</v>
          </cell>
          <cell r="B839">
            <v>3570.638916015625</v>
          </cell>
          <cell r="C839">
            <v>3575.030029296875</v>
          </cell>
          <cell r="D839">
            <v>3555.47900390625</v>
          </cell>
          <cell r="E839">
            <v>3564.068115234375</v>
          </cell>
          <cell r="F839">
            <v>3.5640681152343752</v>
          </cell>
        </row>
        <row r="840">
          <cell r="A840">
            <v>45134</v>
          </cell>
          <cell r="B840">
            <v>3576.514892578125</v>
          </cell>
          <cell r="C840">
            <v>3581.531982421875</v>
          </cell>
          <cell r="D840">
            <v>3545.12890625</v>
          </cell>
          <cell r="E840">
            <v>3551.884033203125</v>
          </cell>
          <cell r="F840">
            <v>3.551884033203125</v>
          </cell>
        </row>
        <row r="841">
          <cell r="A841">
            <v>45135</v>
          </cell>
          <cell r="B841">
            <v>3543.97900390625</v>
          </cell>
          <cell r="C841">
            <v>3608.450927734375</v>
          </cell>
          <cell r="D841">
            <v>3536.091064453125</v>
          </cell>
          <cell r="E841">
            <v>3602.60302734375</v>
          </cell>
          <cell r="F841">
            <v>3.6026030273437502</v>
          </cell>
        </row>
        <row r="842">
          <cell r="A842">
            <v>45138</v>
          </cell>
          <cell r="B842">
            <v>3622.48388671875</v>
          </cell>
          <cell r="C842">
            <v>3667.64599609375</v>
          </cell>
          <cell r="D842">
            <v>3619.72998046875</v>
          </cell>
          <cell r="E842">
            <v>3630.39404296875</v>
          </cell>
          <cell r="F842">
            <v>3.6303940429687498</v>
          </cell>
        </row>
        <row r="843">
          <cell r="A843">
            <v>45139</v>
          </cell>
          <cell r="B843">
            <v>3623.748046875</v>
          </cell>
          <cell r="C843">
            <v>3636.91796875</v>
          </cell>
          <cell r="D843">
            <v>3602.1640625</v>
          </cell>
          <cell r="E843">
            <v>3615.4130859375</v>
          </cell>
          <cell r="F843">
            <v>3.6154130859375</v>
          </cell>
        </row>
        <row r="844">
          <cell r="A844">
            <v>45140</v>
          </cell>
          <cell r="B844">
            <v>3609.52099609375</v>
          </cell>
          <cell r="C844">
            <v>3627.258056640625</v>
          </cell>
          <cell r="D844">
            <v>3594.363037109375</v>
          </cell>
          <cell r="E844">
            <v>3604.574951171875</v>
          </cell>
          <cell r="F844">
            <v>3.604574951171875</v>
          </cell>
        </row>
        <row r="845">
          <cell r="A845">
            <v>45141</v>
          </cell>
          <cell r="B845">
            <v>3588.89404296875</v>
          </cell>
          <cell r="C845">
            <v>3623.014892578125</v>
          </cell>
          <cell r="D845">
            <v>3588.340087890625</v>
          </cell>
          <cell r="E845">
            <v>3621.638916015625</v>
          </cell>
          <cell r="F845">
            <v>3.621638916015625</v>
          </cell>
        </row>
        <row r="846">
          <cell r="A846">
            <v>45142</v>
          </cell>
          <cell r="B846">
            <v>3640.384033203125</v>
          </cell>
          <cell r="C846">
            <v>3665.4140625</v>
          </cell>
          <cell r="D846">
            <v>3625.35400390625</v>
          </cell>
          <cell r="E846">
            <v>3649.721923828125</v>
          </cell>
          <cell r="F846">
            <v>3.6497219238281251</v>
          </cell>
        </row>
        <row r="847">
          <cell r="A847">
            <v>45145</v>
          </cell>
          <cell r="B847">
            <v>3642.47705078125</v>
          </cell>
          <cell r="C847">
            <v>3645.10400390625</v>
          </cell>
          <cell r="D847">
            <v>3605.123046875</v>
          </cell>
          <cell r="E847">
            <v>3614.839111328125</v>
          </cell>
          <cell r="F847">
            <v>3.6148391113281249</v>
          </cell>
        </row>
        <row r="848">
          <cell r="A848">
            <v>45146</v>
          </cell>
          <cell r="B848">
            <v>3612.123046875</v>
          </cell>
          <cell r="C848">
            <v>3625.406982421875</v>
          </cell>
          <cell r="D848">
            <v>3599.8798828125</v>
          </cell>
          <cell r="E848">
            <v>3601.695068359375</v>
          </cell>
          <cell r="F848">
            <v>3.6016950683593749</v>
          </cell>
        </row>
        <row r="849">
          <cell r="A849">
            <v>45147</v>
          </cell>
          <cell r="B849">
            <v>3590.705078125</v>
          </cell>
          <cell r="C849">
            <v>3600.429931640625</v>
          </cell>
          <cell r="D849">
            <v>3576.85400390625</v>
          </cell>
          <cell r="E849">
            <v>3581.47412109375</v>
          </cell>
          <cell r="F849">
            <v>3.5814741210937502</v>
          </cell>
        </row>
        <row r="850">
          <cell r="A850">
            <v>45148</v>
          </cell>
          <cell r="B850">
            <v>3576.264892578125</v>
          </cell>
          <cell r="C850">
            <v>3587.237060546875</v>
          </cell>
          <cell r="D850">
            <v>3553.013916015625</v>
          </cell>
          <cell r="E850">
            <v>3579.0849609375</v>
          </cell>
          <cell r="F850">
            <v>3.5790849609375002</v>
          </cell>
        </row>
        <row r="851">
          <cell r="A851">
            <v>45149</v>
          </cell>
          <cell r="B851">
            <v>3585.4150390625</v>
          </cell>
          <cell r="C851">
            <v>3585.4150390625</v>
          </cell>
          <cell r="D851">
            <v>3501.514892578125</v>
          </cell>
          <cell r="E851">
            <v>3501.514892578125</v>
          </cell>
          <cell r="F851">
            <v>3.501514892578125</v>
          </cell>
        </row>
        <row r="852">
          <cell r="A852">
            <v>45152</v>
          </cell>
          <cell r="B852">
            <v>3465.389892578125</v>
          </cell>
          <cell r="C852">
            <v>3474.64404296875</v>
          </cell>
          <cell r="D852">
            <v>3425.243896484375</v>
          </cell>
          <cell r="E852">
            <v>3472.02587890625</v>
          </cell>
          <cell r="F852">
            <v>3.4720258789062499</v>
          </cell>
        </row>
        <row r="853">
          <cell r="A853">
            <v>45153</v>
          </cell>
          <cell r="B853">
            <v>3476.068115234375</v>
          </cell>
          <cell r="C853">
            <v>3481.926025390625</v>
          </cell>
          <cell r="D853">
            <v>3414.9580078125</v>
          </cell>
          <cell r="E853">
            <v>3440.760986328125</v>
          </cell>
          <cell r="F853">
            <v>3.440760986328125</v>
          </cell>
        </row>
        <row r="854">
          <cell r="A854">
            <v>45154</v>
          </cell>
          <cell r="B854">
            <v>3429.419921875</v>
          </cell>
          <cell r="C854">
            <v>3441.091064453125</v>
          </cell>
          <cell r="D854">
            <v>3403.60595703125</v>
          </cell>
          <cell r="E854">
            <v>3403.906005859375</v>
          </cell>
          <cell r="F854">
            <v>3.4039060058593749</v>
          </cell>
        </row>
        <row r="855">
          <cell r="A855">
            <v>45155</v>
          </cell>
          <cell r="B855">
            <v>3392.868896484375</v>
          </cell>
          <cell r="C855">
            <v>3431.7060546875</v>
          </cell>
          <cell r="D855">
            <v>3368.43798828125</v>
          </cell>
          <cell r="E855">
            <v>3426.55810546875</v>
          </cell>
          <cell r="F855">
            <v>3.4265581054687502</v>
          </cell>
        </row>
        <row r="856">
          <cell r="A856">
            <v>45156</v>
          </cell>
          <cell r="B856">
            <v>3424.25</v>
          </cell>
          <cell r="C856">
            <v>3428.365966796875</v>
          </cell>
          <cell r="D856">
            <v>3373.741943359375</v>
          </cell>
          <cell r="E856">
            <v>3373.741943359375</v>
          </cell>
          <cell r="F856">
            <v>3.3737419433593749</v>
          </cell>
        </row>
        <row r="857">
          <cell r="A857">
            <v>45159</v>
          </cell>
          <cell r="B857">
            <v>3365.738037109375</v>
          </cell>
          <cell r="C857">
            <v>3379.89501953125</v>
          </cell>
          <cell r="D857">
            <v>3327.1201171875</v>
          </cell>
          <cell r="E857">
            <v>3327.1201171875</v>
          </cell>
          <cell r="F857">
            <v>3.3271201171875</v>
          </cell>
        </row>
        <row r="858">
          <cell r="A858">
            <v>45160</v>
          </cell>
          <cell r="B858">
            <v>3348.806884765625</v>
          </cell>
          <cell r="C858">
            <v>3356.514892578125</v>
          </cell>
          <cell r="D858">
            <v>3282.907958984375</v>
          </cell>
          <cell r="E858">
            <v>3342.221923828125</v>
          </cell>
          <cell r="F858">
            <v>3.342221923828125</v>
          </cell>
        </row>
        <row r="859">
          <cell r="A859">
            <v>45161</v>
          </cell>
          <cell r="B859">
            <v>3334.287109375</v>
          </cell>
          <cell r="C859">
            <v>3334.287109375</v>
          </cell>
          <cell r="D859">
            <v>3264.077880859375</v>
          </cell>
          <cell r="E859">
            <v>3264.10400390625</v>
          </cell>
          <cell r="F859">
            <v>3.2641040039062501</v>
          </cell>
        </row>
        <row r="860">
          <cell r="A860">
            <v>45162</v>
          </cell>
          <cell r="B860">
            <v>3285.346923828125</v>
          </cell>
          <cell r="C860">
            <v>3332.532958984375</v>
          </cell>
          <cell r="D860">
            <v>3269.549072265625</v>
          </cell>
          <cell r="E860">
            <v>3302.512939453125</v>
          </cell>
          <cell r="F860">
            <v>3.3025129394531252</v>
          </cell>
        </row>
        <row r="861">
          <cell r="A861">
            <v>45163</v>
          </cell>
          <cell r="B861">
            <v>3279.818115234375</v>
          </cell>
          <cell r="C861">
            <v>3281.2470703125</v>
          </cell>
          <cell r="D861">
            <v>3245.072998046875</v>
          </cell>
          <cell r="E861">
            <v>3257.47802734375</v>
          </cell>
          <cell r="F861">
            <v>3.2574780273437498</v>
          </cell>
        </row>
        <row r="862">
          <cell r="A862">
            <v>45166</v>
          </cell>
          <cell r="B862">
            <v>3443.465087890625</v>
          </cell>
          <cell r="C862">
            <v>3443.465087890625</v>
          </cell>
          <cell r="D862">
            <v>3288.094970703125</v>
          </cell>
          <cell r="E862">
            <v>3297.756103515625</v>
          </cell>
          <cell r="F862">
            <v>3.2977561035156251</v>
          </cell>
        </row>
        <row r="863">
          <cell r="A863">
            <v>45167</v>
          </cell>
          <cell r="B863">
            <v>3291.530029296875</v>
          </cell>
          <cell r="C863">
            <v>3392.840087890625</v>
          </cell>
          <cell r="D863">
            <v>3289.967041015625</v>
          </cell>
          <cell r="E863">
            <v>3375.3330078125</v>
          </cell>
          <cell r="F863">
            <v>3.3753330078124999</v>
          </cell>
        </row>
        <row r="864">
          <cell r="A864">
            <v>45168</v>
          </cell>
          <cell r="B864">
            <v>3387.783935546875</v>
          </cell>
          <cell r="C864">
            <v>3426.22412109375</v>
          </cell>
          <cell r="D864">
            <v>3385.278076171875</v>
          </cell>
          <cell r="E864">
            <v>3397.718994140625</v>
          </cell>
          <cell r="F864">
            <v>3.3977189941406252</v>
          </cell>
        </row>
        <row r="865">
          <cell r="A865">
            <v>45169</v>
          </cell>
          <cell r="B865">
            <v>3393.912109375</v>
          </cell>
          <cell r="C865">
            <v>3402.35107421875</v>
          </cell>
          <cell r="D865">
            <v>3376.256103515625</v>
          </cell>
          <cell r="E865">
            <v>3383.0390625</v>
          </cell>
          <cell r="F865">
            <v>3.3830390625</v>
          </cell>
        </row>
        <row r="866">
          <cell r="A866">
            <v>45170</v>
          </cell>
          <cell r="B866">
            <v>3393.43896484375</v>
          </cell>
          <cell r="C866">
            <v>3411.639892578125</v>
          </cell>
          <cell r="D866">
            <v>3377.1640625</v>
          </cell>
          <cell r="E866">
            <v>3388.385986328125</v>
          </cell>
          <cell r="F866">
            <v>3.3883859863281249</v>
          </cell>
        </row>
        <row r="867">
          <cell r="A867">
            <v>45173</v>
          </cell>
          <cell r="B867">
            <v>3409.570068359375</v>
          </cell>
          <cell r="C867">
            <v>3424.80810546875</v>
          </cell>
          <cell r="D867">
            <v>3384.181884765625</v>
          </cell>
          <cell r="E867">
            <v>3421.965087890625</v>
          </cell>
          <cell r="F867">
            <v>3.4219650878906251</v>
          </cell>
        </row>
        <row r="868">
          <cell r="A868">
            <v>45174</v>
          </cell>
          <cell r="B868">
            <v>3417.3369140625</v>
          </cell>
          <cell r="C868">
            <v>3426.181884765625</v>
          </cell>
          <cell r="D868">
            <v>3393.39794921875</v>
          </cell>
          <cell r="E868">
            <v>3399.118896484375</v>
          </cell>
          <cell r="F868">
            <v>3.3991188964843748</v>
          </cell>
        </row>
        <row r="869">
          <cell r="A869">
            <v>45175</v>
          </cell>
          <cell r="B869">
            <v>3385.966064453125</v>
          </cell>
          <cell r="C869">
            <v>3389.259033203125</v>
          </cell>
          <cell r="D869">
            <v>3364.822021484375</v>
          </cell>
          <cell r="E869">
            <v>3383.218994140625</v>
          </cell>
          <cell r="F869">
            <v>3.3832189941406252</v>
          </cell>
        </row>
        <row r="870">
          <cell r="A870">
            <v>45176</v>
          </cell>
          <cell r="B870">
            <v>3374.16796875</v>
          </cell>
          <cell r="C870">
            <v>3374.16796875</v>
          </cell>
          <cell r="D870">
            <v>3311.988037109375</v>
          </cell>
          <cell r="E870">
            <v>3311.988037109375</v>
          </cell>
          <cell r="F870">
            <v>3.3119880371093751</v>
          </cell>
        </row>
        <row r="871">
          <cell r="A871">
            <v>45177</v>
          </cell>
          <cell r="B871">
            <v>3299.657958984375</v>
          </cell>
          <cell r="C871">
            <v>3308.205078125</v>
          </cell>
          <cell r="D871">
            <v>3274.34912109375</v>
          </cell>
          <cell r="E871">
            <v>3291.337890625</v>
          </cell>
          <cell r="F871">
            <v>3.2913378906249999</v>
          </cell>
        </row>
        <row r="872">
          <cell r="A872">
            <v>45180</v>
          </cell>
          <cell r="B872">
            <v>3294.431884765625</v>
          </cell>
          <cell r="C872">
            <v>3344.3310546875</v>
          </cell>
          <cell r="D872">
            <v>3282.285888671875</v>
          </cell>
          <cell r="E872">
            <v>3319.595947265625</v>
          </cell>
          <cell r="F872">
            <v>3.3195959472656251</v>
          </cell>
        </row>
        <row r="873">
          <cell r="A873">
            <v>45181</v>
          </cell>
          <cell r="B873">
            <v>3318.31396484375</v>
          </cell>
          <cell r="C873">
            <v>3336.156005859375</v>
          </cell>
          <cell r="D873">
            <v>3307.7060546875</v>
          </cell>
          <cell r="E873">
            <v>3320.18994140625</v>
          </cell>
          <cell r="F873">
            <v>3.3201899414062499</v>
          </cell>
        </row>
        <row r="874">
          <cell r="A874">
            <v>45182</v>
          </cell>
          <cell r="B874">
            <v>3309.843017578125</v>
          </cell>
          <cell r="C874">
            <v>3318.805908203125</v>
          </cell>
          <cell r="D874">
            <v>3259.737060546875</v>
          </cell>
          <cell r="E874">
            <v>3276.64599609375</v>
          </cell>
          <cell r="F874">
            <v>3.27664599609375</v>
          </cell>
        </row>
        <row r="875">
          <cell r="A875">
            <v>45183</v>
          </cell>
          <cell r="B875">
            <v>3268.4970703125</v>
          </cell>
          <cell r="C875">
            <v>3272.636962890625</v>
          </cell>
          <cell r="D875">
            <v>3235.634033203125</v>
          </cell>
          <cell r="E875">
            <v>3248.986083984375</v>
          </cell>
          <cell r="F875">
            <v>3.2489860839843749</v>
          </cell>
        </row>
        <row r="876">
          <cell r="A876">
            <v>45184</v>
          </cell>
          <cell r="B876">
            <v>3251.610107421875</v>
          </cell>
          <cell r="C876">
            <v>3258.9970703125</v>
          </cell>
          <cell r="D876">
            <v>3213.575927734375</v>
          </cell>
          <cell r="E876">
            <v>3223.0419921875</v>
          </cell>
          <cell r="F876">
            <v>3.2230419921875</v>
          </cell>
        </row>
        <row r="877">
          <cell r="A877">
            <v>45187</v>
          </cell>
          <cell r="B877">
            <v>3213.200927734375</v>
          </cell>
          <cell r="C877">
            <v>3274.14306640625</v>
          </cell>
          <cell r="D877">
            <v>3210.427978515625</v>
          </cell>
          <cell r="E877">
            <v>3247.6240234375</v>
          </cell>
          <cell r="F877">
            <v>3.2476240234375</v>
          </cell>
        </row>
        <row r="878">
          <cell r="A878">
            <v>45188</v>
          </cell>
          <cell r="B878">
            <v>3243.175048828125</v>
          </cell>
          <cell r="C878">
            <v>3243.175048828125</v>
          </cell>
          <cell r="D878">
            <v>3206.2470703125</v>
          </cell>
          <cell r="E878">
            <v>3221.3798828125</v>
          </cell>
          <cell r="F878">
            <v>3.2213798828125002</v>
          </cell>
        </row>
        <row r="879">
          <cell r="A879">
            <v>45189</v>
          </cell>
          <cell r="B879">
            <v>3218.93798828125</v>
          </cell>
          <cell r="C879">
            <v>3220.62890625</v>
          </cell>
          <cell r="D879">
            <v>3205.0390625</v>
          </cell>
          <cell r="E879">
            <v>3205.617919921875</v>
          </cell>
          <cell r="F879">
            <v>3.2056179199218748</v>
          </cell>
        </row>
        <row r="880">
          <cell r="A880">
            <v>45190</v>
          </cell>
          <cell r="B880">
            <v>3197.998046875</v>
          </cell>
          <cell r="C880">
            <v>3211.64111328125</v>
          </cell>
          <cell r="D880">
            <v>3177.8330078125</v>
          </cell>
          <cell r="E880">
            <v>3179.696044921875</v>
          </cell>
          <cell r="F880">
            <v>3.179696044921875</v>
          </cell>
        </row>
        <row r="881">
          <cell r="A881">
            <v>45191</v>
          </cell>
          <cell r="B881">
            <v>3179.326904296875</v>
          </cell>
          <cell r="C881">
            <v>3254.055908203125</v>
          </cell>
          <cell r="D881">
            <v>3173.716064453125</v>
          </cell>
          <cell r="E881">
            <v>3251.971923828125</v>
          </cell>
          <cell r="F881">
            <v>3.2519719238281248</v>
          </cell>
        </row>
        <row r="882">
          <cell r="A882">
            <v>45194</v>
          </cell>
          <cell r="B882">
            <v>3257.801025390625</v>
          </cell>
          <cell r="C882">
            <v>3257.801025390625</v>
          </cell>
          <cell r="D882">
            <v>3231.284912109375</v>
          </cell>
          <cell r="E882">
            <v>3236.173095703125</v>
          </cell>
          <cell r="F882">
            <v>3.2361730957031249</v>
          </cell>
        </row>
        <row r="883">
          <cell r="A883">
            <v>45195</v>
          </cell>
          <cell r="B883">
            <v>3233.403076171875</v>
          </cell>
          <cell r="C883">
            <v>3248.798095703125</v>
          </cell>
          <cell r="D883">
            <v>3216.450927734375</v>
          </cell>
          <cell r="E883">
            <v>3216.888916015625</v>
          </cell>
          <cell r="F883">
            <v>3.2168889160156251</v>
          </cell>
        </row>
        <row r="884">
          <cell r="A884">
            <v>45196</v>
          </cell>
          <cell r="B884">
            <v>3216.97900390625</v>
          </cell>
          <cell r="C884">
            <v>3263.719970703125</v>
          </cell>
          <cell r="D884">
            <v>3216.493896484375</v>
          </cell>
          <cell r="E884">
            <v>3232.7900390625</v>
          </cell>
          <cell r="F884">
            <v>3.2327900390625</v>
          </cell>
        </row>
        <row r="885">
          <cell r="A885">
            <v>45197</v>
          </cell>
          <cell r="B885">
            <v>3240.52294921875</v>
          </cell>
          <cell r="C885">
            <v>3248.257080078125</v>
          </cell>
          <cell r="D885">
            <v>3220.587890625</v>
          </cell>
          <cell r="E885">
            <v>3231.1640625</v>
          </cell>
          <cell r="F885">
            <v>3.2311640625</v>
          </cell>
        </row>
        <row r="886">
          <cell r="A886">
            <v>45208</v>
          </cell>
          <cell r="B886">
            <v>3230.135009765625</v>
          </cell>
          <cell r="C886">
            <v>3260.23095703125</v>
          </cell>
          <cell r="D886">
            <v>3199.075927734375</v>
          </cell>
          <cell r="E886">
            <v>3249.243896484375</v>
          </cell>
          <cell r="F886">
            <v>3.2492438964843751</v>
          </cell>
        </row>
        <row r="887">
          <cell r="A887">
            <v>45209</v>
          </cell>
          <cell r="B887">
            <v>3255.39599609375</v>
          </cell>
          <cell r="C887">
            <v>3260.54296875</v>
          </cell>
          <cell r="D887">
            <v>3218.534912109375</v>
          </cell>
          <cell r="E887">
            <v>3219.4990234375</v>
          </cell>
          <cell r="F887">
            <v>3.2194990234374998</v>
          </cell>
        </row>
        <row r="888">
          <cell r="A888">
            <v>45210</v>
          </cell>
          <cell r="B888">
            <v>3235.110107421875</v>
          </cell>
          <cell r="C888">
            <v>3269.637939453125</v>
          </cell>
          <cell r="D888">
            <v>3232.014892578125</v>
          </cell>
          <cell r="E888">
            <v>3240.904052734375</v>
          </cell>
          <cell r="F888">
            <v>3.2409040527343751</v>
          </cell>
        </row>
        <row r="889">
          <cell r="A889">
            <v>45211</v>
          </cell>
          <cell r="B889">
            <v>3256.9619140625</v>
          </cell>
          <cell r="C889">
            <v>3269.764892578125</v>
          </cell>
          <cell r="D889">
            <v>3240.945068359375</v>
          </cell>
          <cell r="E889">
            <v>3263.610107421875</v>
          </cell>
          <cell r="F889">
            <v>3.2636101074218749</v>
          </cell>
        </row>
        <row r="890">
          <cell r="A890">
            <v>45212</v>
          </cell>
          <cell r="B890">
            <v>3242.491943359375</v>
          </cell>
          <cell r="C890">
            <v>3242.491943359375</v>
          </cell>
          <cell r="D890">
            <v>3208.7099609375</v>
          </cell>
          <cell r="E890">
            <v>3222.626953125</v>
          </cell>
          <cell r="F890">
            <v>3.2226269531249998</v>
          </cell>
        </row>
        <row r="891">
          <cell r="A891">
            <v>45215</v>
          </cell>
          <cell r="B891">
            <v>3221.77294921875</v>
          </cell>
          <cell r="C891">
            <v>3221.77294921875</v>
          </cell>
          <cell r="D891">
            <v>3162.074951171875</v>
          </cell>
          <cell r="E891">
            <v>3173.116943359375</v>
          </cell>
          <cell r="F891">
            <v>3.1731169433593749</v>
          </cell>
        </row>
        <row r="892">
          <cell r="A892">
            <v>45216</v>
          </cell>
          <cell r="B892">
            <v>3183.7060546875</v>
          </cell>
          <cell r="C892">
            <v>3187.908935546875</v>
          </cell>
          <cell r="D892">
            <v>3163.407958984375</v>
          </cell>
          <cell r="E892">
            <v>3176.589111328125</v>
          </cell>
          <cell r="F892">
            <v>3.1765891113281248</v>
          </cell>
        </row>
        <row r="893">
          <cell r="A893">
            <v>45217</v>
          </cell>
          <cell r="B893">
            <v>3169.52001953125</v>
          </cell>
          <cell r="C893">
            <v>3169.52001953125</v>
          </cell>
          <cell r="D893">
            <v>3134.5009765625</v>
          </cell>
          <cell r="E893">
            <v>3140.56298828125</v>
          </cell>
          <cell r="F893">
            <v>3.1405629882812498</v>
          </cell>
        </row>
        <row r="894">
          <cell r="A894">
            <v>45218</v>
          </cell>
          <cell r="B894">
            <v>3120.27294921875</v>
          </cell>
          <cell r="C894">
            <v>3130.029052734375</v>
          </cell>
          <cell r="D894">
            <v>3083.281982421875</v>
          </cell>
          <cell r="E894">
            <v>3083.77197265625</v>
          </cell>
          <cell r="F894">
            <v>3.0837719726562498</v>
          </cell>
        </row>
        <row r="895">
          <cell r="A895">
            <v>45219</v>
          </cell>
          <cell r="B895">
            <v>3064.235107421875</v>
          </cell>
          <cell r="C895">
            <v>3086.138916015625</v>
          </cell>
          <cell r="D895">
            <v>3042.553955078125</v>
          </cell>
          <cell r="E895">
            <v>3048.251953125</v>
          </cell>
          <cell r="F895">
            <v>3.0482519531249999</v>
          </cell>
        </row>
        <row r="896">
          <cell r="A896">
            <v>45222</v>
          </cell>
          <cell r="B896">
            <v>3049.7509765625</v>
          </cell>
          <cell r="C896">
            <v>3049.7509765625</v>
          </cell>
          <cell r="D896">
            <v>2997.781982421875</v>
          </cell>
          <cell r="E896">
            <v>3019.304931640625</v>
          </cell>
          <cell r="F896">
            <v>3.0193049316406251</v>
          </cell>
        </row>
        <row r="897">
          <cell r="A897">
            <v>45223</v>
          </cell>
          <cell r="B897">
            <v>3030.068115234375</v>
          </cell>
          <cell r="C897">
            <v>3039.697998046875</v>
          </cell>
          <cell r="D897">
            <v>2991.2958984375</v>
          </cell>
          <cell r="E897">
            <v>3020.12890625</v>
          </cell>
          <cell r="F897">
            <v>3.0201289062500001</v>
          </cell>
        </row>
        <row r="898">
          <cell r="A898">
            <v>45224</v>
          </cell>
          <cell r="B898">
            <v>3049.427001953125</v>
          </cell>
          <cell r="C898">
            <v>3062.62109375</v>
          </cell>
          <cell r="D898">
            <v>3023.35400390625</v>
          </cell>
          <cell r="E898">
            <v>3025.9189453125</v>
          </cell>
          <cell r="F898">
            <v>3.0259189453125002</v>
          </cell>
        </row>
        <row r="899">
          <cell r="A899">
            <v>45225</v>
          </cell>
          <cell r="B899">
            <v>3007.0859375</v>
          </cell>
          <cell r="C899">
            <v>3033.955078125</v>
          </cell>
          <cell r="D899">
            <v>2984.633056640625</v>
          </cell>
          <cell r="E899">
            <v>3033.095947265625</v>
          </cell>
          <cell r="F899">
            <v>3.0330959472656249</v>
          </cell>
        </row>
        <row r="900">
          <cell r="A900">
            <v>45226</v>
          </cell>
          <cell r="B900">
            <v>3022.89208984375</v>
          </cell>
          <cell r="C900">
            <v>3118.40087890625</v>
          </cell>
          <cell r="D900">
            <v>3013.590087890625</v>
          </cell>
          <cell r="E900">
            <v>3106.35693359375</v>
          </cell>
          <cell r="F900">
            <v>3.1063569335937502</v>
          </cell>
        </row>
        <row r="901">
          <cell r="A901">
            <v>45229</v>
          </cell>
          <cell r="B901">
            <v>3104.571044921875</v>
          </cell>
          <cell r="C901">
            <v>3174.68603515625</v>
          </cell>
          <cell r="D901">
            <v>3103.217041015625</v>
          </cell>
          <cell r="E901">
            <v>3165.60302734375</v>
          </cell>
          <cell r="F901">
            <v>3.1656030273437499</v>
          </cell>
        </row>
        <row r="902">
          <cell r="A902">
            <v>45230</v>
          </cell>
          <cell r="B902">
            <v>3160.364013671875</v>
          </cell>
          <cell r="C902">
            <v>3160.364013671875</v>
          </cell>
          <cell r="D902">
            <v>3113.412109375</v>
          </cell>
          <cell r="E902">
            <v>3130.216064453125</v>
          </cell>
          <cell r="F902">
            <v>3.1302160644531249</v>
          </cell>
        </row>
        <row r="903">
          <cell r="A903">
            <v>45231</v>
          </cell>
          <cell r="B903">
            <v>3129.614990234375</v>
          </cell>
          <cell r="C903">
            <v>3131.507080078125</v>
          </cell>
          <cell r="D903">
            <v>3101.091064453125</v>
          </cell>
          <cell r="E903">
            <v>3109.324951171875</v>
          </cell>
          <cell r="F903">
            <v>3.109324951171875</v>
          </cell>
        </row>
        <row r="904">
          <cell r="A904">
            <v>45232</v>
          </cell>
          <cell r="B904">
            <v>3117.85302734375</v>
          </cell>
          <cell r="C904">
            <v>3132.31494140625</v>
          </cell>
          <cell r="D904">
            <v>3083.135009765625</v>
          </cell>
          <cell r="E904">
            <v>3083.701904296875</v>
          </cell>
          <cell r="F904">
            <v>3.0837019042968752</v>
          </cell>
        </row>
        <row r="905">
          <cell r="A905">
            <v>45233</v>
          </cell>
          <cell r="B905">
            <v>3089.631103515625</v>
          </cell>
          <cell r="C905">
            <v>3135.076904296875</v>
          </cell>
          <cell r="D905">
            <v>3089.48193359375</v>
          </cell>
          <cell r="E905">
            <v>3122.993896484375</v>
          </cell>
          <cell r="F905">
            <v>3.1229938964843749</v>
          </cell>
        </row>
        <row r="906">
          <cell r="A906">
            <v>45236</v>
          </cell>
          <cell r="B906">
            <v>3144.583984375</v>
          </cell>
          <cell r="C906">
            <v>3212.510009765625</v>
          </cell>
          <cell r="D906">
            <v>3144.583984375</v>
          </cell>
          <cell r="E906">
            <v>3210.221923828125</v>
          </cell>
          <cell r="F906">
            <v>3.2102219238281249</v>
          </cell>
        </row>
        <row r="907">
          <cell r="A907">
            <v>45237</v>
          </cell>
          <cell r="B907">
            <v>3200.777099609375</v>
          </cell>
          <cell r="C907">
            <v>3211.986083984375</v>
          </cell>
          <cell r="D907">
            <v>3180.68408203125</v>
          </cell>
          <cell r="E907">
            <v>3200.367919921875</v>
          </cell>
          <cell r="F907">
            <v>3.2003679199218751</v>
          </cell>
        </row>
        <row r="908">
          <cell r="A908">
            <v>45238</v>
          </cell>
          <cell r="B908">
            <v>3191.677001953125</v>
          </cell>
          <cell r="C908">
            <v>3215.2470703125</v>
          </cell>
          <cell r="D908">
            <v>3177.56396484375</v>
          </cell>
          <cell r="E908">
            <v>3198.076904296875</v>
          </cell>
          <cell r="F908">
            <v>3.1980769042968751</v>
          </cell>
        </row>
        <row r="909">
          <cell r="A909">
            <v>45239</v>
          </cell>
          <cell r="B909">
            <v>3193.4619140625</v>
          </cell>
          <cell r="C909">
            <v>3214.446044921875</v>
          </cell>
          <cell r="D909">
            <v>3185.3330078125</v>
          </cell>
          <cell r="E909">
            <v>3197.93896484375</v>
          </cell>
          <cell r="F909">
            <v>3.19793896484375</v>
          </cell>
        </row>
        <row r="910">
          <cell r="A910">
            <v>45240</v>
          </cell>
          <cell r="B910">
            <v>3180.6669921875</v>
          </cell>
          <cell r="C910">
            <v>3185.302001953125</v>
          </cell>
          <cell r="D910">
            <v>3164.220947265625</v>
          </cell>
          <cell r="E910">
            <v>3178.444091796875</v>
          </cell>
          <cell r="F910">
            <v>3.1784440917968748</v>
          </cell>
        </row>
        <row r="911">
          <cell r="A911">
            <v>45243</v>
          </cell>
          <cell r="B911">
            <v>3194.02587890625</v>
          </cell>
          <cell r="C911">
            <v>3199.99609375</v>
          </cell>
          <cell r="D911">
            <v>3161.1240234375</v>
          </cell>
          <cell r="E911">
            <v>3173.514892578125</v>
          </cell>
          <cell r="F911">
            <v>3.1735148925781251</v>
          </cell>
        </row>
        <row r="912">
          <cell r="A912">
            <v>45244</v>
          </cell>
          <cell r="B912">
            <v>3173.06494140625</v>
          </cell>
          <cell r="C912">
            <v>3194.568115234375</v>
          </cell>
          <cell r="D912">
            <v>3159.85693359375</v>
          </cell>
          <cell r="E912">
            <v>3171.0869140625</v>
          </cell>
          <cell r="F912">
            <v>3.1710869140625002</v>
          </cell>
        </row>
        <row r="913">
          <cell r="A913">
            <v>45245</v>
          </cell>
          <cell r="B913">
            <v>3209.239013671875</v>
          </cell>
          <cell r="C913">
            <v>3212.375</v>
          </cell>
          <cell r="D913">
            <v>3187.51708984375</v>
          </cell>
          <cell r="E913">
            <v>3198.950927734375</v>
          </cell>
          <cell r="F913">
            <v>3.1989509277343751</v>
          </cell>
        </row>
        <row r="914">
          <cell r="A914">
            <v>45246</v>
          </cell>
          <cell r="B914">
            <v>3192.410888671875</v>
          </cell>
          <cell r="C914">
            <v>3195.4130859375</v>
          </cell>
          <cell r="D914">
            <v>3154.85595703125</v>
          </cell>
          <cell r="E914">
            <v>3154.85595703125</v>
          </cell>
          <cell r="F914">
            <v>3.1548559570312502</v>
          </cell>
        </row>
        <row r="915">
          <cell r="A915">
            <v>45247</v>
          </cell>
          <cell r="B915">
            <v>3142.1240234375</v>
          </cell>
          <cell r="C915">
            <v>3163.537109375</v>
          </cell>
          <cell r="D915">
            <v>3139.833984375</v>
          </cell>
          <cell r="E915">
            <v>3160.39892578125</v>
          </cell>
          <cell r="F915">
            <v>3.1603989257812501</v>
          </cell>
        </row>
        <row r="916">
          <cell r="A916">
            <v>45250</v>
          </cell>
          <cell r="B916">
            <v>3159.72607421875</v>
          </cell>
          <cell r="C916">
            <v>3178.18408203125</v>
          </cell>
          <cell r="D916">
            <v>3136.06591796875</v>
          </cell>
          <cell r="E916">
            <v>3166.56396484375</v>
          </cell>
          <cell r="F916">
            <v>3.1665639648437498</v>
          </cell>
        </row>
        <row r="917">
          <cell r="A917">
            <v>45251</v>
          </cell>
          <cell r="B917">
            <v>3175.66796875</v>
          </cell>
          <cell r="C917">
            <v>3199.513916015625</v>
          </cell>
          <cell r="D917">
            <v>3151.14208984375</v>
          </cell>
          <cell r="E917">
            <v>3155.902099609375</v>
          </cell>
          <cell r="F917">
            <v>3.1559020996093752</v>
          </cell>
        </row>
        <row r="918">
          <cell r="A918">
            <v>45252</v>
          </cell>
          <cell r="B918">
            <v>3141.97607421875</v>
          </cell>
          <cell r="C918">
            <v>3145.35400390625</v>
          </cell>
          <cell r="D918">
            <v>3104.012939453125</v>
          </cell>
          <cell r="E918">
            <v>3104.012939453125</v>
          </cell>
          <cell r="F918">
            <v>3.1040129394531251</v>
          </cell>
        </row>
        <row r="919">
          <cell r="A919">
            <v>45253</v>
          </cell>
          <cell r="B919">
            <v>3101.51806640625</v>
          </cell>
          <cell r="C919">
            <v>3133.23095703125</v>
          </cell>
          <cell r="D919">
            <v>3090.74609375</v>
          </cell>
          <cell r="E919">
            <v>3131.174072265625</v>
          </cell>
          <cell r="F919">
            <v>3.1311740722656252</v>
          </cell>
        </row>
        <row r="920">
          <cell r="A920">
            <v>45254</v>
          </cell>
          <cell r="B920">
            <v>3132.43310546875</v>
          </cell>
          <cell r="C920">
            <v>3132.43310546875</v>
          </cell>
          <cell r="D920">
            <v>3091.31591796875</v>
          </cell>
          <cell r="E920">
            <v>3098.18896484375</v>
          </cell>
          <cell r="F920">
            <v>3.0981889648437502</v>
          </cell>
        </row>
        <row r="921">
          <cell r="A921">
            <v>45257</v>
          </cell>
          <cell r="B921">
            <v>3097.385986328125</v>
          </cell>
          <cell r="C921">
            <v>3097.385986328125</v>
          </cell>
          <cell r="D921">
            <v>3065.251953125</v>
          </cell>
          <cell r="E921">
            <v>3081.677001953125</v>
          </cell>
          <cell r="F921">
            <v>3.0816770019531252</v>
          </cell>
        </row>
        <row r="922">
          <cell r="A922">
            <v>45258</v>
          </cell>
          <cell r="B922">
            <v>3082.705078125</v>
          </cell>
          <cell r="C922">
            <v>3106.27392578125</v>
          </cell>
          <cell r="D922">
            <v>3072.85400390625</v>
          </cell>
          <cell r="E922">
            <v>3106.27392578125</v>
          </cell>
          <cell r="F922">
            <v>3.1062739257812502</v>
          </cell>
        </row>
        <row r="923">
          <cell r="A923">
            <v>45259</v>
          </cell>
          <cell r="B923">
            <v>3103.134033203125</v>
          </cell>
          <cell r="C923">
            <v>3103.134033203125</v>
          </cell>
          <cell r="D923">
            <v>3067.197998046875</v>
          </cell>
          <cell r="E923">
            <v>3070.696044921875</v>
          </cell>
          <cell r="F923">
            <v>3.070696044921875</v>
          </cell>
        </row>
        <row r="924">
          <cell r="A924">
            <v>45260</v>
          </cell>
          <cell r="B924">
            <v>3063.044921875</v>
          </cell>
          <cell r="C924">
            <v>3084.490966796875</v>
          </cell>
          <cell r="D924">
            <v>3051.803955078125</v>
          </cell>
          <cell r="E924">
            <v>3065.35205078125</v>
          </cell>
          <cell r="F924">
            <v>3.0653520507812502</v>
          </cell>
        </row>
        <row r="925">
          <cell r="A925">
            <v>45261</v>
          </cell>
          <cell r="B925">
            <v>3067.111083984375</v>
          </cell>
          <cell r="C925">
            <v>3067.259033203125</v>
          </cell>
          <cell r="D925">
            <v>3021.64794921875</v>
          </cell>
          <cell r="E925">
            <v>3053.60107421875</v>
          </cell>
          <cell r="F925">
            <v>3.0536010742187498</v>
          </cell>
        </row>
        <row r="926">
          <cell r="A926">
            <v>45264</v>
          </cell>
          <cell r="B926">
            <v>3051.4580078125</v>
          </cell>
          <cell r="C926">
            <v>3057.695068359375</v>
          </cell>
          <cell r="D926">
            <v>3028.5</v>
          </cell>
          <cell r="E926">
            <v>3028.549072265625</v>
          </cell>
          <cell r="F926">
            <v>3.028549072265625</v>
          </cell>
        </row>
        <row r="927">
          <cell r="A927">
            <v>45265</v>
          </cell>
          <cell r="B927">
            <v>3015.861083984375</v>
          </cell>
          <cell r="C927">
            <v>3018.39599609375</v>
          </cell>
          <cell r="D927">
            <v>2967.990966796875</v>
          </cell>
          <cell r="E927">
            <v>2968.133056640625</v>
          </cell>
          <cell r="F927">
            <v>2.968133056640625</v>
          </cell>
        </row>
        <row r="928">
          <cell r="A928">
            <v>45266</v>
          </cell>
          <cell r="B928">
            <v>2963.301025390625</v>
          </cell>
          <cell r="C928">
            <v>3002.281982421875</v>
          </cell>
          <cell r="D928">
            <v>2960.712890625</v>
          </cell>
          <cell r="E928">
            <v>2979.486083984375</v>
          </cell>
          <cell r="F928">
            <v>2.9794860839843751</v>
          </cell>
        </row>
        <row r="929">
          <cell r="A929">
            <v>45267</v>
          </cell>
          <cell r="B929">
            <v>2975.047119140625</v>
          </cell>
          <cell r="C929">
            <v>2990.075927734375</v>
          </cell>
          <cell r="D929">
            <v>2953.597900390625</v>
          </cell>
          <cell r="E929">
            <v>2973.571044921875</v>
          </cell>
          <cell r="F929">
            <v>2.9735710449218749</v>
          </cell>
        </row>
        <row r="930">
          <cell r="A930">
            <v>45268</v>
          </cell>
          <cell r="B930">
            <v>2978.15087890625</v>
          </cell>
          <cell r="C930">
            <v>3007.001953125</v>
          </cell>
          <cell r="D930">
            <v>2967.9580078125</v>
          </cell>
          <cell r="E930">
            <v>2997.4951171875</v>
          </cell>
          <cell r="F930">
            <v>2.9974951171874999</v>
          </cell>
        </row>
        <row r="931">
          <cell r="A931">
            <v>45271</v>
          </cell>
          <cell r="B931">
            <v>2980.47509765625</v>
          </cell>
          <cell r="C931">
            <v>3040.112060546875</v>
          </cell>
          <cell r="D931">
            <v>2955.583984375</v>
          </cell>
          <cell r="E931">
            <v>3033.844970703125</v>
          </cell>
          <cell r="F931">
            <v>3.0338449707031252</v>
          </cell>
        </row>
        <row r="932">
          <cell r="A932">
            <v>45272</v>
          </cell>
          <cell r="B932">
            <v>3026.738037109375</v>
          </cell>
          <cell r="C932">
            <v>3037.235107421875</v>
          </cell>
          <cell r="D932">
            <v>3017.385986328125</v>
          </cell>
          <cell r="E932">
            <v>3026.804931640625</v>
          </cell>
          <cell r="F932">
            <v>3.0268049316406249</v>
          </cell>
        </row>
        <row r="933">
          <cell r="A933">
            <v>45273</v>
          </cell>
          <cell r="B933">
            <v>3021.23291015625</v>
          </cell>
          <cell r="C933">
            <v>3021.23291015625</v>
          </cell>
          <cell r="D933">
            <v>2983.56494140625</v>
          </cell>
          <cell r="E933">
            <v>2983.56494140625</v>
          </cell>
          <cell r="F933">
            <v>2.9835649414062502</v>
          </cell>
        </row>
        <row r="934">
          <cell r="A934">
            <v>45274</v>
          </cell>
          <cell r="B934">
            <v>3000.552978515625</v>
          </cell>
          <cell r="C934">
            <v>3022.527099609375</v>
          </cell>
          <cell r="D934">
            <v>2964.1640625</v>
          </cell>
          <cell r="E934">
            <v>2966.014892578125</v>
          </cell>
          <cell r="F934">
            <v>2.9660148925781251</v>
          </cell>
        </row>
        <row r="935">
          <cell r="A935">
            <v>45275</v>
          </cell>
          <cell r="B935">
            <v>2977.80908203125</v>
          </cell>
          <cell r="C935">
            <v>2995.613037109375</v>
          </cell>
          <cell r="D935">
            <v>2946.239990234375</v>
          </cell>
          <cell r="E935">
            <v>2951.205078125</v>
          </cell>
          <cell r="F935">
            <v>2.9512050781250001</v>
          </cell>
        </row>
        <row r="936">
          <cell r="A936">
            <v>45278</v>
          </cell>
          <cell r="B936">
            <v>2936.572998046875</v>
          </cell>
          <cell r="C936">
            <v>2946.490966796875</v>
          </cell>
          <cell r="D936">
            <v>2908.238037109375</v>
          </cell>
          <cell r="E936">
            <v>2915.301025390625</v>
          </cell>
          <cell r="F936">
            <v>2.9153010253906251</v>
          </cell>
        </row>
        <row r="937">
          <cell r="A937">
            <v>45279</v>
          </cell>
          <cell r="B937">
            <v>2911.93798828125</v>
          </cell>
          <cell r="C937">
            <v>2936.6630859375</v>
          </cell>
          <cell r="D937">
            <v>2902.174072265625</v>
          </cell>
          <cell r="E937">
            <v>2923.3740234375</v>
          </cell>
          <cell r="F937">
            <v>2.9233740234374999</v>
          </cell>
        </row>
        <row r="938">
          <cell r="A938">
            <v>45280</v>
          </cell>
          <cell r="B938">
            <v>2926.341064453125</v>
          </cell>
          <cell r="C938">
            <v>2929.889892578125</v>
          </cell>
          <cell r="D938">
            <v>2882.10791015625</v>
          </cell>
          <cell r="E938">
            <v>2882.10791015625</v>
          </cell>
          <cell r="F938">
            <v>2.8821079101562499</v>
          </cell>
        </row>
        <row r="939">
          <cell r="A939">
            <v>45281</v>
          </cell>
          <cell r="B939">
            <v>2872.24609375</v>
          </cell>
          <cell r="C939">
            <v>2935.54296875</v>
          </cell>
          <cell r="D939">
            <v>2869.73388671875</v>
          </cell>
          <cell r="E939">
            <v>2923.6689453125</v>
          </cell>
          <cell r="F939">
            <v>2.9236689453125</v>
          </cell>
        </row>
        <row r="940">
          <cell r="A940">
            <v>45282</v>
          </cell>
          <cell r="B940">
            <v>2917.98388671875</v>
          </cell>
          <cell r="C940">
            <v>2951.282958984375</v>
          </cell>
          <cell r="D940">
            <v>2900.968994140625</v>
          </cell>
          <cell r="E940">
            <v>2921.7470703125</v>
          </cell>
          <cell r="F940">
            <v>2.9217470703125001</v>
          </cell>
        </row>
        <row r="941">
          <cell r="A941">
            <v>45285</v>
          </cell>
          <cell r="B941">
            <v>2916.43310546875</v>
          </cell>
          <cell r="C941">
            <v>2947.0810546875</v>
          </cell>
          <cell r="D941">
            <v>2916.43310546875</v>
          </cell>
          <cell r="E941">
            <v>2939.117919921875</v>
          </cell>
          <cell r="F941">
            <v>2.9391179199218751</v>
          </cell>
        </row>
        <row r="942">
          <cell r="A942">
            <v>45286</v>
          </cell>
          <cell r="B942">
            <v>2935.446044921875</v>
          </cell>
          <cell r="C942">
            <v>2935.446044921875</v>
          </cell>
          <cell r="D942">
            <v>2897.31396484375</v>
          </cell>
          <cell r="E942">
            <v>2907.716064453125</v>
          </cell>
          <cell r="F942">
            <v>2.9077160644531248</v>
          </cell>
        </row>
        <row r="943">
          <cell r="A943">
            <v>45287</v>
          </cell>
          <cell r="B943">
            <v>2912.037109375</v>
          </cell>
          <cell r="C943">
            <v>2924.409912109375</v>
          </cell>
          <cell r="D943">
            <v>2896.162109375</v>
          </cell>
          <cell r="E943">
            <v>2915.9990234375</v>
          </cell>
          <cell r="F943">
            <v>2.9159990234375002</v>
          </cell>
        </row>
        <row r="944">
          <cell r="A944">
            <v>45288</v>
          </cell>
          <cell r="B944">
            <v>2913.587890625</v>
          </cell>
          <cell r="C944">
            <v>3016.5380859375</v>
          </cell>
          <cell r="D944">
            <v>2906.702880859375</v>
          </cell>
          <cell r="E944">
            <v>3006.344970703125</v>
          </cell>
          <cell r="F944">
            <v>3.0063449707031249</v>
          </cell>
        </row>
        <row r="945">
          <cell r="A945">
            <v>45289</v>
          </cell>
          <cell r="B945">
            <v>3007.988037109375</v>
          </cell>
          <cell r="C945">
            <v>3040.964111328125</v>
          </cell>
          <cell r="D945">
            <v>3005.06005859375</v>
          </cell>
          <cell r="E945">
            <v>3033.510009765625</v>
          </cell>
          <cell r="F945">
            <v>3.0335100097656249</v>
          </cell>
        </row>
        <row r="946">
          <cell r="A946">
            <v>45293</v>
          </cell>
          <cell r="B946">
            <v>3033.089111328125</v>
          </cell>
          <cell r="C946">
            <v>3033.089111328125</v>
          </cell>
          <cell r="D946">
            <v>2978.572998046875</v>
          </cell>
          <cell r="E946">
            <v>2978.712890625</v>
          </cell>
          <cell r="F946">
            <v>2.9787128906250002</v>
          </cell>
        </row>
        <row r="947">
          <cell r="A947">
            <v>45294</v>
          </cell>
          <cell r="B947">
            <v>2969.52490234375</v>
          </cell>
          <cell r="C947">
            <v>2975.15087890625</v>
          </cell>
          <cell r="D947">
            <v>2931.839111328125</v>
          </cell>
          <cell r="E947">
            <v>2945.45703125</v>
          </cell>
          <cell r="F947">
            <v>2.9454570312500001</v>
          </cell>
        </row>
        <row r="948">
          <cell r="A948">
            <v>45295</v>
          </cell>
          <cell r="B948">
            <v>2942.85693359375</v>
          </cell>
          <cell r="C948">
            <v>2943.033935546875</v>
          </cell>
          <cell r="D948">
            <v>2890.376953125</v>
          </cell>
          <cell r="E948">
            <v>2907.56689453125</v>
          </cell>
          <cell r="F948">
            <v>2.9075668945312501</v>
          </cell>
        </row>
        <row r="949">
          <cell r="A949">
            <v>45296</v>
          </cell>
          <cell r="B949">
            <v>2906.050048828125</v>
          </cell>
          <cell r="C949">
            <v>2938.43505859375</v>
          </cell>
          <cell r="D949">
            <v>2868.381103515625</v>
          </cell>
          <cell r="E949">
            <v>2883.43896484375</v>
          </cell>
          <cell r="F949">
            <v>2.8834389648437502</v>
          </cell>
        </row>
        <row r="950">
          <cell r="A950">
            <v>45299</v>
          </cell>
          <cell r="B950">
            <v>2877.218017578125</v>
          </cell>
          <cell r="C950">
            <v>2890.7490234375</v>
          </cell>
          <cell r="D950">
            <v>2836.445068359375</v>
          </cell>
          <cell r="E950">
            <v>2838.971923828125</v>
          </cell>
          <cell r="F950">
            <v>2.838971923828125</v>
          </cell>
        </row>
        <row r="951">
          <cell r="A951">
            <v>45300</v>
          </cell>
          <cell r="B951">
            <v>2843.19189453125</v>
          </cell>
          <cell r="C951">
            <v>2870.972900390625</v>
          </cell>
          <cell r="D951">
            <v>2825.885009765625</v>
          </cell>
          <cell r="E951">
            <v>2846.5009765625</v>
          </cell>
          <cell r="F951">
            <v>2.8465009765625</v>
          </cell>
        </row>
        <row r="952">
          <cell r="A952">
            <v>45301</v>
          </cell>
          <cell r="B952">
            <v>2834.0458984375</v>
          </cell>
          <cell r="C952">
            <v>2867.68603515625</v>
          </cell>
          <cell r="D952">
            <v>2811.677001953125</v>
          </cell>
          <cell r="E952">
            <v>2830.388916015625</v>
          </cell>
          <cell r="F952">
            <v>2.8303889160156248</v>
          </cell>
        </row>
        <row r="953">
          <cell r="A953">
            <v>45302</v>
          </cell>
          <cell r="B953">
            <v>2829.8720703125</v>
          </cell>
          <cell r="C953">
            <v>2885.22607421875</v>
          </cell>
          <cell r="D953">
            <v>2821.97607421875</v>
          </cell>
          <cell r="E953">
            <v>2868.867919921875</v>
          </cell>
          <cell r="F953">
            <v>2.868867919921875</v>
          </cell>
        </row>
        <row r="954">
          <cell r="A954">
            <v>45303</v>
          </cell>
          <cell r="B954">
            <v>2858.884033203125</v>
          </cell>
          <cell r="C954">
            <v>2876.823974609375</v>
          </cell>
          <cell r="D954">
            <v>2842.717041015625</v>
          </cell>
          <cell r="E954">
            <v>2844.033935546875</v>
          </cell>
          <cell r="F954">
            <v>2.8440339355468751</v>
          </cell>
        </row>
        <row r="955">
          <cell r="A955">
            <v>45306</v>
          </cell>
          <cell r="B955">
            <v>2829.157958984375</v>
          </cell>
          <cell r="C955">
            <v>2859.819091796875</v>
          </cell>
          <cell r="D955">
            <v>2812.3720703125</v>
          </cell>
          <cell r="E955">
            <v>2833.72998046875</v>
          </cell>
          <cell r="F955">
            <v>2.8337299804687501</v>
          </cell>
        </row>
        <row r="956">
          <cell r="A956">
            <v>45307</v>
          </cell>
          <cell r="B956">
            <v>2828.115966796875</v>
          </cell>
          <cell r="C956">
            <v>2853.18798828125</v>
          </cell>
          <cell r="D956">
            <v>2813.48388671875</v>
          </cell>
          <cell r="E956">
            <v>2852.718994140625</v>
          </cell>
          <cell r="F956">
            <v>2.8527189941406248</v>
          </cell>
        </row>
        <row r="957">
          <cell r="A957">
            <v>45308</v>
          </cell>
          <cell r="B957">
            <v>2844.787109375</v>
          </cell>
          <cell r="C957">
            <v>2844.787109375</v>
          </cell>
          <cell r="D957">
            <v>2778.9130859375</v>
          </cell>
          <cell r="E957">
            <v>2778.9130859375</v>
          </cell>
          <cell r="F957">
            <v>2.7789130859375</v>
          </cell>
        </row>
        <row r="958">
          <cell r="A958">
            <v>45309</v>
          </cell>
          <cell r="B958">
            <v>2759.25390625</v>
          </cell>
          <cell r="C958">
            <v>2826.64794921875</v>
          </cell>
          <cell r="D958">
            <v>2738.027099609375</v>
          </cell>
          <cell r="E958">
            <v>2821.385009765625</v>
          </cell>
          <cell r="F958">
            <v>2.821385009765625</v>
          </cell>
        </row>
        <row r="959">
          <cell r="A959">
            <v>45310</v>
          </cell>
          <cell r="B959">
            <v>2812.552978515625</v>
          </cell>
          <cell r="C959">
            <v>2841.056884765625</v>
          </cell>
          <cell r="D959">
            <v>2799.76904296875</v>
          </cell>
          <cell r="E959">
            <v>2806.406005859375</v>
          </cell>
          <cell r="F959">
            <v>2.8064060058593752</v>
          </cell>
        </row>
        <row r="960">
          <cell r="A960">
            <v>45313</v>
          </cell>
          <cell r="B960">
            <v>2802.070068359375</v>
          </cell>
          <cell r="C960">
            <v>2814.001953125</v>
          </cell>
          <cell r="D960">
            <v>2723.14111328125</v>
          </cell>
          <cell r="E960">
            <v>2738.4599609375</v>
          </cell>
          <cell r="F960">
            <v>2.7384599609375</v>
          </cell>
        </row>
        <row r="961">
          <cell r="A961">
            <v>45314</v>
          </cell>
          <cell r="B961">
            <v>2734.9208984375</v>
          </cell>
          <cell r="C961">
            <v>2786.85888671875</v>
          </cell>
          <cell r="D961">
            <v>2719.26708984375</v>
          </cell>
          <cell r="E961">
            <v>2772.39208984375</v>
          </cell>
          <cell r="F961">
            <v>2.7723920898437502</v>
          </cell>
        </row>
        <row r="962">
          <cell r="A962">
            <v>45315</v>
          </cell>
          <cell r="B962">
            <v>2782.64306640625</v>
          </cell>
          <cell r="C962">
            <v>2795.116943359375</v>
          </cell>
          <cell r="D962">
            <v>2710.37109375</v>
          </cell>
          <cell r="E962">
            <v>2792.212890625</v>
          </cell>
          <cell r="F962">
            <v>2.7922128906250001</v>
          </cell>
        </row>
        <row r="963">
          <cell r="A963">
            <v>45316</v>
          </cell>
          <cell r="B963">
            <v>2782.506103515625</v>
          </cell>
          <cell r="C963">
            <v>2828.97802734375</v>
          </cell>
          <cell r="D963">
            <v>2762.3701171875</v>
          </cell>
          <cell r="E963">
            <v>2827.818115234375</v>
          </cell>
          <cell r="F963">
            <v>2.8278181152343751</v>
          </cell>
        </row>
        <row r="964">
          <cell r="A964">
            <v>45317</v>
          </cell>
          <cell r="B964">
            <v>2808.04296875</v>
          </cell>
          <cell r="C964">
            <v>2821.8310546875</v>
          </cell>
          <cell r="D964">
            <v>2783.367919921875</v>
          </cell>
          <cell r="E964">
            <v>2787.571044921875</v>
          </cell>
          <cell r="F964">
            <v>2.7875710449218749</v>
          </cell>
        </row>
        <row r="965">
          <cell r="A965">
            <v>45320</v>
          </cell>
          <cell r="B965">
            <v>2789.677001953125</v>
          </cell>
          <cell r="C965">
            <v>2794.1689453125</v>
          </cell>
          <cell r="D965">
            <v>2723.10693359375</v>
          </cell>
          <cell r="E965">
            <v>2723.10693359375</v>
          </cell>
          <cell r="F965">
            <v>2.7231069335937499</v>
          </cell>
        </row>
        <row r="966">
          <cell r="A966">
            <v>45321</v>
          </cell>
          <cell r="B966">
            <v>2704.373046875</v>
          </cell>
          <cell r="C966">
            <v>2724.987060546875</v>
          </cell>
          <cell r="D966">
            <v>2655.52490234375</v>
          </cell>
          <cell r="E966">
            <v>2657.22509765625</v>
          </cell>
          <cell r="F966">
            <v>2.6572250976562501</v>
          </cell>
        </row>
        <row r="967">
          <cell r="A967">
            <v>45322</v>
          </cell>
          <cell r="B967">
            <v>2654.927001953125</v>
          </cell>
          <cell r="C967">
            <v>2679.156005859375</v>
          </cell>
          <cell r="D967">
            <v>2625.85791015625</v>
          </cell>
          <cell r="E967">
            <v>2630.843017578125</v>
          </cell>
          <cell r="F967">
            <v>2.6308430175781252</v>
          </cell>
        </row>
        <row r="968">
          <cell r="A968">
            <v>45323</v>
          </cell>
          <cell r="B968">
            <v>2623.14697265625</v>
          </cell>
          <cell r="C968">
            <v>2692.77099609375</v>
          </cell>
          <cell r="D968">
            <v>2616.10302734375</v>
          </cell>
          <cell r="E968">
            <v>2653.98095703125</v>
          </cell>
          <cell r="F968">
            <v>2.65398095703125</v>
          </cell>
        </row>
        <row r="969">
          <cell r="A969">
            <v>45324</v>
          </cell>
          <cell r="B969">
            <v>2650.722900390625</v>
          </cell>
          <cell r="C969">
            <v>2663.5390625</v>
          </cell>
          <cell r="D969">
            <v>2532.802001953125</v>
          </cell>
          <cell r="E969">
            <v>2597.634033203125</v>
          </cell>
          <cell r="F969">
            <v>2.5976340332031249</v>
          </cell>
        </row>
        <row r="970">
          <cell r="A970">
            <v>45327</v>
          </cell>
          <cell r="B970">
            <v>2574.3779296875</v>
          </cell>
          <cell r="C970">
            <v>2665.26611328125</v>
          </cell>
          <cell r="D970">
            <v>2513.404052734375</v>
          </cell>
          <cell r="E970">
            <v>2616.469970703125</v>
          </cell>
          <cell r="F970">
            <v>2.6164699707031249</v>
          </cell>
        </row>
        <row r="971">
          <cell r="A971">
            <v>45328</v>
          </cell>
          <cell r="B971">
            <v>2591.9609375</v>
          </cell>
          <cell r="C971">
            <v>2754.424072265625</v>
          </cell>
          <cell r="D971">
            <v>2590.281982421875</v>
          </cell>
          <cell r="E971">
            <v>2752.222900390625</v>
          </cell>
          <cell r="F971">
            <v>2.7522229003906249</v>
          </cell>
        </row>
        <row r="972">
          <cell r="A972">
            <v>45329</v>
          </cell>
          <cell r="B972">
            <v>2753.31396484375</v>
          </cell>
          <cell r="C972">
            <v>2811.0791015625</v>
          </cell>
          <cell r="D972">
            <v>2738.596923828125</v>
          </cell>
          <cell r="E972">
            <v>2803.031982421875</v>
          </cell>
          <cell r="F972">
            <v>2.8030319824218748</v>
          </cell>
        </row>
        <row r="973">
          <cell r="A973">
            <v>45330</v>
          </cell>
          <cell r="B973">
            <v>2816.85400390625</v>
          </cell>
          <cell r="C973">
            <v>2870.6689453125</v>
          </cell>
          <cell r="D973">
            <v>2810.714111328125</v>
          </cell>
          <cell r="E973">
            <v>2837.573974609375</v>
          </cell>
          <cell r="F973">
            <v>2.8375739746093749</v>
          </cell>
        </row>
        <row r="974">
          <cell r="A974">
            <v>45341</v>
          </cell>
          <cell r="B974">
            <v>2880.47900390625</v>
          </cell>
          <cell r="C974">
            <v>2880.47900390625</v>
          </cell>
          <cell r="D974">
            <v>2834.214111328125</v>
          </cell>
          <cell r="E974">
            <v>2865.10302734375</v>
          </cell>
          <cell r="F974">
            <v>2.8651030273437499</v>
          </cell>
        </row>
        <row r="975">
          <cell r="A975">
            <v>45342</v>
          </cell>
          <cell r="B975">
            <v>2853.18603515625</v>
          </cell>
          <cell r="C975">
            <v>2869.194091796875</v>
          </cell>
          <cell r="D975">
            <v>2829.365966796875</v>
          </cell>
          <cell r="E975">
            <v>2865.73193359375</v>
          </cell>
          <cell r="F975">
            <v>2.8657319335937501</v>
          </cell>
        </row>
        <row r="976">
          <cell r="A976">
            <v>45343</v>
          </cell>
          <cell r="B976">
            <v>2840.05908203125</v>
          </cell>
          <cell r="C976">
            <v>2929.235107421875</v>
          </cell>
          <cell r="D976">
            <v>2832.10107421875</v>
          </cell>
          <cell r="E976">
            <v>2888.256103515625</v>
          </cell>
          <cell r="F976">
            <v>2.8882561035156251</v>
          </cell>
        </row>
        <row r="977">
          <cell r="A977">
            <v>45344</v>
          </cell>
          <cell r="B977">
            <v>2887.9580078125</v>
          </cell>
          <cell r="C977">
            <v>2911.3359375</v>
          </cell>
          <cell r="D977">
            <v>2881.695068359375</v>
          </cell>
          <cell r="E977">
            <v>2906.364990234375</v>
          </cell>
          <cell r="F977">
            <v>2.9063649902343749</v>
          </cell>
        </row>
        <row r="978">
          <cell r="A978">
            <v>45345</v>
          </cell>
          <cell r="B978">
            <v>2918.782958984375</v>
          </cell>
          <cell r="C978">
            <v>2920.611083984375</v>
          </cell>
          <cell r="D978">
            <v>2880.625</v>
          </cell>
          <cell r="E978">
            <v>2903.431884765625</v>
          </cell>
          <cell r="F978">
            <v>2.9034318847656251</v>
          </cell>
        </row>
        <row r="979">
          <cell r="A979">
            <v>45348</v>
          </cell>
          <cell r="B979">
            <v>2909.35009765625</v>
          </cell>
          <cell r="C979">
            <v>2932.364013671875</v>
          </cell>
          <cell r="D979">
            <v>2896.029052734375</v>
          </cell>
          <cell r="E979">
            <v>2908.01904296875</v>
          </cell>
          <cell r="F979">
            <v>2.9080190429687498</v>
          </cell>
        </row>
        <row r="980">
          <cell r="A980">
            <v>45349</v>
          </cell>
          <cell r="B980">
            <v>2896.279052734375</v>
          </cell>
          <cell r="C980">
            <v>2977.25390625</v>
          </cell>
          <cell r="D980">
            <v>2891.87109375</v>
          </cell>
          <cell r="E980">
            <v>2977.25390625</v>
          </cell>
          <cell r="F980">
            <v>2.9772539062500001</v>
          </cell>
        </row>
        <row r="981">
          <cell r="A981">
            <v>45350</v>
          </cell>
          <cell r="B981">
            <v>2986.77392578125</v>
          </cell>
          <cell r="C981">
            <v>3013.44189453125</v>
          </cell>
          <cell r="D981">
            <v>2909.208984375</v>
          </cell>
          <cell r="E981">
            <v>2909.208984375</v>
          </cell>
          <cell r="F981">
            <v>2.9092089843750002</v>
          </cell>
        </row>
        <row r="982">
          <cell r="A982">
            <v>45351</v>
          </cell>
          <cell r="B982">
            <v>2895.68408203125</v>
          </cell>
          <cell r="C982">
            <v>3006.0458984375</v>
          </cell>
          <cell r="D982">
            <v>2895.68408203125</v>
          </cell>
          <cell r="E982">
            <v>3002.22509765625</v>
          </cell>
          <cell r="F982">
            <v>3.0022250976562499</v>
          </cell>
        </row>
        <row r="983">
          <cell r="A983">
            <v>45352</v>
          </cell>
          <cell r="B983">
            <v>3010.343994140625</v>
          </cell>
          <cell r="C983">
            <v>3054.156005859375</v>
          </cell>
          <cell r="D983">
            <v>2998.5419921875</v>
          </cell>
          <cell r="E983">
            <v>3048.426025390625</v>
          </cell>
          <cell r="F983">
            <v>3.0484260253906248</v>
          </cell>
        </row>
        <row r="984">
          <cell r="A984">
            <v>45355</v>
          </cell>
          <cell r="B984">
            <v>3056.80908203125</v>
          </cell>
          <cell r="C984">
            <v>3077.716064453125</v>
          </cell>
          <cell r="D984">
            <v>3031.6708984375</v>
          </cell>
          <cell r="E984">
            <v>3051.801025390625</v>
          </cell>
          <cell r="F984">
            <v>3.0518010253906249</v>
          </cell>
        </row>
        <row r="985">
          <cell r="A985">
            <v>45356</v>
          </cell>
          <cell r="B985">
            <v>3027.5458984375</v>
          </cell>
          <cell r="C985">
            <v>3060.676025390625</v>
          </cell>
          <cell r="D985">
            <v>3016.756103515625</v>
          </cell>
          <cell r="E985">
            <v>3052.458984375</v>
          </cell>
          <cell r="F985">
            <v>3.0524589843749999</v>
          </cell>
        </row>
        <row r="986">
          <cell r="A986">
            <v>45357</v>
          </cell>
          <cell r="B986">
            <v>3034.1201171875</v>
          </cell>
          <cell r="C986">
            <v>3078.7529296875</v>
          </cell>
          <cell r="D986">
            <v>3019.971923828125</v>
          </cell>
          <cell r="E986">
            <v>3045.533935546875</v>
          </cell>
          <cell r="F986">
            <v>3.0455339355468749</v>
          </cell>
        </row>
        <row r="987">
          <cell r="A987">
            <v>45358</v>
          </cell>
          <cell r="B987">
            <v>3044.839111328125</v>
          </cell>
          <cell r="C987">
            <v>3064.864013671875</v>
          </cell>
          <cell r="D987">
            <v>3000.39599609375</v>
          </cell>
          <cell r="E987">
            <v>3001.10693359375</v>
          </cell>
          <cell r="F987">
            <v>3.0011069335937499</v>
          </cell>
        </row>
        <row r="988">
          <cell r="A988">
            <v>45359</v>
          </cell>
          <cell r="B988">
            <v>3006.011962890625</v>
          </cell>
          <cell r="C988">
            <v>3037.344970703125</v>
          </cell>
          <cell r="D988">
            <v>2986.718994140625</v>
          </cell>
          <cell r="E988">
            <v>3031.52490234375</v>
          </cell>
          <cell r="F988">
            <v>3.03152490234375</v>
          </cell>
        </row>
        <row r="989">
          <cell r="A989">
            <v>45362</v>
          </cell>
          <cell r="B989">
            <v>3036.0859375</v>
          </cell>
          <cell r="C989">
            <v>3117.787109375</v>
          </cell>
          <cell r="D989">
            <v>3032.506103515625</v>
          </cell>
          <cell r="E989">
            <v>3117.787109375</v>
          </cell>
          <cell r="F989">
            <v>3.117787109375</v>
          </cell>
        </row>
        <row r="990">
          <cell r="A990">
            <v>45363</v>
          </cell>
          <cell r="B990">
            <v>3127.007080078125</v>
          </cell>
          <cell r="C990">
            <v>3136.945068359375</v>
          </cell>
          <cell r="D990">
            <v>3098.43505859375</v>
          </cell>
          <cell r="E990">
            <v>3132.180908203125</v>
          </cell>
          <cell r="F990">
            <v>3.1321809082031251</v>
          </cell>
        </row>
        <row r="991">
          <cell r="A991">
            <v>45364</v>
          </cell>
          <cell r="B991">
            <v>3136.820068359375</v>
          </cell>
          <cell r="C991">
            <v>3139.79296875</v>
          </cell>
          <cell r="D991">
            <v>3108.864990234375</v>
          </cell>
          <cell r="E991">
            <v>3117.85595703125</v>
          </cell>
          <cell r="F991">
            <v>3.1178559570312498</v>
          </cell>
        </row>
        <row r="992">
          <cell r="A992">
            <v>45365</v>
          </cell>
          <cell r="B992">
            <v>3116.31201171875</v>
          </cell>
          <cell r="C992">
            <v>3143.56201171875</v>
          </cell>
          <cell r="D992">
            <v>3079.02294921875</v>
          </cell>
          <cell r="E992">
            <v>3098.385009765625</v>
          </cell>
          <cell r="F992">
            <v>3.0983850097656251</v>
          </cell>
        </row>
        <row r="993">
          <cell r="A993">
            <v>45366</v>
          </cell>
          <cell r="B993">
            <v>3091.68896484375</v>
          </cell>
          <cell r="C993">
            <v>3102.62109375</v>
          </cell>
          <cell r="D993">
            <v>3050.322021484375</v>
          </cell>
          <cell r="E993">
            <v>3100.114990234375</v>
          </cell>
          <cell r="F993">
            <v>3.100114990234375</v>
          </cell>
        </row>
        <row r="994">
          <cell r="A994">
            <v>45369</v>
          </cell>
          <cell r="B994">
            <v>3126.18408203125</v>
          </cell>
          <cell r="C994">
            <v>3150.986083984375</v>
          </cell>
          <cell r="D994">
            <v>3118.60107421875</v>
          </cell>
          <cell r="E994">
            <v>3150.986083984375</v>
          </cell>
          <cell r="F994">
            <v>3.1509860839843751</v>
          </cell>
        </row>
        <row r="995">
          <cell r="A995">
            <v>45370</v>
          </cell>
          <cell r="B995">
            <v>3139.952880859375</v>
          </cell>
          <cell r="C995">
            <v>3155.452880859375</v>
          </cell>
          <cell r="D995">
            <v>3124.64892578125</v>
          </cell>
          <cell r="E995">
            <v>3124.64892578125</v>
          </cell>
          <cell r="F995">
            <v>3.12464892578125</v>
          </cell>
        </row>
        <row r="996">
          <cell r="A996">
            <v>45371</v>
          </cell>
          <cell r="B996">
            <v>3114.513916015625</v>
          </cell>
          <cell r="C996">
            <v>3136.98388671875</v>
          </cell>
          <cell r="D996">
            <v>3108.6630859375</v>
          </cell>
          <cell r="E996">
            <v>3128.39892578125</v>
          </cell>
          <cell r="F996">
            <v>3.1283989257812501</v>
          </cell>
        </row>
        <row r="997">
          <cell r="A997">
            <v>45372</v>
          </cell>
          <cell r="B997">
            <v>3133.541015625</v>
          </cell>
          <cell r="C997">
            <v>3140.339111328125</v>
          </cell>
          <cell r="D997">
            <v>3103.179931640625</v>
          </cell>
          <cell r="E997">
            <v>3104.780029296875</v>
          </cell>
          <cell r="F997">
            <v>3.104780029296875</v>
          </cell>
        </row>
        <row r="998">
          <cell r="A998">
            <v>45373</v>
          </cell>
          <cell r="B998">
            <v>3099.02392578125</v>
          </cell>
          <cell r="C998">
            <v>3106.6630859375</v>
          </cell>
          <cell r="D998">
            <v>3059.326904296875</v>
          </cell>
          <cell r="E998">
            <v>3079.320068359375</v>
          </cell>
          <cell r="F998">
            <v>3.0793200683593751</v>
          </cell>
        </row>
        <row r="999">
          <cell r="A999">
            <v>45376</v>
          </cell>
          <cell r="B999">
            <v>3071.59912109375</v>
          </cell>
          <cell r="C999">
            <v>3097.8349609375</v>
          </cell>
          <cell r="D999">
            <v>3041.9208984375</v>
          </cell>
          <cell r="E999">
            <v>3042.60400390625</v>
          </cell>
          <cell r="F999">
            <v>3.0426040039062499</v>
          </cell>
        </row>
        <row r="1000">
          <cell r="A1000">
            <v>45377</v>
          </cell>
          <cell r="B1000">
            <v>3038.56396484375</v>
          </cell>
          <cell r="C1000">
            <v>3073.133056640625</v>
          </cell>
          <cell r="D1000">
            <v>3032.837890625</v>
          </cell>
          <cell r="E1000">
            <v>3057.81298828125</v>
          </cell>
          <cell r="F1000">
            <v>3.0578129882812499</v>
          </cell>
        </row>
        <row r="1001">
          <cell r="A1001">
            <v>45378</v>
          </cell>
          <cell r="B1001">
            <v>3056.52099609375</v>
          </cell>
          <cell r="C1001">
            <v>3056.9150390625</v>
          </cell>
          <cell r="D1001">
            <v>2990.800048828125</v>
          </cell>
          <cell r="E1001">
            <v>2990.800048828125</v>
          </cell>
          <cell r="F1001">
            <v>2.9908000488281248</v>
          </cell>
        </row>
        <row r="1002">
          <cell r="A1002">
            <v>45379</v>
          </cell>
          <cell r="B1002">
            <v>2990.511962890625</v>
          </cell>
          <cell r="C1002">
            <v>3061.466064453125</v>
          </cell>
          <cell r="D1002">
            <v>2986.736083984375</v>
          </cell>
          <cell r="E1002">
            <v>3029.904052734375</v>
          </cell>
          <cell r="F1002">
            <v>3.0299040527343748</v>
          </cell>
        </row>
        <row r="1003">
          <cell r="A1003">
            <v>45380</v>
          </cell>
          <cell r="B1003">
            <v>3030.053955078125</v>
          </cell>
          <cell r="C1003">
            <v>3047.51904296875</v>
          </cell>
          <cell r="D1003">
            <v>3012.47705078125</v>
          </cell>
          <cell r="E1003">
            <v>3039.02294921875</v>
          </cell>
          <cell r="F1003">
            <v>3.0390229492187499</v>
          </cell>
        </row>
        <row r="1004">
          <cell r="A1004">
            <v>45383</v>
          </cell>
          <cell r="B1004">
            <v>3058.4599609375</v>
          </cell>
          <cell r="C1004">
            <v>3124.096923828125</v>
          </cell>
          <cell r="D1004">
            <v>3058.4599609375</v>
          </cell>
          <cell r="E1004">
            <v>3123.180908203125</v>
          </cell>
          <cell r="F1004">
            <v>3.1231809082031252</v>
          </cell>
        </row>
        <row r="1005">
          <cell r="A1005">
            <v>45384</v>
          </cell>
          <cell r="B1005">
            <v>3118.7548828125</v>
          </cell>
          <cell r="C1005">
            <v>3118.7548828125</v>
          </cell>
          <cell r="D1005">
            <v>3089.97412109375</v>
          </cell>
          <cell r="E1005">
            <v>3103.092041015625</v>
          </cell>
          <cell r="F1005">
            <v>3.1030920410156249</v>
          </cell>
        </row>
        <row r="1006">
          <cell r="A1006">
            <v>45385</v>
          </cell>
          <cell r="B1006">
            <v>3091.875</v>
          </cell>
          <cell r="C1006">
            <v>3095.26611328125</v>
          </cell>
          <cell r="D1006">
            <v>3072.616943359375</v>
          </cell>
          <cell r="E1006">
            <v>3080.1640625</v>
          </cell>
          <cell r="F1006">
            <v>3.0801640625000002</v>
          </cell>
        </row>
        <row r="1007">
          <cell r="A1007">
            <v>45390</v>
          </cell>
          <cell r="B1007">
            <v>3075.090087890625</v>
          </cell>
          <cell r="C1007">
            <v>3083.666015625</v>
          </cell>
          <cell r="D1007">
            <v>3039.444091796875</v>
          </cell>
          <cell r="E1007">
            <v>3039.824951171875</v>
          </cell>
          <cell r="F1007">
            <v>3.0398249511718749</v>
          </cell>
        </row>
        <row r="1008">
          <cell r="A1008">
            <v>45391</v>
          </cell>
          <cell r="B1008">
            <v>3037.493896484375</v>
          </cell>
          <cell r="C1008">
            <v>3056.0791015625</v>
          </cell>
          <cell r="D1008">
            <v>3024.830078125</v>
          </cell>
          <cell r="E1008">
            <v>3055.41796875</v>
          </cell>
          <cell r="F1008">
            <v>3.05541796875</v>
          </cell>
        </row>
        <row r="1009">
          <cell r="A1009">
            <v>45392</v>
          </cell>
          <cell r="B1009">
            <v>3047.81103515625</v>
          </cell>
          <cell r="C1009">
            <v>3047.81103515625</v>
          </cell>
          <cell r="D1009">
            <v>2989.5869140625</v>
          </cell>
          <cell r="E1009">
            <v>3005.1669921875</v>
          </cell>
          <cell r="F1009">
            <v>3.0051669921875002</v>
          </cell>
        </row>
        <row r="1010">
          <cell r="A1010">
            <v>45393</v>
          </cell>
          <cell r="B1010">
            <v>2984.875</v>
          </cell>
          <cell r="C1010">
            <v>3028.01611328125</v>
          </cell>
          <cell r="D1010">
            <v>2984.302001953125</v>
          </cell>
          <cell r="E1010">
            <v>3004.073974609375</v>
          </cell>
          <cell r="F1010">
            <v>3.004073974609375</v>
          </cell>
        </row>
        <row r="1011">
          <cell r="A1011">
            <v>45394</v>
          </cell>
          <cell r="B1011">
            <v>3001.93896484375</v>
          </cell>
          <cell r="C1011">
            <v>3019.174072265625</v>
          </cell>
          <cell r="D1011">
            <v>2975.4208984375</v>
          </cell>
          <cell r="E1011">
            <v>2981.2060546875</v>
          </cell>
          <cell r="F1011">
            <v>2.9812060546875001</v>
          </cell>
        </row>
        <row r="1012">
          <cell r="A1012">
            <v>45397</v>
          </cell>
          <cell r="B1012">
            <v>2989.422119140625</v>
          </cell>
          <cell r="C1012">
            <v>3049.6708984375</v>
          </cell>
          <cell r="D1012">
            <v>2988.387939453125</v>
          </cell>
          <cell r="E1012">
            <v>3042.98193359375</v>
          </cell>
          <cell r="F1012">
            <v>3.04298193359375</v>
          </cell>
        </row>
        <row r="1013">
          <cell r="A1013">
            <v>45398</v>
          </cell>
          <cell r="B1013">
            <v>3027.22705078125</v>
          </cell>
          <cell r="C1013">
            <v>3039.68798828125</v>
          </cell>
          <cell r="D1013">
            <v>2993.14599609375</v>
          </cell>
          <cell r="E1013">
            <v>2994.27001953125</v>
          </cell>
          <cell r="F1013">
            <v>2.9942700195312502</v>
          </cell>
        </row>
        <row r="1014">
          <cell r="A1014">
            <v>45399</v>
          </cell>
          <cell r="B1014">
            <v>2998.1279296875</v>
          </cell>
          <cell r="C1014">
            <v>3055.388916015625</v>
          </cell>
          <cell r="D1014">
            <v>2993.080078125</v>
          </cell>
          <cell r="E1014">
            <v>3054.738037109375</v>
          </cell>
          <cell r="F1014">
            <v>3.0547380371093751</v>
          </cell>
        </row>
        <row r="1015">
          <cell r="A1015">
            <v>45400</v>
          </cell>
          <cell r="B1015">
            <v>3038.43408203125</v>
          </cell>
          <cell r="C1015">
            <v>3080.069091796875</v>
          </cell>
          <cell r="D1015">
            <v>3025.492919921875</v>
          </cell>
          <cell r="E1015">
            <v>3048.69189453125</v>
          </cell>
          <cell r="F1015">
            <v>3.0486918945312498</v>
          </cell>
        </row>
        <row r="1016">
          <cell r="A1016">
            <v>45401</v>
          </cell>
          <cell r="B1016">
            <v>3024.5048828125</v>
          </cell>
          <cell r="C1016">
            <v>3030.912109375</v>
          </cell>
          <cell r="D1016">
            <v>2979.968017578125</v>
          </cell>
          <cell r="E1016">
            <v>3003.77587890625</v>
          </cell>
          <cell r="F1016">
            <v>3.0037758789062501</v>
          </cell>
        </row>
        <row r="1017">
          <cell r="A1017">
            <v>45404</v>
          </cell>
          <cell r="B1017">
            <v>2986.125</v>
          </cell>
          <cell r="C1017">
            <v>3018.947021484375</v>
          </cell>
          <cell r="D1017">
            <v>2983.451904296875</v>
          </cell>
          <cell r="E1017">
            <v>2992.6630859375</v>
          </cell>
          <cell r="F1017">
            <v>2.9926630859375001</v>
          </cell>
        </row>
        <row r="1018">
          <cell r="A1018">
            <v>45405</v>
          </cell>
          <cell r="B1018">
            <v>2990.62890625</v>
          </cell>
          <cell r="C1018">
            <v>3003.423095703125</v>
          </cell>
          <cell r="D1018">
            <v>2954.30810546875</v>
          </cell>
          <cell r="E1018">
            <v>2970.050048828125</v>
          </cell>
          <cell r="F1018">
            <v>2.9700500488281252</v>
          </cell>
        </row>
        <row r="1019">
          <cell r="A1019">
            <v>45406</v>
          </cell>
          <cell r="B1019">
            <v>2974.194091796875</v>
          </cell>
          <cell r="C1019">
            <v>2988.06689453125</v>
          </cell>
          <cell r="D1019">
            <v>2952.886962890625</v>
          </cell>
          <cell r="E1019">
            <v>2984.43798828125</v>
          </cell>
          <cell r="F1019">
            <v>2.98443798828125</v>
          </cell>
        </row>
        <row r="1020">
          <cell r="A1020">
            <v>45407</v>
          </cell>
          <cell r="B1020">
            <v>2969.64990234375</v>
          </cell>
          <cell r="C1020">
            <v>3014.47900390625</v>
          </cell>
          <cell r="D1020">
            <v>2966.699951171875</v>
          </cell>
          <cell r="E1020">
            <v>2991.572021484375</v>
          </cell>
          <cell r="F1020">
            <v>2.9915720214843748</v>
          </cell>
        </row>
        <row r="1021">
          <cell r="A1021">
            <v>45408</v>
          </cell>
          <cell r="B1021">
            <v>2985.577880859375</v>
          </cell>
          <cell r="C1021">
            <v>3058.72802734375</v>
          </cell>
          <cell r="D1021">
            <v>2985.577880859375</v>
          </cell>
          <cell r="E1021">
            <v>3057.217041015625</v>
          </cell>
          <cell r="F1021">
            <v>3.0572170410156252</v>
          </cell>
        </row>
        <row r="1022">
          <cell r="A1022">
            <v>45411</v>
          </cell>
          <cell r="B1022">
            <v>3070.635009765625</v>
          </cell>
          <cell r="C1022">
            <v>3161.89599609375</v>
          </cell>
          <cell r="D1022">
            <v>3068.739990234375</v>
          </cell>
          <cell r="E1022">
            <v>3138.0810546875</v>
          </cell>
          <cell r="F1022">
            <v>3.1380810546875</v>
          </cell>
        </row>
        <row r="1023">
          <cell r="A1023">
            <v>45412</v>
          </cell>
          <cell r="B1023">
            <v>3127.3291015625</v>
          </cell>
          <cell r="C1023">
            <v>3130.923095703125</v>
          </cell>
          <cell r="D1023">
            <v>3107.498046875</v>
          </cell>
          <cell r="E1023">
            <v>3108.10888671875</v>
          </cell>
          <cell r="F1023">
            <v>3.1081088867187501</v>
          </cell>
        </row>
        <row r="1024">
          <cell r="A1024">
            <v>45418</v>
          </cell>
          <cell r="B1024">
            <v>3167.194091796875</v>
          </cell>
          <cell r="C1024">
            <v>3184.431884765625</v>
          </cell>
          <cell r="D1024">
            <v>3160.10888671875</v>
          </cell>
          <cell r="E1024">
            <v>3176.294921875</v>
          </cell>
          <cell r="F1024">
            <v>3.1762949218749998</v>
          </cell>
        </row>
        <row r="1025">
          <cell r="A1025">
            <v>45419</v>
          </cell>
          <cell r="B1025">
            <v>3173.465087890625</v>
          </cell>
          <cell r="C1025">
            <v>3186.239990234375</v>
          </cell>
          <cell r="D1025">
            <v>3162.325927734375</v>
          </cell>
          <cell r="E1025">
            <v>3170.93408203125</v>
          </cell>
          <cell r="F1025">
            <v>3.1709340820312502</v>
          </cell>
        </row>
        <row r="1026">
          <cell r="A1026">
            <v>45420</v>
          </cell>
          <cell r="B1026">
            <v>3161.824951171875</v>
          </cell>
          <cell r="C1026">
            <v>3161.824951171875</v>
          </cell>
          <cell r="D1026">
            <v>3119.873046875</v>
          </cell>
          <cell r="E1026">
            <v>3121.277099609375</v>
          </cell>
          <cell r="F1026">
            <v>3.121277099609375</v>
          </cell>
        </row>
        <row r="1027">
          <cell r="A1027">
            <v>45421</v>
          </cell>
          <cell r="B1027">
            <v>3129.72412109375</v>
          </cell>
          <cell r="C1027">
            <v>3178.1259765625</v>
          </cell>
          <cell r="D1027">
            <v>3129.72412109375</v>
          </cell>
          <cell r="E1027">
            <v>3171.113037109375</v>
          </cell>
          <cell r="F1027">
            <v>3.1711130371093752</v>
          </cell>
        </row>
        <row r="1028">
          <cell r="A1028">
            <v>45422</v>
          </cell>
          <cell r="B1028">
            <v>3169.076904296875</v>
          </cell>
          <cell r="C1028">
            <v>3170.2919921875</v>
          </cell>
          <cell r="D1028">
            <v>3126.2529296875</v>
          </cell>
          <cell r="E1028">
            <v>3140.196044921875</v>
          </cell>
          <cell r="F1028">
            <v>3.1401960449218751</v>
          </cell>
        </row>
        <row r="1029">
          <cell r="A1029">
            <v>45425</v>
          </cell>
          <cell r="B1029">
            <v>3112.81591796875</v>
          </cell>
          <cell r="C1029">
            <v>3144.841064453125</v>
          </cell>
          <cell r="D1029">
            <v>3096.02490234375</v>
          </cell>
          <cell r="E1029">
            <v>3127.032958984375</v>
          </cell>
          <cell r="F1029">
            <v>3.1270329589843748</v>
          </cell>
        </row>
        <row r="1030">
          <cell r="A1030">
            <v>45426</v>
          </cell>
          <cell r="B1030">
            <v>3136.216064453125</v>
          </cell>
          <cell r="C1030">
            <v>3148.363037109375</v>
          </cell>
          <cell r="D1030">
            <v>3108.527099609375</v>
          </cell>
          <cell r="E1030">
            <v>3117.27197265625</v>
          </cell>
          <cell r="F1030">
            <v>3.1172719726562499</v>
          </cell>
        </row>
        <row r="1031">
          <cell r="A1031">
            <v>45427</v>
          </cell>
          <cell r="B1031">
            <v>3106.742919921875</v>
          </cell>
          <cell r="C1031">
            <v>3117.01611328125</v>
          </cell>
          <cell r="D1031">
            <v>3090.260009765625</v>
          </cell>
          <cell r="E1031">
            <v>3091.947998046875</v>
          </cell>
          <cell r="F1031">
            <v>3.0919479980468751</v>
          </cell>
        </row>
        <row r="1032">
          <cell r="A1032">
            <v>45428</v>
          </cell>
          <cell r="B1032">
            <v>3102.798095703125</v>
          </cell>
          <cell r="C1032">
            <v>3118.5048828125</v>
          </cell>
          <cell r="D1032">
            <v>3086.117919921875</v>
          </cell>
          <cell r="E1032">
            <v>3099.14404296875</v>
          </cell>
          <cell r="F1032">
            <v>3.0991440429687498</v>
          </cell>
        </row>
        <row r="1033">
          <cell r="A1033">
            <v>45429</v>
          </cell>
          <cell r="B1033">
            <v>3092.864013671875</v>
          </cell>
          <cell r="C1033">
            <v>3118.011962890625</v>
          </cell>
          <cell r="D1033">
            <v>3076.510009765625</v>
          </cell>
          <cell r="E1033">
            <v>3117.587890625</v>
          </cell>
          <cell r="F1033">
            <v>3.1175878906249999</v>
          </cell>
        </row>
        <row r="1034">
          <cell r="A1034">
            <v>45432</v>
          </cell>
          <cell r="B1034">
            <v>3117.73193359375</v>
          </cell>
          <cell r="C1034">
            <v>3129.782958984375</v>
          </cell>
          <cell r="D1034">
            <v>3103.1630859375</v>
          </cell>
          <cell r="E1034">
            <v>3118.263916015625</v>
          </cell>
          <cell r="F1034">
            <v>3.1182639160156249</v>
          </cell>
        </row>
        <row r="1035">
          <cell r="A1035">
            <v>45433</v>
          </cell>
          <cell r="B1035">
            <v>3108.320068359375</v>
          </cell>
          <cell r="C1035">
            <v>3112.251953125</v>
          </cell>
          <cell r="D1035">
            <v>3088.501953125</v>
          </cell>
          <cell r="E1035">
            <v>3098.544921875</v>
          </cell>
          <cell r="F1035">
            <v>3.0985449218749999</v>
          </cell>
        </row>
        <row r="1036">
          <cell r="A1036">
            <v>45434</v>
          </cell>
          <cell r="B1036">
            <v>3096.26611328125</v>
          </cell>
          <cell r="C1036">
            <v>3121.756103515625</v>
          </cell>
          <cell r="D1036">
            <v>3086.009033203125</v>
          </cell>
          <cell r="E1036">
            <v>3114.431884765625</v>
          </cell>
          <cell r="F1036">
            <v>3.1144318847656249</v>
          </cell>
        </row>
        <row r="1037">
          <cell r="A1037">
            <v>45435</v>
          </cell>
          <cell r="B1037">
            <v>3110.635009765625</v>
          </cell>
          <cell r="C1037">
            <v>3114.554931640625</v>
          </cell>
          <cell r="D1037">
            <v>3072.43994140625</v>
          </cell>
          <cell r="E1037">
            <v>3080.23388671875</v>
          </cell>
          <cell r="F1037">
            <v>3.0802338867187502</v>
          </cell>
        </row>
        <row r="1038">
          <cell r="A1038">
            <v>45436</v>
          </cell>
          <cell r="B1038">
            <v>3067.178955078125</v>
          </cell>
          <cell r="C1038">
            <v>3089.93603515625</v>
          </cell>
          <cell r="D1038">
            <v>3033.19189453125</v>
          </cell>
          <cell r="E1038">
            <v>3034.8310546875</v>
          </cell>
          <cell r="F1038">
            <v>3.0348310546874999</v>
          </cell>
        </row>
        <row r="1039">
          <cell r="A1039">
            <v>45439</v>
          </cell>
          <cell r="B1039">
            <v>3041.199951171875</v>
          </cell>
          <cell r="C1039">
            <v>3060.958984375</v>
          </cell>
          <cell r="D1039">
            <v>3022.219970703125</v>
          </cell>
          <cell r="E1039">
            <v>3058.93603515625</v>
          </cell>
          <cell r="F1039">
            <v>3.05893603515625</v>
          </cell>
        </row>
        <row r="1040">
          <cell r="A1040">
            <v>45440</v>
          </cell>
          <cell r="B1040">
            <v>3051.930908203125</v>
          </cell>
          <cell r="C1040">
            <v>3051.930908203125</v>
          </cell>
          <cell r="D1040">
            <v>3016.1201171875</v>
          </cell>
          <cell r="E1040">
            <v>3017.59912109375</v>
          </cell>
          <cell r="F1040">
            <v>3.0175991210937498</v>
          </cell>
        </row>
        <row r="1041">
          <cell r="A1041">
            <v>45441</v>
          </cell>
          <cell r="B1041">
            <v>3020.93701171875</v>
          </cell>
          <cell r="C1041">
            <v>3046.176025390625</v>
          </cell>
          <cell r="D1041">
            <v>3017.922119140625</v>
          </cell>
          <cell r="E1041">
            <v>3027.883056640625</v>
          </cell>
          <cell r="F1041">
            <v>3.0278830566406252</v>
          </cell>
        </row>
        <row r="1042">
          <cell r="A1042">
            <v>45442</v>
          </cell>
          <cell r="B1042">
            <v>3024.2470703125</v>
          </cell>
          <cell r="C1042">
            <v>3042.85302734375</v>
          </cell>
          <cell r="D1042">
            <v>3017.674072265625</v>
          </cell>
          <cell r="E1042">
            <v>3030.72900390625</v>
          </cell>
          <cell r="F1042">
            <v>3.03072900390625</v>
          </cell>
        </row>
        <row r="1043">
          <cell r="A1043">
            <v>45443</v>
          </cell>
          <cell r="B1043">
            <v>3031.093994140625</v>
          </cell>
          <cell r="C1043">
            <v>3056.1259765625</v>
          </cell>
          <cell r="D1043">
            <v>3017.85498046875</v>
          </cell>
          <cell r="E1043">
            <v>3017.85498046875</v>
          </cell>
          <cell r="F1043">
            <v>3.01785498046875</v>
          </cell>
        </row>
        <row r="1044">
          <cell r="A1044">
            <v>45446</v>
          </cell>
          <cell r="B1044">
            <v>3018.22802734375</v>
          </cell>
          <cell r="C1044">
            <v>3056.2060546875</v>
          </cell>
          <cell r="D1044">
            <v>3004.291015625</v>
          </cell>
          <cell r="E1044">
            <v>3043.715087890625</v>
          </cell>
          <cell r="F1044">
            <v>3.0437150878906252</v>
          </cell>
        </row>
        <row r="1045">
          <cell r="A1045">
            <v>45447</v>
          </cell>
          <cell r="B1045">
            <v>3038.02197265625</v>
          </cell>
          <cell r="C1045">
            <v>3081.85400390625</v>
          </cell>
          <cell r="D1045">
            <v>3030.14794921875</v>
          </cell>
          <cell r="E1045">
            <v>3074.60107421875</v>
          </cell>
          <cell r="F1045">
            <v>3.0746010742187502</v>
          </cell>
        </row>
        <row r="1046">
          <cell r="A1046">
            <v>45448</v>
          </cell>
          <cell r="B1046">
            <v>3072.60595703125</v>
          </cell>
          <cell r="C1046">
            <v>3102.993896484375</v>
          </cell>
          <cell r="D1046">
            <v>3064.10400390625</v>
          </cell>
          <cell r="E1046">
            <v>3064.10400390625</v>
          </cell>
          <cell r="F1046">
            <v>3.0641040039062499</v>
          </cell>
        </row>
        <row r="1047">
          <cell r="A1047">
            <v>45449</v>
          </cell>
          <cell r="B1047">
            <v>3071.048095703125</v>
          </cell>
          <cell r="C1047">
            <v>3096.698974609375</v>
          </cell>
          <cell r="D1047">
            <v>3053.2060546875</v>
          </cell>
          <cell r="E1047">
            <v>3060.89306640625</v>
          </cell>
          <cell r="F1047">
            <v>3.0608930664062499</v>
          </cell>
        </row>
        <row r="1048">
          <cell r="A1048">
            <v>45450</v>
          </cell>
          <cell r="B1048">
            <v>3050.8740234375</v>
          </cell>
          <cell r="C1048">
            <v>3058.7548828125</v>
          </cell>
          <cell r="D1048">
            <v>2984.530029296875</v>
          </cell>
          <cell r="E1048">
            <v>3012.031005859375</v>
          </cell>
          <cell r="F1048">
            <v>3.0120310058593751</v>
          </cell>
        </row>
        <row r="1049">
          <cell r="A1049">
            <v>45454</v>
          </cell>
          <cell r="B1049">
            <v>2988.68896484375</v>
          </cell>
          <cell r="C1049">
            <v>3024.056884765625</v>
          </cell>
          <cell r="D1049">
            <v>2985.837890625</v>
          </cell>
          <cell r="E1049">
            <v>3017.672119140625</v>
          </cell>
          <cell r="F1049">
            <v>3.0176721191406251</v>
          </cell>
        </row>
        <row r="1050">
          <cell r="A1050">
            <v>45455</v>
          </cell>
          <cell r="B1050">
            <v>3014.5048828125</v>
          </cell>
          <cell r="C1050">
            <v>3032.9541015625</v>
          </cell>
          <cell r="D1050">
            <v>3014.034912109375</v>
          </cell>
          <cell r="E1050">
            <v>3017.090087890625</v>
          </cell>
          <cell r="F1050">
            <v>3.017090087890625</v>
          </cell>
        </row>
        <row r="1051">
          <cell r="A1051">
            <v>45456</v>
          </cell>
          <cell r="B1051">
            <v>3026.85400390625</v>
          </cell>
          <cell r="C1051">
            <v>3043.281982421875</v>
          </cell>
          <cell r="D1051">
            <v>3004.9560546875</v>
          </cell>
          <cell r="E1051">
            <v>3007.8349609375</v>
          </cell>
          <cell r="F1051">
            <v>3.0078349609375001</v>
          </cell>
        </row>
        <row r="1052">
          <cell r="A1052">
            <v>45457</v>
          </cell>
          <cell r="B1052">
            <v>2997.638916015625</v>
          </cell>
          <cell r="C1052">
            <v>3029.623046875</v>
          </cell>
          <cell r="D1052">
            <v>2980.593994140625</v>
          </cell>
          <cell r="E1052">
            <v>3027.177978515625</v>
          </cell>
          <cell r="F1052">
            <v>3.027177978515625</v>
          </cell>
        </row>
        <row r="1053">
          <cell r="A1053">
            <v>45460</v>
          </cell>
          <cell r="B1053">
            <v>3014.007080078125</v>
          </cell>
          <cell r="C1053">
            <v>3061.299072265625</v>
          </cell>
          <cell r="D1053">
            <v>3013.22998046875</v>
          </cell>
          <cell r="E1053">
            <v>3052.7470703125</v>
          </cell>
          <cell r="F1053">
            <v>3.0527470703124999</v>
          </cell>
        </row>
        <row r="1054">
          <cell r="A1054">
            <v>45461</v>
          </cell>
          <cell r="B1054">
            <v>3051.180908203125</v>
          </cell>
          <cell r="C1054">
            <v>3072.570068359375</v>
          </cell>
          <cell r="D1054">
            <v>3047.876953125</v>
          </cell>
          <cell r="E1054">
            <v>3069.998046875</v>
          </cell>
          <cell r="F1054">
            <v>3.0699980468749999</v>
          </cell>
        </row>
        <row r="1055">
          <cell r="A1055">
            <v>45462</v>
          </cell>
          <cell r="B1055">
            <v>3072.239013671875</v>
          </cell>
          <cell r="C1055">
            <v>3072.6279296875</v>
          </cell>
          <cell r="D1055">
            <v>3033.322021484375</v>
          </cell>
          <cell r="E1055">
            <v>3035.952880859375</v>
          </cell>
          <cell r="F1055">
            <v>3.0359528808593752</v>
          </cell>
        </row>
        <row r="1056">
          <cell r="A1056">
            <v>45463</v>
          </cell>
          <cell r="B1056">
            <v>3030.7529296875</v>
          </cell>
          <cell r="C1056">
            <v>3039.8369140625</v>
          </cell>
          <cell r="D1056">
            <v>2991.76708984375</v>
          </cell>
          <cell r="E1056">
            <v>2993.31689453125</v>
          </cell>
          <cell r="F1056">
            <v>2.99331689453125</v>
          </cell>
        </row>
        <row r="1057">
          <cell r="A1057">
            <v>45464</v>
          </cell>
          <cell r="B1057">
            <v>2982.24609375</v>
          </cell>
          <cell r="C1057">
            <v>2997.6640625</v>
          </cell>
          <cell r="D1057">
            <v>2963.472900390625</v>
          </cell>
          <cell r="E1057">
            <v>2989.323974609375</v>
          </cell>
          <cell r="F1057">
            <v>2.9893239746093752</v>
          </cell>
        </row>
        <row r="1058">
          <cell r="A1058">
            <v>45467</v>
          </cell>
          <cell r="B1058">
            <v>2974.841064453125</v>
          </cell>
          <cell r="C1058">
            <v>2992.0048828125</v>
          </cell>
          <cell r="D1058">
            <v>2956.242919921875</v>
          </cell>
          <cell r="E1058">
            <v>2959.037109375</v>
          </cell>
          <cell r="F1058">
            <v>2.9590371093750001</v>
          </cell>
        </row>
        <row r="1059">
          <cell r="A1059">
            <v>45468</v>
          </cell>
          <cell r="B1059">
            <v>2954.488037109375</v>
          </cell>
          <cell r="C1059">
            <v>2964.66796875</v>
          </cell>
          <cell r="D1059">
            <v>2914.875</v>
          </cell>
          <cell r="E1059">
            <v>2932.240966796875</v>
          </cell>
          <cell r="F1059">
            <v>2.9322409667968752</v>
          </cell>
        </row>
        <row r="1060">
          <cell r="A1060">
            <v>45469</v>
          </cell>
          <cell r="B1060">
            <v>2930.73388671875</v>
          </cell>
          <cell r="C1060">
            <v>2977.778076171875</v>
          </cell>
          <cell r="D1060">
            <v>2919.823974609375</v>
          </cell>
          <cell r="E1060">
            <v>2971.052001953125</v>
          </cell>
          <cell r="F1060">
            <v>2.971052001953125</v>
          </cell>
        </row>
        <row r="1061">
          <cell r="A1061">
            <v>45470</v>
          </cell>
          <cell r="B1061">
            <v>2957.27099609375</v>
          </cell>
          <cell r="C1061">
            <v>2960.028076171875</v>
          </cell>
          <cell r="D1061">
            <v>2934.7099609375</v>
          </cell>
          <cell r="E1061">
            <v>2936.989013671875</v>
          </cell>
          <cell r="F1061">
            <v>2.9369890136718748</v>
          </cell>
        </row>
        <row r="1062">
          <cell r="A1062">
            <v>45471</v>
          </cell>
          <cell r="B1062">
            <v>2921.763916015625</v>
          </cell>
          <cell r="C1062">
            <v>2971.243896484375</v>
          </cell>
          <cell r="D1062">
            <v>2921.763916015625</v>
          </cell>
          <cell r="E1062">
            <v>2937.010986328125</v>
          </cell>
          <cell r="F1062">
            <v>2.9370109863281249</v>
          </cell>
        </row>
        <row r="1063">
          <cell r="A1063">
            <v>45474</v>
          </cell>
          <cell r="B1063">
            <v>2930.62890625</v>
          </cell>
          <cell r="C1063">
            <v>2935.007080078125</v>
          </cell>
          <cell r="D1063">
            <v>2889.5830078125</v>
          </cell>
          <cell r="E1063">
            <v>2930.0849609375</v>
          </cell>
          <cell r="F1063">
            <v>2.9300849609375001</v>
          </cell>
        </row>
        <row r="1064">
          <cell r="A1064">
            <v>45475</v>
          </cell>
          <cell r="B1064">
            <v>2924.992919921875</v>
          </cell>
          <cell r="C1064">
            <v>2930.541015625</v>
          </cell>
          <cell r="D1064">
            <v>2887.537109375</v>
          </cell>
          <cell r="E1064">
            <v>2895.013916015625</v>
          </cell>
          <cell r="F1064">
            <v>2.8950139160156252</v>
          </cell>
        </row>
        <row r="1065">
          <cell r="A1065">
            <v>45476</v>
          </cell>
          <cell r="B1065">
            <v>2896.447998046875</v>
          </cell>
          <cell r="C1065">
            <v>2906.90087890625</v>
          </cell>
          <cell r="D1065">
            <v>2872.080078125</v>
          </cell>
          <cell r="E1065">
            <v>2885.1650390625</v>
          </cell>
          <cell r="F1065">
            <v>2.8851650390625001</v>
          </cell>
        </row>
        <row r="1066">
          <cell r="A1066">
            <v>45477</v>
          </cell>
          <cell r="B1066">
            <v>2892.243896484375</v>
          </cell>
          <cell r="C1066">
            <v>2916.1708984375</v>
          </cell>
          <cell r="D1066">
            <v>2872.384033203125</v>
          </cell>
          <cell r="E1066">
            <v>2872.68798828125</v>
          </cell>
          <cell r="F1066">
            <v>2.8726879882812502</v>
          </cell>
        </row>
        <row r="1067">
          <cell r="A1067">
            <v>45478</v>
          </cell>
          <cell r="B1067">
            <v>2871.64599609375</v>
          </cell>
          <cell r="C1067">
            <v>2880.2900390625</v>
          </cell>
          <cell r="D1067">
            <v>2832.2529296875</v>
          </cell>
          <cell r="E1067">
            <v>2871.156982421875</v>
          </cell>
          <cell r="F1067">
            <v>2.871156982421875</v>
          </cell>
        </row>
        <row r="1068">
          <cell r="A1068">
            <v>45481</v>
          </cell>
          <cell r="B1068">
            <v>2863.947021484375</v>
          </cell>
          <cell r="C1068">
            <v>2868.049072265625</v>
          </cell>
          <cell r="D1068">
            <v>2832.672119140625</v>
          </cell>
          <cell r="E1068">
            <v>2839.866943359375</v>
          </cell>
          <cell r="F1068">
            <v>2.8398669433593748</v>
          </cell>
        </row>
        <row r="1069">
          <cell r="A1069">
            <v>45482</v>
          </cell>
          <cell r="B1069">
            <v>2835.056884765625</v>
          </cell>
          <cell r="C1069">
            <v>2903.197998046875</v>
          </cell>
          <cell r="D1069">
            <v>2830.73095703125</v>
          </cell>
          <cell r="E1069">
            <v>2893.847900390625</v>
          </cell>
          <cell r="F1069">
            <v>2.8938479003906248</v>
          </cell>
        </row>
        <row r="1070">
          <cell r="A1070">
            <v>45483</v>
          </cell>
          <cell r="B1070">
            <v>2887.2041015625</v>
          </cell>
          <cell r="C1070">
            <v>2916.324951171875</v>
          </cell>
          <cell r="D1070">
            <v>2885.340087890625</v>
          </cell>
          <cell r="E1070">
            <v>2895.010986328125</v>
          </cell>
          <cell r="F1070">
            <v>2.895010986328125</v>
          </cell>
        </row>
        <row r="1071">
          <cell r="A1071">
            <v>45484</v>
          </cell>
          <cell r="B1071">
            <v>2927.294921875</v>
          </cell>
          <cell r="C1071">
            <v>2955.9580078125</v>
          </cell>
          <cell r="D1071">
            <v>2908.662109375</v>
          </cell>
          <cell r="E1071">
            <v>2944.01708984375</v>
          </cell>
          <cell r="F1071">
            <v>2.9440170898437499</v>
          </cell>
        </row>
        <row r="1072">
          <cell r="A1072">
            <v>45485</v>
          </cell>
          <cell r="B1072">
            <v>2930.81494140625</v>
          </cell>
          <cell r="C1072">
            <v>2961.447998046875</v>
          </cell>
          <cell r="D1072">
            <v>2921.6630859375</v>
          </cell>
          <cell r="E1072">
            <v>2949.657958984375</v>
          </cell>
          <cell r="F1072">
            <v>2.9496579589843752</v>
          </cell>
        </row>
        <row r="1073">
          <cell r="A1073">
            <v>45488</v>
          </cell>
          <cell r="B1073">
            <v>2939.2080078125</v>
          </cell>
          <cell r="C1073">
            <v>2943.74609375</v>
          </cell>
          <cell r="D1073">
            <v>2922.346923828125</v>
          </cell>
          <cell r="E1073">
            <v>2929.291015625</v>
          </cell>
          <cell r="F1073">
            <v>2.929291015625</v>
          </cell>
        </row>
        <row r="1074">
          <cell r="A1074">
            <v>45489</v>
          </cell>
          <cell r="B1074">
            <v>2924.041015625</v>
          </cell>
          <cell r="C1074">
            <v>2969.137939453125</v>
          </cell>
          <cell r="D1074">
            <v>2921.93603515625</v>
          </cell>
          <cell r="E1074">
            <v>2967.697998046875</v>
          </cell>
          <cell r="F1074">
            <v>2.9676979980468752</v>
          </cell>
        </row>
        <row r="1075">
          <cell r="A1075">
            <v>45490</v>
          </cell>
          <cell r="B1075">
            <v>2960.7890625</v>
          </cell>
          <cell r="C1075">
            <v>2972.111083984375</v>
          </cell>
          <cell r="D1075">
            <v>2941.509033203125</v>
          </cell>
          <cell r="E1075">
            <v>2955.529052734375</v>
          </cell>
          <cell r="F1075">
            <v>2.9555290527343749</v>
          </cell>
        </row>
        <row r="1076">
          <cell r="A1076">
            <v>45491</v>
          </cell>
          <cell r="B1076">
            <v>2926.531982421875</v>
          </cell>
          <cell r="C1076">
            <v>2979.866943359375</v>
          </cell>
          <cell r="D1076">
            <v>2924.6689453125</v>
          </cell>
          <cell r="E1076">
            <v>2978.8291015625</v>
          </cell>
          <cell r="F1076">
            <v>2.9788291015624999</v>
          </cell>
        </row>
        <row r="1077">
          <cell r="A1077">
            <v>45492</v>
          </cell>
          <cell r="B1077">
            <v>2960.64599609375</v>
          </cell>
          <cell r="C1077">
            <v>3000.529052734375</v>
          </cell>
          <cell r="D1077">
            <v>2959.422119140625</v>
          </cell>
          <cell r="E1077">
            <v>2988.573974609375</v>
          </cell>
          <cell r="F1077">
            <v>2.9885739746093751</v>
          </cell>
        </row>
        <row r="1078">
          <cell r="A1078">
            <v>45495</v>
          </cell>
          <cell r="B1078">
            <v>2990.76708984375</v>
          </cell>
          <cell r="C1078">
            <v>3000.65087890625</v>
          </cell>
          <cell r="D1078">
            <v>2967.1708984375</v>
          </cell>
          <cell r="E1078">
            <v>2982.412109375</v>
          </cell>
          <cell r="F1078">
            <v>2.9824121093749998</v>
          </cell>
        </row>
        <row r="1079">
          <cell r="A1079">
            <v>45496</v>
          </cell>
          <cell r="B1079">
            <v>2979.830078125</v>
          </cell>
          <cell r="C1079">
            <v>2979.830078125</v>
          </cell>
          <cell r="D1079">
            <v>2893.528076171875</v>
          </cell>
          <cell r="E1079">
            <v>2893.528076171875</v>
          </cell>
          <cell r="F1079">
            <v>2.8935280761718749</v>
          </cell>
        </row>
        <row r="1080">
          <cell r="A1080">
            <v>45497</v>
          </cell>
          <cell r="B1080">
            <v>2885.43603515625</v>
          </cell>
          <cell r="C1080">
            <v>2905.611083984375</v>
          </cell>
          <cell r="D1080">
            <v>2841.180908203125</v>
          </cell>
          <cell r="E1080">
            <v>2851.114013671875</v>
          </cell>
          <cell r="F1080">
            <v>2.8511140136718751</v>
          </cell>
        </row>
        <row r="1081">
          <cell r="A1081">
            <v>45498</v>
          </cell>
          <cell r="B1081">
            <v>2834.637939453125</v>
          </cell>
          <cell r="C1081">
            <v>2859.011962890625</v>
          </cell>
          <cell r="D1081">
            <v>2827.14794921875</v>
          </cell>
          <cell r="E1081">
            <v>2844.363037109375</v>
          </cell>
          <cell r="F1081">
            <v>2.8443630371093751</v>
          </cell>
        </row>
        <row r="1082">
          <cell r="A1082">
            <v>45499</v>
          </cell>
          <cell r="B1082">
            <v>2867.221923828125</v>
          </cell>
          <cell r="C1082">
            <v>2899.656982421875</v>
          </cell>
          <cell r="D1082">
            <v>2863.861083984375</v>
          </cell>
          <cell r="E1082">
            <v>2895.166015625</v>
          </cell>
          <cell r="F1082">
            <v>2.8951660156250001</v>
          </cell>
        </row>
        <row r="1083">
          <cell r="A1083">
            <v>45502</v>
          </cell>
          <cell r="B1083">
            <v>2889.095947265625</v>
          </cell>
          <cell r="C1083">
            <v>2889.095947265625</v>
          </cell>
          <cell r="D1083">
            <v>2858.155029296875</v>
          </cell>
          <cell r="E1083">
            <v>2860.531005859375</v>
          </cell>
          <cell r="F1083">
            <v>2.8605310058593751</v>
          </cell>
        </row>
        <row r="1084">
          <cell r="A1084">
            <v>45503</v>
          </cell>
          <cell r="B1084">
            <v>2848.550048828125</v>
          </cell>
          <cell r="C1084">
            <v>2850.657958984375</v>
          </cell>
          <cell r="D1084">
            <v>2818.60693359375</v>
          </cell>
          <cell r="E1084">
            <v>2833.31494140625</v>
          </cell>
          <cell r="F1084">
            <v>2.83331494140625</v>
          </cell>
        </row>
        <row r="1085">
          <cell r="A1085">
            <v>45504</v>
          </cell>
          <cell r="B1085">
            <v>2821.012939453125</v>
          </cell>
          <cell r="C1085">
            <v>2917.166015625</v>
          </cell>
          <cell r="D1085">
            <v>2821.012939453125</v>
          </cell>
          <cell r="E1085">
            <v>2916.238037109375</v>
          </cell>
          <cell r="F1085">
            <v>2.916238037109375</v>
          </cell>
        </row>
        <row r="1086">
          <cell r="A1086">
            <v>45505</v>
          </cell>
          <cell r="B1086">
            <v>2920.60107421875</v>
          </cell>
          <cell r="C1086">
            <v>2925.60302734375</v>
          </cell>
          <cell r="D1086">
            <v>2881.404052734375</v>
          </cell>
          <cell r="E1086">
            <v>2885.322998046875</v>
          </cell>
          <cell r="F1086">
            <v>2.8853229980468749</v>
          </cell>
        </row>
        <row r="1087">
          <cell r="A1087">
            <v>45506</v>
          </cell>
          <cell r="B1087">
            <v>2858.3330078125</v>
          </cell>
          <cell r="C1087">
            <v>2889.94091796875</v>
          </cell>
          <cell r="D1087">
            <v>2836.751953125</v>
          </cell>
          <cell r="E1087">
            <v>2840.096923828125</v>
          </cell>
          <cell r="F1087">
            <v>2.8400969238281251</v>
          </cell>
        </row>
        <row r="1088">
          <cell r="A1088">
            <v>45509</v>
          </cell>
          <cell r="B1088">
            <v>2806.3779296875</v>
          </cell>
          <cell r="C1088">
            <v>2863.573974609375</v>
          </cell>
          <cell r="D1088">
            <v>2780.44189453125</v>
          </cell>
          <cell r="E1088">
            <v>2780.44189453125</v>
          </cell>
          <cell r="F1088">
            <v>2.7804418945312501</v>
          </cell>
        </row>
        <row r="1089">
          <cell r="A1089">
            <v>45510</v>
          </cell>
          <cell r="B1089">
            <v>2809.888916015625</v>
          </cell>
          <cell r="C1089">
            <v>2822.7041015625</v>
          </cell>
          <cell r="D1089">
            <v>2770.85400390625</v>
          </cell>
          <cell r="E1089">
            <v>2793.99609375</v>
          </cell>
          <cell r="F1089">
            <v>2.7939960937500001</v>
          </cell>
        </row>
        <row r="1090">
          <cell r="A1090">
            <v>45511</v>
          </cell>
          <cell r="B1090">
            <v>2789.427001953125</v>
          </cell>
          <cell r="C1090">
            <v>2808.6298828125</v>
          </cell>
          <cell r="D1090">
            <v>2777.47509765625</v>
          </cell>
          <cell r="E1090">
            <v>2788.714111328125</v>
          </cell>
          <cell r="F1090">
            <v>2.7887141113281251</v>
          </cell>
        </row>
        <row r="1091">
          <cell r="A1091">
            <v>45512</v>
          </cell>
          <cell r="B1091">
            <v>2775.678955078125</v>
          </cell>
          <cell r="C1091">
            <v>2804.77197265625</v>
          </cell>
          <cell r="D1091">
            <v>2756.705078125</v>
          </cell>
          <cell r="E1091">
            <v>2782.985107421875</v>
          </cell>
          <cell r="F1091">
            <v>2.782985107421875</v>
          </cell>
        </row>
        <row r="1092">
          <cell r="A1092">
            <v>45513</v>
          </cell>
          <cell r="B1092">
            <v>2796.48193359375</v>
          </cell>
          <cell r="C1092">
            <v>2813.612060546875</v>
          </cell>
          <cell r="D1092">
            <v>2767.5</v>
          </cell>
          <cell r="E1092">
            <v>2767.5</v>
          </cell>
          <cell r="F1092">
            <v>2.7675000000000001</v>
          </cell>
        </row>
        <row r="1093">
          <cell r="A1093">
            <v>45516</v>
          </cell>
          <cell r="B1093">
            <v>2766.75390625</v>
          </cell>
          <cell r="C1093">
            <v>2779.156982421875</v>
          </cell>
          <cell r="D1093">
            <v>2757.343994140625</v>
          </cell>
          <cell r="E1093">
            <v>2762.824951171875</v>
          </cell>
          <cell r="F1093">
            <v>2.7628249511718752</v>
          </cell>
        </row>
        <row r="1094">
          <cell r="A1094">
            <v>45517</v>
          </cell>
          <cell r="B1094">
            <v>2761.5048828125</v>
          </cell>
          <cell r="C1094">
            <v>2777.152099609375</v>
          </cell>
          <cell r="D1094">
            <v>2748.782958984375</v>
          </cell>
          <cell r="E1094">
            <v>2776.81298828125</v>
          </cell>
          <cell r="F1094">
            <v>2.7768129882812498</v>
          </cell>
        </row>
        <row r="1095">
          <cell r="A1095">
            <v>45518</v>
          </cell>
          <cell r="B1095">
            <v>2774.986083984375</v>
          </cell>
          <cell r="C1095">
            <v>2775.013916015625</v>
          </cell>
          <cell r="D1095">
            <v>2744.904052734375</v>
          </cell>
          <cell r="E1095">
            <v>2744.904052734375</v>
          </cell>
          <cell r="F1095">
            <v>2.7449040527343751</v>
          </cell>
        </row>
        <row r="1096">
          <cell r="A1096">
            <v>45519</v>
          </cell>
          <cell r="B1096">
            <v>2738.8359375</v>
          </cell>
          <cell r="C1096">
            <v>2781.907958984375</v>
          </cell>
          <cell r="D1096">
            <v>2736.988037109375</v>
          </cell>
          <cell r="E1096">
            <v>2761.446044921875</v>
          </cell>
          <cell r="F1096">
            <v>2.761446044921875</v>
          </cell>
        </row>
        <row r="1097">
          <cell r="A1097">
            <v>45520</v>
          </cell>
          <cell r="B1097">
            <v>2764.2880859375</v>
          </cell>
          <cell r="C1097">
            <v>2781.7529296875</v>
          </cell>
          <cell r="D1097">
            <v>2757.801025390625</v>
          </cell>
          <cell r="E1097">
            <v>2766.10302734375</v>
          </cell>
          <cell r="F1097">
            <v>2.7661030273437501</v>
          </cell>
        </row>
        <row r="1098">
          <cell r="A1098">
            <v>45523</v>
          </cell>
          <cell r="B1098">
            <v>2764.60693359375</v>
          </cell>
          <cell r="C1098">
            <v>2797.076904296875</v>
          </cell>
          <cell r="D1098">
            <v>2763.52587890625</v>
          </cell>
          <cell r="E1098">
            <v>2765.287109375</v>
          </cell>
          <cell r="F1098">
            <v>2.765287109375</v>
          </cell>
        </row>
        <row r="1099">
          <cell r="A1099">
            <v>45524</v>
          </cell>
          <cell r="B1099">
            <v>2770.198974609375</v>
          </cell>
          <cell r="C1099">
            <v>2771.176025390625</v>
          </cell>
          <cell r="D1099">
            <v>2734.720947265625</v>
          </cell>
          <cell r="E1099">
            <v>2741.841064453125</v>
          </cell>
          <cell r="F1099">
            <v>2.741841064453125</v>
          </cell>
        </row>
        <row r="1100">
          <cell r="A1100">
            <v>45525</v>
          </cell>
          <cell r="B1100">
            <v>2729.340087890625</v>
          </cell>
          <cell r="C1100">
            <v>2767.06591796875</v>
          </cell>
          <cell r="D1100">
            <v>2726.926025390625</v>
          </cell>
          <cell r="E1100">
            <v>2742.387939453125</v>
          </cell>
          <cell r="F1100">
            <v>2.742387939453125</v>
          </cell>
        </row>
        <row r="1101">
          <cell r="A1101">
            <v>45526</v>
          </cell>
          <cell r="B1101">
            <v>2744.89990234375</v>
          </cell>
          <cell r="C1101">
            <v>2749.52294921875</v>
          </cell>
          <cell r="D1101">
            <v>2722.799072265625</v>
          </cell>
          <cell r="E1101">
            <v>2730.277099609375</v>
          </cell>
          <cell r="F1101">
            <v>2.730277099609375</v>
          </cell>
        </row>
        <row r="1102">
          <cell r="A1102">
            <v>45527</v>
          </cell>
          <cell r="B1102">
            <v>2721.14111328125</v>
          </cell>
          <cell r="C1102">
            <v>2752.7041015625</v>
          </cell>
          <cell r="D1102">
            <v>2720.37109375</v>
          </cell>
          <cell r="E1102">
            <v>2744.9970703125</v>
          </cell>
          <cell r="F1102">
            <v>2.7449970703125</v>
          </cell>
        </row>
        <row r="1103">
          <cell r="A1103">
            <v>45530</v>
          </cell>
          <cell r="B1103">
            <v>2753.85791015625</v>
          </cell>
          <cell r="C1103">
            <v>2763.549072265625</v>
          </cell>
          <cell r="D1103">
            <v>2740.719970703125</v>
          </cell>
          <cell r="E1103">
            <v>2750.193115234375</v>
          </cell>
          <cell r="F1103">
            <v>2.7501931152343748</v>
          </cell>
        </row>
        <row r="1104">
          <cell r="A1104">
            <v>45531</v>
          </cell>
          <cell r="B1104">
            <v>2734.64990234375</v>
          </cell>
          <cell r="C1104">
            <v>2740.221923828125</v>
          </cell>
          <cell r="D1104">
            <v>2718.27197265625</v>
          </cell>
          <cell r="E1104">
            <v>2724.10888671875</v>
          </cell>
          <cell r="F1104">
            <v>2.7241088867187502</v>
          </cell>
        </row>
        <row r="1105">
          <cell r="A1105">
            <v>45532</v>
          </cell>
          <cell r="B1105">
            <v>2718.905029296875</v>
          </cell>
          <cell r="C1105">
            <v>2731.173095703125</v>
          </cell>
          <cell r="D1105">
            <v>2701.193115234375</v>
          </cell>
          <cell r="E1105">
            <v>2716.98388671875</v>
          </cell>
          <cell r="F1105">
            <v>2.7169838867187499</v>
          </cell>
        </row>
        <row r="1106">
          <cell r="A1106">
            <v>45533</v>
          </cell>
          <cell r="B1106">
            <v>2687.672119140625</v>
          </cell>
          <cell r="C1106">
            <v>2744.69189453125</v>
          </cell>
          <cell r="D1106">
            <v>2687.672119140625</v>
          </cell>
          <cell r="E1106">
            <v>2726.77587890625</v>
          </cell>
          <cell r="F1106">
            <v>2.72677587890625</v>
          </cell>
        </row>
        <row r="1107">
          <cell r="A1107">
            <v>45534</v>
          </cell>
          <cell r="B1107">
            <v>2732.493896484375</v>
          </cell>
          <cell r="C1107">
            <v>2837.412109375</v>
          </cell>
          <cell r="D1107">
            <v>2732.493896484375</v>
          </cell>
          <cell r="E1107">
            <v>2803.162109375</v>
          </cell>
          <cell r="F1107">
            <v>2.8031621093750001</v>
          </cell>
        </row>
        <row r="1108">
          <cell r="A1108">
            <v>45537</v>
          </cell>
          <cell r="B1108">
            <v>2797.7958984375</v>
          </cell>
          <cell r="C1108">
            <v>2806.98095703125</v>
          </cell>
          <cell r="D1108">
            <v>2742.239990234375</v>
          </cell>
          <cell r="E1108">
            <v>2743.0869140625</v>
          </cell>
          <cell r="F1108">
            <v>2.7430869140624998</v>
          </cell>
        </row>
        <row r="1109">
          <cell r="A1109">
            <v>45538</v>
          </cell>
          <cell r="B1109">
            <v>2736.6669921875</v>
          </cell>
          <cell r="C1109">
            <v>2789.407958984375</v>
          </cell>
          <cell r="D1109">
            <v>2736.6669921875</v>
          </cell>
          <cell r="E1109">
            <v>2783.85693359375</v>
          </cell>
          <cell r="F1109">
            <v>2.78385693359375</v>
          </cell>
        </row>
        <row r="1110">
          <cell r="A1110">
            <v>45539</v>
          </cell>
          <cell r="B1110">
            <v>2762.89111328125</v>
          </cell>
          <cell r="C1110">
            <v>2807.2490234375</v>
          </cell>
          <cell r="D1110">
            <v>2755.43701171875</v>
          </cell>
          <cell r="E1110">
            <v>2781.134033203125</v>
          </cell>
          <cell r="F1110">
            <v>2.7811340332031249</v>
          </cell>
        </row>
        <row r="1111">
          <cell r="A1111">
            <v>45540</v>
          </cell>
          <cell r="B1111">
            <v>2778.7119140625</v>
          </cell>
          <cell r="C1111">
            <v>2802.906982421875</v>
          </cell>
          <cell r="D1111">
            <v>2778.06298828125</v>
          </cell>
          <cell r="E1111">
            <v>2784.19091796875</v>
          </cell>
          <cell r="F1111">
            <v>2.7841909179687501</v>
          </cell>
        </row>
        <row r="1112">
          <cell r="A1112">
            <v>45541</v>
          </cell>
          <cell r="B1112">
            <v>2781.553955078125</v>
          </cell>
          <cell r="C1112">
            <v>2790.595947265625</v>
          </cell>
          <cell r="D1112">
            <v>2743.093017578125</v>
          </cell>
          <cell r="E1112">
            <v>2743.971923828125</v>
          </cell>
          <cell r="F1112">
            <v>2.7439719238281248</v>
          </cell>
        </row>
        <row r="1113">
          <cell r="A1113">
            <v>45544</v>
          </cell>
          <cell r="B1113">
            <v>2720.388916015625</v>
          </cell>
          <cell r="C1113">
            <v>2753.1240234375</v>
          </cell>
          <cell r="D1113">
            <v>2706.2509765625</v>
          </cell>
          <cell r="E1113">
            <v>2722.160888671875</v>
          </cell>
          <cell r="F1113">
            <v>2.7221608886718749</v>
          </cell>
        </row>
        <row r="1114">
          <cell r="A1114">
            <v>45545</v>
          </cell>
          <cell r="B1114">
            <v>2723.12109375</v>
          </cell>
          <cell r="C1114">
            <v>2748.325927734375</v>
          </cell>
          <cell r="D1114">
            <v>2707.428955078125</v>
          </cell>
          <cell r="E1114">
            <v>2732.180908203125</v>
          </cell>
          <cell r="F1114">
            <v>2.7321809082031252</v>
          </cell>
        </row>
        <row r="1115">
          <cell r="A1115">
            <v>45546</v>
          </cell>
          <cell r="B1115">
            <v>2731.0029296875</v>
          </cell>
          <cell r="C1115">
            <v>2773.006103515625</v>
          </cell>
          <cell r="D1115">
            <v>2720.423095703125</v>
          </cell>
          <cell r="E1115">
            <v>2762.73388671875</v>
          </cell>
          <cell r="F1115">
            <v>2.7627338867187499</v>
          </cell>
        </row>
        <row r="1116">
          <cell r="A1116">
            <v>45547</v>
          </cell>
          <cell r="B1116">
            <v>2775.547119140625</v>
          </cell>
          <cell r="C1116">
            <v>2790.570068359375</v>
          </cell>
          <cell r="D1116">
            <v>2751.341064453125</v>
          </cell>
          <cell r="E1116">
            <v>2751.992919921875</v>
          </cell>
          <cell r="F1116">
            <v>2.7519929199218751</v>
          </cell>
        </row>
        <row r="1117">
          <cell r="A1117">
            <v>45548</v>
          </cell>
          <cell r="B1117">
            <v>2750.132080078125</v>
          </cell>
          <cell r="C1117">
            <v>2764.319091796875</v>
          </cell>
          <cell r="D1117">
            <v>2730.653076171875</v>
          </cell>
          <cell r="E1117">
            <v>2730.653076171875</v>
          </cell>
          <cell r="F1117">
            <v>2.7306530761718748</v>
          </cell>
        </row>
        <row r="1118">
          <cell r="A1118">
            <v>45553</v>
          </cell>
          <cell r="B1118">
            <v>2730.29296875</v>
          </cell>
          <cell r="C1118">
            <v>2759.8291015625</v>
          </cell>
          <cell r="D1118">
            <v>2724.537109375</v>
          </cell>
          <cell r="E1118">
            <v>2748.9140625</v>
          </cell>
          <cell r="F1118">
            <v>2.7489140624999999</v>
          </cell>
        </row>
        <row r="1119">
          <cell r="A1119">
            <v>45554</v>
          </cell>
          <cell r="B1119">
            <v>2747.26708984375</v>
          </cell>
          <cell r="C1119">
            <v>2781.590087890625</v>
          </cell>
          <cell r="D1119">
            <v>2723.4169921875</v>
          </cell>
          <cell r="E1119">
            <v>2758.3740234375</v>
          </cell>
          <cell r="F1119">
            <v>2.7583740234374998</v>
          </cell>
        </row>
        <row r="1120">
          <cell r="A1120">
            <v>45555</v>
          </cell>
          <cell r="B1120">
            <v>2759.221923828125</v>
          </cell>
          <cell r="C1120">
            <v>2766.8359375</v>
          </cell>
          <cell r="D1120">
            <v>2735.199951171875</v>
          </cell>
          <cell r="E1120">
            <v>2756.928955078125</v>
          </cell>
          <cell r="F1120">
            <v>2.7569289550781249</v>
          </cell>
        </row>
        <row r="1121">
          <cell r="A1121">
            <v>45558</v>
          </cell>
          <cell r="B1121">
            <v>2760.385986328125</v>
          </cell>
          <cell r="C1121">
            <v>2786.89599609375</v>
          </cell>
          <cell r="D1121">
            <v>2751.25390625</v>
          </cell>
          <cell r="E1121">
            <v>2757.943115234375</v>
          </cell>
          <cell r="F1121">
            <v>2.757943115234375</v>
          </cell>
        </row>
        <row r="1122">
          <cell r="A1122">
            <v>45559</v>
          </cell>
          <cell r="B1122">
            <v>2779.85595703125</v>
          </cell>
          <cell r="C1122">
            <v>2857.696044921875</v>
          </cell>
          <cell r="D1122">
            <v>2746.22607421875</v>
          </cell>
          <cell r="E1122">
            <v>2856.64306640625</v>
          </cell>
          <cell r="F1122">
            <v>2.8566430664062499</v>
          </cell>
        </row>
        <row r="1123">
          <cell r="A1123">
            <v>45560</v>
          </cell>
          <cell r="B1123">
            <v>2908.736083984375</v>
          </cell>
          <cell r="C1123">
            <v>2968.89306640625</v>
          </cell>
          <cell r="D1123">
            <v>2905.0830078125</v>
          </cell>
          <cell r="E1123">
            <v>2906.970947265625</v>
          </cell>
          <cell r="F1123">
            <v>2.9069709472656249</v>
          </cell>
        </row>
        <row r="1124">
          <cell r="A1124">
            <v>45561</v>
          </cell>
          <cell r="B1124">
            <v>2906.35400390625</v>
          </cell>
          <cell r="C1124">
            <v>3004.419921875</v>
          </cell>
          <cell r="D1124">
            <v>2887.10498046875</v>
          </cell>
          <cell r="E1124">
            <v>3001.659912109375</v>
          </cell>
          <cell r="F1124">
            <v>3.0016599121093752</v>
          </cell>
        </row>
        <row r="1125">
          <cell r="A1125">
            <v>45562</v>
          </cell>
          <cell r="B1125">
            <v>3056.492919921875</v>
          </cell>
          <cell r="C1125">
            <v>3259.169921875</v>
          </cell>
          <cell r="D1125">
            <v>3056.492919921875</v>
          </cell>
          <cell r="E1125">
            <v>3204.8359375</v>
          </cell>
          <cell r="F1125">
            <v>3.2048359375</v>
          </cell>
        </row>
        <row r="1126">
          <cell r="A1126">
            <v>45565</v>
          </cell>
          <cell r="B1126">
            <v>3322.64990234375</v>
          </cell>
          <cell r="C1126">
            <v>3566.9951171875</v>
          </cell>
          <cell r="D1126">
            <v>3285.43896484375</v>
          </cell>
          <cell r="E1126">
            <v>3553.306884765625</v>
          </cell>
          <cell r="F1126">
            <v>3.5533068847656248</v>
          </cell>
        </row>
        <row r="1127">
          <cell r="A1127">
            <v>45573</v>
          </cell>
          <cell r="B1127">
            <v>4059.888916015625</v>
          </cell>
          <cell r="C1127">
            <v>4059.888916015625</v>
          </cell>
          <cell r="D1127">
            <v>3720.23388671875</v>
          </cell>
          <cell r="E1127">
            <v>3991.41796875</v>
          </cell>
          <cell r="F1127">
            <v>3.99141796875</v>
          </cell>
        </row>
        <row r="1128">
          <cell r="A1128">
            <v>45574</v>
          </cell>
          <cell r="B1128">
            <v>3855.410888671875</v>
          </cell>
          <cell r="C1128">
            <v>3903.0439453125</v>
          </cell>
          <cell r="D1128">
            <v>3612.471923828125</v>
          </cell>
          <cell r="E1128">
            <v>3636.134033203125</v>
          </cell>
          <cell r="F1128">
            <v>3.6361340332031249</v>
          </cell>
        </row>
        <row r="1129">
          <cell r="A1129">
            <v>45575</v>
          </cell>
          <cell r="B1129">
            <v>3663.95703125</v>
          </cell>
          <cell r="C1129">
            <v>3738.9560546875</v>
          </cell>
          <cell r="D1129">
            <v>3563.97900390625</v>
          </cell>
          <cell r="E1129">
            <v>3627.821044921875</v>
          </cell>
          <cell r="F1129">
            <v>3.6278210449218751</v>
          </cell>
        </row>
        <row r="1130">
          <cell r="A1130">
            <v>45576</v>
          </cell>
          <cell r="B1130">
            <v>3592.758056640625</v>
          </cell>
          <cell r="C1130">
            <v>3593.77587890625</v>
          </cell>
          <cell r="D1130">
            <v>3406.987060546875</v>
          </cell>
          <cell r="E1130">
            <v>3451.85205078125</v>
          </cell>
          <cell r="F1130">
            <v>3.45185205078125</v>
          </cell>
        </row>
        <row r="1131">
          <cell r="A1131">
            <v>45579</v>
          </cell>
          <cell r="B1131">
            <v>3478.7041015625</v>
          </cell>
          <cell r="C1131">
            <v>3550.931884765625</v>
          </cell>
          <cell r="D1131">
            <v>3429.55810546875</v>
          </cell>
          <cell r="E1131">
            <v>3539.8330078125</v>
          </cell>
          <cell r="F1131">
            <v>3.5398330078125002</v>
          </cell>
        </row>
        <row r="1132">
          <cell r="A1132">
            <v>45580</v>
          </cell>
          <cell r="B1132">
            <v>3535.862060546875</v>
          </cell>
          <cell r="C1132">
            <v>3575.62890625</v>
          </cell>
          <cell r="D1132">
            <v>3449.25</v>
          </cell>
          <cell r="E1132">
            <v>3449.25</v>
          </cell>
          <cell r="F1132">
            <v>3.4492500000000001</v>
          </cell>
        </row>
        <row r="1133">
          <cell r="A1133">
            <v>45581</v>
          </cell>
          <cell r="B1133">
            <v>3383.7490234375</v>
          </cell>
          <cell r="C1133">
            <v>3422.6630859375</v>
          </cell>
          <cell r="D1133">
            <v>3349.10400390625</v>
          </cell>
          <cell r="E1133">
            <v>3372.31689453125</v>
          </cell>
          <cell r="F1133">
            <v>3.3723168945312501</v>
          </cell>
        </row>
        <row r="1134">
          <cell r="A1134">
            <v>45582</v>
          </cell>
          <cell r="B1134">
            <v>3395.988037109375</v>
          </cell>
          <cell r="C1134">
            <v>3434.3310546875</v>
          </cell>
          <cell r="D1134">
            <v>3358.762939453125</v>
          </cell>
          <cell r="E1134">
            <v>3361.135009765625</v>
          </cell>
          <cell r="F1134">
            <v>3.3611350097656252</v>
          </cell>
        </row>
        <row r="1135">
          <cell r="A1135">
            <v>45583</v>
          </cell>
          <cell r="B1135">
            <v>3357.652099609375</v>
          </cell>
          <cell r="C1135">
            <v>3650.297119140625</v>
          </cell>
          <cell r="D1135">
            <v>3357.181884765625</v>
          </cell>
          <cell r="E1135">
            <v>3558.81396484375</v>
          </cell>
          <cell r="F1135">
            <v>3.55881396484375</v>
          </cell>
        </row>
        <row r="1136">
          <cell r="A1136">
            <v>45586</v>
          </cell>
          <cell r="B1136">
            <v>3622.6669921875</v>
          </cell>
          <cell r="C1136">
            <v>3684.324951171875</v>
          </cell>
          <cell r="D1136">
            <v>3573.97900390625</v>
          </cell>
          <cell r="E1136">
            <v>3610.39599609375</v>
          </cell>
          <cell r="F1136">
            <v>3.6103959960937502</v>
          </cell>
        </row>
        <row r="1137">
          <cell r="A1137">
            <v>45587</v>
          </cell>
          <cell r="B1137">
            <v>3604.071044921875</v>
          </cell>
          <cell r="C1137">
            <v>3632.56201171875</v>
          </cell>
          <cell r="D1137">
            <v>3569.25390625</v>
          </cell>
          <cell r="E1137">
            <v>3613.6630859375</v>
          </cell>
          <cell r="F1137">
            <v>3.6136630859375001</v>
          </cell>
        </row>
        <row r="1138">
          <cell r="A1138">
            <v>45588</v>
          </cell>
          <cell r="B1138">
            <v>3593.73291015625</v>
          </cell>
          <cell r="C1138">
            <v>3666.722900390625</v>
          </cell>
          <cell r="D1138">
            <v>3579.74609375</v>
          </cell>
          <cell r="E1138">
            <v>3613.864990234375</v>
          </cell>
          <cell r="F1138">
            <v>3.6138649902343749</v>
          </cell>
        </row>
        <row r="1139">
          <cell r="A1139">
            <v>45589</v>
          </cell>
          <cell r="B1139">
            <v>3603.083984375</v>
          </cell>
          <cell r="C1139">
            <v>3612.257080078125</v>
          </cell>
          <cell r="D1139">
            <v>3558.7880859375</v>
          </cell>
          <cell r="E1139">
            <v>3568.739990234375</v>
          </cell>
          <cell r="F1139">
            <v>3.5687399902343748</v>
          </cell>
        </row>
        <row r="1140">
          <cell r="A1140">
            <v>45590</v>
          </cell>
          <cell r="B1140">
            <v>3594.0869140625</v>
          </cell>
          <cell r="C1140">
            <v>3683.802001953125</v>
          </cell>
          <cell r="D1140">
            <v>3572.2109375</v>
          </cell>
          <cell r="E1140">
            <v>3636.6220703125</v>
          </cell>
          <cell r="F1140">
            <v>3.6366220703124998</v>
          </cell>
        </row>
        <row r="1141">
          <cell r="A1141">
            <v>45593</v>
          </cell>
          <cell r="B1141">
            <v>3629.0791015625</v>
          </cell>
          <cell r="C1141">
            <v>3629.0791015625</v>
          </cell>
          <cell r="D1141">
            <v>3576.760009765625</v>
          </cell>
          <cell r="E1141">
            <v>3628.493896484375</v>
          </cell>
          <cell r="F1141">
            <v>3.6284938964843749</v>
          </cell>
        </row>
        <row r="1142">
          <cell r="A1142">
            <v>45594</v>
          </cell>
          <cell r="B1142">
            <v>3633.33203125</v>
          </cell>
          <cell r="C1142">
            <v>3649.406982421875</v>
          </cell>
          <cell r="D1142">
            <v>3582.97509765625</v>
          </cell>
          <cell r="E1142">
            <v>3585.262939453125</v>
          </cell>
          <cell r="F1142">
            <v>3.5852629394531248</v>
          </cell>
        </row>
        <row r="1143">
          <cell r="A1143">
            <v>45595</v>
          </cell>
          <cell r="B1143">
            <v>3556.594970703125</v>
          </cell>
          <cell r="C1143">
            <v>3596.278076171875</v>
          </cell>
          <cell r="D1143">
            <v>3526.843994140625</v>
          </cell>
          <cell r="E1143">
            <v>3563.194091796875</v>
          </cell>
          <cell r="F1143">
            <v>3.5631940917968752</v>
          </cell>
        </row>
        <row r="1144">
          <cell r="A1144">
            <v>45596</v>
          </cell>
          <cell r="B1144">
            <v>3564.282958984375</v>
          </cell>
          <cell r="C1144">
            <v>3591.116943359375</v>
          </cell>
          <cell r="D1144">
            <v>3524.9150390625</v>
          </cell>
          <cell r="E1144">
            <v>3556.840087890625</v>
          </cell>
          <cell r="F1144">
            <v>3.5568400878906248</v>
          </cell>
        </row>
        <row r="1145">
          <cell r="A1145">
            <v>45597</v>
          </cell>
          <cell r="B1145">
            <v>3550.31689453125</v>
          </cell>
          <cell r="C1145">
            <v>3561.85009765625</v>
          </cell>
          <cell r="D1145">
            <v>3495.881103515625</v>
          </cell>
          <cell r="E1145">
            <v>3503.22705078125</v>
          </cell>
          <cell r="F1145">
            <v>3.5032270507812502</v>
          </cell>
        </row>
        <row r="1146">
          <cell r="A1146">
            <v>45600</v>
          </cell>
          <cell r="B1146">
            <v>3503.1669921875</v>
          </cell>
          <cell r="C1146">
            <v>3585.6650390625</v>
          </cell>
          <cell r="D1146">
            <v>3503.1669921875</v>
          </cell>
          <cell r="E1146">
            <v>3585.47412109375</v>
          </cell>
          <cell r="F1146">
            <v>3.5854741210937502</v>
          </cell>
        </row>
        <row r="1147">
          <cell r="A1147">
            <v>45601</v>
          </cell>
          <cell r="B1147">
            <v>3580.243896484375</v>
          </cell>
          <cell r="C1147">
            <v>3706.033935546875</v>
          </cell>
          <cell r="D1147">
            <v>3566.012939453125</v>
          </cell>
          <cell r="E1147">
            <v>3697.77197265625</v>
          </cell>
          <cell r="F1147">
            <v>3.6977719726562501</v>
          </cell>
        </row>
        <row r="1148">
          <cell r="A1148">
            <v>45602</v>
          </cell>
          <cell r="B1148">
            <v>3700.597900390625</v>
          </cell>
          <cell r="C1148">
            <v>3758.5009765625</v>
          </cell>
          <cell r="D1148">
            <v>3651.095947265625</v>
          </cell>
          <cell r="E1148">
            <v>3678.462890625</v>
          </cell>
          <cell r="F1148">
            <v>3.6784628906250001</v>
          </cell>
        </row>
        <row r="1149">
          <cell r="A1149">
            <v>45603</v>
          </cell>
          <cell r="B1149">
            <v>3647.47998046875</v>
          </cell>
          <cell r="C1149">
            <v>3731.5048828125</v>
          </cell>
          <cell r="D1149">
            <v>3633.08203125</v>
          </cell>
          <cell r="E1149">
            <v>3731.010009765625</v>
          </cell>
          <cell r="F1149">
            <v>3.7310100097656251</v>
          </cell>
        </row>
        <row r="1150">
          <cell r="A1150">
            <v>45604</v>
          </cell>
          <cell r="B1150">
            <v>3782.9990234375</v>
          </cell>
          <cell r="C1150">
            <v>3805.740966796875</v>
          </cell>
          <cell r="D1150">
            <v>3728.362060546875</v>
          </cell>
          <cell r="E1150">
            <v>3737.217041015625</v>
          </cell>
          <cell r="F1150">
            <v>3.7372170410156249</v>
          </cell>
        </row>
        <row r="1151">
          <cell r="A1151">
            <v>45607</v>
          </cell>
          <cell r="B1151">
            <v>3717.968994140625</v>
          </cell>
          <cell r="C1151">
            <v>3865.491943359375</v>
          </cell>
          <cell r="D1151">
            <v>3707.553955078125</v>
          </cell>
          <cell r="E1151">
            <v>3863.041015625</v>
          </cell>
          <cell r="F1151">
            <v>3.8630410156249999</v>
          </cell>
        </row>
        <row r="1152">
          <cell r="A1152">
            <v>45608</v>
          </cell>
          <cell r="B1152">
            <v>3893.302978515625</v>
          </cell>
          <cell r="C1152">
            <v>3942.117919921875</v>
          </cell>
          <cell r="D1152">
            <v>3812.05908203125</v>
          </cell>
          <cell r="E1152">
            <v>3847.10107421875</v>
          </cell>
          <cell r="F1152">
            <v>3.8471010742187501</v>
          </cell>
        </row>
        <row r="1153">
          <cell r="A1153">
            <v>45609</v>
          </cell>
          <cell r="B1153">
            <v>3813.798095703125</v>
          </cell>
          <cell r="C1153">
            <v>3899.85107421875</v>
          </cell>
          <cell r="D1153">
            <v>3795.678955078125</v>
          </cell>
          <cell r="E1153">
            <v>3888.669921875</v>
          </cell>
          <cell r="F1153">
            <v>3.888669921875</v>
          </cell>
        </row>
        <row r="1154">
          <cell r="A1154">
            <v>45610</v>
          </cell>
          <cell r="B1154">
            <v>3883.427978515625</v>
          </cell>
          <cell r="C1154">
            <v>3883.551025390625</v>
          </cell>
          <cell r="D1154">
            <v>3769.553955078125</v>
          </cell>
          <cell r="E1154">
            <v>3776.405029296875</v>
          </cell>
          <cell r="F1154">
            <v>3.7764050292968752</v>
          </cell>
        </row>
        <row r="1155">
          <cell r="A1155">
            <v>45611</v>
          </cell>
          <cell r="B1155">
            <v>3748.080078125</v>
          </cell>
          <cell r="C1155">
            <v>3776.467041015625</v>
          </cell>
          <cell r="D1155">
            <v>3668.2958984375</v>
          </cell>
          <cell r="E1155">
            <v>3668.2958984375</v>
          </cell>
          <cell r="F1155">
            <v>3.6682958984375</v>
          </cell>
        </row>
        <row r="1156">
          <cell r="A1156">
            <v>45614</v>
          </cell>
          <cell r="B1156">
            <v>3668.715087890625</v>
          </cell>
          <cell r="C1156">
            <v>3678.10693359375</v>
          </cell>
          <cell r="D1156">
            <v>3552.652099609375</v>
          </cell>
          <cell r="E1156">
            <v>3576.787109375</v>
          </cell>
          <cell r="F1156">
            <v>3.5767871093750001</v>
          </cell>
        </row>
        <row r="1157">
          <cell r="A1157">
            <v>45615</v>
          </cell>
          <cell r="B1157">
            <v>3580.97509765625</v>
          </cell>
          <cell r="C1157">
            <v>3660.383056640625</v>
          </cell>
          <cell r="D1157">
            <v>3543.72900390625</v>
          </cell>
          <cell r="E1157">
            <v>3654.51611328125</v>
          </cell>
          <cell r="F1157">
            <v>3.6545161132812498</v>
          </cell>
        </row>
        <row r="1158">
          <cell r="A1158">
            <v>45616</v>
          </cell>
          <cell r="B1158">
            <v>3644.827880859375</v>
          </cell>
          <cell r="C1158">
            <v>3697.092041015625</v>
          </cell>
          <cell r="D1158">
            <v>3638.93408203125</v>
          </cell>
          <cell r="E1158">
            <v>3682.0859375</v>
          </cell>
          <cell r="F1158">
            <v>3.6820859375000001</v>
          </cell>
        </row>
        <row r="1159">
          <cell r="A1159">
            <v>45617</v>
          </cell>
          <cell r="B1159">
            <v>3669.535888671875</v>
          </cell>
          <cell r="C1159">
            <v>3694.470947265625</v>
          </cell>
          <cell r="D1159">
            <v>3643.4560546875</v>
          </cell>
          <cell r="E1159">
            <v>3667.54296875</v>
          </cell>
          <cell r="F1159">
            <v>3.6675429687499999</v>
          </cell>
        </row>
        <row r="1160">
          <cell r="A1160">
            <v>45618</v>
          </cell>
          <cell r="B1160">
            <v>3658.556884765625</v>
          </cell>
          <cell r="C1160">
            <v>3687.885986328125</v>
          </cell>
          <cell r="D1160">
            <v>3549.98291015625</v>
          </cell>
          <cell r="E1160">
            <v>3551.125</v>
          </cell>
          <cell r="F1160">
            <v>3.5511249999999999</v>
          </cell>
        </row>
        <row r="1161">
          <cell r="A1161">
            <v>45621</v>
          </cell>
          <cell r="B1161">
            <v>3566.531005859375</v>
          </cell>
          <cell r="C1161">
            <v>3583.346923828125</v>
          </cell>
          <cell r="D1161">
            <v>3496.113037109375</v>
          </cell>
          <cell r="E1161">
            <v>3542.298095703125</v>
          </cell>
          <cell r="F1161">
            <v>3.5422980957031251</v>
          </cell>
        </row>
        <row r="1162">
          <cell r="A1162">
            <v>45622</v>
          </cell>
          <cell r="B1162">
            <v>3523.3349609375</v>
          </cell>
          <cell r="C1162">
            <v>3549.97412109375</v>
          </cell>
          <cell r="D1162">
            <v>3493.01708984375</v>
          </cell>
          <cell r="E1162">
            <v>3495.4951171875</v>
          </cell>
          <cell r="F1162">
            <v>3.4954951171875002</v>
          </cell>
        </row>
        <row r="1163">
          <cell r="A1163">
            <v>45623</v>
          </cell>
          <cell r="B1163">
            <v>3474.52490234375</v>
          </cell>
          <cell r="C1163">
            <v>3561.839111328125</v>
          </cell>
          <cell r="D1163">
            <v>3444.5390625</v>
          </cell>
          <cell r="E1163">
            <v>3561.839111328125</v>
          </cell>
          <cell r="F1163">
            <v>3.5618391113281249</v>
          </cell>
        </row>
        <row r="1164">
          <cell r="A1164">
            <v>45624</v>
          </cell>
          <cell r="B1164">
            <v>3561.52392578125</v>
          </cell>
          <cell r="C1164">
            <v>3561.52392578125</v>
          </cell>
          <cell r="D1164">
            <v>3502.697998046875</v>
          </cell>
          <cell r="E1164">
            <v>3510.43408203125</v>
          </cell>
          <cell r="F1164">
            <v>3.5104340820312498</v>
          </cell>
        </row>
        <row r="1165">
          <cell r="A1165">
            <v>45625</v>
          </cell>
          <cell r="B1165">
            <v>3492.992919921875</v>
          </cell>
          <cell r="C1165">
            <v>3606.385986328125</v>
          </cell>
          <cell r="D1165">
            <v>3492.992919921875</v>
          </cell>
          <cell r="E1165">
            <v>3569.5390625</v>
          </cell>
          <cell r="F1165">
            <v>3.5695390625000001</v>
          </cell>
        </row>
        <row r="1166">
          <cell r="A1166">
            <v>45628</v>
          </cell>
          <cell r="B1166">
            <v>3565.10205078125</v>
          </cell>
          <cell r="C1166">
            <v>3629.222900390625</v>
          </cell>
          <cell r="D1166">
            <v>3556.635009765625</v>
          </cell>
          <cell r="E1166">
            <v>3619.322021484375</v>
          </cell>
          <cell r="F1166">
            <v>3.6193220214843751</v>
          </cell>
        </row>
        <row r="1167">
          <cell r="A1167">
            <v>45629</v>
          </cell>
          <cell r="B1167">
            <v>3617.6640625</v>
          </cell>
          <cell r="C1167">
            <v>3618.4599609375</v>
          </cell>
          <cell r="D1167">
            <v>3563.868896484375</v>
          </cell>
          <cell r="E1167">
            <v>3592.68798828125</v>
          </cell>
          <cell r="F1167">
            <v>3.5926879882812499</v>
          </cell>
        </row>
        <row r="1168">
          <cell r="A1168">
            <v>45630</v>
          </cell>
          <cell r="B1168">
            <v>3589.919921875</v>
          </cell>
          <cell r="C1168">
            <v>3607.925048828125</v>
          </cell>
          <cell r="D1168">
            <v>3559.280029296875</v>
          </cell>
          <cell r="E1168">
            <v>3573.073974609375</v>
          </cell>
          <cell r="F1168">
            <v>3.5730739746093749</v>
          </cell>
        </row>
        <row r="1169">
          <cell r="A1169">
            <v>45631</v>
          </cell>
          <cell r="B1169">
            <v>3559.862060546875</v>
          </cell>
          <cell r="C1169">
            <v>3592.797119140625</v>
          </cell>
          <cell r="D1169">
            <v>3556.514892578125</v>
          </cell>
          <cell r="E1169">
            <v>3570.251953125</v>
          </cell>
          <cell r="F1169">
            <v>3.5702519531250001</v>
          </cell>
        </row>
        <row r="1170">
          <cell r="A1170">
            <v>45632</v>
          </cell>
          <cell r="B1170">
            <v>3577.610107421875</v>
          </cell>
          <cell r="C1170">
            <v>3665.466064453125</v>
          </cell>
          <cell r="D1170">
            <v>3577.610107421875</v>
          </cell>
          <cell r="E1170">
            <v>3643.049072265625</v>
          </cell>
          <cell r="F1170">
            <v>3.643049072265625</v>
          </cell>
        </row>
        <row r="1171">
          <cell r="A1171">
            <v>45635</v>
          </cell>
          <cell r="B1171">
            <v>3635.174072265625</v>
          </cell>
          <cell r="C1171">
            <v>3658.866943359375</v>
          </cell>
          <cell r="D1171">
            <v>3611.431884765625</v>
          </cell>
          <cell r="E1171">
            <v>3634.50390625</v>
          </cell>
          <cell r="F1171">
            <v>3.63450390625</v>
          </cell>
        </row>
        <row r="1172">
          <cell r="A1172">
            <v>45636</v>
          </cell>
          <cell r="B1172">
            <v>3778.694091796875</v>
          </cell>
          <cell r="C1172">
            <v>3778.694091796875</v>
          </cell>
          <cell r="D1172">
            <v>3647.469970703125</v>
          </cell>
          <cell r="E1172">
            <v>3655.958984375</v>
          </cell>
          <cell r="F1172">
            <v>3.6559589843750002</v>
          </cell>
        </row>
        <row r="1173">
          <cell r="A1173">
            <v>45637</v>
          </cell>
          <cell r="B1173">
            <v>3652.1650390625</v>
          </cell>
          <cell r="C1173">
            <v>3675.008056640625</v>
          </cell>
          <cell r="D1173">
            <v>3639.011962890625</v>
          </cell>
          <cell r="E1173">
            <v>3653.35498046875</v>
          </cell>
          <cell r="F1173">
            <v>3.65335498046875</v>
          </cell>
        </row>
        <row r="1174">
          <cell r="A1174">
            <v>45638</v>
          </cell>
          <cell r="B1174">
            <v>3648.450927734375</v>
          </cell>
          <cell r="C1174">
            <v>3695.29296875</v>
          </cell>
          <cell r="D1174">
            <v>3640.916015625</v>
          </cell>
          <cell r="E1174">
            <v>3688.998046875</v>
          </cell>
          <cell r="F1174">
            <v>3.6889980468750001</v>
          </cell>
        </row>
        <row r="1175">
          <cell r="A1175">
            <v>45639</v>
          </cell>
          <cell r="B1175">
            <v>3660.14990234375</v>
          </cell>
          <cell r="C1175">
            <v>3663.93505859375</v>
          </cell>
          <cell r="D1175">
            <v>3599.195068359375</v>
          </cell>
          <cell r="E1175">
            <v>3601.510986328125</v>
          </cell>
          <cell r="F1175">
            <v>3.6015109863281252</v>
          </cell>
        </row>
        <row r="1176">
          <cell r="A1176">
            <v>45642</v>
          </cell>
          <cell r="B1176">
            <v>3600.2958984375</v>
          </cell>
          <cell r="C1176">
            <v>3606.85205078125</v>
          </cell>
          <cell r="D1176">
            <v>3556.0791015625</v>
          </cell>
          <cell r="E1176">
            <v>3567.886962890625</v>
          </cell>
          <cell r="F1176">
            <v>3.5678869628906251</v>
          </cell>
        </row>
        <row r="1177">
          <cell r="A1177">
            <v>45643</v>
          </cell>
          <cell r="B1177">
            <v>3568.8701171875</v>
          </cell>
          <cell r="C1177">
            <v>3636.306884765625</v>
          </cell>
          <cell r="D1177">
            <v>3568.8701171875</v>
          </cell>
          <cell r="E1177">
            <v>3582.576904296875</v>
          </cell>
          <cell r="F1177">
            <v>3.5825769042968751</v>
          </cell>
        </row>
        <row r="1178">
          <cell r="A1178">
            <v>45644</v>
          </cell>
          <cell r="B1178">
            <v>3590.93603515625</v>
          </cell>
          <cell r="C1178">
            <v>3624.090087890625</v>
          </cell>
          <cell r="D1178">
            <v>3582.200927734375</v>
          </cell>
          <cell r="E1178">
            <v>3605.801025390625</v>
          </cell>
          <cell r="F1178">
            <v>3.6058010253906252</v>
          </cell>
        </row>
        <row r="1179">
          <cell r="A1179">
            <v>45645</v>
          </cell>
          <cell r="B1179">
            <v>3577.27392578125</v>
          </cell>
          <cell r="C1179">
            <v>3661.659912109375</v>
          </cell>
          <cell r="D1179">
            <v>3574.033935546875</v>
          </cell>
          <cell r="E1179">
            <v>3650.486083984375</v>
          </cell>
          <cell r="F1179">
            <v>3.6504860839843749</v>
          </cell>
        </row>
        <row r="1180">
          <cell r="A1180">
            <v>45646</v>
          </cell>
          <cell r="B1180">
            <v>3645.18408203125</v>
          </cell>
          <cell r="C1180">
            <v>3676.472900390625</v>
          </cell>
          <cell r="D1180">
            <v>3634.991943359375</v>
          </cell>
          <cell r="E1180">
            <v>3645.097900390625</v>
          </cell>
          <cell r="F1180">
            <v>3.645097900390625</v>
          </cell>
        </row>
        <row r="1181">
          <cell r="A1181">
            <v>45649</v>
          </cell>
          <cell r="B1181">
            <v>3652.595947265625</v>
          </cell>
          <cell r="C1181">
            <v>3672.156982421875</v>
          </cell>
          <cell r="D1181">
            <v>3615.9970703125</v>
          </cell>
          <cell r="E1181">
            <v>3619.43505859375</v>
          </cell>
          <cell r="F1181">
            <v>3.61943505859375</v>
          </cell>
        </row>
        <row r="1182">
          <cell r="A1182">
            <v>45650</v>
          </cell>
          <cell r="B1182">
            <v>3621.7490234375</v>
          </cell>
          <cell r="C1182">
            <v>3675.116943359375</v>
          </cell>
          <cell r="D1182">
            <v>3621.7490234375</v>
          </cell>
          <cell r="E1182">
            <v>3674.864990234375</v>
          </cell>
          <cell r="F1182">
            <v>3.6748649902343749</v>
          </cell>
        </row>
        <row r="1183">
          <cell r="A1183">
            <v>45651</v>
          </cell>
          <cell r="B1183">
            <v>3677.623046875</v>
          </cell>
          <cell r="C1183">
            <v>3689.43408203125</v>
          </cell>
          <cell r="D1183">
            <v>3645.77392578125</v>
          </cell>
          <cell r="E1183">
            <v>3662.034912109375</v>
          </cell>
          <cell r="F1183">
            <v>3.6620349121093749</v>
          </cell>
        </row>
        <row r="1184">
          <cell r="A1184">
            <v>45652</v>
          </cell>
          <cell r="B1184">
            <v>3656.868896484375</v>
          </cell>
          <cell r="C1184">
            <v>3709.01611328125</v>
          </cell>
          <cell r="D1184">
            <v>3642.967041015625</v>
          </cell>
          <cell r="E1184">
            <v>3704.12890625</v>
          </cell>
          <cell r="F1184">
            <v>3.7041289062499998</v>
          </cell>
        </row>
        <row r="1185">
          <cell r="A1185">
            <v>45653</v>
          </cell>
          <cell r="B1185">
            <v>3707.79296875</v>
          </cell>
          <cell r="C1185">
            <v>3723.4560546875</v>
          </cell>
          <cell r="D1185">
            <v>3673.139892578125</v>
          </cell>
          <cell r="E1185">
            <v>3682.1240234375</v>
          </cell>
          <cell r="F1185">
            <v>3.6821240234374999</v>
          </cell>
        </row>
        <row r="1186">
          <cell r="A1186">
            <v>45656</v>
          </cell>
          <cell r="B1186">
            <v>3678.739990234375</v>
          </cell>
          <cell r="C1186">
            <v>3714.94189453125</v>
          </cell>
          <cell r="D1186">
            <v>3676.77490234375</v>
          </cell>
          <cell r="E1186">
            <v>3686.52197265625</v>
          </cell>
          <cell r="F1186">
            <v>3.6865219726562501</v>
          </cell>
        </row>
        <row r="1187">
          <cell r="A1187">
            <v>45657</v>
          </cell>
          <cell r="B1187">
            <v>3682.446044921875</v>
          </cell>
          <cell r="C1187">
            <v>3689.281005859375</v>
          </cell>
          <cell r="D1187">
            <v>3609.4609375</v>
          </cell>
          <cell r="E1187">
            <v>3609.464111328125</v>
          </cell>
          <cell r="F1187">
            <v>3.6094641113281249</v>
          </cell>
        </row>
        <row r="1188">
          <cell r="A1188">
            <v>45659</v>
          </cell>
          <cell r="B1188">
            <v>3605.31005859375</v>
          </cell>
          <cell r="C1188">
            <v>3607.199951171875</v>
          </cell>
          <cell r="D1188">
            <v>3465.698974609375</v>
          </cell>
          <cell r="E1188">
            <v>3491.6259765625</v>
          </cell>
          <cell r="F1188">
            <v>3.4916259765625002</v>
          </cell>
        </row>
        <row r="1189">
          <cell r="A1189">
            <v>45660</v>
          </cell>
          <cell r="B1189">
            <v>3492.9541015625</v>
          </cell>
          <cell r="C1189">
            <v>3499.655029296875</v>
          </cell>
          <cell r="D1189">
            <v>3422.152099609375</v>
          </cell>
          <cell r="E1189">
            <v>3423.20703125</v>
          </cell>
          <cell r="F1189">
            <v>3.42320703125</v>
          </cell>
        </row>
        <row r="1190">
          <cell r="A1190">
            <v>45663</v>
          </cell>
          <cell r="B1190">
            <v>3429.6708984375</v>
          </cell>
          <cell r="C1190">
            <v>3451.7470703125</v>
          </cell>
          <cell r="D1190">
            <v>3398.22705078125</v>
          </cell>
          <cell r="E1190">
            <v>3420.861083984375</v>
          </cell>
          <cell r="F1190">
            <v>3.4208610839843749</v>
          </cell>
        </row>
        <row r="1191">
          <cell r="A1191">
            <v>45664</v>
          </cell>
          <cell r="B1191">
            <v>3396.485107421875</v>
          </cell>
          <cell r="C1191">
            <v>3457.259033203125</v>
          </cell>
          <cell r="D1191">
            <v>3380.114013671875</v>
          </cell>
          <cell r="E1191">
            <v>3456.64599609375</v>
          </cell>
          <cell r="F1191">
            <v>3.4566459960937501</v>
          </cell>
        </row>
        <row r="1192">
          <cell r="A1192">
            <v>45665</v>
          </cell>
          <cell r="B1192">
            <v>3431.593017578125</v>
          </cell>
          <cell r="C1192">
            <v>3470.718017578125</v>
          </cell>
          <cell r="D1192">
            <v>3369.74609375</v>
          </cell>
          <cell r="E1192">
            <v>3445.47509765625</v>
          </cell>
          <cell r="F1192">
            <v>3.4454750976562498</v>
          </cell>
        </row>
        <row r="1193">
          <cell r="A1193">
            <v>45666</v>
          </cell>
          <cell r="B1193">
            <v>3428.177978515625</v>
          </cell>
          <cell r="C1193">
            <v>3494.044921875</v>
          </cell>
          <cell r="D1193">
            <v>3427.02392578125</v>
          </cell>
          <cell r="E1193">
            <v>3476.98095703125</v>
          </cell>
          <cell r="F1193">
            <v>3.47698095703125</v>
          </cell>
        </row>
        <row r="1194">
          <cell r="A1194">
            <v>45667</v>
          </cell>
          <cell r="B1194">
            <v>3472.096923828125</v>
          </cell>
          <cell r="C1194">
            <v>3490.972900390625</v>
          </cell>
          <cell r="D1194">
            <v>3426.22705078125</v>
          </cell>
          <cell r="E1194">
            <v>3426.22705078125</v>
          </cell>
          <cell r="F1194">
            <v>3.4262270507812498</v>
          </cell>
        </row>
        <row r="1195">
          <cell r="A1195">
            <v>45670</v>
          </cell>
          <cell r="B1195">
            <v>3390.389892578125</v>
          </cell>
          <cell r="C1195">
            <v>3446.06396484375</v>
          </cell>
          <cell r="D1195">
            <v>3388.013916015625</v>
          </cell>
          <cell r="E1195">
            <v>3408.56103515625</v>
          </cell>
          <cell r="F1195">
            <v>3.4085610351562501</v>
          </cell>
        </row>
        <row r="1196">
          <cell r="A1196">
            <v>45671</v>
          </cell>
          <cell r="B1196">
            <v>3418.159912109375</v>
          </cell>
          <cell r="C1196">
            <v>3550.989990234375</v>
          </cell>
          <cell r="D1196">
            <v>3395.52490234375</v>
          </cell>
          <cell r="E1196">
            <v>3542.425048828125</v>
          </cell>
          <cell r="F1196">
            <v>3.5424250488281248</v>
          </cell>
        </row>
        <row r="1197">
          <cell r="A1197">
            <v>45672</v>
          </cell>
          <cell r="B1197">
            <v>3532.910888671875</v>
          </cell>
          <cell r="C1197">
            <v>3533.3720703125</v>
          </cell>
          <cell r="D1197">
            <v>3481.093017578125</v>
          </cell>
          <cell r="E1197">
            <v>3489.87109375</v>
          </cell>
          <cell r="F1197">
            <v>3.4898710937500002</v>
          </cell>
        </row>
        <row r="1198">
          <cell r="A1198">
            <v>45673</v>
          </cell>
          <cell r="B1198">
            <v>3506.256103515625</v>
          </cell>
          <cell r="C1198">
            <v>3561.10009765625</v>
          </cell>
          <cell r="D1198">
            <v>3468.487060546875</v>
          </cell>
          <cell r="E1198">
            <v>3501.39892578125</v>
          </cell>
          <cell r="F1198">
            <v>3.5013989257812499</v>
          </cell>
        </row>
        <row r="1199">
          <cell r="A1199">
            <v>45674</v>
          </cell>
          <cell r="B1199">
            <v>3487.126953125</v>
          </cell>
          <cell r="C1199">
            <v>3559.1279296875</v>
          </cell>
          <cell r="D1199">
            <v>3480.3310546875</v>
          </cell>
          <cell r="E1199">
            <v>3530.049072265625</v>
          </cell>
          <cell r="F1199">
            <v>3.530049072265625</v>
          </cell>
        </row>
        <row r="1200">
          <cell r="A1200">
            <v>45677</v>
          </cell>
          <cell r="B1200">
            <v>3568.218994140625</v>
          </cell>
          <cell r="C1200">
            <v>3618.48291015625</v>
          </cell>
          <cell r="D1200">
            <v>3568.218994140625</v>
          </cell>
          <cell r="E1200">
            <v>3592.905029296875</v>
          </cell>
          <cell r="F1200">
            <v>3.5929050292968752</v>
          </cell>
        </row>
        <row r="1201">
          <cell r="A1201">
            <v>45678</v>
          </cell>
          <cell r="B1201">
            <v>3618.1240234375</v>
          </cell>
          <cell r="C1201">
            <v>3632.343994140625</v>
          </cell>
          <cell r="D1201">
            <v>3584.3779296875</v>
          </cell>
          <cell r="E1201">
            <v>3624.221923828125</v>
          </cell>
          <cell r="F1201">
            <v>3.624221923828125</v>
          </cell>
        </row>
        <row r="1202">
          <cell r="A1202">
            <v>45679</v>
          </cell>
          <cell r="B1202">
            <v>3613.7041015625</v>
          </cell>
          <cell r="C1202">
            <v>3618.3701171875</v>
          </cell>
          <cell r="D1202">
            <v>3568.95703125</v>
          </cell>
          <cell r="E1202">
            <v>3596.930908203125</v>
          </cell>
          <cell r="F1202">
            <v>3.5969309082031251</v>
          </cell>
        </row>
        <row r="1203">
          <cell r="A1203">
            <v>45680</v>
          </cell>
          <cell r="B1203">
            <v>3630.7880859375</v>
          </cell>
          <cell r="C1203">
            <v>3651.427978515625</v>
          </cell>
          <cell r="D1203">
            <v>3566.864013671875</v>
          </cell>
          <cell r="E1203">
            <v>3568.39794921875</v>
          </cell>
          <cell r="F1203">
            <v>3.5683979492187499</v>
          </cell>
        </row>
        <row r="1204">
          <cell r="A1204">
            <v>45681</v>
          </cell>
          <cell r="B1204">
            <v>3555.7958984375</v>
          </cell>
          <cell r="C1204">
            <v>3636.842041015625</v>
          </cell>
          <cell r="D1204">
            <v>3555.7958984375</v>
          </cell>
          <cell r="E1204">
            <v>3625.001953125</v>
          </cell>
          <cell r="F1204">
            <v>3.625001953125</v>
          </cell>
        </row>
        <row r="1205">
          <cell r="A1205">
            <v>45684</v>
          </cell>
          <cell r="B1205">
            <v>3625.426025390625</v>
          </cell>
          <cell r="C1205">
            <v>3626.722900390625</v>
          </cell>
          <cell r="D1205">
            <v>3556.052978515625</v>
          </cell>
          <cell r="E1205">
            <v>3556.052978515625</v>
          </cell>
          <cell r="F1205">
            <v>3.5560529785156252</v>
          </cell>
        </row>
        <row r="1206">
          <cell r="A1206">
            <v>45693</v>
          </cell>
          <cell r="B1206">
            <v>3593.4189453125</v>
          </cell>
          <cell r="C1206">
            <v>3593.968994140625</v>
          </cell>
          <cell r="D1206">
            <v>3552.5439453125</v>
          </cell>
          <cell r="E1206">
            <v>3566.55908203125</v>
          </cell>
          <cell r="F1206">
            <v>3.56655908203125</v>
          </cell>
        </row>
        <row r="1207">
          <cell r="A1207">
            <v>45694</v>
          </cell>
          <cell r="B1207">
            <v>3559.68408203125</v>
          </cell>
          <cell r="C1207">
            <v>3683.844970703125</v>
          </cell>
          <cell r="D1207">
            <v>3555.77392578125</v>
          </cell>
          <cell r="E1207">
            <v>3683.844970703125</v>
          </cell>
          <cell r="F1207">
            <v>3.6838449707031251</v>
          </cell>
        </row>
        <row r="1208">
          <cell r="A1208">
            <v>45695</v>
          </cell>
          <cell r="B1208">
            <v>3702.47998046875</v>
          </cell>
          <cell r="C1208">
            <v>3790.31689453125</v>
          </cell>
          <cell r="D1208">
            <v>3681.277099609375</v>
          </cell>
          <cell r="E1208">
            <v>3758.135986328125</v>
          </cell>
          <cell r="F1208">
            <v>3.7581359863281252</v>
          </cell>
        </row>
        <row r="1209">
          <cell r="A1209">
            <v>45698</v>
          </cell>
          <cell r="B1209">
            <v>3763.65087890625</v>
          </cell>
          <cell r="C1209">
            <v>3775.06591796875</v>
          </cell>
          <cell r="D1209">
            <v>3722.304931640625</v>
          </cell>
          <cell r="E1209">
            <v>3767.757080078125</v>
          </cell>
          <cell r="F1209">
            <v>3.767757080078125</v>
          </cell>
        </row>
        <row r="1210">
          <cell r="A1210">
            <v>45699</v>
          </cell>
          <cell r="B1210">
            <v>3779.04296875</v>
          </cell>
          <cell r="C1210">
            <v>3779.04296875</v>
          </cell>
          <cell r="D1210">
            <v>3736.843994140625</v>
          </cell>
          <cell r="E1210">
            <v>3747.76904296875</v>
          </cell>
          <cell r="F1210">
            <v>3.7477690429687498</v>
          </cell>
        </row>
        <row r="1211">
          <cell r="A1211">
            <v>45700</v>
          </cell>
          <cell r="B1211">
            <v>3731.382080078125</v>
          </cell>
          <cell r="C1211">
            <v>3803.85400390625</v>
          </cell>
          <cell r="D1211">
            <v>3714.470947265625</v>
          </cell>
          <cell r="E1211">
            <v>3800.652099609375</v>
          </cell>
          <cell r="F1211">
            <v>3.8006520996093749</v>
          </cell>
        </row>
        <row r="1212">
          <cell r="A1212">
            <v>45701</v>
          </cell>
          <cell r="B1212">
            <v>3787.597900390625</v>
          </cell>
          <cell r="C1212">
            <v>3794.678955078125</v>
          </cell>
          <cell r="D1212">
            <v>3740.089111328125</v>
          </cell>
          <cell r="E1212">
            <v>3742.10205078125</v>
          </cell>
          <cell r="F1212">
            <v>3.7421020507812499</v>
          </cell>
        </row>
        <row r="1213">
          <cell r="A1213">
            <v>45702</v>
          </cell>
          <cell r="B1213">
            <v>3736.18994140625</v>
          </cell>
          <cell r="C1213">
            <v>3816.153076171875</v>
          </cell>
          <cell r="D1213">
            <v>3736.18994140625</v>
          </cell>
          <cell r="E1213">
            <v>3806.216064453125</v>
          </cell>
          <cell r="F1213">
            <v>3.8062160644531251</v>
          </cell>
        </row>
        <row r="1214">
          <cell r="A1214">
            <v>45705</v>
          </cell>
          <cell r="B1214">
            <v>3834.0791015625</v>
          </cell>
          <cell r="C1214">
            <v>3842.572021484375</v>
          </cell>
          <cell r="D1214">
            <v>3799.916015625</v>
          </cell>
          <cell r="E1214">
            <v>3830.537109375</v>
          </cell>
          <cell r="F1214">
            <v>3.8305371093749998</v>
          </cell>
        </row>
        <row r="1215">
          <cell r="A1215">
            <v>45706</v>
          </cell>
          <cell r="B1215">
            <v>3832.430908203125</v>
          </cell>
          <cell r="C1215">
            <v>3861.677001953125</v>
          </cell>
          <cell r="D1215">
            <v>3776.64892578125</v>
          </cell>
          <cell r="E1215">
            <v>3791.48291015625</v>
          </cell>
          <cell r="F1215">
            <v>3.7914829101562502</v>
          </cell>
        </row>
        <row r="1216">
          <cell r="A1216">
            <v>45707</v>
          </cell>
          <cell r="B1216">
            <v>3775.797119140625</v>
          </cell>
          <cell r="C1216">
            <v>3861.888916015625</v>
          </cell>
          <cell r="D1216">
            <v>3775.797119140625</v>
          </cell>
          <cell r="E1216">
            <v>3860.76806640625</v>
          </cell>
          <cell r="F1216">
            <v>3.86076806640625</v>
          </cell>
        </row>
        <row r="1217">
          <cell r="A1217">
            <v>45708</v>
          </cell>
          <cell r="B1217">
            <v>3862.533935546875</v>
          </cell>
          <cell r="C1217">
            <v>3875.14697265625</v>
          </cell>
          <cell r="D1217">
            <v>3831.672119140625</v>
          </cell>
          <cell r="E1217">
            <v>3863.39892578125</v>
          </cell>
          <cell r="F1217">
            <v>3.86339892578125</v>
          </cell>
        </row>
        <row r="1218">
          <cell r="A1218">
            <v>45709</v>
          </cell>
          <cell r="B1218">
            <v>3874.5400390625</v>
          </cell>
          <cell r="C1218">
            <v>3970.947021484375</v>
          </cell>
          <cell r="D1218">
            <v>3874.5400390625</v>
          </cell>
          <cell r="E1218">
            <v>3963.327880859375</v>
          </cell>
          <cell r="F1218">
            <v>3.9633278808593748</v>
          </cell>
        </row>
        <row r="1219">
          <cell r="A1219">
            <v>45712</v>
          </cell>
          <cell r="B1219">
            <v>3963.367919921875</v>
          </cell>
          <cell r="C1219">
            <v>3983.490966796875</v>
          </cell>
          <cell r="D1219">
            <v>3913.299072265625</v>
          </cell>
          <cell r="E1219">
            <v>3947.2880859375</v>
          </cell>
          <cell r="F1219">
            <v>3.9472880859375001</v>
          </cell>
        </row>
        <row r="1220">
          <cell r="A1220">
            <v>45713</v>
          </cell>
          <cell r="B1220">
            <v>3883.14501953125</v>
          </cell>
          <cell r="C1220">
            <v>3950.62109375</v>
          </cell>
          <cell r="D1220">
            <v>3876.779052734375</v>
          </cell>
          <cell r="E1220">
            <v>3902.5380859375</v>
          </cell>
          <cell r="F1220">
            <v>3.9025380859375001</v>
          </cell>
        </row>
        <row r="1221">
          <cell r="A1221">
            <v>45714</v>
          </cell>
          <cell r="B1221">
            <v>3905.742919921875</v>
          </cell>
          <cell r="C1221">
            <v>3945.743896484375</v>
          </cell>
          <cell r="D1221">
            <v>3882.2490234375</v>
          </cell>
          <cell r="E1221">
            <v>3936.76904296875</v>
          </cell>
          <cell r="F1221">
            <v>3.9367690429687499</v>
          </cell>
        </row>
        <row r="1222">
          <cell r="A1222">
            <v>45715</v>
          </cell>
          <cell r="B1222">
            <v>3956.7900390625</v>
          </cell>
          <cell r="C1222">
            <v>3965.930908203125</v>
          </cell>
          <cell r="D1222">
            <v>3869.37109375</v>
          </cell>
          <cell r="E1222">
            <v>3919.9619140625</v>
          </cell>
          <cell r="F1222">
            <v>3.9199619140625002</v>
          </cell>
        </row>
        <row r="1223">
          <cell r="A1223">
            <v>45716</v>
          </cell>
          <cell r="B1223">
            <v>3892.3798828125</v>
          </cell>
          <cell r="C1223">
            <v>3897.7939453125</v>
          </cell>
          <cell r="D1223">
            <v>3776.013916015625</v>
          </cell>
          <cell r="E1223">
            <v>3787.157958984375</v>
          </cell>
          <cell r="F1223">
            <v>3.7871579589843751</v>
          </cell>
        </row>
        <row r="1224">
          <cell r="A1224">
            <v>45719</v>
          </cell>
          <cell r="B1224">
            <v>3796.345947265625</v>
          </cell>
          <cell r="C1224">
            <v>3851.35595703125</v>
          </cell>
          <cell r="D1224">
            <v>3757.0400390625</v>
          </cell>
          <cell r="E1224">
            <v>3788.794921875</v>
          </cell>
          <cell r="F1224">
            <v>3.7887949218750001</v>
          </cell>
        </row>
        <row r="1225">
          <cell r="A1225">
            <v>45720</v>
          </cell>
          <cell r="B1225">
            <v>3740.133056640625</v>
          </cell>
          <cell r="C1225">
            <v>3788.14306640625</v>
          </cell>
          <cell r="D1225">
            <v>3731.68310546875</v>
          </cell>
          <cell r="E1225">
            <v>3781.178955078125</v>
          </cell>
          <cell r="F1225">
            <v>3.7811789550781252</v>
          </cell>
        </row>
        <row r="1226">
          <cell r="A1226">
            <v>45721</v>
          </cell>
          <cell r="B1226">
            <v>3785.080078125</v>
          </cell>
          <cell r="C1226">
            <v>3806.52392578125</v>
          </cell>
          <cell r="D1226">
            <v>3765.947021484375</v>
          </cell>
          <cell r="E1226">
            <v>3794.410888671875</v>
          </cell>
          <cell r="F1226">
            <v>3.7944108886718748</v>
          </cell>
        </row>
        <row r="1227">
          <cell r="A1227">
            <v>45722</v>
          </cell>
          <cell r="B1227">
            <v>3824.889892578125</v>
          </cell>
          <cell r="C1227">
            <v>3882.9150390625</v>
          </cell>
          <cell r="D1227">
            <v>3824.889892578125</v>
          </cell>
          <cell r="E1227">
            <v>3871.343994140625</v>
          </cell>
          <cell r="F1227">
            <v>3.8713439941406249</v>
          </cell>
        </row>
        <row r="1228">
          <cell r="A1228">
            <v>45723</v>
          </cell>
          <cell r="B1228">
            <v>3857.3330078125</v>
          </cell>
          <cell r="C1228">
            <v>3880.39794921875</v>
          </cell>
          <cell r="D1228">
            <v>3830.924072265625</v>
          </cell>
          <cell r="E1228">
            <v>3847.4140625</v>
          </cell>
          <cell r="F1228">
            <v>3.8474140625</v>
          </cell>
        </row>
        <row r="1229">
          <cell r="A1229">
            <v>45726</v>
          </cell>
          <cell r="B1229">
            <v>3852.464111328125</v>
          </cell>
          <cell r="C1229">
            <v>3867.81103515625</v>
          </cell>
          <cell r="D1229">
            <v>3801.0390625</v>
          </cell>
          <cell r="E1229">
            <v>3830.77294921875</v>
          </cell>
          <cell r="F1229">
            <v>3.8307729492187499</v>
          </cell>
        </row>
        <row r="1230">
          <cell r="A1230">
            <v>45727</v>
          </cell>
          <cell r="B1230">
            <v>3777.737060546875</v>
          </cell>
          <cell r="C1230">
            <v>3823.054931640625</v>
          </cell>
          <cell r="D1230">
            <v>3776.06298828125</v>
          </cell>
          <cell r="E1230">
            <v>3817.6640625</v>
          </cell>
          <cell r="F1230">
            <v>3.8176640625</v>
          </cell>
        </row>
        <row r="1231">
          <cell r="A1231">
            <v>45728</v>
          </cell>
          <cell r="B1231">
            <v>3836.1640625</v>
          </cell>
          <cell r="C1231">
            <v>3847.469970703125</v>
          </cell>
          <cell r="D1231">
            <v>3804.406982421875</v>
          </cell>
          <cell r="E1231">
            <v>3815.073974609375</v>
          </cell>
          <cell r="F1231">
            <v>3.8150739746093749</v>
          </cell>
        </row>
        <row r="1232">
          <cell r="A1232">
            <v>45729</v>
          </cell>
          <cell r="B1232">
            <v>3810.7890625</v>
          </cell>
          <cell r="C1232">
            <v>3827.64990234375</v>
          </cell>
          <cell r="D1232">
            <v>3750.39501953125</v>
          </cell>
          <cell r="E1232">
            <v>3768.135986328125</v>
          </cell>
          <cell r="F1232">
            <v>3.768135986328125</v>
          </cell>
        </row>
        <row r="1233">
          <cell r="A1233">
            <v>45730</v>
          </cell>
          <cell r="B1233">
            <v>3765.881103515625</v>
          </cell>
          <cell r="C1233">
            <v>3859.965087890625</v>
          </cell>
          <cell r="D1233">
            <v>3761.241943359375</v>
          </cell>
          <cell r="E1233">
            <v>3857.299072265625</v>
          </cell>
          <cell r="F1233">
            <v>3.8572990722656249</v>
          </cell>
        </row>
        <row r="1234">
          <cell r="A1234">
            <v>45733</v>
          </cell>
          <cell r="B1234">
            <v>3872.735107421875</v>
          </cell>
          <cell r="C1234">
            <v>3875.5849609375</v>
          </cell>
          <cell r="D1234">
            <v>3835.138916015625</v>
          </cell>
          <cell r="E1234">
            <v>3840.6640625</v>
          </cell>
          <cell r="F1234">
            <v>3.8406640625000001</v>
          </cell>
        </row>
        <row r="1235">
          <cell r="A1235">
            <v>45734</v>
          </cell>
          <cell r="B1235">
            <v>3861.68994140625</v>
          </cell>
          <cell r="C1235">
            <v>3888.7080078125</v>
          </cell>
          <cell r="D1235">
            <v>3843.678955078125</v>
          </cell>
          <cell r="E1235">
            <v>3878.326904296875</v>
          </cell>
          <cell r="F1235">
            <v>3.8783269042968751</v>
          </cell>
        </row>
        <row r="1236">
          <cell r="A1236">
            <v>45735</v>
          </cell>
          <cell r="B1236">
            <v>3884.97998046875</v>
          </cell>
          <cell r="C1236">
            <v>3905.64697265625</v>
          </cell>
          <cell r="D1236">
            <v>3844.72412109375</v>
          </cell>
          <cell r="E1236">
            <v>3887.382080078125</v>
          </cell>
          <cell r="F1236">
            <v>3.8873820800781251</v>
          </cell>
        </row>
        <row r="1237">
          <cell r="A1237">
            <v>45736</v>
          </cell>
          <cell r="B1237">
            <v>3886.743896484375</v>
          </cell>
          <cell r="C1237">
            <v>3888.376953125</v>
          </cell>
          <cell r="D1237">
            <v>3848.10400390625</v>
          </cell>
          <cell r="E1237">
            <v>3853.375</v>
          </cell>
          <cell r="F1237">
            <v>3.8533750000000002</v>
          </cell>
        </row>
        <row r="1238">
          <cell r="A1238">
            <v>45737</v>
          </cell>
          <cell r="B1238">
            <v>3835.362060546875</v>
          </cell>
          <cell r="C1238">
            <v>3850.321044921875</v>
          </cell>
          <cell r="D1238">
            <v>3745.927001953125</v>
          </cell>
          <cell r="E1238">
            <v>3755.89697265625</v>
          </cell>
          <cell r="F1238">
            <v>3.7558969726562501</v>
          </cell>
        </row>
        <row r="1239">
          <cell r="A1239">
            <v>45740</v>
          </cell>
          <cell r="B1239">
            <v>3760.2529296875</v>
          </cell>
          <cell r="C1239">
            <v>3774.35009765625</v>
          </cell>
          <cell r="D1239">
            <v>3716.800048828125</v>
          </cell>
          <cell r="E1239">
            <v>3764.173095703125</v>
          </cell>
          <cell r="F1239">
            <v>3.764173095703125</v>
          </cell>
        </row>
        <row r="1240">
          <cell r="A1240">
            <v>45741</v>
          </cell>
          <cell r="B1240">
            <v>3770.802001953125</v>
          </cell>
          <cell r="C1240">
            <v>3792.51611328125</v>
          </cell>
          <cell r="D1240">
            <v>3743.001953125</v>
          </cell>
          <cell r="E1240">
            <v>3751.52099609375</v>
          </cell>
          <cell r="F1240">
            <v>3.7515209960937499</v>
          </cell>
        </row>
        <row r="1241">
          <cell r="A1241">
            <v>45742</v>
          </cell>
          <cell r="B1241">
            <v>3743.23193359375</v>
          </cell>
          <cell r="C1241">
            <v>3774.283935546875</v>
          </cell>
          <cell r="D1241">
            <v>3743.23193359375</v>
          </cell>
          <cell r="E1241">
            <v>3749.924072265625</v>
          </cell>
          <cell r="F1241">
            <v>3.7499240722656251</v>
          </cell>
        </row>
        <row r="1242">
          <cell r="A1242">
            <v>45743</v>
          </cell>
          <cell r="B1242">
            <v>3740.3701171875</v>
          </cell>
          <cell r="C1242">
            <v>3802.931884765625</v>
          </cell>
          <cell r="D1242">
            <v>3725.2900390625</v>
          </cell>
          <cell r="E1242">
            <v>3766.0869140625</v>
          </cell>
          <cell r="F1242">
            <v>3.7660869140625</v>
          </cell>
        </row>
        <row r="1243">
          <cell r="A1243">
            <v>45744</v>
          </cell>
          <cell r="B1243">
            <v>3758.40087890625</v>
          </cell>
          <cell r="C1243">
            <v>3773.970947265625</v>
          </cell>
          <cell r="D1243">
            <v>3737.364990234375</v>
          </cell>
          <cell r="E1243">
            <v>3740.998046875</v>
          </cell>
          <cell r="F1243">
            <v>3.7409980468750001</v>
          </cell>
        </row>
        <row r="1244">
          <cell r="A1244">
            <v>45747</v>
          </cell>
          <cell r="B1244">
            <v>3723.837890625</v>
          </cell>
          <cell r="C1244">
            <v>3751.923095703125</v>
          </cell>
          <cell r="D1244">
            <v>3686.18505859375</v>
          </cell>
          <cell r="E1244">
            <v>3714.2958984375</v>
          </cell>
          <cell r="F1244">
            <v>3.7142958984374999</v>
          </cell>
        </row>
        <row r="1245">
          <cell r="A1245">
            <v>45748</v>
          </cell>
          <cell r="B1245">
            <v>3721.18798828125</v>
          </cell>
          <cell r="C1245">
            <v>3728.971923828125</v>
          </cell>
          <cell r="D1245">
            <v>3686.169921875</v>
          </cell>
          <cell r="E1245">
            <v>3688.493896484375</v>
          </cell>
          <cell r="F1245">
            <v>3.688493896484375</v>
          </cell>
        </row>
        <row r="1246">
          <cell r="A1246">
            <v>45749</v>
          </cell>
          <cell r="B1246">
            <v>3690.778076171875</v>
          </cell>
          <cell r="C1246">
            <v>3715.344970703125</v>
          </cell>
          <cell r="D1246">
            <v>3679.2080078125</v>
          </cell>
          <cell r="E1246">
            <v>3693.195068359375</v>
          </cell>
          <cell r="F1246">
            <v>3.6931950683593748</v>
          </cell>
        </row>
        <row r="1247">
          <cell r="A1247">
            <v>45750</v>
          </cell>
          <cell r="B1247">
            <v>3642.985107421875</v>
          </cell>
          <cell r="C1247">
            <v>3674.3369140625</v>
          </cell>
          <cell r="D1247">
            <v>3612.343994140625</v>
          </cell>
          <cell r="E1247">
            <v>3618.14794921875</v>
          </cell>
          <cell r="F1247">
            <v>3.6181479492187498</v>
          </cell>
        </row>
        <row r="1248">
          <cell r="A1248">
            <v>45754</v>
          </cell>
          <cell r="B1248">
            <v>3376.702880859375</v>
          </cell>
          <cell r="C1248">
            <v>3403.31591796875</v>
          </cell>
          <cell r="D1248">
            <v>3204.194091796875</v>
          </cell>
          <cell r="E1248">
            <v>3257.554931640625</v>
          </cell>
          <cell r="F1248">
            <v>3.2575549316406249</v>
          </cell>
        </row>
        <row r="1249">
          <cell r="A1249">
            <v>45755</v>
          </cell>
          <cell r="B1249">
            <v>3266.47900390625</v>
          </cell>
          <cell r="C1249">
            <v>3316.162109375</v>
          </cell>
          <cell r="D1249">
            <v>3215.14990234375</v>
          </cell>
          <cell r="E1249">
            <v>3261.875</v>
          </cell>
          <cell r="F1249">
            <v>3.2618749999999999</v>
          </cell>
        </row>
        <row r="1250">
          <cell r="A1250">
            <v>45756</v>
          </cell>
          <cell r="B1250">
            <v>3196.909912109375</v>
          </cell>
          <cell r="C1250">
            <v>3313.194091796875</v>
          </cell>
          <cell r="D1250">
            <v>3156.64794921875</v>
          </cell>
          <cell r="E1250">
            <v>3286.0009765625</v>
          </cell>
          <cell r="F1250">
            <v>3.2860009765624998</v>
          </cell>
        </row>
        <row r="1251">
          <cell r="A1251">
            <v>45757</v>
          </cell>
          <cell r="B1251">
            <v>3384.72998046875</v>
          </cell>
          <cell r="C1251">
            <v>3433.885009765625</v>
          </cell>
          <cell r="D1251">
            <v>3363.3740234375</v>
          </cell>
          <cell r="E1251">
            <v>3375.034912109375</v>
          </cell>
          <cell r="F1251">
            <v>3.375034912109375</v>
          </cell>
        </row>
        <row r="1252">
          <cell r="A1252">
            <v>45758</v>
          </cell>
          <cell r="B1252">
            <v>3350.48291015625</v>
          </cell>
          <cell r="C1252">
            <v>3462.60888671875</v>
          </cell>
          <cell r="D1252">
            <v>3349.389892578125</v>
          </cell>
          <cell r="E1252">
            <v>3437.47412109375</v>
          </cell>
          <cell r="F1252">
            <v>3.4374741210937501</v>
          </cell>
        </row>
        <row r="1253">
          <cell r="A1253">
            <v>45761</v>
          </cell>
          <cell r="B1253">
            <v>3489.071044921875</v>
          </cell>
          <cell r="C1253">
            <v>3491.62109375</v>
          </cell>
          <cell r="D1253">
            <v>3440.34912109375</v>
          </cell>
          <cell r="E1253">
            <v>3447.697021484375</v>
          </cell>
          <cell r="F1253">
            <v>3.447697021484375</v>
          </cell>
        </row>
        <row r="1254">
          <cell r="A1254">
            <v>45762</v>
          </cell>
          <cell r="B1254">
            <v>3453.673095703125</v>
          </cell>
          <cell r="C1254">
            <v>3462.180908203125</v>
          </cell>
          <cell r="D1254">
            <v>3423.72802734375</v>
          </cell>
          <cell r="E1254">
            <v>3443.35791015625</v>
          </cell>
          <cell r="F1254">
            <v>3.4433579101562501</v>
          </cell>
        </row>
        <row r="1255">
          <cell r="A1255">
            <v>45763</v>
          </cell>
          <cell r="B1255">
            <v>3424.781005859375</v>
          </cell>
          <cell r="C1255">
            <v>3424.781005859375</v>
          </cell>
          <cell r="D1255">
            <v>3363.5830078125</v>
          </cell>
          <cell r="E1255">
            <v>3407.1259765625</v>
          </cell>
          <cell r="F1255">
            <v>3.4071259765624999</v>
          </cell>
        </row>
        <row r="1256">
          <cell r="A1256">
            <v>45764</v>
          </cell>
          <cell r="B1256">
            <v>3384.27490234375</v>
          </cell>
          <cell r="C1256">
            <v>3426.118896484375</v>
          </cell>
          <cell r="D1256">
            <v>3383.458984375</v>
          </cell>
          <cell r="E1256">
            <v>3401.16796875</v>
          </cell>
          <cell r="F1256">
            <v>3.4011679687499998</v>
          </cell>
        </row>
        <row r="1257">
          <cell r="A1257">
            <v>45765</v>
          </cell>
          <cell r="B1257">
            <v>3393.281005859375</v>
          </cell>
          <cell r="C1257">
            <v>3410.05810546875</v>
          </cell>
          <cell r="D1257">
            <v>3378.384033203125</v>
          </cell>
          <cell r="E1257">
            <v>3403.23095703125</v>
          </cell>
          <cell r="F1257">
            <v>3.40323095703125</v>
          </cell>
        </row>
        <row r="1258">
          <cell r="A1258">
            <v>45768</v>
          </cell>
          <cell r="B1258">
            <v>3400.426025390625</v>
          </cell>
          <cell r="C1258">
            <v>3460.697998046875</v>
          </cell>
          <cell r="D1258">
            <v>3389.2099609375</v>
          </cell>
          <cell r="E1258">
            <v>3456.81005859375</v>
          </cell>
          <cell r="F1258">
            <v>3.4568100585937498</v>
          </cell>
        </row>
        <row r="1259">
          <cell r="A1259">
            <v>45769</v>
          </cell>
          <cell r="B1259">
            <v>3447.02001953125</v>
          </cell>
          <cell r="C1259">
            <v>3460.760009765625</v>
          </cell>
          <cell r="D1259">
            <v>3435.1669921875</v>
          </cell>
          <cell r="E1259">
            <v>3444.156982421875</v>
          </cell>
          <cell r="F1259">
            <v>3.444156982421875</v>
          </cell>
        </row>
        <row r="1260">
          <cell r="A1260">
            <v>45770</v>
          </cell>
          <cell r="B1260">
            <v>3493.739013671875</v>
          </cell>
          <cell r="C1260">
            <v>3507.571044921875</v>
          </cell>
          <cell r="D1260">
            <v>3467.697021484375</v>
          </cell>
          <cell r="E1260">
            <v>3484.008056640625</v>
          </cell>
          <cell r="F1260">
            <v>3.4840080566406249</v>
          </cell>
        </row>
        <row r="1261">
          <cell r="A1261">
            <v>45771</v>
          </cell>
          <cell r="B1261">
            <v>3487.85400390625</v>
          </cell>
          <cell r="C1261">
            <v>3501.488037109375</v>
          </cell>
          <cell r="D1261">
            <v>3452.97705078125</v>
          </cell>
          <cell r="E1261">
            <v>3467.926025390625</v>
          </cell>
          <cell r="F1261">
            <v>3.467926025390625</v>
          </cell>
        </row>
        <row r="1262">
          <cell r="A1262">
            <v>45772</v>
          </cell>
          <cell r="B1262">
            <v>3473.85205078125</v>
          </cell>
          <cell r="C1262">
            <v>3501.541015625</v>
          </cell>
          <cell r="D1262">
            <v>3460.2119140625</v>
          </cell>
          <cell r="E1262">
            <v>3483.047119140625</v>
          </cell>
          <cell r="F1262">
            <v>3.4830471191406249</v>
          </cell>
        </row>
        <row r="1263">
          <cell r="A1263">
            <v>45775</v>
          </cell>
          <cell r="B1263">
            <v>3492.243896484375</v>
          </cell>
          <cell r="C1263">
            <v>3493.18603515625</v>
          </cell>
          <cell r="D1263">
            <v>3459.037109375</v>
          </cell>
          <cell r="E1263">
            <v>3464.410888671875</v>
          </cell>
          <cell r="F1263">
            <v>3.4644108886718752</v>
          </cell>
        </row>
        <row r="1264">
          <cell r="A1264">
            <v>45776</v>
          </cell>
          <cell r="B1264">
            <v>3456.860107421875</v>
          </cell>
          <cell r="C1264">
            <v>3477.823974609375</v>
          </cell>
          <cell r="D1264">
            <v>3447.597900390625</v>
          </cell>
          <cell r="E1264">
            <v>3465.864990234375</v>
          </cell>
          <cell r="F1264">
            <v>3.4658649902343752</v>
          </cell>
        </row>
        <row r="1265">
          <cell r="A1265">
            <v>45777</v>
          </cell>
          <cell r="B1265">
            <v>3475.26708984375</v>
          </cell>
          <cell r="C1265">
            <v>3495.93603515625</v>
          </cell>
          <cell r="D1265">
            <v>3462.75</v>
          </cell>
          <cell r="E1265">
            <v>3486.3349609375</v>
          </cell>
          <cell r="F1265">
            <v>3.4863349609375001</v>
          </cell>
        </row>
        <row r="1266">
          <cell r="A1266">
            <v>45783</v>
          </cell>
          <cell r="B1266">
            <v>3522.712890625</v>
          </cell>
          <cell r="C1266">
            <v>3549.27490234375</v>
          </cell>
          <cell r="D1266">
            <v>3512.93798828125</v>
          </cell>
          <cell r="E1266">
            <v>3546.846923828125</v>
          </cell>
          <cell r="F1266">
            <v>3.5468469238281251</v>
          </cell>
        </row>
        <row r="1267">
          <cell r="A1267">
            <v>45784</v>
          </cell>
          <cell r="B1267">
            <v>3596.3359375</v>
          </cell>
          <cell r="C1267">
            <v>3604.6240234375</v>
          </cell>
          <cell r="D1267">
            <v>3532.5029296875</v>
          </cell>
          <cell r="E1267">
            <v>3552.675048828125</v>
          </cell>
          <cell r="F1267">
            <v>3.5526750488281249</v>
          </cell>
        </row>
        <row r="1268">
          <cell r="A1268">
            <v>45785</v>
          </cell>
          <cell r="B1268">
            <v>3547.4169921875</v>
          </cell>
          <cell r="C1268">
            <v>3611.488037109375</v>
          </cell>
          <cell r="D1268">
            <v>3540.64697265625</v>
          </cell>
          <cell r="E1268">
            <v>3601.881103515625</v>
          </cell>
          <cell r="F1268">
            <v>3.6018811035156251</v>
          </cell>
        </row>
        <row r="1269">
          <cell r="A1269">
            <v>45786</v>
          </cell>
          <cell r="B1269">
            <v>3599.925048828125</v>
          </cell>
          <cell r="C1269">
            <v>3599.925048828125</v>
          </cell>
          <cell r="D1269">
            <v>3561.863037109375</v>
          </cell>
          <cell r="E1269">
            <v>3581.23388671875</v>
          </cell>
          <cell r="F1269">
            <v>3.5812338867187501</v>
          </cell>
        </row>
        <row r="1270">
          <cell r="A1270">
            <v>45789</v>
          </cell>
          <cell r="B1270">
            <v>3625.930908203125</v>
          </cell>
          <cell r="C1270">
            <v>3659.407958984375</v>
          </cell>
          <cell r="D1270">
            <v>3621.3330078125</v>
          </cell>
          <cell r="E1270">
            <v>3658.125</v>
          </cell>
          <cell r="F1270">
            <v>3.6581250000000001</v>
          </cell>
        </row>
        <row r="1271">
          <cell r="A1271">
            <v>45790</v>
          </cell>
          <cell r="B1271">
            <v>3702.826904296875</v>
          </cell>
          <cell r="C1271">
            <v>3702.826904296875</v>
          </cell>
          <cell r="D1271">
            <v>3644.10693359375</v>
          </cell>
          <cell r="E1271">
            <v>3648.554931640625</v>
          </cell>
          <cell r="F1271">
            <v>3.6485549316406249</v>
          </cell>
        </row>
        <row r="1272">
          <cell r="A1272">
            <v>45791</v>
          </cell>
          <cell r="B1272">
            <v>3645.56201171875</v>
          </cell>
          <cell r="C1272">
            <v>3679.27392578125</v>
          </cell>
          <cell r="D1272">
            <v>3628.714111328125</v>
          </cell>
          <cell r="E1272">
            <v>3658.8720703125</v>
          </cell>
          <cell r="F1272">
            <v>3.6588720703124999</v>
          </cell>
        </row>
        <row r="1273">
          <cell r="A1273">
            <v>45792</v>
          </cell>
          <cell r="B1273">
            <v>3651.904052734375</v>
          </cell>
          <cell r="C1273">
            <v>3651.904052734375</v>
          </cell>
          <cell r="D1273">
            <v>3603.81103515625</v>
          </cell>
          <cell r="E1273">
            <v>3603.93603515625</v>
          </cell>
          <cell r="F1273">
            <v>3.6039360351562499</v>
          </cell>
        </row>
        <row r="1274">
          <cell r="A1274">
            <v>45793</v>
          </cell>
          <cell r="B1274">
            <v>3590.2119140625</v>
          </cell>
          <cell r="C1274">
            <v>3640.48388671875</v>
          </cell>
          <cell r="D1274">
            <v>3590.2119140625</v>
          </cell>
          <cell r="E1274">
            <v>3620.427978515625</v>
          </cell>
          <cell r="F1274">
            <v>3.6204279785156248</v>
          </cell>
        </row>
        <row r="1275">
          <cell r="A1275">
            <v>45796</v>
          </cell>
          <cell r="B1275">
            <v>3618.555908203125</v>
          </cell>
          <cell r="C1275">
            <v>3622.160888671875</v>
          </cell>
          <cell r="D1275">
            <v>3584.532958984375</v>
          </cell>
          <cell r="E1275">
            <v>3618.33203125</v>
          </cell>
          <cell r="F1275">
            <v>3.61833203125</v>
          </cell>
        </row>
        <row r="1276">
          <cell r="A1276">
            <v>45797</v>
          </cell>
          <cell r="B1276">
            <v>3625.97412109375</v>
          </cell>
          <cell r="C1276">
            <v>3658.18310546875</v>
          </cell>
          <cell r="D1276">
            <v>3600.27587890625</v>
          </cell>
          <cell r="E1276">
            <v>3647.781005859375</v>
          </cell>
          <cell r="F1276">
            <v>3.6477810058593749</v>
          </cell>
        </row>
        <row r="1277">
          <cell r="A1277">
            <v>45798</v>
          </cell>
          <cell r="B1277">
            <v>3651.10693359375</v>
          </cell>
          <cell r="C1277">
            <v>3694.739990234375</v>
          </cell>
          <cell r="D1277">
            <v>3644.760009765625</v>
          </cell>
          <cell r="E1277">
            <v>3677.22705078125</v>
          </cell>
          <cell r="F1277">
            <v>3.6772270507812501</v>
          </cell>
        </row>
        <row r="1278">
          <cell r="A1278">
            <v>45799</v>
          </cell>
          <cell r="B1278">
            <v>3675.77490234375</v>
          </cell>
          <cell r="C1278">
            <v>3675.77490234375</v>
          </cell>
          <cell r="D1278">
            <v>3649.76611328125</v>
          </cell>
          <cell r="E1278">
            <v>3652.205078125</v>
          </cell>
          <cell r="F1278">
            <v>3.6522050781250002</v>
          </cell>
        </row>
        <row r="1279">
          <cell r="A1279">
            <v>45800</v>
          </cell>
          <cell r="B1279">
            <v>3649.10595703125</v>
          </cell>
          <cell r="C1279">
            <v>3690.39892578125</v>
          </cell>
          <cell r="D1279">
            <v>3628.491943359375</v>
          </cell>
          <cell r="E1279">
            <v>3628.491943359375</v>
          </cell>
          <cell r="F1279">
            <v>3.628491943359375</v>
          </cell>
        </row>
        <row r="1280">
          <cell r="A1280">
            <v>45803</v>
          </cell>
          <cell r="B1280">
            <v>3617.81103515625</v>
          </cell>
          <cell r="C1280">
            <v>3627.303955078125</v>
          </cell>
          <cell r="D1280">
            <v>3567.876953125</v>
          </cell>
          <cell r="E1280">
            <v>3586.455078125</v>
          </cell>
          <cell r="F1280">
            <v>3.5864550781250002</v>
          </cell>
        </row>
        <row r="1281">
          <cell r="A1281">
            <v>45804</v>
          </cell>
          <cell r="B1281">
            <v>3576.658935546875</v>
          </cell>
          <cell r="C1281">
            <v>3579.73095703125</v>
          </cell>
          <cell r="D1281">
            <v>3542.262939453125</v>
          </cell>
          <cell r="E1281">
            <v>3554.06005859375</v>
          </cell>
          <cell r="F1281">
            <v>3.5540600585937501</v>
          </cell>
        </row>
        <row r="1282">
          <cell r="A1282">
            <v>45805</v>
          </cell>
          <cell r="B1282">
            <v>3559.51708984375</v>
          </cell>
          <cell r="C1282">
            <v>3573.971923828125</v>
          </cell>
          <cell r="D1282">
            <v>3535.23388671875</v>
          </cell>
          <cell r="E1282">
            <v>3539.053955078125</v>
          </cell>
          <cell r="F1282">
            <v>3.539053955078125</v>
          </cell>
        </row>
        <row r="1283">
          <cell r="A1283">
            <v>45806</v>
          </cell>
          <cell r="B1283">
            <v>3537.702880859375</v>
          </cell>
          <cell r="C1283">
            <v>3591.825927734375</v>
          </cell>
          <cell r="D1283">
            <v>3532.110107421875</v>
          </cell>
          <cell r="E1283">
            <v>3579.14697265625</v>
          </cell>
          <cell r="F1283">
            <v>3.5791469726562499</v>
          </cell>
        </row>
        <row r="1284">
          <cell r="A1284">
            <v>45807</v>
          </cell>
          <cell r="B1284">
            <v>3560.510986328125</v>
          </cell>
          <cell r="C1284">
            <v>3560.510986328125</v>
          </cell>
          <cell r="D1284">
            <v>3523.68310546875</v>
          </cell>
          <cell r="E1284">
            <v>3533.09912109375</v>
          </cell>
          <cell r="F1284">
            <v>3.5330991210937501</v>
          </cell>
        </row>
        <row r="1285">
          <cell r="A1285">
            <v>45811</v>
          </cell>
          <cell r="B1285">
            <v>3522.02392578125</v>
          </cell>
          <cell r="C1285">
            <v>3543.568115234375</v>
          </cell>
          <cell r="D1285">
            <v>3520.111083984375</v>
          </cell>
          <cell r="E1285">
            <v>3526.166015625</v>
          </cell>
          <cell r="F1285">
            <v>3.5261660156249999</v>
          </cell>
        </row>
        <row r="1286">
          <cell r="A1286">
            <v>45812</v>
          </cell>
          <cell r="B1286">
            <v>3534.23388671875</v>
          </cell>
          <cell r="C1286">
            <v>3560.743896484375</v>
          </cell>
          <cell r="D1286">
            <v>3534.23388671875</v>
          </cell>
          <cell r="E1286">
            <v>3551.43408203125</v>
          </cell>
          <cell r="F1286">
            <v>3.5514340820312502</v>
          </cell>
        </row>
        <row r="1287">
          <cell r="A1287">
            <v>45813</v>
          </cell>
          <cell r="B1287">
            <v>3556.635009765625</v>
          </cell>
          <cell r="C1287">
            <v>3588.701904296875</v>
          </cell>
          <cell r="D1287">
            <v>3534.425048828125</v>
          </cell>
          <cell r="E1287">
            <v>3583.260009765625</v>
          </cell>
          <cell r="F1287">
            <v>3.5832600097656249</v>
          </cell>
        </row>
        <row r="1288">
          <cell r="A1288">
            <v>45814</v>
          </cell>
          <cell r="B1288">
            <v>3581.89697265625</v>
          </cell>
          <cell r="C1288">
            <v>3588.65087890625</v>
          </cell>
          <cell r="D1288">
            <v>3565.5029296875</v>
          </cell>
          <cell r="E1288">
            <v>3572.240966796875</v>
          </cell>
          <cell r="F1288">
            <v>3.5722409667968749</v>
          </cell>
        </row>
        <row r="1289">
          <cell r="A1289">
            <v>45817</v>
          </cell>
          <cell r="B1289">
            <v>3570.634033203125</v>
          </cell>
          <cell r="C1289">
            <v>3596.679931640625</v>
          </cell>
          <cell r="D1289">
            <v>3563.22509765625</v>
          </cell>
          <cell r="E1289">
            <v>3576.15087890625</v>
          </cell>
          <cell r="F1289">
            <v>3.5761508789062502</v>
          </cell>
        </row>
        <row r="1290">
          <cell r="A1290">
            <v>45818</v>
          </cell>
          <cell r="B1290">
            <v>3576.5458984375</v>
          </cell>
          <cell r="C1290">
            <v>3582.909912109375</v>
          </cell>
          <cell r="D1290">
            <v>3523.256103515625</v>
          </cell>
          <cell r="E1290">
            <v>3543.902099609375</v>
          </cell>
          <cell r="F1290">
            <v>3.5439020996093751</v>
          </cell>
        </row>
        <row r="1291">
          <cell r="A1291">
            <v>45819</v>
          </cell>
          <cell r="B1291">
            <v>3555.39990234375</v>
          </cell>
          <cell r="C1291">
            <v>3602.31201171875</v>
          </cell>
          <cell r="D1291">
            <v>3555.39990234375</v>
          </cell>
          <cell r="E1291">
            <v>3576.66796875</v>
          </cell>
          <cell r="F1291">
            <v>3.5766679687499998</v>
          </cell>
        </row>
        <row r="1292">
          <cell r="A1292">
            <v>45820</v>
          </cell>
          <cell r="B1292">
            <v>3555.950927734375</v>
          </cell>
          <cell r="C1292">
            <v>3568.77099609375</v>
          </cell>
          <cell r="D1292">
            <v>3540.7958984375</v>
          </cell>
          <cell r="E1292">
            <v>3552.903076171875</v>
          </cell>
          <cell r="F1292">
            <v>3.5529030761718752</v>
          </cell>
        </row>
        <row r="1293">
          <cell r="A1293">
            <v>45821</v>
          </cell>
          <cell r="B1293">
            <v>3532.48193359375</v>
          </cell>
          <cell r="C1293">
            <v>3550.0419921875</v>
          </cell>
          <cell r="D1293">
            <v>3505.325927734375</v>
          </cell>
          <cell r="E1293">
            <v>3521.006103515625</v>
          </cell>
          <cell r="F1293">
            <v>3.5210061035156248</v>
          </cell>
        </row>
        <row r="1294">
          <cell r="A1294">
            <v>45824</v>
          </cell>
          <cell r="B1294">
            <v>3514.916015625</v>
          </cell>
          <cell r="C1294">
            <v>3534.716064453125</v>
          </cell>
          <cell r="D1294">
            <v>3514.18701171875</v>
          </cell>
          <cell r="E1294">
            <v>3528.339111328125</v>
          </cell>
          <cell r="F1294">
            <v>3.5283391113281248</v>
          </cell>
        </row>
        <row r="1295">
          <cell r="A1295">
            <v>45825</v>
          </cell>
          <cell r="B1295">
            <v>3531.656982421875</v>
          </cell>
          <cell r="C1295">
            <v>3540.694091796875</v>
          </cell>
          <cell r="D1295">
            <v>3513.487060546875</v>
          </cell>
          <cell r="E1295">
            <v>3519.639892578125</v>
          </cell>
          <cell r="F1295">
            <v>3.5196398925781249</v>
          </cell>
        </row>
        <row r="1296">
          <cell r="A1296">
            <v>45826</v>
          </cell>
          <cell r="B1296">
            <v>3518.9130859375</v>
          </cell>
          <cell r="C1296">
            <v>3542.677001953125</v>
          </cell>
          <cell r="D1296">
            <v>3513.85107421875</v>
          </cell>
          <cell r="E1296">
            <v>3536.780029296875</v>
          </cell>
          <cell r="F1296">
            <v>3.536780029296875</v>
          </cell>
        </row>
        <row r="1297">
          <cell r="A1297">
            <v>45827</v>
          </cell>
          <cell r="B1297">
            <v>3529.30908203125</v>
          </cell>
          <cell r="C1297">
            <v>3544.361083984375</v>
          </cell>
          <cell r="D1297">
            <v>3487.969970703125</v>
          </cell>
          <cell r="E1297">
            <v>3495.7529296875</v>
          </cell>
          <cell r="F1297">
            <v>3.4957529296874998</v>
          </cell>
        </row>
        <row r="1298">
          <cell r="A1298">
            <v>45828</v>
          </cell>
          <cell r="B1298">
            <v>3490.376953125</v>
          </cell>
          <cell r="C1298">
            <v>3507.2880859375</v>
          </cell>
          <cell r="D1298">
            <v>3474.570068359375</v>
          </cell>
          <cell r="E1298">
            <v>3478.81494140625</v>
          </cell>
          <cell r="F1298">
            <v>3.4788149414062501</v>
          </cell>
        </row>
        <row r="1299">
          <cell r="A1299">
            <v>45831</v>
          </cell>
          <cell r="B1299">
            <v>3457.52490234375</v>
          </cell>
          <cell r="C1299">
            <v>3498.7509765625</v>
          </cell>
          <cell r="D1299">
            <v>3456.31005859375</v>
          </cell>
          <cell r="E1299">
            <v>3491.48291015625</v>
          </cell>
          <cell r="F1299">
            <v>3.4914829101562499</v>
          </cell>
        </row>
        <row r="1300">
          <cell r="A1300">
            <v>45832</v>
          </cell>
          <cell r="B1300">
            <v>3505.760009765625</v>
          </cell>
          <cell r="C1300">
            <v>3568.568115234375</v>
          </cell>
          <cell r="D1300">
            <v>3505.760009765625</v>
          </cell>
          <cell r="E1300">
            <v>3562.825927734375</v>
          </cell>
          <cell r="F1300">
            <v>3.5628259277343748</v>
          </cell>
        </row>
        <row r="1301">
          <cell r="A1301">
            <v>45833</v>
          </cell>
          <cell r="B1301">
            <v>3573.4970703125</v>
          </cell>
          <cell r="C1301">
            <v>3654.133056640625</v>
          </cell>
          <cell r="D1301">
            <v>3573.4970703125</v>
          </cell>
          <cell r="E1301">
            <v>3648.114990234375</v>
          </cell>
          <cell r="F1301">
            <v>3.648114990234375</v>
          </cell>
        </row>
        <row r="1302">
          <cell r="A1302">
            <v>45834</v>
          </cell>
          <cell r="B1302">
            <v>3643.1630859375</v>
          </cell>
          <cell r="C1302">
            <v>3659.532958984375</v>
          </cell>
          <cell r="D1302">
            <v>3609.261962890625</v>
          </cell>
          <cell r="E1302">
            <v>3610.52197265625</v>
          </cell>
          <cell r="F1302">
            <v>3.6105219726562501</v>
          </cell>
        </row>
        <row r="1303">
          <cell r="A1303">
            <v>45835</v>
          </cell>
          <cell r="B1303">
            <v>3625.077880859375</v>
          </cell>
          <cell r="C1303">
            <v>3648.985107421875</v>
          </cell>
          <cell r="D1303">
            <v>3608.135986328125</v>
          </cell>
          <cell r="E1303">
            <v>3614.89599609375</v>
          </cell>
          <cell r="F1303">
            <v>3.6148959960937499</v>
          </cell>
        </row>
        <row r="1304">
          <cell r="A1304">
            <v>45838</v>
          </cell>
          <cell r="B1304">
            <v>3620.114990234375</v>
          </cell>
          <cell r="C1304">
            <v>3651.708984375</v>
          </cell>
          <cell r="D1304">
            <v>3619.94091796875</v>
          </cell>
          <cell r="E1304">
            <v>3649.43701171875</v>
          </cell>
          <cell r="F1304">
            <v>3.6494370117187498</v>
          </cell>
        </row>
        <row r="1305">
          <cell r="A1305">
            <v>45839</v>
          </cell>
          <cell r="B1305">
            <v>3645.27587890625</v>
          </cell>
          <cell r="C1305">
            <v>3649.60400390625</v>
          </cell>
          <cell r="D1305">
            <v>3622.637939453125</v>
          </cell>
          <cell r="E1305">
            <v>3643.972900390625</v>
          </cell>
          <cell r="F1305">
            <v>3.6439729003906249</v>
          </cell>
        </row>
        <row r="1306">
          <cell r="A1306">
            <v>45840</v>
          </cell>
          <cell r="B1306">
            <v>3638.675048828125</v>
          </cell>
          <cell r="C1306">
            <v>3638.675048828125</v>
          </cell>
          <cell r="D1306">
            <v>3600.699951171875</v>
          </cell>
          <cell r="E1306">
            <v>3607.09912109375</v>
          </cell>
          <cell r="F1306">
            <v>3.60709912109375</v>
          </cell>
        </row>
        <row r="1307">
          <cell r="A1307">
            <v>45841</v>
          </cell>
          <cell r="B1307">
            <v>3614.35107421875</v>
          </cell>
          <cell r="C1307">
            <v>3667.044921875</v>
          </cell>
          <cell r="D1307">
            <v>3613.653076171875</v>
          </cell>
          <cell r="E1307">
            <v>3663.990966796875</v>
          </cell>
          <cell r="F1307">
            <v>3.6639909667968751</v>
          </cell>
        </row>
        <row r="1308">
          <cell r="A1308">
            <v>45842</v>
          </cell>
          <cell r="B1308">
            <v>3665.33203125</v>
          </cell>
          <cell r="C1308">
            <v>3698.782958984375</v>
          </cell>
          <cell r="D1308">
            <v>3640.530029296875</v>
          </cell>
          <cell r="E1308">
            <v>3655.169921875</v>
          </cell>
          <cell r="F1308">
            <v>3.6551699218749998</v>
          </cell>
        </row>
        <row r="1309">
          <cell r="A1309">
            <v>45845</v>
          </cell>
          <cell r="B1309">
            <v>3645.708984375</v>
          </cell>
          <cell r="C1309">
            <v>3653.280029296875</v>
          </cell>
          <cell r="D1309">
            <v>3606.8291015625</v>
          </cell>
          <cell r="E1309">
            <v>3611.051025390625</v>
          </cell>
          <cell r="F1309">
            <v>3.6110510253906249</v>
          </cell>
        </row>
        <row r="1310">
          <cell r="A1310">
            <v>45846</v>
          </cell>
          <cell r="B1310">
            <v>3609.215087890625</v>
          </cell>
          <cell r="C1310">
            <v>3671.116943359375</v>
          </cell>
          <cell r="D1310">
            <v>3608.430908203125</v>
          </cell>
          <cell r="E1310">
            <v>3664.83203125</v>
          </cell>
          <cell r="F1310">
            <v>3.66483203125</v>
          </cell>
        </row>
        <row r="1311">
          <cell r="A1311">
            <v>45847</v>
          </cell>
          <cell r="B1311">
            <v>3661.971923828125</v>
          </cell>
          <cell r="C1311">
            <v>3690.4208984375</v>
          </cell>
          <cell r="D1311">
            <v>3656.06591796875</v>
          </cell>
          <cell r="E1311">
            <v>3663.4609375</v>
          </cell>
          <cell r="F1311">
            <v>3.6634609375</v>
          </cell>
        </row>
        <row r="1312">
          <cell r="A1312">
            <v>45848</v>
          </cell>
          <cell r="B1312">
            <v>3671.943115234375</v>
          </cell>
          <cell r="C1312">
            <v>3686.9970703125</v>
          </cell>
          <cell r="D1312">
            <v>3650.48193359375</v>
          </cell>
          <cell r="E1312">
            <v>3673.443115234375</v>
          </cell>
          <cell r="F1312">
            <v>3.6734431152343752</v>
          </cell>
        </row>
        <row r="1313">
          <cell r="A1313">
            <v>45849</v>
          </cell>
          <cell r="B1313">
            <v>3672.27294921875</v>
          </cell>
          <cell r="C1313">
            <v>3723.6689453125</v>
          </cell>
          <cell r="D1313">
            <v>3665.9609375</v>
          </cell>
          <cell r="E1313">
            <v>3700.347900390625</v>
          </cell>
          <cell r="F1313">
            <v>3.700347900390625</v>
          </cell>
        </row>
        <row r="1314">
          <cell r="A1314">
            <v>45852</v>
          </cell>
          <cell r="B1314">
            <v>3704.18505859375</v>
          </cell>
          <cell r="C1314">
            <v>3704.18505859375</v>
          </cell>
          <cell r="D1314">
            <v>3682.444091796875</v>
          </cell>
          <cell r="E1314">
            <v>3694.748046875</v>
          </cell>
          <cell r="F1314">
            <v>3.694748046875</v>
          </cell>
        </row>
        <row r="1315">
          <cell r="A1315">
            <v>45853</v>
          </cell>
          <cell r="B1315">
            <v>3697.404052734375</v>
          </cell>
          <cell r="C1315">
            <v>3745.27294921875</v>
          </cell>
          <cell r="D1315">
            <v>3693.737060546875</v>
          </cell>
          <cell r="E1315">
            <v>3731.594970703125</v>
          </cell>
          <cell r="F1315">
            <v>3.7315949707031248</v>
          </cell>
        </row>
        <row r="1316">
          <cell r="A1316">
            <v>45854</v>
          </cell>
          <cell r="B1316">
            <v>3737.81689453125</v>
          </cell>
          <cell r="C1316">
            <v>3750.341064453125</v>
          </cell>
          <cell r="D1316">
            <v>3711.885009765625</v>
          </cell>
          <cell r="E1316">
            <v>3718.080078125</v>
          </cell>
          <cell r="F1316">
            <v>3.7180800781249999</v>
          </cell>
        </row>
        <row r="1317">
          <cell r="A1317">
            <v>45855</v>
          </cell>
          <cell r="B1317">
            <v>3718.51904296875</v>
          </cell>
          <cell r="C1317">
            <v>3759.678955078125</v>
          </cell>
          <cell r="D1317">
            <v>3716.5419921875</v>
          </cell>
          <cell r="E1317">
            <v>3759.678955078125</v>
          </cell>
          <cell r="F1317">
            <v>3.7596789550781251</v>
          </cell>
        </row>
        <row r="1318">
          <cell r="A1318">
            <v>45856</v>
          </cell>
          <cell r="B1318">
            <v>3779.02392578125</v>
          </cell>
          <cell r="C1318">
            <v>3796.51904296875</v>
          </cell>
          <cell r="D1318">
            <v>3756.533935546875</v>
          </cell>
          <cell r="E1318">
            <v>3783.2509765625</v>
          </cell>
          <cell r="F1318">
            <v>3.7832509765625</v>
          </cell>
        </row>
        <row r="1319">
          <cell r="A1319">
            <v>45859</v>
          </cell>
          <cell r="B1319">
            <v>3793.256103515625</v>
          </cell>
          <cell r="C1319">
            <v>3817.676025390625</v>
          </cell>
          <cell r="D1319">
            <v>3782.514892578125</v>
          </cell>
          <cell r="E1319">
            <v>3817.66796875</v>
          </cell>
          <cell r="F1319">
            <v>3.8176679687499999</v>
          </cell>
        </row>
        <row r="1320">
          <cell r="A1320">
            <v>45860</v>
          </cell>
          <cell r="B1320">
            <v>3816.37890625</v>
          </cell>
          <cell r="C1320">
            <v>3842.864990234375</v>
          </cell>
          <cell r="D1320">
            <v>3803.9189453125</v>
          </cell>
          <cell r="E1320">
            <v>3842.864990234375</v>
          </cell>
          <cell r="F1320">
            <v>3.842864990234375</v>
          </cell>
        </row>
        <row r="1321">
          <cell r="A1321">
            <v>45861</v>
          </cell>
          <cell r="B1321">
            <v>3840.5400390625</v>
          </cell>
          <cell r="C1321">
            <v>3872.64404296875</v>
          </cell>
          <cell r="D1321">
            <v>3832.31298828125</v>
          </cell>
          <cell r="E1321">
            <v>3840.35595703125</v>
          </cell>
          <cell r="F1321">
            <v>3.84035595703125</v>
          </cell>
        </row>
        <row r="1322">
          <cell r="A1322">
            <v>45862</v>
          </cell>
          <cell r="B1322">
            <v>3849.027099609375</v>
          </cell>
          <cell r="C1322">
            <v>3880.822021484375</v>
          </cell>
          <cell r="D1322">
            <v>3848.051025390625</v>
          </cell>
          <cell r="E1322">
            <v>3880.822021484375</v>
          </cell>
          <cell r="F1322">
            <v>3.8808220214843749</v>
          </cell>
        </row>
        <row r="1323">
          <cell r="A1323">
            <v>45863</v>
          </cell>
          <cell r="B1323">
            <v>3880.93408203125</v>
          </cell>
          <cell r="C1323">
            <v>3880.93408203125</v>
          </cell>
          <cell r="D1323">
            <v>3850.283935546875</v>
          </cell>
          <cell r="E1323">
            <v>3863.4951171875</v>
          </cell>
          <cell r="F1323">
            <v>3.8634951171875</v>
          </cell>
        </row>
        <row r="1324">
          <cell r="A1324">
            <v>45866</v>
          </cell>
          <cell r="B1324">
            <v>3872.217041015625</v>
          </cell>
          <cell r="C1324">
            <v>3897.986083984375</v>
          </cell>
          <cell r="D1324">
            <v>3855.345947265625</v>
          </cell>
          <cell r="E1324">
            <v>3892.238037109375</v>
          </cell>
          <cell r="F1324">
            <v>3.892238037109375</v>
          </cell>
        </row>
        <row r="1325">
          <cell r="A1325">
            <v>45867</v>
          </cell>
          <cell r="B1325">
            <v>3887.384033203125</v>
          </cell>
          <cell r="C1325">
            <v>3926.489013671875</v>
          </cell>
          <cell r="D1325">
            <v>3873.347900390625</v>
          </cell>
          <cell r="E1325">
            <v>3926.071044921875</v>
          </cell>
          <cell r="F1325">
            <v>3.926071044921875</v>
          </cell>
        </row>
        <row r="1326">
          <cell r="A1326">
            <v>45868</v>
          </cell>
          <cell r="B1326">
            <v>3914.1630859375</v>
          </cell>
          <cell r="C1326">
            <v>3918.85498046875</v>
          </cell>
          <cell r="D1326">
            <v>3845.071044921875</v>
          </cell>
          <cell r="E1326">
            <v>3869.27197265625</v>
          </cell>
          <cell r="F1326">
            <v>3.8692719726562501</v>
          </cell>
        </row>
        <row r="1327">
          <cell r="A1327">
            <v>45869</v>
          </cell>
          <cell r="B1327">
            <v>3881.3759765625</v>
          </cell>
          <cell r="C1327">
            <v>3890.73193359375</v>
          </cell>
          <cell r="D1327">
            <v>3787.43505859375</v>
          </cell>
          <cell r="E1327">
            <v>3798.739990234375</v>
          </cell>
          <cell r="F1327">
            <v>3.7987399902343748</v>
          </cell>
        </row>
        <row r="1328">
          <cell r="A1328">
            <v>45870</v>
          </cell>
          <cell r="B1328">
            <v>3794.2900390625</v>
          </cell>
          <cell r="C1328">
            <v>3823.7900390625</v>
          </cell>
          <cell r="D1328">
            <v>3768.384033203125</v>
          </cell>
          <cell r="E1328">
            <v>3795.343994140625</v>
          </cell>
          <cell r="F1328">
            <v>3.7953439941406248</v>
          </cell>
        </row>
        <row r="1329">
          <cell r="A1329">
            <v>45873</v>
          </cell>
          <cell r="B1329">
            <v>3770.27001953125</v>
          </cell>
          <cell r="C1329">
            <v>3816.139892578125</v>
          </cell>
          <cell r="D1329">
            <v>3769.81591796875</v>
          </cell>
          <cell r="E1329">
            <v>3816.139892578125</v>
          </cell>
          <cell r="F1329">
            <v>3.8161398925781249</v>
          </cell>
        </row>
        <row r="1330">
          <cell r="A1330">
            <v>45874</v>
          </cell>
          <cell r="B1330">
            <v>3831.327880859375</v>
          </cell>
          <cell r="C1330">
            <v>3841.6298828125</v>
          </cell>
          <cell r="D1330">
            <v>3808.291015625</v>
          </cell>
          <cell r="E1330">
            <v>3837.50390625</v>
          </cell>
          <cell r="F1330">
            <v>3.8375039062499998</v>
          </cell>
        </row>
        <row r="1331">
          <cell r="A1331">
            <v>45875</v>
          </cell>
          <cell r="B1331">
            <v>3831.52099609375</v>
          </cell>
          <cell r="C1331">
            <v>3861.763916015625</v>
          </cell>
          <cell r="D1331">
            <v>3830.35595703125</v>
          </cell>
          <cell r="E1331">
            <v>3859.820068359375</v>
          </cell>
          <cell r="F1331">
            <v>3.8598200683593751</v>
          </cell>
        </row>
        <row r="1332">
          <cell r="A1332">
            <v>45876</v>
          </cell>
          <cell r="B1332">
            <v>3864.219970703125</v>
          </cell>
          <cell r="C1332">
            <v>3879.908935546875</v>
          </cell>
          <cell r="D1332">
            <v>3826.2080078125</v>
          </cell>
          <cell r="E1332">
            <v>3844.7919921875</v>
          </cell>
          <cell r="F1332">
            <v>3.8447919921875</v>
          </cell>
        </row>
        <row r="1333">
          <cell r="A1333">
            <v>45877</v>
          </cell>
          <cell r="B1333">
            <v>3838.69091796875</v>
          </cell>
          <cell r="C1333">
            <v>3860.382080078125</v>
          </cell>
          <cell r="D1333">
            <v>3831.19189453125</v>
          </cell>
          <cell r="E1333">
            <v>3834.821044921875</v>
          </cell>
          <cell r="F1333">
            <v>3.8348210449218749</v>
          </cell>
        </row>
        <row r="1334">
          <cell r="A1334">
            <v>45880</v>
          </cell>
          <cell r="B1334">
            <v>3839.047119140625</v>
          </cell>
          <cell r="C1334">
            <v>3896.0830078125</v>
          </cell>
          <cell r="D1334">
            <v>3839.047119140625</v>
          </cell>
          <cell r="E1334">
            <v>3888.264892578125</v>
          </cell>
          <cell r="F1334">
            <v>3.8882648925781251</v>
          </cell>
        </row>
        <row r="1335">
          <cell r="A1335">
            <v>45881</v>
          </cell>
          <cell r="B1335">
            <v>3890.333984375</v>
          </cell>
          <cell r="C1335">
            <v>3922.625</v>
          </cell>
          <cell r="D1335">
            <v>3867.699951171875</v>
          </cell>
          <cell r="E1335">
            <v>3922.625</v>
          </cell>
          <cell r="F1335">
            <v>3.922625</v>
          </cell>
        </row>
        <row r="1336">
          <cell r="A1336">
            <v>45882</v>
          </cell>
          <cell r="B1336">
            <v>3933.299072265625</v>
          </cell>
          <cell r="C1336">
            <v>4017.971923828125</v>
          </cell>
          <cell r="D1336">
            <v>3931.489990234375</v>
          </cell>
          <cell r="E1336">
            <v>4014.443115234375</v>
          </cell>
          <cell r="F1336">
            <v>4.0144431152343749</v>
          </cell>
        </row>
        <row r="1337">
          <cell r="A1337">
            <v>45883</v>
          </cell>
          <cell r="B1337">
            <v>4025.239013671875</v>
          </cell>
          <cell r="C1337">
            <v>4055.324951171875</v>
          </cell>
          <cell r="D1337">
            <v>3988.3720703125</v>
          </cell>
          <cell r="E1337">
            <v>4003.837890625</v>
          </cell>
          <cell r="F1337">
            <v>4.0038378906250003</v>
          </cell>
        </row>
        <row r="1338">
          <cell r="A1338">
            <v>45884</v>
          </cell>
          <cell r="B1338">
            <v>3994.889892578125</v>
          </cell>
          <cell r="C1338">
            <v>4087.48291015625</v>
          </cell>
          <cell r="D1338">
            <v>3994.889892578125</v>
          </cell>
          <cell r="E1338">
            <v>4076.593994140625</v>
          </cell>
          <cell r="F1338">
            <v>4.0765939941406248</v>
          </cell>
        </row>
        <row r="1339">
          <cell r="A1339">
            <v>45887</v>
          </cell>
          <cell r="B1339">
            <v>4098.05322265625</v>
          </cell>
          <cell r="C1339">
            <v>4211.26318359375</v>
          </cell>
          <cell r="D1339">
            <v>4082.158935546875</v>
          </cell>
          <cell r="E1339">
            <v>4174.7529296875</v>
          </cell>
          <cell r="F1339">
            <v>4.1747529296875001</v>
          </cell>
        </row>
        <row r="1340">
          <cell r="A1340">
            <v>45888</v>
          </cell>
          <cell r="B1340">
            <v>4173.455078125</v>
          </cell>
          <cell r="C1340">
            <v>4197.68115234375</v>
          </cell>
          <cell r="D1340">
            <v>4139.19921875</v>
          </cell>
          <cell r="E1340">
            <v>4157.1162109375</v>
          </cell>
          <cell r="F1340">
            <v>4.1571162109374997</v>
          </cell>
        </row>
        <row r="1341">
          <cell r="A1341">
            <v>45889</v>
          </cell>
          <cell r="B1341">
            <v>4126.7568359375</v>
          </cell>
          <cell r="C1341">
            <v>4197.14306640625</v>
          </cell>
          <cell r="D1341">
            <v>4094.60009765625</v>
          </cell>
          <cell r="E1341">
            <v>4197.14306640625</v>
          </cell>
          <cell r="F1341">
            <v>4.1971430664062499</v>
          </cell>
        </row>
        <row r="1342">
          <cell r="A1342">
            <v>45890</v>
          </cell>
          <cell r="B1342">
            <v>4220.5048828125</v>
          </cell>
          <cell r="C1342">
            <v>4238.68994140625</v>
          </cell>
          <cell r="D1342">
            <v>4168.8310546875</v>
          </cell>
          <cell r="E1342">
            <v>4187.89892578125</v>
          </cell>
          <cell r="F1342">
            <v>4.1878989257812496</v>
          </cell>
        </row>
        <row r="1343">
          <cell r="A1343">
            <v>45891</v>
          </cell>
          <cell r="B1343">
            <v>4181.55810546875</v>
          </cell>
          <cell r="C1343">
            <v>4313.9541015625</v>
          </cell>
          <cell r="D1343">
            <v>4181.55810546875</v>
          </cell>
          <cell r="E1343">
            <v>4313.9541015625</v>
          </cell>
          <cell r="F1343">
            <v>4.3139541015624996</v>
          </cell>
        </row>
        <row r="1344">
          <cell r="A1344">
            <v>45894</v>
          </cell>
          <cell r="B1344">
            <v>4366.55419921875</v>
          </cell>
          <cell r="C1344">
            <v>4427.412109375</v>
          </cell>
          <cell r="D1344">
            <v>4335.02490234375</v>
          </cell>
          <cell r="E1344">
            <v>4405.60986328125</v>
          </cell>
          <cell r="F1344">
            <v>4.4056098632812501</v>
          </cell>
        </row>
        <row r="1345">
          <cell r="A1345">
            <v>45895</v>
          </cell>
          <cell r="B1345">
            <v>4377.86279296875</v>
          </cell>
          <cell r="C1345">
            <v>4427.1328125</v>
          </cell>
          <cell r="D1345">
            <v>4356.14892578125</v>
          </cell>
          <cell r="E1345">
            <v>4394.5322265625</v>
          </cell>
          <cell r="F1345">
            <v>4.3945322265625002</v>
          </cell>
        </row>
        <row r="1346">
          <cell r="A1346">
            <v>45896</v>
          </cell>
          <cell r="B1346">
            <v>4407.9609375</v>
          </cell>
          <cell r="C1346">
            <v>4492.48779296875</v>
          </cell>
          <cell r="D1346">
            <v>4350.4267578125</v>
          </cell>
          <cell r="E1346">
            <v>4350.4609375</v>
          </cell>
          <cell r="F1346">
            <v>4.3504609375000003</v>
          </cell>
        </row>
        <row r="1347">
          <cell r="A1347">
            <v>45897</v>
          </cell>
          <cell r="B1347">
            <v>4332.1279296875</v>
          </cell>
          <cell r="C1347">
            <v>4455.5419921875</v>
          </cell>
          <cell r="D1347">
            <v>4327.8681640625</v>
          </cell>
          <cell r="E1347">
            <v>4455.5419921875</v>
          </cell>
          <cell r="F1347">
            <v>4.4555419921875004</v>
          </cell>
        </row>
        <row r="1348">
          <cell r="A1348">
            <v>45898</v>
          </cell>
          <cell r="B1348">
            <v>4450.80078125</v>
          </cell>
          <cell r="C1348">
            <v>4593.9140625</v>
          </cell>
          <cell r="D1348">
            <v>4422.94921875</v>
          </cell>
          <cell r="E1348">
            <v>4537.94482421875</v>
          </cell>
          <cell r="F1348">
            <v>4.5379448242187497</v>
          </cell>
        </row>
        <row r="1349">
          <cell r="A1349">
            <v>45901</v>
          </cell>
          <cell r="B1349">
            <v>4568.5341796875</v>
          </cell>
          <cell r="C1349">
            <v>4604.673828125</v>
          </cell>
          <cell r="D1349">
            <v>4533.5517578125</v>
          </cell>
          <cell r="E1349">
            <v>4603.94287109375</v>
          </cell>
          <cell r="F1349">
            <v>4.60394287109375</v>
          </cell>
        </row>
        <row r="1350">
          <cell r="A1350">
            <v>45902</v>
          </cell>
          <cell r="B1350">
            <v>4594.89306640625</v>
          </cell>
          <cell r="C1350">
            <v>4622.037109375</v>
          </cell>
          <cell r="D1350">
            <v>4464.365234375</v>
          </cell>
          <cell r="E1350">
            <v>4505.26513671875</v>
          </cell>
          <cell r="F1350">
            <v>4.5052651367187497</v>
          </cell>
        </row>
        <row r="1351">
          <cell r="A1351">
            <v>45903</v>
          </cell>
          <cell r="B1351">
            <v>4524.47021484375</v>
          </cell>
          <cell r="C1351">
            <v>4561.39306640625</v>
          </cell>
          <cell r="D1351">
            <v>4467.47412109375</v>
          </cell>
          <cell r="E1351">
            <v>4515.4091796875</v>
          </cell>
          <cell r="F1351">
            <v>4.5154091796875004</v>
          </cell>
        </row>
        <row r="1352">
          <cell r="A1352">
            <v>45904</v>
          </cell>
          <cell r="B1352">
            <v>4543.083984375</v>
          </cell>
          <cell r="C1352">
            <v>4574.67919921875</v>
          </cell>
          <cell r="D1352">
            <v>4299.494140625</v>
          </cell>
          <cell r="E1352">
            <v>4355.9638671875</v>
          </cell>
          <cell r="F1352">
            <v>4.3559638671874996</v>
          </cell>
        </row>
        <row r="1353">
          <cell r="A1353">
            <v>45905</v>
          </cell>
          <cell r="B1353">
            <v>4363.6630859375</v>
          </cell>
          <cell r="C1353">
            <v>4562.26318359375</v>
          </cell>
          <cell r="D1353">
            <v>4349.93212890625</v>
          </cell>
          <cell r="E1353">
            <v>4556.74609375</v>
          </cell>
          <cell r="F1353">
            <v>4.5567460937500002</v>
          </cell>
        </row>
        <row r="1354">
          <cell r="A1354">
            <v>45908</v>
          </cell>
          <cell r="B1354">
            <v>4576.3798828125</v>
          </cell>
          <cell r="C1354">
            <v>4606.60498046875</v>
          </cell>
          <cell r="D1354">
            <v>4521.751953125</v>
          </cell>
          <cell r="E1354">
            <v>4585.6767578125</v>
          </cell>
          <cell r="F1354">
            <v>4.5856767578125002</v>
          </cell>
        </row>
        <row r="1355">
          <cell r="A1355">
            <v>45909</v>
          </cell>
          <cell r="B1355">
            <v>4550.2529296875</v>
          </cell>
          <cell r="C1355">
            <v>4570.39501953125</v>
          </cell>
          <cell r="D1355">
            <v>4470.61083984375</v>
          </cell>
          <cell r="E1355">
            <v>4494.52587890625</v>
          </cell>
          <cell r="F1355">
            <v>4.4945258789062503</v>
          </cell>
        </row>
        <row r="1356">
          <cell r="A1356">
            <v>45910</v>
          </cell>
          <cell r="B1356">
            <v>4502.4111328125</v>
          </cell>
          <cell r="C1356">
            <v>4549.59521484375</v>
          </cell>
          <cell r="D1356">
            <v>4474.02490234375</v>
          </cell>
          <cell r="E1356">
            <v>4521.88818359375</v>
          </cell>
          <cell r="F1356">
            <v>4.5218881835937497</v>
          </cell>
        </row>
        <row r="1357">
          <cell r="A1357">
            <v>45911</v>
          </cell>
          <cell r="B1357">
            <v>4527.298828125</v>
          </cell>
          <cell r="C1357">
            <v>4685.68310546875</v>
          </cell>
          <cell r="D1357">
            <v>4495.130859375</v>
          </cell>
          <cell r="E1357">
            <v>4685.68310546875</v>
          </cell>
          <cell r="F1357">
            <v>4.6856831054687502</v>
          </cell>
        </row>
        <row r="1358">
          <cell r="A1358">
            <v>45912</v>
          </cell>
          <cell r="B1358">
            <v>4669.537109375</v>
          </cell>
          <cell r="C1358">
            <v>4713.10888671875</v>
          </cell>
          <cell r="D1358">
            <v>4646.84716796875</v>
          </cell>
          <cell r="E1358">
            <v>4647.26806640625</v>
          </cell>
          <cell r="F1358">
            <v>4.6472680664062498</v>
          </cell>
        </row>
        <row r="1359">
          <cell r="A1359">
            <v>45915</v>
          </cell>
          <cell r="B1359">
            <v>4702.67919921875</v>
          </cell>
          <cell r="C1359">
            <v>4784.35498046875</v>
          </cell>
          <cell r="D1359">
            <v>4693.48388671875</v>
          </cell>
          <cell r="E1359">
            <v>4720.708984375</v>
          </cell>
          <cell r="F1359">
            <v>4.7207089843750003</v>
          </cell>
        </row>
        <row r="1360">
          <cell r="A1360">
            <v>45916</v>
          </cell>
          <cell r="B1360">
            <v>4722.7548828125</v>
          </cell>
          <cell r="C1360">
            <v>4762.72900390625</v>
          </cell>
          <cell r="D1360">
            <v>4675.52783203125</v>
          </cell>
          <cell r="E1360">
            <v>4756.94921875</v>
          </cell>
          <cell r="F1360">
            <v>4.75694921875</v>
          </cell>
        </row>
        <row r="1361">
          <cell r="A1361">
            <v>45917</v>
          </cell>
          <cell r="B1361">
            <v>4761.9638671875</v>
          </cell>
          <cell r="C1361">
            <v>4862.23486328125</v>
          </cell>
          <cell r="D1361">
            <v>4745.76708984375</v>
          </cell>
          <cell r="E1361">
            <v>4853.43310546875</v>
          </cell>
          <cell r="F1361">
            <v>4.8534331054687501</v>
          </cell>
        </row>
        <row r="1362">
          <cell r="A1362">
            <v>45918</v>
          </cell>
          <cell r="B1362">
            <v>4839.5517578125</v>
          </cell>
          <cell r="C1362">
            <v>4927.35205078125</v>
          </cell>
          <cell r="D1362">
            <v>4761.69091796875</v>
          </cell>
          <cell r="E1362">
            <v>4831.673828125</v>
          </cell>
          <cell r="F1362">
            <v>4.831673828125</v>
          </cell>
        </row>
        <row r="1363">
          <cell r="A1363">
            <v>45919</v>
          </cell>
          <cell r="B1363">
            <v>4826.06298828125</v>
          </cell>
          <cell r="C1363">
            <v>4867.9658203125</v>
          </cell>
          <cell r="D1363">
            <v>4787.8779296875</v>
          </cell>
          <cell r="E1363">
            <v>4810.31396484375</v>
          </cell>
          <cell r="F1363">
            <v>4.8103139648437496</v>
          </cell>
        </row>
        <row r="1364">
          <cell r="A1364">
            <v>45922</v>
          </cell>
          <cell r="B1364">
            <v>4823.7568359375</v>
          </cell>
          <cell r="C1364">
            <v>4859.26318359375</v>
          </cell>
          <cell r="D1364">
            <v>4785.330078125</v>
          </cell>
          <cell r="E1364">
            <v>4859.26318359375</v>
          </cell>
          <cell r="F1364">
            <v>4.8592631835937503</v>
          </cell>
        </row>
        <row r="1365">
          <cell r="A1365">
            <v>45923</v>
          </cell>
          <cell r="B1365">
            <v>4896.8681640625</v>
          </cell>
          <cell r="C1365">
            <v>4931.203125</v>
          </cell>
          <cell r="D1365">
            <v>4769.18115234375</v>
          </cell>
          <cell r="E1365">
            <v>4867.81103515625</v>
          </cell>
          <cell r="F1365">
            <v>4.86781103515625</v>
          </cell>
        </row>
        <row r="1366">
          <cell r="A1366">
            <v>45924</v>
          </cell>
          <cell r="B1366">
            <v>4842.8271484375</v>
          </cell>
          <cell r="C1366">
            <v>4979.001953125</v>
          </cell>
          <cell r="D1366">
            <v>4830.4072265625</v>
          </cell>
          <cell r="E1366">
            <v>4979.001953125</v>
          </cell>
          <cell r="F1366">
            <v>4.9790019531249996</v>
          </cell>
        </row>
        <row r="1367">
          <cell r="A1367">
            <v>45925</v>
          </cell>
          <cell r="B1367">
            <v>4966.55908203125</v>
          </cell>
          <cell r="C1367">
            <v>5086.27783203125</v>
          </cell>
          <cell r="D1367">
            <v>4953.06298828125</v>
          </cell>
          <cell r="E1367">
            <v>5047.5322265625</v>
          </cell>
          <cell r="F1367">
            <v>5.0475322265624998</v>
          </cell>
        </row>
        <row r="1368">
          <cell r="A1368">
            <v>45926</v>
          </cell>
          <cell r="B1368">
            <v>5026.1640625</v>
          </cell>
          <cell r="C1368">
            <v>5060.22607421875</v>
          </cell>
          <cell r="D1368">
            <v>4935.95703125</v>
          </cell>
          <cell r="E1368">
            <v>4937.31201171875</v>
          </cell>
          <cell r="F1368">
            <v>4.9373120117187499</v>
          </cell>
        </row>
        <row r="1369">
          <cell r="A1369">
            <v>45929</v>
          </cell>
          <cell r="B1369">
            <v>4961.94091796875</v>
          </cell>
          <cell r="C1369">
            <v>5072.408203125</v>
          </cell>
          <cell r="D1369">
            <v>4959.8330078125</v>
          </cell>
          <cell r="E1369">
            <v>5048.05517578125</v>
          </cell>
          <cell r="F1369">
            <v>5.0480551757812497</v>
          </cell>
        </row>
        <row r="1370">
          <cell r="A1370">
            <v>45930</v>
          </cell>
          <cell r="B1370">
            <v>5048.3330078125</v>
          </cell>
          <cell r="C1370">
            <v>5108.31201171875</v>
          </cell>
          <cell r="D1370">
            <v>5034.41015625</v>
          </cell>
          <cell r="E1370">
            <v>5058.10009765625</v>
          </cell>
          <cell r="F1370">
            <v>5.0581000976562498</v>
          </cell>
        </row>
        <row r="1371">
          <cell r="A1371">
            <v>45939</v>
          </cell>
          <cell r="B1371">
            <v>5077.8388671875</v>
          </cell>
          <cell r="C1371">
            <v>5217.97705078125</v>
          </cell>
          <cell r="D1371">
            <v>5077.73681640625</v>
          </cell>
          <cell r="E1371">
            <v>5142.3310546875</v>
          </cell>
          <cell r="F1371">
            <v>5.1423310546875003</v>
          </cell>
        </row>
        <row r="1372">
          <cell r="A1372">
            <v>45940</v>
          </cell>
          <cell r="B1372">
            <v>5097.2998046875</v>
          </cell>
          <cell r="C1372">
            <v>5099.47705078125</v>
          </cell>
          <cell r="D1372">
            <v>4917.76904296875</v>
          </cell>
          <cell r="E1372">
            <v>4943.130859375</v>
          </cell>
          <cell r="F1372">
            <v>4.9431308593749996</v>
          </cell>
        </row>
        <row r="1373">
          <cell r="A1373">
            <v>45943</v>
          </cell>
          <cell r="B1373">
            <v>4737.23193359375</v>
          </cell>
          <cell r="C1373">
            <v>4897.7890625</v>
          </cell>
          <cell r="D1373">
            <v>4737.23193359375</v>
          </cell>
          <cell r="E1373">
            <v>4874.0888671875</v>
          </cell>
          <cell r="F1373">
            <v>4.8740888671875</v>
          </cell>
        </row>
        <row r="1374">
          <cell r="A1374">
            <v>45944</v>
          </cell>
          <cell r="B1374">
            <v>4940.884765625</v>
          </cell>
          <cell r="C1374">
            <v>4957.87890625</v>
          </cell>
          <cell r="D1374">
            <v>4690.7109375</v>
          </cell>
          <cell r="E1374">
            <v>4709.037109375</v>
          </cell>
          <cell r="F1374">
            <v>4.7090371093750001</v>
          </cell>
        </row>
        <row r="1375">
          <cell r="A1375">
            <v>45945</v>
          </cell>
          <cell r="B1375">
            <v>4717.7158203125</v>
          </cell>
          <cell r="C1375">
            <v>4819.8427734375</v>
          </cell>
          <cell r="D1375">
            <v>4665.4619140625</v>
          </cell>
          <cell r="E1375">
            <v>4813.82177734375</v>
          </cell>
          <cell r="F1375">
            <v>4.8138217773437502</v>
          </cell>
        </row>
        <row r="1376">
          <cell r="A1376">
            <v>45946</v>
          </cell>
          <cell r="B1376">
            <v>4794.72119140625</v>
          </cell>
          <cell r="C1376">
            <v>4890.39306640625</v>
          </cell>
          <cell r="D1376">
            <v>4790</v>
          </cell>
          <cell r="E1376">
            <v>4836.2998046875</v>
          </cell>
          <cell r="F1376">
            <v>4.8362998046875001</v>
          </cell>
        </row>
        <row r="1377">
          <cell r="A1377">
            <v>45947</v>
          </cell>
          <cell r="B1377">
            <v>4819.81982421875</v>
          </cell>
          <cell r="C1377">
            <v>4829.83203125</v>
          </cell>
          <cell r="D1377">
            <v>4667.11279296875</v>
          </cell>
          <cell r="E1377">
            <v>4671.2998046875</v>
          </cell>
          <cell r="F1377">
            <v>4.6712998046875001</v>
          </cell>
        </row>
        <row r="1378">
          <cell r="A1378">
            <v>45950</v>
          </cell>
          <cell r="B1378">
            <v>4767.04296875</v>
          </cell>
          <cell r="C1378">
            <v>4805.7109375</v>
          </cell>
          <cell r="D1378">
            <v>4712.298828125</v>
          </cell>
          <cell r="E1378">
            <v>4746.1669921875</v>
          </cell>
          <cell r="F1378">
            <v>4.7461669921874998</v>
          </cell>
        </row>
        <row r="1379">
          <cell r="A1379">
            <v>45951</v>
          </cell>
          <cell r="B1379">
            <v>4782.375</v>
          </cell>
          <cell r="C1379">
            <v>4881.35595703125</v>
          </cell>
          <cell r="D1379">
            <v>4757.7861328125</v>
          </cell>
          <cell r="E1379">
            <v>4864.19189453125</v>
          </cell>
          <cell r="F1379">
            <v>4.8641918945312499</v>
          </cell>
        </row>
        <row r="1380">
          <cell r="A1380">
            <v>45952</v>
          </cell>
          <cell r="B1380">
            <v>4835.3388671875</v>
          </cell>
          <cell r="C1380">
            <v>4863.18505859375</v>
          </cell>
          <cell r="D1380">
            <v>4797.32421875</v>
          </cell>
          <cell r="E1380">
            <v>4833.7939453125</v>
          </cell>
          <cell r="F1380">
            <v>4.8337939453125003</v>
          </cell>
        </row>
        <row r="1381">
          <cell r="A1381">
            <v>45953</v>
          </cell>
          <cell r="B1381">
            <v>4816.64501953125</v>
          </cell>
          <cell r="C1381">
            <v>4844.0322265625</v>
          </cell>
          <cell r="D1381">
            <v>4751.384765625</v>
          </cell>
          <cell r="E1381">
            <v>4837.796875</v>
          </cell>
          <cell r="F1381">
            <v>4.8377968750000004</v>
          </cell>
        </row>
        <row r="1382">
          <cell r="A1382">
            <v>45954</v>
          </cell>
          <cell r="B1382">
            <v>4868.6279296875</v>
          </cell>
          <cell r="C1382">
            <v>4977.2099609375</v>
          </cell>
          <cell r="D1382">
            <v>4866.52197265625</v>
          </cell>
          <cell r="E1382">
            <v>4977.2099609375</v>
          </cell>
          <cell r="F1382">
            <v>4.9772099609374996</v>
          </cell>
        </row>
        <row r="1383">
          <cell r="A1383">
            <v>45957</v>
          </cell>
          <cell r="B1383">
            <v>5048.97900390625</v>
          </cell>
          <cell r="C1383">
            <v>5064.11279296875</v>
          </cell>
          <cell r="D1383">
            <v>4975.7470703125</v>
          </cell>
          <cell r="E1383">
            <v>5041.06494140625</v>
          </cell>
          <cell r="F1383">
            <v>5.0410649414062503</v>
          </cell>
        </row>
        <row r="1384">
          <cell r="A1384">
            <v>45958</v>
          </cell>
          <cell r="B1384">
            <v>5017.798828125</v>
          </cell>
          <cell r="C1384">
            <v>5094.6220703125</v>
          </cell>
          <cell r="D1384">
            <v>5012.76806640625</v>
          </cell>
          <cell r="E1384">
            <v>5033.1318359375</v>
          </cell>
          <cell r="F1384">
            <v>5.0331318359374997</v>
          </cell>
        </row>
        <row r="1385">
          <cell r="A1385">
            <v>45959</v>
          </cell>
          <cell r="B1385">
            <v>5048.7001953125</v>
          </cell>
          <cell r="C1385">
            <v>5152.705078125</v>
          </cell>
          <cell r="D1385">
            <v>5046.51416015625</v>
          </cell>
          <cell r="E1385">
            <v>5152.705078125</v>
          </cell>
          <cell r="F1385">
            <v>5.1527050781249999</v>
          </cell>
        </row>
        <row r="1386">
          <cell r="A1386">
            <v>45960</v>
          </cell>
          <cell r="B1386">
            <v>5152.55419921875</v>
          </cell>
          <cell r="C1386">
            <v>5180.2998046875</v>
          </cell>
          <cell r="D1386">
            <v>5086.8427734375</v>
          </cell>
          <cell r="E1386">
            <v>5092.06689453125</v>
          </cell>
          <cell r="F1386">
            <v>5.0920668945312499</v>
          </cell>
        </row>
        <row r="1387">
          <cell r="A1387">
            <v>45961</v>
          </cell>
          <cell r="B1387">
            <v>5077.53515625</v>
          </cell>
          <cell r="C1387">
            <v>5124.31298828125</v>
          </cell>
          <cell r="D1387">
            <v>4991.87890625</v>
          </cell>
          <cell r="E1387">
            <v>4993.341796875</v>
          </cell>
          <cell r="F1387">
            <v>4.9933417968749998</v>
          </cell>
        </row>
        <row r="1388">
          <cell r="A1388">
            <v>45964</v>
          </cell>
          <cell r="B1388">
            <v>4987.55419921875</v>
          </cell>
          <cell r="C1388">
            <v>5010.82080078125</v>
          </cell>
          <cell r="D1388">
            <v>4884.3349609375</v>
          </cell>
          <cell r="E1388">
            <v>4992.02099609375</v>
          </cell>
          <cell r="F1388">
            <v>4.9920209960937498</v>
          </cell>
        </row>
        <row r="1389">
          <cell r="A1389">
            <v>45965</v>
          </cell>
          <cell r="B1389">
            <v>4984.81787109375</v>
          </cell>
          <cell r="C1389">
            <v>5001.2548828125</v>
          </cell>
          <cell r="D1389">
            <v>4868.26904296875</v>
          </cell>
          <cell r="E1389">
            <v>4901.68701171875</v>
          </cell>
          <cell r="F1389">
            <v>4.9016870117187503</v>
          </cell>
        </row>
        <row r="1390">
          <cell r="A1390">
            <v>45966</v>
          </cell>
          <cell r="B1390">
            <v>4811.81103515625</v>
          </cell>
          <cell r="C1390">
            <v>4950.365234375</v>
          </cell>
          <cell r="D1390">
            <v>4808.740234375</v>
          </cell>
          <cell r="E1390">
            <v>4931.037109375</v>
          </cell>
          <cell r="F1390">
            <v>4.9310371093749996</v>
          </cell>
        </row>
        <row r="1391">
          <cell r="A1391">
            <v>45967</v>
          </cell>
          <cell r="B1391">
            <v>4961.98583984375</v>
          </cell>
          <cell r="C1391">
            <v>5057.5927734375</v>
          </cell>
          <cell r="D1391">
            <v>4961.98583984375</v>
          </cell>
          <cell r="E1391">
            <v>5046.9501953125</v>
          </cell>
          <cell r="F1391">
            <v>5.0469501953125002</v>
          </cell>
        </row>
        <row r="1392">
          <cell r="A1392">
            <v>45968</v>
          </cell>
          <cell r="B1392">
            <v>5010.71484375</v>
          </cell>
          <cell r="C1392">
            <v>5039.955078125</v>
          </cell>
          <cell r="D1392">
            <v>4980.466796875</v>
          </cell>
          <cell r="E1392">
            <v>5001.6748046875</v>
          </cell>
          <cell r="F1392">
            <v>5.0016748046875001</v>
          </cell>
        </row>
        <row r="1393">
          <cell r="A1393">
            <v>45971</v>
          </cell>
          <cell r="B1393">
            <v>5014.7451171875</v>
          </cell>
          <cell r="C1393">
            <v>5040.33984375</v>
          </cell>
          <cell r="D1393">
            <v>4917.7958984375</v>
          </cell>
          <cell r="E1393">
            <v>4962.6318359375</v>
          </cell>
          <cell r="F1393">
            <v>4.9626318359374997</v>
          </cell>
        </row>
        <row r="1394">
          <cell r="A1394">
            <v>45972</v>
          </cell>
          <cell r="B1394">
            <v>4991.10986328125</v>
          </cell>
          <cell r="C1394">
            <v>5007.39599609375</v>
          </cell>
          <cell r="D1394">
            <v>4893.1201171875</v>
          </cell>
          <cell r="E1394">
            <v>4900.1640625</v>
          </cell>
          <cell r="F1394">
            <v>4.9001640625</v>
          </cell>
        </row>
        <row r="1395">
          <cell r="A1395">
            <v>45973</v>
          </cell>
          <cell r="B1395">
            <v>4886.083984375</v>
          </cell>
          <cell r="C1395">
            <v>4914.10791015625</v>
          </cell>
          <cell r="D1395">
            <v>4842.19580078125</v>
          </cell>
          <cell r="E1395">
            <v>4894.044921875</v>
          </cell>
          <cell r="F1395">
            <v>4.8940449218750004</v>
          </cell>
        </row>
        <row r="1396">
          <cell r="A1396">
            <v>45974</v>
          </cell>
          <cell r="B1396">
            <v>4884.6689453125</v>
          </cell>
          <cell r="C1396">
            <v>5017.83984375</v>
          </cell>
          <cell r="D1396">
            <v>4879.73486328125</v>
          </cell>
          <cell r="E1396">
            <v>5003.81201171875</v>
          </cell>
          <cell r="F1396">
            <v>5.0038120117187503</v>
          </cell>
        </row>
        <row r="1397">
          <cell r="A1397">
            <v>45975</v>
          </cell>
          <cell r="B1397">
            <v>4934.5830078125</v>
          </cell>
          <cell r="C1397">
            <v>4972.5419921875</v>
          </cell>
          <cell r="D1397">
            <v>4895.12109375</v>
          </cell>
          <cell r="E1397">
            <v>4895.12109375</v>
          </cell>
          <cell r="F1397">
            <v>4.8951210937500003</v>
          </cell>
        </row>
        <row r="1398">
          <cell r="A1398">
            <v>45978</v>
          </cell>
          <cell r="B1398">
            <v>4865.82421875</v>
          </cell>
          <cell r="C1398">
            <v>4893.75</v>
          </cell>
          <cell r="D1398">
            <v>4837.2109375</v>
          </cell>
          <cell r="E1398">
            <v>4866.59716796875</v>
          </cell>
          <cell r="F1398">
            <v>4.8665971679687496</v>
          </cell>
        </row>
        <row r="1399">
          <cell r="A1399">
            <v>45979</v>
          </cell>
          <cell r="B1399">
            <v>4846.97119140625</v>
          </cell>
          <cell r="C1399">
            <v>4884.06884765625</v>
          </cell>
          <cell r="D1399">
            <v>4801.77392578125</v>
          </cell>
          <cell r="E1399">
            <v>4827.10302734375</v>
          </cell>
          <cell r="F1399">
            <v>4.8271030273437496</v>
          </cell>
        </row>
        <row r="1400">
          <cell r="A1400">
            <v>45980</v>
          </cell>
          <cell r="B1400">
            <v>4821.0400390625</v>
          </cell>
          <cell r="C1400">
            <v>4876.60009765625</v>
          </cell>
          <cell r="D1400">
            <v>4806.01904296875</v>
          </cell>
          <cell r="E1400">
            <v>4826.85107421875</v>
          </cell>
          <cell r="F1400">
            <v>4.8268510742187498</v>
          </cell>
        </row>
        <row r="1401">
          <cell r="A1401">
            <v>45981</v>
          </cell>
          <cell r="B1401">
            <v>4892.05517578125</v>
          </cell>
          <cell r="C1401">
            <v>4898.72802734375</v>
          </cell>
          <cell r="D1401">
            <v>4774.248046875</v>
          </cell>
          <cell r="E1401">
            <v>4778.375</v>
          </cell>
          <cell r="F1401">
            <v>4.7783749999999996</v>
          </cell>
        </row>
        <row r="1402">
          <cell r="A1402">
            <v>45982</v>
          </cell>
          <cell r="B1402">
            <v>4696.005859375</v>
          </cell>
          <cell r="C1402">
            <v>4725.240234375</v>
          </cell>
          <cell r="D1402">
            <v>4637.837890625</v>
          </cell>
          <cell r="E1402">
            <v>4638.52099609375</v>
          </cell>
          <cell r="F1402">
            <v>4.6385209960937503</v>
          </cell>
        </row>
        <row r="1403">
          <cell r="A1403">
            <v>45985</v>
          </cell>
          <cell r="B1403">
            <v>4669.9248046875</v>
          </cell>
          <cell r="C1403">
            <v>4691.923828125</v>
          </cell>
          <cell r="D1403">
            <v>4607.587890625</v>
          </cell>
          <cell r="E1403">
            <v>4665.67822265625</v>
          </cell>
          <cell r="F1403">
            <v>4.6656782226562497</v>
          </cell>
        </row>
        <row r="1404">
          <cell r="A1404">
            <v>45986</v>
          </cell>
          <cell r="B1404">
            <v>4719.5361328125</v>
          </cell>
          <cell r="C1404">
            <v>4797.4248046875</v>
          </cell>
          <cell r="D1404">
            <v>4710.7578125</v>
          </cell>
          <cell r="E1404">
            <v>4737.72998046875</v>
          </cell>
          <cell r="F1404">
            <v>4.7377299804687496</v>
          </cell>
        </row>
        <row r="1405">
          <cell r="A1405">
            <v>45987</v>
          </cell>
          <cell r="B1405">
            <v>4735.4970703125</v>
          </cell>
          <cell r="C1405">
            <v>4856.7470703125</v>
          </cell>
          <cell r="D1405">
            <v>4717.7939453125</v>
          </cell>
          <cell r="E1405">
            <v>4819.90380859375</v>
          </cell>
          <cell r="F1405">
            <v>4.8199038085937502</v>
          </cell>
        </row>
        <row r="1406">
          <cell r="A1406">
            <v>45988</v>
          </cell>
          <cell r="B1406">
            <v>4826.5419921875</v>
          </cell>
          <cell r="C1406">
            <v>4899.81591796875</v>
          </cell>
          <cell r="D1406">
            <v>4787.10009765625</v>
          </cell>
          <cell r="E1406">
            <v>4793.48388671875</v>
          </cell>
          <cell r="F1406">
            <v>4.7934838867187501</v>
          </cell>
        </row>
        <row r="1407">
          <cell r="A1407">
            <v>45989</v>
          </cell>
          <cell r="B1407">
            <v>4793.6982421875</v>
          </cell>
          <cell r="C1407">
            <v>4834.63818359375</v>
          </cell>
          <cell r="D1407">
            <v>4766.591796875</v>
          </cell>
          <cell r="E1407">
            <v>4824.09521484375</v>
          </cell>
          <cell r="F1407">
            <v>4.8240952148437497</v>
          </cell>
        </row>
        <row r="1408">
          <cell r="A1408">
            <v>45992</v>
          </cell>
          <cell r="B1408">
            <v>4848.9072265625</v>
          </cell>
          <cell r="C1408">
            <v>4913.5419921875</v>
          </cell>
          <cell r="D1408">
            <v>4824.826171875</v>
          </cell>
          <cell r="E1408">
            <v>4911.10791015625</v>
          </cell>
          <cell r="F1408">
            <v>4.9111079101562503</v>
          </cell>
        </row>
        <row r="1409">
          <cell r="A1409">
            <v>45993</v>
          </cell>
          <cell r="B1409">
            <v>4915.85595703125</v>
          </cell>
          <cell r="C1409">
            <v>4921.43408203125</v>
          </cell>
          <cell r="D1409">
            <v>4856.81494140625</v>
          </cell>
          <cell r="E1409">
            <v>4880.14599609375</v>
          </cell>
          <cell r="F1409">
            <v>4.8801459960937503</v>
          </cell>
        </row>
        <row r="1410">
          <cell r="A1410">
            <v>45994</v>
          </cell>
          <cell r="B1410">
            <v>4883.8330078125</v>
          </cell>
          <cell r="C1410">
            <v>4914.9091796875</v>
          </cell>
          <cell r="D1410">
            <v>4818.15380859375</v>
          </cell>
          <cell r="E1410">
            <v>4827.54296875</v>
          </cell>
          <cell r="F1410">
            <v>4.8275429687500004</v>
          </cell>
        </row>
        <row r="1411">
          <cell r="A1411">
            <v>45995</v>
          </cell>
          <cell r="B1411">
            <v>4831.0439453125</v>
          </cell>
          <cell r="C1411">
            <v>4887.3818359375</v>
          </cell>
          <cell r="D1411">
            <v>4805.97998046875</v>
          </cell>
          <cell r="E1411">
            <v>4882.02783203125</v>
          </cell>
          <cell r="F1411">
            <v>4.88202783203125</v>
          </cell>
        </row>
        <row r="1412">
          <cell r="A1412">
            <v>45996</v>
          </cell>
          <cell r="B1412">
            <v>4892.87890625</v>
          </cell>
          <cell r="C1412">
            <v>4943.54296875</v>
          </cell>
          <cell r="D1412">
            <v>4850.64990234375</v>
          </cell>
          <cell r="E1412">
            <v>4933.34716796875</v>
          </cell>
          <cell r="F1412">
            <v>4.9333471679687504</v>
          </cell>
        </row>
        <row r="1413">
          <cell r="A1413">
            <v>45999</v>
          </cell>
          <cell r="B1413">
            <v>4958.3681640625</v>
          </cell>
          <cell r="C1413">
            <v>5044.166015625</v>
          </cell>
          <cell r="D1413">
            <v>4942.35888671875</v>
          </cell>
          <cell r="E1413">
            <v>5012.01806640625</v>
          </cell>
          <cell r="F1413">
            <v>5.0120180664062497</v>
          </cell>
        </row>
        <row r="1414">
          <cell r="A1414">
            <v>46000</v>
          </cell>
          <cell r="B1414">
            <v>4999.84814453125</v>
          </cell>
          <cell r="C1414">
            <v>5053.2421875</v>
          </cell>
          <cell r="D1414">
            <v>4986.9189453125</v>
          </cell>
          <cell r="E1414">
            <v>5009.22998046875</v>
          </cell>
          <cell r="F1414">
            <v>5.0092299804687501</v>
          </cell>
        </row>
        <row r="1415">
          <cell r="A1415">
            <v>46001</v>
          </cell>
          <cell r="B1415">
            <v>4997.06298828125</v>
          </cell>
          <cell r="C1415">
            <v>5018.365234375</v>
          </cell>
          <cell r="D1415">
            <v>4935.02099609375</v>
          </cell>
          <cell r="E1415">
            <v>5006.32177734375</v>
          </cell>
          <cell r="F1415">
            <v>5.0063217773437501</v>
          </cell>
        </row>
        <row r="1416">
          <cell r="A1416">
            <v>46002</v>
          </cell>
          <cell r="B1416">
            <v>5015.77783203125</v>
          </cell>
          <cell r="C1416">
            <v>5057.8818359375</v>
          </cell>
          <cell r="D1416">
            <v>4942.89013671875</v>
          </cell>
          <cell r="E1416">
            <v>4943.26513671875</v>
          </cell>
          <cell r="F1416">
            <v>4.9432651367187503</v>
          </cell>
        </row>
        <row r="1417">
          <cell r="A1417">
            <v>46003</v>
          </cell>
          <cell r="B1417">
            <v>4950.080078125</v>
          </cell>
          <cell r="C1417">
            <v>4987.46923828125</v>
          </cell>
          <cell r="D1417">
            <v>4898.10498046875</v>
          </cell>
          <cell r="E1417">
            <v>4976.873046875</v>
          </cell>
          <cell r="F1417">
            <v>4.9768730468750002</v>
          </cell>
        </row>
        <row r="1418">
          <cell r="A1418">
            <v>46006</v>
          </cell>
          <cell r="B1418">
            <v>4943.51416015625</v>
          </cell>
          <cell r="C1418">
            <v>4981.43505859375</v>
          </cell>
          <cell r="D1418">
            <v>4921.2919921875</v>
          </cell>
          <cell r="E1418">
            <v>4921.2919921875</v>
          </cell>
          <cell r="F1418">
            <v>4.9212919921875002</v>
          </cell>
        </row>
        <row r="1419">
          <cell r="A1419">
            <v>46007</v>
          </cell>
          <cell r="B1419">
            <v>4914.55419921875</v>
          </cell>
          <cell r="C1419">
            <v>4928.294921875</v>
          </cell>
          <cell r="D1419">
            <v>4810.919921875</v>
          </cell>
          <cell r="E1419">
            <v>4833.27685546875</v>
          </cell>
          <cell r="F1419">
            <v>4.8332768554687497</v>
          </cell>
        </row>
        <row r="1420">
          <cell r="A1420">
            <v>46008</v>
          </cell>
          <cell r="B1420">
            <v>4833.34912109375</v>
          </cell>
          <cell r="C1420">
            <v>4966.9072265625</v>
          </cell>
          <cell r="D1420">
            <v>4833.34912109375</v>
          </cell>
          <cell r="E1420">
            <v>4957.64599609375</v>
          </cell>
          <cell r="F1420">
            <v>4.95764599609375</v>
          </cell>
        </row>
        <row r="1421">
          <cell r="A1421">
            <v>46009</v>
          </cell>
          <cell r="B1421">
            <v>4911.3818359375</v>
          </cell>
          <cell r="C1421">
            <v>4936.22021484375</v>
          </cell>
          <cell r="D1421">
            <v>4877.2001953125</v>
          </cell>
          <cell r="E1421">
            <v>4877.2001953125</v>
          </cell>
          <cell r="F1421">
            <v>4.8772001953124997</v>
          </cell>
        </row>
        <row r="1422">
          <cell r="A1422">
            <v>46010</v>
          </cell>
          <cell r="B1422">
            <v>4909.05078125</v>
          </cell>
          <cell r="C1422">
            <v>4948.7119140625</v>
          </cell>
          <cell r="D1422">
            <v>4893.51904296875</v>
          </cell>
          <cell r="E1422">
            <v>4903.76708984375</v>
          </cell>
          <cell r="F1422">
            <v>4.9037670898437504</v>
          </cell>
        </row>
        <row r="1423">
          <cell r="A1423">
            <v>46013</v>
          </cell>
          <cell r="B1423">
            <v>4944.10009765625</v>
          </cell>
          <cell r="C1423">
            <v>5000.7861328125</v>
          </cell>
          <cell r="D1423">
            <v>4944.10009765625</v>
          </cell>
          <cell r="E1423">
            <v>4993.751953125</v>
          </cell>
          <cell r="F1423">
            <v>4.9937519531249999</v>
          </cell>
        </row>
        <row r="1424">
          <cell r="A1424">
            <v>46014</v>
          </cell>
          <cell r="B1424">
            <v>5002.48681640625</v>
          </cell>
          <cell r="C1424">
            <v>5052.02685546875</v>
          </cell>
          <cell r="D1424">
            <v>4983.01806640625</v>
          </cell>
          <cell r="E1424">
            <v>5024.48876953125</v>
          </cell>
          <cell r="F1424">
            <v>5.0244887695312501</v>
          </cell>
        </row>
        <row r="1425">
          <cell r="A1425">
            <v>46015</v>
          </cell>
          <cell r="B1425">
            <v>5024.4482421875</v>
          </cell>
          <cell r="C1425">
            <v>5064.3828125</v>
          </cell>
          <cell r="D1425">
            <v>5008.86083984375</v>
          </cell>
          <cell r="E1425">
            <v>5059.91015625</v>
          </cell>
          <cell r="F1425">
            <v>5.05991015625</v>
          </cell>
        </row>
        <row r="1426">
          <cell r="A1426">
            <v>46016</v>
          </cell>
          <cell r="B1426">
            <v>5060.90380859375</v>
          </cell>
          <cell r="C1426">
            <v>5095.60791015625</v>
          </cell>
          <cell r="D1426">
            <v>5025.05322265625</v>
          </cell>
          <cell r="E1426">
            <v>5084.43701171875</v>
          </cell>
          <cell r="F1426">
            <v>5.0844370117187498</v>
          </cell>
        </row>
        <row r="1427">
          <cell r="A1427">
            <v>46017</v>
          </cell>
          <cell r="B1427">
            <v>5075.02880859375</v>
          </cell>
          <cell r="C1427">
            <v>5139.60400390625</v>
          </cell>
          <cell r="D1427">
            <v>5064.14697265625</v>
          </cell>
          <cell r="E1427">
            <v>5106.7490234375</v>
          </cell>
          <cell r="F1427">
            <v>5.1067490234374997</v>
          </cell>
        </row>
        <row r="1428">
          <cell r="A1428">
            <v>46020</v>
          </cell>
          <cell r="B1428">
            <v>5107.18798828125</v>
          </cell>
          <cell r="C1428">
            <v>5110.158203125</v>
          </cell>
          <cell r="D1428">
            <v>5045.1630859375</v>
          </cell>
          <cell r="E1428">
            <v>5062.916015625</v>
          </cell>
          <cell r="F1428">
            <v>5.0629160156250004</v>
          </cell>
        </row>
        <row r="1429">
          <cell r="A1429">
            <v>46021</v>
          </cell>
          <cell r="B1429">
            <v>5040.5869140625</v>
          </cell>
          <cell r="C1429">
            <v>5109.37890625</v>
          </cell>
          <cell r="D1429">
            <v>5040.52294921875</v>
          </cell>
          <cell r="E1429">
            <v>5101.658203125</v>
          </cell>
          <cell r="F1429">
            <v>5.101658203125</v>
          </cell>
        </row>
        <row r="1430">
          <cell r="A1430">
            <v>46022</v>
          </cell>
          <cell r="B1430">
            <v>5112.298828125</v>
          </cell>
          <cell r="C1430">
            <v>5115.4541015625</v>
          </cell>
          <cell r="D1430">
            <v>5041.5458984375</v>
          </cell>
          <cell r="E1430">
            <v>5047.7412109375</v>
          </cell>
          <cell r="F1430">
            <v>5.0477412109374997</v>
          </cell>
        </row>
      </sheetData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73"/>
  <sheetViews>
    <sheetView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8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10" customFormat="1" ht="27" customHeight="1" x14ac:dyDescent="0.15">
      <c r="A1" s="12" t="s">
        <v>180</v>
      </c>
      <c r="B1" s="24" t="s">
        <v>181</v>
      </c>
      <c r="C1" s="13" t="s">
        <v>182</v>
      </c>
      <c r="D1" s="13" t="s">
        <v>183</v>
      </c>
      <c r="E1" s="13" t="s">
        <v>184</v>
      </c>
      <c r="F1" s="13" t="s">
        <v>185</v>
      </c>
      <c r="G1" s="25" t="s">
        <v>186</v>
      </c>
      <c r="H1" s="12" t="s">
        <v>187</v>
      </c>
      <c r="I1" s="24" t="s">
        <v>188</v>
      </c>
      <c r="K1" s="11"/>
    </row>
    <row r="2" spans="1:28" ht="14.1" customHeight="1" x14ac:dyDescent="0.2">
      <c r="A2" s="5"/>
      <c r="B2" s="5"/>
      <c r="C2" s="4">
        <v>2000</v>
      </c>
      <c r="D2" s="21" t="s">
        <v>192</v>
      </c>
      <c r="E2" s="4"/>
      <c r="F2" s="4"/>
      <c r="G2" s="4"/>
      <c r="H2" s="5"/>
      <c r="I2" s="5"/>
      <c r="J2" s="6"/>
    </row>
    <row r="3" spans="1:28" ht="14.1" customHeight="1" x14ac:dyDescent="0.2">
      <c r="A3" s="14">
        <v>43889</v>
      </c>
      <c r="B3" s="15">
        <f>VLOOKUP(A3,[1]szse_innovation_100!$A:$F,6)</f>
        <v>3.25108</v>
      </c>
      <c r="C3" s="16">
        <f>C2</f>
        <v>2000</v>
      </c>
      <c r="D3" s="17">
        <f t="shared" ref="D3:D14" si="0">C3/B3</f>
        <v>615.18018627656045</v>
      </c>
      <c r="E3" s="17">
        <f t="shared" ref="E3:E14" si="1">E2+D3</f>
        <v>615.18018627656045</v>
      </c>
      <c r="F3" s="17">
        <f t="shared" ref="F3:F14" si="2">E3*B3</f>
        <v>2000.0000000000002</v>
      </c>
      <c r="G3" s="17">
        <f t="shared" ref="G3:G14" si="3">G2+C3</f>
        <v>2000</v>
      </c>
      <c r="H3" s="17">
        <f t="shared" ref="H3:H14" si="4">F3</f>
        <v>2000.0000000000002</v>
      </c>
      <c r="I3" s="17">
        <f t="shared" ref="I3:I14" si="5">H3-G3</f>
        <v>0</v>
      </c>
      <c r="J3" s="6"/>
      <c r="L3" s="26" t="s">
        <v>180</v>
      </c>
      <c r="M3" s="27" t="s">
        <v>189</v>
      </c>
      <c r="N3" s="27" t="s">
        <v>186</v>
      </c>
      <c r="O3" s="27" t="s">
        <v>187</v>
      </c>
      <c r="P3" s="27" t="s">
        <v>188</v>
      </c>
      <c r="Q3" s="27" t="s">
        <v>190</v>
      </c>
      <c r="R3" s="27" t="s">
        <v>191</v>
      </c>
      <c r="T3" s="23">
        <v>44196</v>
      </c>
      <c r="U3" s="1">
        <v>22000</v>
      </c>
      <c r="V3" s="1">
        <f>-U3</f>
        <v>-22000</v>
      </c>
      <c r="W3" s="23">
        <v>44196</v>
      </c>
      <c r="X3" s="1">
        <v>22000</v>
      </c>
      <c r="Y3" s="1">
        <f>-X3</f>
        <v>-22000</v>
      </c>
      <c r="Z3" s="23">
        <v>44196</v>
      </c>
      <c r="AA3" s="1">
        <v>22000</v>
      </c>
      <c r="AB3" s="1">
        <f>-AA3</f>
        <v>-22000</v>
      </c>
    </row>
    <row r="4" spans="1:28" ht="14.1" customHeight="1" x14ac:dyDescent="0.2">
      <c r="A4" s="14">
        <v>43921</v>
      </c>
      <c r="B4" s="15">
        <f>VLOOKUP(A4,[1]szse_innovation_100!$A:$F,6)</f>
        <v>2.8991500000000001</v>
      </c>
      <c r="C4" s="16">
        <f t="shared" ref="C4:C14" si="6">C3</f>
        <v>2000</v>
      </c>
      <c r="D4" s="17">
        <f t="shared" si="0"/>
        <v>689.85737198834136</v>
      </c>
      <c r="E4" s="17">
        <f t="shared" si="1"/>
        <v>1305.0375582649017</v>
      </c>
      <c r="F4" s="17">
        <f t="shared" si="2"/>
        <v>3783.4996370436897</v>
      </c>
      <c r="G4" s="17">
        <f t="shared" si="3"/>
        <v>4000</v>
      </c>
      <c r="H4" s="17">
        <f t="shared" si="4"/>
        <v>3783.4996370436897</v>
      </c>
      <c r="I4" s="17">
        <f t="shared" si="5"/>
        <v>-216.50036295631025</v>
      </c>
      <c r="J4" s="6"/>
      <c r="L4" s="23">
        <v>44196</v>
      </c>
      <c r="M4" s="9">
        <f>N4</f>
        <v>22000</v>
      </c>
      <c r="N4" s="4">
        <f>VLOOKUP(L4,A:G,7,)</f>
        <v>22000</v>
      </c>
      <c r="O4" s="4">
        <f>VLOOKUP(L4,A:H,8,)</f>
        <v>28072.985437531297</v>
      </c>
      <c r="P4" s="4">
        <f>VLOOKUP(L4,A:I,9,)</f>
        <v>6072.9854375312971</v>
      </c>
      <c r="Q4" s="8">
        <f t="shared" ref="Q4" si="7">(O4-N4)/N4</f>
        <v>0.27604479261505893</v>
      </c>
      <c r="R4" s="8">
        <f>Q4</f>
        <v>0.27604479261505893</v>
      </c>
      <c r="T4" s="23">
        <v>44561</v>
      </c>
      <c r="U4" s="1">
        <v>24000</v>
      </c>
      <c r="V4" s="1">
        <f>-U4</f>
        <v>-24000</v>
      </c>
      <c r="W4" s="23">
        <v>44561</v>
      </c>
      <c r="X4" s="1">
        <v>24000</v>
      </c>
      <c r="Y4" s="1">
        <f>-X4</f>
        <v>-24000</v>
      </c>
      <c r="Z4" s="23">
        <v>44561</v>
      </c>
      <c r="AA4" s="1">
        <v>24000</v>
      </c>
      <c r="AB4" s="1">
        <f>-AA4</f>
        <v>-24000</v>
      </c>
    </row>
    <row r="5" spans="1:28" ht="14.1" customHeight="1" x14ac:dyDescent="0.2">
      <c r="A5" s="14">
        <v>43951</v>
      </c>
      <c r="B5" s="15">
        <f>VLOOKUP(A5,[1]szse_innovation_100!$A:$F,6)</f>
        <v>3.17509</v>
      </c>
      <c r="C5" s="16">
        <f t="shared" si="6"/>
        <v>2000</v>
      </c>
      <c r="D5" s="17">
        <f t="shared" si="0"/>
        <v>629.90340431294862</v>
      </c>
      <c r="E5" s="17">
        <f t="shared" si="1"/>
        <v>1934.9409625778503</v>
      </c>
      <c r="F5" s="17">
        <f t="shared" si="2"/>
        <v>6143.6117008713063</v>
      </c>
      <c r="G5" s="17">
        <f t="shared" si="3"/>
        <v>6000</v>
      </c>
      <c r="H5" s="17">
        <f t="shared" si="4"/>
        <v>6143.6117008713063</v>
      </c>
      <c r="I5" s="17">
        <f t="shared" si="5"/>
        <v>143.61170087130631</v>
      </c>
      <c r="J5" s="6"/>
      <c r="L5" s="23">
        <v>44561</v>
      </c>
      <c r="M5" s="9">
        <f>N5-N4</f>
        <v>24000</v>
      </c>
      <c r="N5" s="4">
        <f>VLOOKUP(L5,A:G,7,)</f>
        <v>46000</v>
      </c>
      <c r="O5" s="4">
        <f>VLOOKUP(L5,A:H,8,)</f>
        <v>53008.069006718506</v>
      </c>
      <c r="P5" s="4">
        <f>VLOOKUP(L5,A:I,9,)</f>
        <v>7008.069006718506</v>
      </c>
      <c r="Q5" s="8">
        <f t="shared" ref="Q5:Q8" si="8">(O5-N5)/N5</f>
        <v>0.15234932623301101</v>
      </c>
      <c r="R5" s="8">
        <v>9.9835199022272558E-2</v>
      </c>
      <c r="T5" s="23">
        <v>44561</v>
      </c>
      <c r="V5" s="1">
        <v>53008.069006718506</v>
      </c>
      <c r="W5" s="23">
        <v>44925</v>
      </c>
      <c r="X5" s="1">
        <v>24000</v>
      </c>
      <c r="Y5" s="1">
        <f>-X5</f>
        <v>-24000</v>
      </c>
      <c r="Z5" s="23">
        <v>44925</v>
      </c>
      <c r="AA5" s="1">
        <v>24000</v>
      </c>
      <c r="AB5" s="1">
        <f>-AA5</f>
        <v>-24000</v>
      </c>
    </row>
    <row r="6" spans="1:28" ht="14.1" customHeight="1" x14ac:dyDescent="0.2">
      <c r="A6" s="14">
        <v>43980</v>
      </c>
      <c r="B6" s="15">
        <f>VLOOKUP(A6,[1]szse_innovation_100!$A:$F,6)</f>
        <v>3.1906699999999999</v>
      </c>
      <c r="C6" s="16">
        <f t="shared" si="6"/>
        <v>2000</v>
      </c>
      <c r="D6" s="17">
        <f t="shared" si="0"/>
        <v>626.82759420435207</v>
      </c>
      <c r="E6" s="17">
        <f t="shared" si="1"/>
        <v>2561.7685567822023</v>
      </c>
      <c r="F6" s="17">
        <f t="shared" si="2"/>
        <v>8173.7580810682693</v>
      </c>
      <c r="G6" s="17">
        <f t="shared" si="3"/>
        <v>8000</v>
      </c>
      <c r="H6" s="17">
        <f t="shared" si="4"/>
        <v>8173.7580810682693</v>
      </c>
      <c r="I6" s="17">
        <f t="shared" si="5"/>
        <v>173.75808106826935</v>
      </c>
      <c r="J6" s="6"/>
      <c r="L6" s="23">
        <v>44925</v>
      </c>
      <c r="M6" s="9">
        <f>N6-N5</f>
        <v>24000</v>
      </c>
      <c r="N6" s="4">
        <f>VLOOKUP(L6,A:G,7,)</f>
        <v>70000</v>
      </c>
      <c r="O6" s="4">
        <f>VLOOKUP(L6,A:H,8,)</f>
        <v>60293.406710853284</v>
      </c>
      <c r="P6" s="4">
        <f>VLOOKUP(L6,A:I,9,)</f>
        <v>-9706.5932891467164</v>
      </c>
      <c r="Q6" s="8">
        <f t="shared" si="8"/>
        <v>-0.13866561841638167</v>
      </c>
      <c r="R6" s="8">
        <v>-7.3828223896210132E-2</v>
      </c>
      <c r="V6" s="2">
        <f>IRR(V3:V5)</f>
        <v>9.9835199022272558E-2</v>
      </c>
      <c r="W6" s="23">
        <v>44925</v>
      </c>
      <c r="Y6" s="1">
        <v>60293.406710853284</v>
      </c>
      <c r="Z6" s="23">
        <v>45289</v>
      </c>
      <c r="AA6" s="1">
        <v>24000</v>
      </c>
      <c r="AB6" s="1">
        <f>-AA6</f>
        <v>-24000</v>
      </c>
    </row>
    <row r="7" spans="1:28" ht="14.1" customHeight="1" x14ac:dyDescent="0.2">
      <c r="A7" s="14">
        <v>44012</v>
      </c>
      <c r="B7" s="15">
        <f>VLOOKUP(A7,[1]szse_innovation_100!$A:$F,6)</f>
        <v>3.6513100000000001</v>
      </c>
      <c r="C7" s="16">
        <f t="shared" si="6"/>
        <v>2000</v>
      </c>
      <c r="D7" s="17">
        <f t="shared" si="0"/>
        <v>547.74861625005815</v>
      </c>
      <c r="E7" s="17">
        <f t="shared" si="1"/>
        <v>3109.5171730322604</v>
      </c>
      <c r="F7" s="17">
        <f t="shared" si="2"/>
        <v>11353.811149064422</v>
      </c>
      <c r="G7" s="17">
        <f t="shared" si="3"/>
        <v>10000</v>
      </c>
      <c r="H7" s="17">
        <f t="shared" si="4"/>
        <v>11353.811149064422</v>
      </c>
      <c r="I7" s="17">
        <f t="shared" si="5"/>
        <v>1353.8111490644224</v>
      </c>
      <c r="J7" s="6"/>
      <c r="L7" s="23">
        <v>45289</v>
      </c>
      <c r="M7" s="9">
        <f>N7-N6</f>
        <v>24000</v>
      </c>
      <c r="N7" s="4">
        <f>VLOOKUP(L7,A:G,7,)</f>
        <v>94000</v>
      </c>
      <c r="O7" s="4">
        <f>VLOOKUP(L7,A:H,8,)</f>
        <v>73906.668367991137</v>
      </c>
      <c r="P7" s="4">
        <f>VLOOKUP(L7,A:I,9,)</f>
        <v>-20093.331632008863</v>
      </c>
      <c r="Q7" s="8">
        <f t="shared" si="8"/>
        <v>-0.21375884714903046</v>
      </c>
      <c r="R7" s="8">
        <v>-9.5087660868733659E-2</v>
      </c>
      <c r="Y7" s="2">
        <f>IRR(Y3:Y6)</f>
        <v>-7.3828223896210132E-2</v>
      </c>
      <c r="Z7" s="23">
        <v>45289</v>
      </c>
      <c r="AB7" s="1">
        <v>73906.668367991137</v>
      </c>
    </row>
    <row r="8" spans="1:28" ht="14.1" customHeight="1" x14ac:dyDescent="0.2">
      <c r="A8" s="14">
        <v>44043</v>
      </c>
      <c r="B8" s="15">
        <f>VLOOKUP(A8,[1]szse_innovation_100!$A:$F,6)</f>
        <v>4.1706000000000003</v>
      </c>
      <c r="C8" s="16">
        <f t="shared" si="6"/>
        <v>2000</v>
      </c>
      <c r="D8" s="17">
        <f t="shared" si="0"/>
        <v>479.54730734186921</v>
      </c>
      <c r="E8" s="17">
        <f t="shared" si="1"/>
        <v>3589.0644803741297</v>
      </c>
      <c r="F8" s="17">
        <f t="shared" si="2"/>
        <v>14968.552321848347</v>
      </c>
      <c r="G8" s="17">
        <f t="shared" si="3"/>
        <v>12000</v>
      </c>
      <c r="H8" s="17">
        <f t="shared" si="4"/>
        <v>14968.552321848347</v>
      </c>
      <c r="I8" s="17">
        <f t="shared" si="5"/>
        <v>2968.5523218483468</v>
      </c>
      <c r="J8" s="6"/>
      <c r="L8" s="23">
        <v>45657</v>
      </c>
      <c r="M8" s="9">
        <f>N8-N7</f>
        <v>24000</v>
      </c>
      <c r="N8" s="4">
        <f>VLOOKUP(L8,A:G,7,)</f>
        <v>118000</v>
      </c>
      <c r="O8" s="4">
        <f>VLOOKUP(L8,A:H,8,)</f>
        <v>115769.6492782961</v>
      </c>
      <c r="P8" s="4">
        <f>VLOOKUP(L8,A:I,9,)</f>
        <v>-2230.3507217039005</v>
      </c>
      <c r="Q8" s="8">
        <f t="shared" si="8"/>
        <v>-1.8901277302575428E-2</v>
      </c>
      <c r="R8" s="8">
        <v>-6.4264525305609554E-3</v>
      </c>
      <c r="AB8" s="2">
        <f>IRR(AB3:AB7)</f>
        <v>-9.5087660868733659E-2</v>
      </c>
    </row>
    <row r="9" spans="1:28" ht="14.1" customHeight="1" x14ac:dyDescent="0.2">
      <c r="A9" s="14">
        <v>44074</v>
      </c>
      <c r="B9" s="15">
        <f>VLOOKUP(A9,[1]szse_innovation_100!$A:$F,6)</f>
        <v>4.1298999999999992</v>
      </c>
      <c r="C9" s="16">
        <f t="shared" si="6"/>
        <v>2000</v>
      </c>
      <c r="D9" s="17">
        <f t="shared" si="0"/>
        <v>484.2732269546479</v>
      </c>
      <c r="E9" s="17">
        <f t="shared" si="1"/>
        <v>4073.3377073287775</v>
      </c>
      <c r="F9" s="17">
        <f t="shared" si="2"/>
        <v>16822.477397497114</v>
      </c>
      <c r="G9" s="17">
        <f t="shared" si="3"/>
        <v>14000</v>
      </c>
      <c r="H9" s="17">
        <f t="shared" si="4"/>
        <v>16822.477397497114</v>
      </c>
      <c r="I9" s="17">
        <f t="shared" si="5"/>
        <v>2822.477397497114</v>
      </c>
      <c r="J9" s="6"/>
      <c r="T9" s="23">
        <v>44196</v>
      </c>
      <c r="U9" s="1">
        <v>22000</v>
      </c>
      <c r="V9" s="1">
        <f>-U9</f>
        <v>-22000</v>
      </c>
    </row>
    <row r="10" spans="1:28" ht="14.1" customHeight="1" x14ac:dyDescent="0.2">
      <c r="A10" s="14">
        <v>44104</v>
      </c>
      <c r="B10" s="15">
        <f>VLOOKUP(A10,[1]szse_innovation_100!$A:$F,6)</f>
        <v>3.9869400000000002</v>
      </c>
      <c r="C10" s="16">
        <f t="shared" si="6"/>
        <v>2000</v>
      </c>
      <c r="D10" s="17">
        <f t="shared" si="0"/>
        <v>501.63784757232361</v>
      </c>
      <c r="E10" s="17">
        <f t="shared" si="1"/>
        <v>4574.9755549011006</v>
      </c>
      <c r="F10" s="17">
        <f t="shared" si="2"/>
        <v>18240.153038857396</v>
      </c>
      <c r="G10" s="17">
        <f t="shared" si="3"/>
        <v>16000</v>
      </c>
      <c r="H10" s="17">
        <f t="shared" si="4"/>
        <v>18240.153038857396</v>
      </c>
      <c r="I10" s="17">
        <f t="shared" si="5"/>
        <v>2240.1530388573956</v>
      </c>
      <c r="J10" s="6"/>
      <c r="T10" s="23">
        <v>44561</v>
      </c>
      <c r="U10" s="1">
        <v>24000</v>
      </c>
      <c r="V10" s="1">
        <f>-U10</f>
        <v>-24000</v>
      </c>
    </row>
    <row r="11" spans="1:28" ht="14.1" customHeight="1" x14ac:dyDescent="0.2">
      <c r="A11" s="14">
        <v>44134</v>
      </c>
      <c r="B11" s="15">
        <f>VLOOKUP(A11,[1]szse_innovation_100!$A:$F,6)</f>
        <v>4.2014499999999995</v>
      </c>
      <c r="C11" s="16">
        <f t="shared" si="6"/>
        <v>2000</v>
      </c>
      <c r="D11" s="17">
        <f t="shared" si="0"/>
        <v>476.02613383474761</v>
      </c>
      <c r="E11" s="17">
        <f t="shared" si="1"/>
        <v>5051.0016887358479</v>
      </c>
      <c r="F11" s="17">
        <f t="shared" si="2"/>
        <v>21221.531045139225</v>
      </c>
      <c r="G11" s="17">
        <f t="shared" si="3"/>
        <v>18000</v>
      </c>
      <c r="H11" s="17">
        <f t="shared" si="4"/>
        <v>21221.531045139225</v>
      </c>
      <c r="I11" s="17">
        <f t="shared" si="5"/>
        <v>3221.5310451392252</v>
      </c>
      <c r="J11" s="6"/>
      <c r="T11" s="23">
        <v>44925</v>
      </c>
      <c r="U11" s="1">
        <v>24000</v>
      </c>
      <c r="V11" s="1">
        <f>-U11</f>
        <v>-24000</v>
      </c>
    </row>
    <row r="12" spans="1:28" ht="14.1" customHeight="1" x14ac:dyDescent="0.2">
      <c r="A12" s="14">
        <v>44165</v>
      </c>
      <c r="B12" s="15">
        <f>VLOOKUP(A12,[1]szse_innovation_100!$A:$F,6)</f>
        <v>4.27712</v>
      </c>
      <c r="C12" s="16">
        <f t="shared" si="6"/>
        <v>2000</v>
      </c>
      <c r="D12" s="17">
        <f t="shared" si="0"/>
        <v>467.60436929522672</v>
      </c>
      <c r="E12" s="17">
        <f t="shared" si="1"/>
        <v>5518.606058031075</v>
      </c>
      <c r="F12" s="17">
        <f t="shared" si="2"/>
        <v>23603.74034292587</v>
      </c>
      <c r="G12" s="17">
        <f t="shared" si="3"/>
        <v>20000</v>
      </c>
      <c r="H12" s="17">
        <f t="shared" si="4"/>
        <v>23603.74034292587</v>
      </c>
      <c r="I12" s="17">
        <f t="shared" si="5"/>
        <v>3603.7403429258702</v>
      </c>
      <c r="J12" s="6"/>
      <c r="T12" s="23">
        <v>45289</v>
      </c>
      <c r="U12" s="1">
        <v>24000</v>
      </c>
      <c r="V12" s="1">
        <f>-U12</f>
        <v>-24000</v>
      </c>
    </row>
    <row r="13" spans="1:28" ht="14.1" customHeight="1" x14ac:dyDescent="0.2">
      <c r="A13" s="14">
        <v>44196</v>
      </c>
      <c r="B13" s="15">
        <f>VLOOKUP(A13,[1]szse_innovation_100!$A:$F,6)</f>
        <v>4.7245600000000003</v>
      </c>
      <c r="C13" s="16">
        <f t="shared" si="6"/>
        <v>2000</v>
      </c>
      <c r="D13" s="17">
        <f t="shared" si="0"/>
        <v>423.3198435409858</v>
      </c>
      <c r="E13" s="17">
        <f t="shared" si="1"/>
        <v>5941.9259015720609</v>
      </c>
      <c r="F13" s="17">
        <f t="shared" si="2"/>
        <v>28072.985437531297</v>
      </c>
      <c r="G13" s="17">
        <f t="shared" si="3"/>
        <v>22000</v>
      </c>
      <c r="H13" s="17">
        <f t="shared" si="4"/>
        <v>28072.985437531297</v>
      </c>
      <c r="I13" s="17">
        <f t="shared" si="5"/>
        <v>6072.9854375312971</v>
      </c>
      <c r="J13" s="6"/>
      <c r="T13" s="23">
        <v>45657</v>
      </c>
      <c r="U13" s="1">
        <v>24000</v>
      </c>
      <c r="V13" s="1">
        <f>-U13</f>
        <v>-24000</v>
      </c>
    </row>
    <row r="14" spans="1:28" ht="14.1" customHeight="1" x14ac:dyDescent="0.2">
      <c r="A14" s="14">
        <v>44225</v>
      </c>
      <c r="B14" s="15">
        <f>VLOOKUP(A14,[1]szse_innovation_100!$A:$F,6)</f>
        <v>4.9833500000000006</v>
      </c>
      <c r="C14" s="16">
        <f t="shared" si="6"/>
        <v>2000</v>
      </c>
      <c r="D14" s="17">
        <f t="shared" si="0"/>
        <v>401.33645037976459</v>
      </c>
      <c r="E14" s="17">
        <f t="shared" si="1"/>
        <v>6343.2623519518256</v>
      </c>
      <c r="F14" s="17">
        <f t="shared" si="2"/>
        <v>31610.696441599135</v>
      </c>
      <c r="G14" s="17">
        <f t="shared" si="3"/>
        <v>24000</v>
      </c>
      <c r="H14" s="17">
        <f t="shared" si="4"/>
        <v>31610.696441599135</v>
      </c>
      <c r="I14" s="17">
        <f t="shared" si="5"/>
        <v>7610.6964415991351</v>
      </c>
      <c r="J14" s="6"/>
      <c r="T14" s="23">
        <v>45657</v>
      </c>
      <c r="V14" s="1">
        <v>115769.6492782961</v>
      </c>
    </row>
    <row r="15" spans="1:28" ht="14.1" customHeight="1" x14ac:dyDescent="0.2">
      <c r="A15" s="14">
        <v>44253</v>
      </c>
      <c r="B15" s="15">
        <f>VLOOKUP(A15,[1]szse_innovation_100!$A:$F,6)</f>
        <v>4.7232599999999998</v>
      </c>
      <c r="C15" s="16">
        <f>C14</f>
        <v>2000</v>
      </c>
      <c r="D15" s="17">
        <f t="shared" ref="D15:D73" si="9">C15/B15</f>
        <v>423.43635539860185</v>
      </c>
      <c r="E15" s="17">
        <f>E14+D15</f>
        <v>6766.6987073504279</v>
      </c>
      <c r="F15" s="17">
        <f t="shared" ref="F15:F73" si="10">E15*B15</f>
        <v>31960.877336479982</v>
      </c>
      <c r="G15" s="17">
        <f>G14+C15</f>
        <v>26000</v>
      </c>
      <c r="H15" s="17">
        <f t="shared" ref="H15:H73" si="11">F15</f>
        <v>31960.877336479982</v>
      </c>
      <c r="I15" s="17">
        <f t="shared" ref="I15:I73" si="12">H15-G15</f>
        <v>5960.8773364799818</v>
      </c>
      <c r="J15" s="6"/>
      <c r="V15" s="2">
        <f>IRR(V9:V14)</f>
        <v>-6.4264525305609554E-3</v>
      </c>
    </row>
    <row r="16" spans="1:28" ht="14.1" customHeight="1" x14ac:dyDescent="0.2">
      <c r="A16" s="14">
        <v>44286</v>
      </c>
      <c r="B16" s="15">
        <f>VLOOKUP(A16,[1]szse_innovation_100!$A:$F,6)</f>
        <v>4.4379900000000001</v>
      </c>
      <c r="C16" s="16">
        <f t="shared" ref="C16:C73" si="13">C15</f>
        <v>2000</v>
      </c>
      <c r="D16" s="17">
        <f t="shared" si="9"/>
        <v>450.65446294381013</v>
      </c>
      <c r="E16" s="17">
        <f t="shared" ref="E16:E73" si="14">E15+D16</f>
        <v>7217.3531702942382</v>
      </c>
      <c r="F16" s="17">
        <f t="shared" si="10"/>
        <v>32030.541196234128</v>
      </c>
      <c r="G16" s="17">
        <f t="shared" ref="G16:G73" si="15">G15+C16</f>
        <v>28000</v>
      </c>
      <c r="H16" s="17">
        <f t="shared" si="11"/>
        <v>32030.541196234128</v>
      </c>
      <c r="I16" s="17">
        <f t="shared" si="12"/>
        <v>4030.5411962341277</v>
      </c>
      <c r="J16" s="6"/>
    </row>
    <row r="17" spans="1:12" ht="14.1" customHeight="1" x14ac:dyDescent="0.2">
      <c r="A17" s="14">
        <v>44316</v>
      </c>
      <c r="B17" s="15">
        <f>VLOOKUP(A17,[1]szse_innovation_100!$A:$F,6)</f>
        <v>4.7860299999999993</v>
      </c>
      <c r="C17" s="16">
        <f t="shared" si="13"/>
        <v>2000</v>
      </c>
      <c r="D17" s="17">
        <f t="shared" si="9"/>
        <v>417.88287996523218</v>
      </c>
      <c r="E17" s="17">
        <f t="shared" si="14"/>
        <v>7635.2360502594702</v>
      </c>
      <c r="F17" s="17">
        <f t="shared" si="10"/>
        <v>36542.468793623324</v>
      </c>
      <c r="G17" s="17">
        <f t="shared" si="15"/>
        <v>30000</v>
      </c>
      <c r="H17" s="17">
        <f t="shared" si="11"/>
        <v>36542.468793623324</v>
      </c>
      <c r="I17" s="17">
        <f t="shared" si="12"/>
        <v>6542.468793623324</v>
      </c>
      <c r="J17" s="6"/>
    </row>
    <row r="18" spans="1:12" ht="14.1" customHeight="1" x14ac:dyDescent="0.2">
      <c r="A18" s="14">
        <v>44347</v>
      </c>
      <c r="B18" s="15">
        <f>VLOOKUP(A18,[1]szse_innovation_100!$A:$F,6)</f>
        <v>4.9806599999999994</v>
      </c>
      <c r="C18" s="16">
        <f t="shared" si="13"/>
        <v>2000</v>
      </c>
      <c r="D18" s="17">
        <f t="shared" si="9"/>
        <v>401.55320780780062</v>
      </c>
      <c r="E18" s="17">
        <f t="shared" si="14"/>
        <v>8036.7892580672706</v>
      </c>
      <c r="F18" s="17">
        <f t="shared" si="10"/>
        <v>40028.514786085325</v>
      </c>
      <c r="G18" s="17">
        <f t="shared" si="15"/>
        <v>32000</v>
      </c>
      <c r="H18" s="17">
        <f t="shared" si="11"/>
        <v>40028.514786085325</v>
      </c>
      <c r="I18" s="17">
        <f t="shared" si="12"/>
        <v>8028.5147860853249</v>
      </c>
      <c r="J18" s="6"/>
    </row>
    <row r="19" spans="1:12" ht="14.1" customHeight="1" x14ac:dyDescent="0.2">
      <c r="A19" s="14">
        <v>44377</v>
      </c>
      <c r="B19" s="15">
        <f>VLOOKUP(A19,[1]szse_innovation_100!$A:$F,6)</f>
        <v>5.1114799999999994</v>
      </c>
      <c r="C19" s="16">
        <f t="shared" si="13"/>
        <v>2000</v>
      </c>
      <c r="D19" s="17">
        <f t="shared" si="9"/>
        <v>391.27610789829959</v>
      </c>
      <c r="E19" s="17">
        <f t="shared" si="14"/>
        <v>8428.0653659655709</v>
      </c>
      <c r="F19" s="17">
        <f t="shared" si="10"/>
        <v>43079.887556825692</v>
      </c>
      <c r="G19" s="17">
        <f t="shared" si="15"/>
        <v>34000</v>
      </c>
      <c r="H19" s="17">
        <f t="shared" si="11"/>
        <v>43079.887556825692</v>
      </c>
      <c r="I19" s="17">
        <f t="shared" si="12"/>
        <v>9079.8875568256917</v>
      </c>
      <c r="J19" s="6"/>
    </row>
    <row r="20" spans="1:12" ht="14.1" customHeight="1" x14ac:dyDescent="0.2">
      <c r="A20" s="14">
        <v>44407</v>
      </c>
      <c r="B20" s="15">
        <f>VLOOKUP(A20,[1]szse_innovation_100!$A:$F,6)</f>
        <v>4.9776999999999996</v>
      </c>
      <c r="C20" s="16">
        <f t="shared" si="13"/>
        <v>2000</v>
      </c>
      <c r="D20" s="17">
        <f t="shared" si="9"/>
        <v>401.79199228559378</v>
      </c>
      <c r="E20" s="17">
        <f t="shared" si="14"/>
        <v>8829.8573582511654</v>
      </c>
      <c r="F20" s="17">
        <f t="shared" si="10"/>
        <v>43952.380972166822</v>
      </c>
      <c r="G20" s="17">
        <f t="shared" si="15"/>
        <v>36000</v>
      </c>
      <c r="H20" s="17">
        <f t="shared" si="11"/>
        <v>43952.380972166822</v>
      </c>
      <c r="I20" s="17">
        <f t="shared" si="12"/>
        <v>7952.3809721668222</v>
      </c>
      <c r="J20" s="7"/>
    </row>
    <row r="21" spans="1:12" ht="14.1" customHeight="1" x14ac:dyDescent="0.2">
      <c r="A21" s="14">
        <v>44439</v>
      </c>
      <c r="B21" s="15">
        <f>VLOOKUP(A21,[1]szse_innovation_100!$A:$F,6)</f>
        <v>4.7613100000000008</v>
      </c>
      <c r="C21" s="16">
        <f t="shared" si="13"/>
        <v>2000</v>
      </c>
      <c r="D21" s="17">
        <f t="shared" si="9"/>
        <v>420.05246455282258</v>
      </c>
      <c r="E21" s="17">
        <f t="shared" si="14"/>
        <v>9249.9098228039875</v>
      </c>
      <c r="F21" s="17">
        <f t="shared" si="10"/>
        <v>44041.688138414858</v>
      </c>
      <c r="G21" s="17">
        <f t="shared" si="15"/>
        <v>38000</v>
      </c>
      <c r="H21" s="17">
        <f t="shared" si="11"/>
        <v>44041.688138414858</v>
      </c>
      <c r="I21" s="17">
        <f t="shared" si="12"/>
        <v>6041.6881384148583</v>
      </c>
      <c r="J21" s="6"/>
      <c r="L21" s="3"/>
    </row>
    <row r="22" spans="1:12" ht="14.1" customHeight="1" x14ac:dyDescent="0.2">
      <c r="A22" s="14">
        <v>44469</v>
      </c>
      <c r="B22" s="15">
        <f>VLOOKUP(A22,[1]szse_innovation_100!$A:$F,6)</f>
        <v>4.7106400000000006</v>
      </c>
      <c r="C22" s="16">
        <f t="shared" si="13"/>
        <v>2000</v>
      </c>
      <c r="D22" s="17">
        <f t="shared" si="9"/>
        <v>424.57075896268867</v>
      </c>
      <c r="E22" s="17">
        <f t="shared" si="14"/>
        <v>9674.4805817666766</v>
      </c>
      <c r="F22" s="17">
        <f t="shared" si="10"/>
        <v>45572.995207693384</v>
      </c>
      <c r="G22" s="17">
        <f t="shared" si="15"/>
        <v>40000</v>
      </c>
      <c r="H22" s="17">
        <f t="shared" si="11"/>
        <v>45572.995207693384</v>
      </c>
      <c r="I22" s="17">
        <f t="shared" si="12"/>
        <v>5572.9952076933841</v>
      </c>
      <c r="J22" s="6"/>
    </row>
    <row r="23" spans="1:12" ht="14.1" customHeight="1" x14ac:dyDescent="0.2">
      <c r="A23" s="14">
        <v>44498</v>
      </c>
      <c r="B23" s="15">
        <f>VLOOKUP(A23,[1]szse_innovation_100!$A:$F,6)</f>
        <v>4.8678999999999997</v>
      </c>
      <c r="C23" s="16">
        <f t="shared" si="13"/>
        <v>2000</v>
      </c>
      <c r="D23" s="17">
        <f t="shared" si="9"/>
        <v>410.85478337681548</v>
      </c>
      <c r="E23" s="17">
        <f t="shared" si="14"/>
        <v>10085.335365143492</v>
      </c>
      <c r="F23" s="17">
        <f t="shared" si="10"/>
        <v>49094.404023982002</v>
      </c>
      <c r="G23" s="17">
        <f t="shared" si="15"/>
        <v>42000</v>
      </c>
      <c r="H23" s="17">
        <f t="shared" si="11"/>
        <v>49094.404023982002</v>
      </c>
      <c r="I23" s="17">
        <f t="shared" si="12"/>
        <v>7094.4040239820024</v>
      </c>
      <c r="J23" s="6"/>
    </row>
    <row r="24" spans="1:12" ht="14.1" customHeight="1" x14ac:dyDescent="0.2">
      <c r="A24" s="14">
        <v>44530</v>
      </c>
      <c r="B24" s="15">
        <f>VLOOKUP(A24,[1]szse_innovation_100!$A:$F,6)</f>
        <v>4.9547099609374996</v>
      </c>
      <c r="C24" s="16">
        <f t="shared" si="13"/>
        <v>2000</v>
      </c>
      <c r="D24" s="17">
        <f t="shared" si="9"/>
        <v>403.65632211932189</v>
      </c>
      <c r="E24" s="17">
        <f t="shared" si="14"/>
        <v>10488.991687262813</v>
      </c>
      <c r="F24" s="17">
        <f t="shared" si="10"/>
        <v>51969.911593071687</v>
      </c>
      <c r="G24" s="17">
        <f t="shared" si="15"/>
        <v>44000</v>
      </c>
      <c r="H24" s="17">
        <f t="shared" si="11"/>
        <v>51969.911593071687</v>
      </c>
      <c r="I24" s="17">
        <f t="shared" si="12"/>
        <v>7969.9115930716871</v>
      </c>
      <c r="J24" s="6"/>
    </row>
    <row r="25" spans="1:12" ht="14.1" customHeight="1" x14ac:dyDescent="0.2">
      <c r="A25" s="14">
        <v>44561</v>
      </c>
      <c r="B25" s="15">
        <f>VLOOKUP(A25,[1]szse_innovation_100!$A:$F,6)</f>
        <v>4.8630097656249998</v>
      </c>
      <c r="C25" s="16">
        <f t="shared" si="13"/>
        <v>2000</v>
      </c>
      <c r="D25" s="17">
        <f t="shared" si="9"/>
        <v>411.26793825036822</v>
      </c>
      <c r="E25" s="17">
        <f t="shared" si="14"/>
        <v>10900.259625513181</v>
      </c>
      <c r="F25" s="17">
        <f t="shared" si="10"/>
        <v>53008.069006718506</v>
      </c>
      <c r="G25" s="17">
        <f t="shared" si="15"/>
        <v>46000</v>
      </c>
      <c r="H25" s="17">
        <f t="shared" si="11"/>
        <v>53008.069006718506</v>
      </c>
      <c r="I25" s="17">
        <f t="shared" si="12"/>
        <v>7008.069006718506</v>
      </c>
      <c r="J25" s="6"/>
    </row>
    <row r="26" spans="1:12" ht="14.1" customHeight="1" x14ac:dyDescent="0.2">
      <c r="A26" s="14">
        <v>44589</v>
      </c>
      <c r="B26" s="15">
        <f>VLOOKUP(A26,[1]szse_innovation_100!$A:$F,6)</f>
        <v>4.3440297851562502</v>
      </c>
      <c r="C26" s="16">
        <f t="shared" si="13"/>
        <v>2000</v>
      </c>
      <c r="D26" s="17">
        <f t="shared" si="9"/>
        <v>460.40199973630291</v>
      </c>
      <c r="E26" s="17">
        <f t="shared" si="14"/>
        <v>11360.661625249484</v>
      </c>
      <c r="F26" s="17">
        <f t="shared" si="10"/>
        <v>49351.052479165373</v>
      </c>
      <c r="G26" s="17">
        <f t="shared" si="15"/>
        <v>48000</v>
      </c>
      <c r="H26" s="17">
        <f t="shared" si="11"/>
        <v>49351.052479165373</v>
      </c>
      <c r="I26" s="17">
        <f t="shared" si="12"/>
        <v>1351.0524791653734</v>
      </c>
      <c r="J26" s="6"/>
    </row>
    <row r="27" spans="1:12" ht="14.1" customHeight="1" x14ac:dyDescent="0.2">
      <c r="A27" s="14">
        <v>44620</v>
      </c>
      <c r="B27" s="15">
        <f>VLOOKUP(A27,[1]szse_innovation_100!$A:$F,6)</f>
        <v>4.3355400390624999</v>
      </c>
      <c r="C27" s="16">
        <f t="shared" si="13"/>
        <v>2000</v>
      </c>
      <c r="D27" s="17">
        <f t="shared" si="9"/>
        <v>461.30354741977476</v>
      </c>
      <c r="E27" s="17">
        <f t="shared" si="14"/>
        <v>11821.965172669259</v>
      </c>
      <c r="F27" s="17">
        <f t="shared" si="10"/>
        <v>51254.60334650999</v>
      </c>
      <c r="G27" s="17">
        <f t="shared" si="15"/>
        <v>50000</v>
      </c>
      <c r="H27" s="17">
        <f t="shared" si="11"/>
        <v>51254.60334650999</v>
      </c>
      <c r="I27" s="17">
        <f t="shared" si="12"/>
        <v>1254.6033465099899</v>
      </c>
      <c r="J27" s="6"/>
    </row>
    <row r="28" spans="1:12" ht="14.1" customHeight="1" x14ac:dyDescent="0.2">
      <c r="A28" s="14">
        <v>44651</v>
      </c>
      <c r="B28" s="15">
        <f>VLOOKUP(A28,[1]szse_innovation_100!$A:$F,6)</f>
        <v>3.8658500976562502</v>
      </c>
      <c r="C28" s="16">
        <f t="shared" si="13"/>
        <v>2000</v>
      </c>
      <c r="D28" s="17">
        <f t="shared" si="9"/>
        <v>517.35063426606746</v>
      </c>
      <c r="E28" s="17">
        <f t="shared" si="14"/>
        <v>12339.315806935327</v>
      </c>
      <c r="F28" s="17">
        <f t="shared" si="10"/>
        <v>47701.945217252243</v>
      </c>
      <c r="G28" s="17">
        <f t="shared" si="15"/>
        <v>52000</v>
      </c>
      <c r="H28" s="17">
        <f t="shared" si="11"/>
        <v>47701.945217252243</v>
      </c>
      <c r="I28" s="17">
        <f t="shared" si="12"/>
        <v>-4298.0547827477567</v>
      </c>
      <c r="J28" s="6"/>
    </row>
    <row r="29" spans="1:12" ht="14.1" customHeight="1" x14ac:dyDescent="0.2">
      <c r="A29" s="14">
        <v>44680</v>
      </c>
      <c r="B29" s="15">
        <f>VLOOKUP(A29,[1]szse_innovation_100!$A:$F,6)</f>
        <v>3.5012099609375</v>
      </c>
      <c r="C29" s="16">
        <f t="shared" si="13"/>
        <v>2000</v>
      </c>
      <c r="D29" s="17">
        <f t="shared" si="9"/>
        <v>571.23109505391415</v>
      </c>
      <c r="E29" s="17">
        <f t="shared" si="14"/>
        <v>12910.546901989241</v>
      </c>
      <c r="F29" s="17">
        <f t="shared" si="10"/>
        <v>45202.535414395512</v>
      </c>
      <c r="G29" s="17">
        <f t="shared" si="15"/>
        <v>54000</v>
      </c>
      <c r="H29" s="17">
        <f t="shared" si="11"/>
        <v>45202.535414395512</v>
      </c>
      <c r="I29" s="17">
        <f t="shared" si="12"/>
        <v>-8797.4645856044881</v>
      </c>
      <c r="J29" s="6"/>
    </row>
    <row r="30" spans="1:12" ht="14.1" customHeight="1" x14ac:dyDescent="0.2">
      <c r="A30" s="14">
        <v>44712</v>
      </c>
      <c r="B30" s="15">
        <f>VLOOKUP(A30,[1]szse_innovation_100!$A:$F,6)</f>
        <v>3.6361599121093748</v>
      </c>
      <c r="C30" s="16">
        <f t="shared" si="13"/>
        <v>2000</v>
      </c>
      <c r="D30" s="17">
        <f t="shared" si="9"/>
        <v>550.03081501984298</v>
      </c>
      <c r="E30" s="17">
        <f t="shared" si="14"/>
        <v>13460.577717009084</v>
      </c>
      <c r="F30" s="17">
        <f t="shared" si="10"/>
        <v>48944.813088421164</v>
      </c>
      <c r="G30" s="17">
        <f t="shared" si="15"/>
        <v>56000</v>
      </c>
      <c r="H30" s="17">
        <f t="shared" si="11"/>
        <v>48944.813088421164</v>
      </c>
      <c r="I30" s="17">
        <f t="shared" si="12"/>
        <v>-7055.1869115788359</v>
      </c>
      <c r="J30" s="6"/>
    </row>
    <row r="31" spans="1:12" ht="14.1" customHeight="1" x14ac:dyDescent="0.2">
      <c r="A31" s="14">
        <v>44742</v>
      </c>
      <c r="B31" s="15">
        <f>VLOOKUP(A31,[1]szse_innovation_100!$A:$F,6)</f>
        <v>4.1096201171875002</v>
      </c>
      <c r="C31" s="16">
        <f t="shared" si="13"/>
        <v>2000</v>
      </c>
      <c r="D31" s="17">
        <f t="shared" si="9"/>
        <v>486.66298659466838</v>
      </c>
      <c r="E31" s="17">
        <f t="shared" si="14"/>
        <v>13947.240703603753</v>
      </c>
      <c r="F31" s="17">
        <f t="shared" si="10"/>
        <v>57317.86097478633</v>
      </c>
      <c r="G31" s="17">
        <f t="shared" si="15"/>
        <v>58000</v>
      </c>
      <c r="H31" s="17">
        <f t="shared" si="11"/>
        <v>57317.86097478633</v>
      </c>
      <c r="I31" s="17">
        <f t="shared" si="12"/>
        <v>-682.13902521366981</v>
      </c>
      <c r="J31" s="6"/>
    </row>
    <row r="32" spans="1:12" ht="14.1" customHeight="1" x14ac:dyDescent="0.2">
      <c r="A32" s="14">
        <v>44771</v>
      </c>
      <c r="B32" s="15">
        <f>VLOOKUP(A32,[1]szse_innovation_100!$A:$F,6)</f>
        <v>3.8724699707031252</v>
      </c>
      <c r="C32" s="16">
        <f t="shared" si="13"/>
        <v>2000</v>
      </c>
      <c r="D32" s="17">
        <f t="shared" si="9"/>
        <v>516.46623863602474</v>
      </c>
      <c r="E32" s="17">
        <f t="shared" si="14"/>
        <v>14463.706942239778</v>
      </c>
      <c r="F32" s="17">
        <f t="shared" si="10"/>
        <v>56010.270798873862</v>
      </c>
      <c r="G32" s="17">
        <f t="shared" si="15"/>
        <v>60000</v>
      </c>
      <c r="H32" s="17">
        <f t="shared" si="11"/>
        <v>56010.270798873862</v>
      </c>
      <c r="I32" s="17">
        <f t="shared" si="12"/>
        <v>-3989.7292011261379</v>
      </c>
      <c r="J32" s="6"/>
    </row>
    <row r="33" spans="1:12" ht="14.1" customHeight="1" x14ac:dyDescent="0.2">
      <c r="A33" s="14">
        <v>44804</v>
      </c>
      <c r="B33" s="15">
        <f>VLOOKUP(A33,[1]szse_innovation_100!$A:$F,6)</f>
        <v>3.7022099609375001</v>
      </c>
      <c r="C33" s="16">
        <f t="shared" si="13"/>
        <v>2000</v>
      </c>
      <c r="D33" s="17">
        <f t="shared" si="9"/>
        <v>540.21787556682648</v>
      </c>
      <c r="E33" s="17">
        <f t="shared" si="14"/>
        <v>15003.924817806605</v>
      </c>
      <c r="F33" s="17">
        <f t="shared" si="10"/>
        <v>55547.679913640975</v>
      </c>
      <c r="G33" s="17">
        <f t="shared" si="15"/>
        <v>62000</v>
      </c>
      <c r="H33" s="17">
        <f t="shared" si="11"/>
        <v>55547.679913640975</v>
      </c>
      <c r="I33" s="17">
        <f t="shared" si="12"/>
        <v>-6452.3200863590246</v>
      </c>
      <c r="J33" s="6"/>
      <c r="L33" s="3"/>
    </row>
    <row r="34" spans="1:12" ht="12.75" x14ac:dyDescent="0.2">
      <c r="A34" s="14">
        <v>44834</v>
      </c>
      <c r="B34" s="15">
        <f>VLOOKUP(A34,[1]szse_innovation_100!$A:$F,6)</f>
        <v>3.3477299804687499</v>
      </c>
      <c r="C34" s="16">
        <f t="shared" si="13"/>
        <v>2000</v>
      </c>
      <c r="D34" s="17">
        <f t="shared" si="9"/>
        <v>597.41974761057622</v>
      </c>
      <c r="E34" s="17">
        <f t="shared" si="14"/>
        <v>15601.344565417181</v>
      </c>
      <c r="F34" s="17">
        <f t="shared" si="10"/>
        <v>52229.088937270295</v>
      </c>
      <c r="G34" s="17">
        <f t="shared" si="15"/>
        <v>64000</v>
      </c>
      <c r="H34" s="17">
        <f t="shared" si="11"/>
        <v>52229.088937270295</v>
      </c>
      <c r="I34" s="17">
        <f t="shared" si="12"/>
        <v>-11770.911062729705</v>
      </c>
    </row>
    <row r="35" spans="1:12" ht="12.75" x14ac:dyDescent="0.2">
      <c r="A35" s="14">
        <v>44865</v>
      </c>
      <c r="B35" s="15">
        <f>VLOOKUP(A35,[1]szse_innovation_100!$A:$F,6)</f>
        <v>3.2993999023437501</v>
      </c>
      <c r="C35" s="16">
        <f t="shared" si="13"/>
        <v>2000</v>
      </c>
      <c r="D35" s="17">
        <f t="shared" si="9"/>
        <v>606.17083687833269</v>
      </c>
      <c r="E35" s="17">
        <f t="shared" si="14"/>
        <v>16207.515402295514</v>
      </c>
      <c r="F35" s="17">
        <f t="shared" si="10"/>
        <v>53475.074735568647</v>
      </c>
      <c r="G35" s="17">
        <f t="shared" si="15"/>
        <v>66000</v>
      </c>
      <c r="H35" s="17">
        <f t="shared" si="11"/>
        <v>53475.074735568647</v>
      </c>
      <c r="I35" s="17">
        <f t="shared" si="12"/>
        <v>-12524.925264431353</v>
      </c>
    </row>
    <row r="36" spans="1:12" ht="12.75" x14ac:dyDescent="0.2">
      <c r="A36" s="14">
        <v>44895</v>
      </c>
      <c r="B36" s="15">
        <f>VLOOKUP(A36,[1]szse_innovation_100!$A:$F,6)</f>
        <v>3.4802900390625</v>
      </c>
      <c r="C36" s="16">
        <f t="shared" si="13"/>
        <v>2000</v>
      </c>
      <c r="D36" s="17">
        <f t="shared" si="9"/>
        <v>574.66474849859014</v>
      </c>
      <c r="E36" s="17">
        <f t="shared" si="14"/>
        <v>16782.180150794105</v>
      </c>
      <c r="F36" s="17">
        <f t="shared" si="10"/>
        <v>58406.85441256113</v>
      </c>
      <c r="G36" s="17">
        <f t="shared" si="15"/>
        <v>68000</v>
      </c>
      <c r="H36" s="17">
        <f t="shared" si="11"/>
        <v>58406.85441256113</v>
      </c>
      <c r="I36" s="17">
        <f t="shared" si="12"/>
        <v>-9593.1455874388703</v>
      </c>
    </row>
    <row r="37" spans="1:12" ht="12.75" x14ac:dyDescent="0.2">
      <c r="A37" s="14">
        <v>44925</v>
      </c>
      <c r="B37" s="15">
        <f>VLOOKUP(A37,[1]szse_innovation_100!$A:$F,6)</f>
        <v>3.4735300292968749</v>
      </c>
      <c r="C37" s="16">
        <f t="shared" si="13"/>
        <v>2000</v>
      </c>
      <c r="D37" s="17">
        <f t="shared" si="9"/>
        <v>575.78313218292442</v>
      </c>
      <c r="E37" s="17">
        <f t="shared" si="14"/>
        <v>17357.963282977031</v>
      </c>
      <c r="F37" s="17">
        <f t="shared" si="10"/>
        <v>60293.406710853284</v>
      </c>
      <c r="G37" s="17">
        <f t="shared" si="15"/>
        <v>70000</v>
      </c>
      <c r="H37" s="17">
        <f t="shared" si="11"/>
        <v>60293.406710853284</v>
      </c>
      <c r="I37" s="17">
        <f t="shared" si="12"/>
        <v>-9706.5932891467164</v>
      </c>
    </row>
    <row r="38" spans="1:12" ht="12.75" x14ac:dyDescent="0.2">
      <c r="A38" s="14">
        <v>44957</v>
      </c>
      <c r="B38" s="15">
        <f>VLOOKUP(A38,[1]szse_innovation_100!$A:$F,6)</f>
        <v>3.8110336914062501</v>
      </c>
      <c r="C38" s="16">
        <f t="shared" si="13"/>
        <v>2000</v>
      </c>
      <c r="D38" s="17">
        <f t="shared" si="9"/>
        <v>524.79200184189688</v>
      </c>
      <c r="E38" s="17">
        <f t="shared" si="14"/>
        <v>17882.755284818926</v>
      </c>
      <c r="F38" s="17">
        <f t="shared" si="10"/>
        <v>68151.7828856181</v>
      </c>
      <c r="G38" s="17">
        <f t="shared" si="15"/>
        <v>72000</v>
      </c>
      <c r="H38" s="17">
        <f t="shared" si="11"/>
        <v>68151.7828856181</v>
      </c>
      <c r="I38" s="17">
        <f t="shared" si="12"/>
        <v>-3848.2171143818996</v>
      </c>
    </row>
    <row r="39" spans="1:12" ht="12.75" x14ac:dyDescent="0.2">
      <c r="A39" s="14">
        <v>44985</v>
      </c>
      <c r="B39" s="15">
        <f>VLOOKUP(A39,[1]szse_innovation_100!$A:$F,6)</f>
        <v>3.6777292480468748</v>
      </c>
      <c r="C39" s="16">
        <f t="shared" si="13"/>
        <v>2000</v>
      </c>
      <c r="D39" s="17">
        <f t="shared" si="9"/>
        <v>543.81382236393188</v>
      </c>
      <c r="E39" s="17">
        <f t="shared" si="14"/>
        <v>18426.569107182859</v>
      </c>
      <c r="F39" s="17">
        <f t="shared" si="10"/>
        <v>67767.93214664339</v>
      </c>
      <c r="G39" s="17">
        <f t="shared" si="15"/>
        <v>74000</v>
      </c>
      <c r="H39" s="17">
        <f t="shared" si="11"/>
        <v>67767.93214664339</v>
      </c>
      <c r="I39" s="17">
        <f t="shared" si="12"/>
        <v>-6232.0678533566097</v>
      </c>
    </row>
    <row r="40" spans="1:12" ht="12.75" x14ac:dyDescent="0.2">
      <c r="A40" s="14">
        <v>45016</v>
      </c>
      <c r="B40" s="15">
        <f>VLOOKUP(A40,[1]szse_innovation_100!$A:$F,6)</f>
        <v>3.7161979980468751</v>
      </c>
      <c r="C40" s="16">
        <f t="shared" si="13"/>
        <v>2000</v>
      </c>
      <c r="D40" s="17">
        <f t="shared" si="9"/>
        <v>538.18445654702509</v>
      </c>
      <c r="E40" s="17">
        <f t="shared" si="14"/>
        <v>18964.753563729882</v>
      </c>
      <c r="F40" s="17">
        <f t="shared" si="10"/>
        <v>70476.779226985323</v>
      </c>
      <c r="G40" s="17">
        <f t="shared" si="15"/>
        <v>76000</v>
      </c>
      <c r="H40" s="17">
        <f t="shared" si="11"/>
        <v>70476.779226985323</v>
      </c>
      <c r="I40" s="17">
        <f t="shared" si="12"/>
        <v>-5523.2207730146765</v>
      </c>
    </row>
    <row r="41" spans="1:12" ht="12.75" x14ac:dyDescent="0.2">
      <c r="A41" s="14">
        <v>45044</v>
      </c>
      <c r="B41" s="15">
        <f>VLOOKUP(A41,[1]szse_innovation_100!$A:$F,6)</f>
        <v>3.6159379882812499</v>
      </c>
      <c r="C41" s="16">
        <f t="shared" si="13"/>
        <v>2000</v>
      </c>
      <c r="D41" s="17">
        <f t="shared" si="9"/>
        <v>553.10683050475996</v>
      </c>
      <c r="E41" s="17">
        <f t="shared" si="14"/>
        <v>19517.860394234642</v>
      </c>
      <c r="F41" s="17">
        <f t="shared" si="10"/>
        <v>70575.372849483087</v>
      </c>
      <c r="G41" s="17">
        <f t="shared" si="15"/>
        <v>78000</v>
      </c>
      <c r="H41" s="17">
        <f t="shared" si="11"/>
        <v>70575.372849483087</v>
      </c>
      <c r="I41" s="17">
        <f t="shared" si="12"/>
        <v>-7424.6271505169134</v>
      </c>
    </row>
    <row r="42" spans="1:12" ht="12.75" x14ac:dyDescent="0.2">
      <c r="A42" s="14">
        <v>45077</v>
      </c>
      <c r="B42" s="15">
        <f>VLOOKUP(A42,[1]szse_innovation_100!$A:$F,6)</f>
        <v>3.4505849609374999</v>
      </c>
      <c r="C42" s="16">
        <f t="shared" si="13"/>
        <v>2000</v>
      </c>
      <c r="D42" s="17">
        <f t="shared" si="9"/>
        <v>579.61186947752014</v>
      </c>
      <c r="E42" s="17">
        <f t="shared" si="14"/>
        <v>20097.472263712163</v>
      </c>
      <c r="F42" s="17">
        <f t="shared" si="10"/>
        <v>69348.035546023719</v>
      </c>
      <c r="G42" s="17">
        <f t="shared" si="15"/>
        <v>80000</v>
      </c>
      <c r="H42" s="17">
        <f t="shared" si="11"/>
        <v>69348.035546023719</v>
      </c>
      <c r="I42" s="17">
        <f t="shared" si="12"/>
        <v>-10651.964453976281</v>
      </c>
    </row>
    <row r="43" spans="1:12" ht="12.75" x14ac:dyDescent="0.2">
      <c r="A43" s="14">
        <v>45107</v>
      </c>
      <c r="B43" s="15">
        <f>VLOOKUP(A43,[1]szse_innovation_100!$A:$F,6)</f>
        <v>3.608843017578125</v>
      </c>
      <c r="C43" s="16">
        <f t="shared" si="13"/>
        <v>2000</v>
      </c>
      <c r="D43" s="17">
        <f t="shared" si="9"/>
        <v>554.19423628523168</v>
      </c>
      <c r="E43" s="17">
        <f t="shared" si="14"/>
        <v>20651.666499997395</v>
      </c>
      <c r="F43" s="17">
        <f t="shared" si="10"/>
        <v>74528.622449867675</v>
      </c>
      <c r="G43" s="17">
        <f t="shared" si="15"/>
        <v>82000</v>
      </c>
      <c r="H43" s="17">
        <f t="shared" si="11"/>
        <v>74528.622449867675</v>
      </c>
      <c r="I43" s="17">
        <f t="shared" si="12"/>
        <v>-7471.3775501323253</v>
      </c>
    </row>
    <row r="44" spans="1:12" ht="12.75" x14ac:dyDescent="0.2">
      <c r="A44" s="14">
        <v>45138</v>
      </c>
      <c r="B44" s="15">
        <f>VLOOKUP(A44,[1]szse_innovation_100!$A:$F,6)</f>
        <v>3.6303940429687498</v>
      </c>
      <c r="C44" s="16">
        <f t="shared" si="13"/>
        <v>2000</v>
      </c>
      <c r="D44" s="17">
        <f t="shared" si="9"/>
        <v>550.90438567503338</v>
      </c>
      <c r="E44" s="17">
        <f t="shared" si="14"/>
        <v>21202.570885672427</v>
      </c>
      <c r="F44" s="17">
        <f t="shared" si="10"/>
        <v>76973.687038967822</v>
      </c>
      <c r="G44" s="17">
        <f t="shared" si="15"/>
        <v>84000</v>
      </c>
      <c r="H44" s="17">
        <f t="shared" si="11"/>
        <v>76973.687038967822</v>
      </c>
      <c r="I44" s="17">
        <f t="shared" si="12"/>
        <v>-7026.3129610321776</v>
      </c>
    </row>
    <row r="45" spans="1:12" ht="12.75" x14ac:dyDescent="0.2">
      <c r="A45" s="14">
        <v>45169</v>
      </c>
      <c r="B45" s="15">
        <f>VLOOKUP(A45,[1]szse_innovation_100!$A:$F,6)</f>
        <v>3.3830390625</v>
      </c>
      <c r="C45" s="16">
        <f t="shared" si="13"/>
        <v>2000</v>
      </c>
      <c r="D45" s="17">
        <f t="shared" si="9"/>
        <v>591.18442413787534</v>
      </c>
      <c r="E45" s="17">
        <f t="shared" si="14"/>
        <v>21793.755309810302</v>
      </c>
      <c r="F45" s="17">
        <f t="shared" si="10"/>
        <v>73729.125531655038</v>
      </c>
      <c r="G45" s="17">
        <f t="shared" si="15"/>
        <v>86000</v>
      </c>
      <c r="H45" s="17">
        <f t="shared" si="11"/>
        <v>73729.125531655038</v>
      </c>
      <c r="I45" s="17">
        <f t="shared" si="12"/>
        <v>-12270.874468344962</v>
      </c>
    </row>
    <row r="46" spans="1:12" ht="12.75" x14ac:dyDescent="0.2">
      <c r="A46" s="14">
        <v>45197</v>
      </c>
      <c r="B46" s="15">
        <f>VLOOKUP(A46,[1]szse_innovation_100!$A:$F,6)</f>
        <v>3.2311640625</v>
      </c>
      <c r="C46" s="16">
        <f t="shared" si="13"/>
        <v>2000</v>
      </c>
      <c r="D46" s="17">
        <f t="shared" si="9"/>
        <v>618.97197459313475</v>
      </c>
      <c r="E46" s="17">
        <f t="shared" si="14"/>
        <v>22412.727284403438</v>
      </c>
      <c r="F46" s="17">
        <f t="shared" si="10"/>
        <v>72419.198943977608</v>
      </c>
      <c r="G46" s="17">
        <f t="shared" si="15"/>
        <v>88000</v>
      </c>
      <c r="H46" s="17">
        <f t="shared" si="11"/>
        <v>72419.198943977608</v>
      </c>
      <c r="I46" s="17">
        <f t="shared" si="12"/>
        <v>-15580.801056022392</v>
      </c>
    </row>
    <row r="47" spans="1:12" ht="12.75" x14ac:dyDescent="0.2">
      <c r="A47" s="14">
        <v>45230</v>
      </c>
      <c r="B47" s="15">
        <f>VLOOKUP(A47,[1]szse_innovation_100!$A:$F,6)</f>
        <v>3.1302160644531249</v>
      </c>
      <c r="C47" s="16">
        <f t="shared" si="13"/>
        <v>2000</v>
      </c>
      <c r="D47" s="17">
        <f t="shared" si="9"/>
        <v>638.933530088255</v>
      </c>
      <c r="E47" s="17">
        <f t="shared" si="14"/>
        <v>23051.660814491694</v>
      </c>
      <c r="F47" s="17">
        <f t="shared" si="10"/>
        <v>72156.678993846508</v>
      </c>
      <c r="G47" s="17">
        <f t="shared" si="15"/>
        <v>90000</v>
      </c>
      <c r="H47" s="17">
        <f t="shared" si="11"/>
        <v>72156.678993846508</v>
      </c>
      <c r="I47" s="17">
        <f t="shared" si="12"/>
        <v>-17843.321006153492</v>
      </c>
    </row>
    <row r="48" spans="1:12" ht="12.75" x14ac:dyDescent="0.2">
      <c r="A48" s="14">
        <v>45260</v>
      </c>
      <c r="B48" s="15">
        <f>VLOOKUP(A48,[1]szse_innovation_100!$A:$F,6)</f>
        <v>3.0653520507812502</v>
      </c>
      <c r="C48" s="16">
        <f t="shared" si="13"/>
        <v>2000</v>
      </c>
      <c r="D48" s="17">
        <f t="shared" si="9"/>
        <v>652.45360626368199</v>
      </c>
      <c r="E48" s="17">
        <f t="shared" si="14"/>
        <v>23704.114420755377</v>
      </c>
      <c r="F48" s="17">
        <f t="shared" si="10"/>
        <v>72661.455751615897</v>
      </c>
      <c r="G48" s="17">
        <f t="shared" si="15"/>
        <v>92000</v>
      </c>
      <c r="H48" s="17">
        <f t="shared" si="11"/>
        <v>72661.455751615897</v>
      </c>
      <c r="I48" s="17">
        <f t="shared" si="12"/>
        <v>-19338.544248384103</v>
      </c>
    </row>
    <row r="49" spans="1:9" ht="12.75" x14ac:dyDescent="0.2">
      <c r="A49" s="14">
        <v>45289</v>
      </c>
      <c r="B49" s="15">
        <f>VLOOKUP(A49,[1]szse_innovation_100!$A:$F,6)</f>
        <v>3.0335100097656249</v>
      </c>
      <c r="C49" s="16">
        <f t="shared" si="13"/>
        <v>2000</v>
      </c>
      <c r="D49" s="17">
        <f t="shared" si="9"/>
        <v>659.30225829534152</v>
      </c>
      <c r="E49" s="17">
        <f t="shared" si="14"/>
        <v>24363.416679050719</v>
      </c>
      <c r="F49" s="17">
        <f t="shared" si="10"/>
        <v>73906.668367991137</v>
      </c>
      <c r="G49" s="17">
        <f t="shared" si="15"/>
        <v>94000</v>
      </c>
      <c r="H49" s="17">
        <f t="shared" si="11"/>
        <v>73906.668367991137</v>
      </c>
      <c r="I49" s="17">
        <f t="shared" si="12"/>
        <v>-20093.331632008863</v>
      </c>
    </row>
    <row r="50" spans="1:9" ht="12.75" x14ac:dyDescent="0.2">
      <c r="A50" s="14">
        <v>45322</v>
      </c>
      <c r="B50" s="15">
        <f>VLOOKUP(A50,[1]szse_innovation_100!$A:$F,6)</f>
        <v>2.6308430175781252</v>
      </c>
      <c r="C50" s="16">
        <f t="shared" si="13"/>
        <v>2000</v>
      </c>
      <c r="D50" s="17">
        <f t="shared" si="9"/>
        <v>760.21259597660821</v>
      </c>
      <c r="E50" s="17">
        <f t="shared" si="14"/>
        <v>25123.629275027328</v>
      </c>
      <c r="F50" s="17">
        <f t="shared" si="10"/>
        <v>66096.324654427022</v>
      </c>
      <c r="G50" s="17">
        <f t="shared" si="15"/>
        <v>96000</v>
      </c>
      <c r="H50" s="17">
        <f t="shared" si="11"/>
        <v>66096.324654427022</v>
      </c>
      <c r="I50" s="17">
        <f t="shared" si="12"/>
        <v>-29903.675345572978</v>
      </c>
    </row>
    <row r="51" spans="1:9" ht="12.75" x14ac:dyDescent="0.2">
      <c r="A51" s="14">
        <v>45351</v>
      </c>
      <c r="B51" s="15">
        <f>VLOOKUP(A51,[1]szse_innovation_100!$A:$F,6)</f>
        <v>3.0022250976562499</v>
      </c>
      <c r="C51" s="16">
        <f t="shared" si="13"/>
        <v>2000</v>
      </c>
      <c r="D51" s="17">
        <f t="shared" si="9"/>
        <v>666.17256699417442</v>
      </c>
      <c r="E51" s="17">
        <f t="shared" si="14"/>
        <v>25789.801842021501</v>
      </c>
      <c r="F51" s="17">
        <f t="shared" si="10"/>
        <v>77426.790353698336</v>
      </c>
      <c r="G51" s="17">
        <f t="shared" si="15"/>
        <v>98000</v>
      </c>
      <c r="H51" s="17">
        <f t="shared" si="11"/>
        <v>77426.790353698336</v>
      </c>
      <c r="I51" s="17">
        <f t="shared" si="12"/>
        <v>-20573.209646301664</v>
      </c>
    </row>
    <row r="52" spans="1:9" ht="12.75" x14ac:dyDescent="0.2">
      <c r="A52" s="14">
        <v>45380</v>
      </c>
      <c r="B52" s="15">
        <f>VLOOKUP(A52,[1]szse_innovation_100!$A:$F,6)</f>
        <v>3.0390229492187499</v>
      </c>
      <c r="C52" s="16">
        <f t="shared" si="13"/>
        <v>2000</v>
      </c>
      <c r="D52" s="17">
        <f t="shared" si="9"/>
        <v>658.10625106142936</v>
      </c>
      <c r="E52" s="17">
        <f t="shared" si="14"/>
        <v>26447.90809308293</v>
      </c>
      <c r="F52" s="17">
        <f t="shared" si="10"/>
        <v>80375.799653707334</v>
      </c>
      <c r="G52" s="17">
        <f t="shared" si="15"/>
        <v>100000</v>
      </c>
      <c r="H52" s="17">
        <f t="shared" si="11"/>
        <v>80375.799653707334</v>
      </c>
      <c r="I52" s="17">
        <f t="shared" si="12"/>
        <v>-19624.200346292666</v>
      </c>
    </row>
    <row r="53" spans="1:9" ht="12.75" x14ac:dyDescent="0.2">
      <c r="A53" s="14">
        <v>45412</v>
      </c>
      <c r="B53" s="15">
        <f>VLOOKUP(A53,[1]szse_innovation_100!$A:$F,6)</f>
        <v>3.1081088867187501</v>
      </c>
      <c r="C53" s="16">
        <f t="shared" si="13"/>
        <v>2000</v>
      </c>
      <c r="D53" s="17">
        <f t="shared" si="9"/>
        <v>643.4780996721812</v>
      </c>
      <c r="E53" s="17">
        <f t="shared" si="14"/>
        <v>27091.386192755112</v>
      </c>
      <c r="F53" s="17">
        <f t="shared" si="10"/>
        <v>84202.97817923181</v>
      </c>
      <c r="G53" s="17">
        <f t="shared" si="15"/>
        <v>102000</v>
      </c>
      <c r="H53" s="17">
        <f t="shared" si="11"/>
        <v>84202.97817923181</v>
      </c>
      <c r="I53" s="17">
        <f t="shared" si="12"/>
        <v>-17797.02182076819</v>
      </c>
    </row>
    <row r="54" spans="1:9" ht="12.75" x14ac:dyDescent="0.2">
      <c r="A54" s="14">
        <v>45443</v>
      </c>
      <c r="B54" s="15">
        <f>VLOOKUP(A54,[1]szse_innovation_100!$A:$F,6)</f>
        <v>3.01785498046875</v>
      </c>
      <c r="C54" s="16">
        <f t="shared" si="13"/>
        <v>2000</v>
      </c>
      <c r="D54" s="17">
        <f t="shared" si="9"/>
        <v>662.72236835228875</v>
      </c>
      <c r="E54" s="17">
        <f t="shared" si="14"/>
        <v>27754.108561107401</v>
      </c>
      <c r="F54" s="17">
        <f t="shared" si="10"/>
        <v>83757.874749608338</v>
      </c>
      <c r="G54" s="17">
        <f t="shared" si="15"/>
        <v>104000</v>
      </c>
      <c r="H54" s="17">
        <f t="shared" si="11"/>
        <v>83757.874749608338</v>
      </c>
      <c r="I54" s="17">
        <f t="shared" si="12"/>
        <v>-20242.125250391662</v>
      </c>
    </row>
    <row r="55" spans="1:9" ht="12.75" x14ac:dyDescent="0.2">
      <c r="A55" s="14">
        <v>45471</v>
      </c>
      <c r="B55" s="15">
        <f>VLOOKUP(A55,[1]szse_innovation_100!$A:$F,6)</f>
        <v>2.9370109863281249</v>
      </c>
      <c r="C55" s="16">
        <f t="shared" si="13"/>
        <v>2000</v>
      </c>
      <c r="D55" s="17">
        <f t="shared" si="9"/>
        <v>680.96442584316526</v>
      </c>
      <c r="E55" s="17">
        <f t="shared" si="14"/>
        <v>28435.072986950567</v>
      </c>
      <c r="F55" s="17">
        <f t="shared" si="10"/>
        <v>83514.121759715897</v>
      </c>
      <c r="G55" s="17">
        <f t="shared" si="15"/>
        <v>106000</v>
      </c>
      <c r="H55" s="17">
        <f t="shared" si="11"/>
        <v>83514.121759715897</v>
      </c>
      <c r="I55" s="17">
        <f t="shared" si="12"/>
        <v>-22485.878240284103</v>
      </c>
    </row>
    <row r="56" spans="1:9" ht="12.75" x14ac:dyDescent="0.2">
      <c r="A56" s="14">
        <v>45504</v>
      </c>
      <c r="B56" s="15">
        <f>VLOOKUP(A56,[1]szse_innovation_100!$A:$F,6)</f>
        <v>2.916238037109375</v>
      </c>
      <c r="C56" s="16">
        <f t="shared" si="13"/>
        <v>2000</v>
      </c>
      <c r="D56" s="17">
        <f t="shared" si="9"/>
        <v>685.81507220941205</v>
      </c>
      <c r="E56" s="17">
        <f t="shared" si="14"/>
        <v>29120.888059159977</v>
      </c>
      <c r="F56" s="17">
        <f t="shared" si="10"/>
        <v>84923.441432526524</v>
      </c>
      <c r="G56" s="17">
        <f t="shared" si="15"/>
        <v>108000</v>
      </c>
      <c r="H56" s="17">
        <f t="shared" si="11"/>
        <v>84923.441432526524</v>
      </c>
      <c r="I56" s="17">
        <f t="shared" si="12"/>
        <v>-23076.558567473476</v>
      </c>
    </row>
    <row r="57" spans="1:9" ht="12.75" x14ac:dyDescent="0.2">
      <c r="A57" s="14">
        <v>45534</v>
      </c>
      <c r="B57" s="15">
        <f>VLOOKUP(A57,[1]szse_innovation_100!$A:$F,6)</f>
        <v>2.8031621093750001</v>
      </c>
      <c r="C57" s="16">
        <f t="shared" si="13"/>
        <v>2000</v>
      </c>
      <c r="D57" s="17">
        <f t="shared" si="9"/>
        <v>713.47996368498468</v>
      </c>
      <c r="E57" s="17">
        <f t="shared" si="14"/>
        <v>29834.368022844963</v>
      </c>
      <c r="F57" s="17">
        <f t="shared" si="10"/>
        <v>83630.569998788138</v>
      </c>
      <c r="G57" s="17">
        <f t="shared" si="15"/>
        <v>110000</v>
      </c>
      <c r="H57" s="17">
        <f t="shared" si="11"/>
        <v>83630.569998788138</v>
      </c>
      <c r="I57" s="17">
        <f t="shared" si="12"/>
        <v>-26369.430001211862</v>
      </c>
    </row>
    <row r="58" spans="1:9" ht="12.75" x14ac:dyDescent="0.2">
      <c r="A58" s="14">
        <v>45565</v>
      </c>
      <c r="B58" s="15">
        <f>VLOOKUP(A58,[1]szse_innovation_100!$A:$F,6)</f>
        <v>3.5533068847656248</v>
      </c>
      <c r="C58" s="16">
        <f t="shared" si="13"/>
        <v>2000</v>
      </c>
      <c r="D58" s="17">
        <f t="shared" si="9"/>
        <v>562.85597187643964</v>
      </c>
      <c r="E58" s="17">
        <f t="shared" si="14"/>
        <v>30397.223994721404</v>
      </c>
      <c r="F58" s="17">
        <f t="shared" si="10"/>
        <v>108010.66529820641</v>
      </c>
      <c r="G58" s="17">
        <f t="shared" si="15"/>
        <v>112000</v>
      </c>
      <c r="H58" s="17">
        <f t="shared" si="11"/>
        <v>108010.66529820641</v>
      </c>
      <c r="I58" s="17">
        <f t="shared" si="12"/>
        <v>-3989.3347017935885</v>
      </c>
    </row>
    <row r="59" spans="1:9" ht="12.75" x14ac:dyDescent="0.2">
      <c r="A59" s="14">
        <v>45596</v>
      </c>
      <c r="B59" s="15">
        <f>VLOOKUP(A59,[1]szse_innovation_100!$A:$F,6)</f>
        <v>3.5568400878906248</v>
      </c>
      <c r="C59" s="16">
        <f t="shared" si="13"/>
        <v>2000</v>
      </c>
      <c r="D59" s="17">
        <f t="shared" si="9"/>
        <v>562.29685636108957</v>
      </c>
      <c r="E59" s="17">
        <f t="shared" si="14"/>
        <v>30959.520851082492</v>
      </c>
      <c r="F59" s="17">
        <f t="shared" si="10"/>
        <v>110118.06486501588</v>
      </c>
      <c r="G59" s="17">
        <f t="shared" si="15"/>
        <v>114000</v>
      </c>
      <c r="H59" s="17">
        <f t="shared" si="11"/>
        <v>110118.06486501588</v>
      </c>
      <c r="I59" s="17">
        <f t="shared" si="12"/>
        <v>-3881.9351349841163</v>
      </c>
    </row>
    <row r="60" spans="1:9" ht="12.75" x14ac:dyDescent="0.2">
      <c r="A60" s="14">
        <v>45625</v>
      </c>
      <c r="B60" s="15">
        <f>VLOOKUP(A60,[1]szse_innovation_100!$A:$F,6)</f>
        <v>3.5695390625000001</v>
      </c>
      <c r="C60" s="16">
        <f t="shared" si="13"/>
        <v>2000</v>
      </c>
      <c r="D60" s="17">
        <f t="shared" si="9"/>
        <v>560.2964318309655</v>
      </c>
      <c r="E60" s="17">
        <f t="shared" si="14"/>
        <v>31519.817282913456</v>
      </c>
      <c r="F60" s="17">
        <f t="shared" si="10"/>
        <v>112511.2190342222</v>
      </c>
      <c r="G60" s="17">
        <f t="shared" si="15"/>
        <v>116000</v>
      </c>
      <c r="H60" s="17">
        <f t="shared" si="11"/>
        <v>112511.2190342222</v>
      </c>
      <c r="I60" s="17">
        <f t="shared" si="12"/>
        <v>-3488.780965777798</v>
      </c>
    </row>
    <row r="61" spans="1:9" ht="12.75" x14ac:dyDescent="0.2">
      <c r="A61" s="14">
        <v>45657</v>
      </c>
      <c r="B61" s="15">
        <f>VLOOKUP(A61,[1]szse_innovation_100!$A:$F,6)</f>
        <v>3.6094641113281249</v>
      </c>
      <c r="C61" s="16">
        <f t="shared" si="13"/>
        <v>2000</v>
      </c>
      <c r="D61" s="17">
        <f t="shared" si="9"/>
        <v>554.09887404700851</v>
      </c>
      <c r="E61" s="17">
        <f t="shared" si="14"/>
        <v>32073.916156960466</v>
      </c>
      <c r="F61" s="17">
        <f t="shared" si="10"/>
        <v>115769.6492782961</v>
      </c>
      <c r="G61" s="17">
        <f t="shared" si="15"/>
        <v>118000</v>
      </c>
      <c r="H61" s="17">
        <f t="shared" si="11"/>
        <v>115769.6492782961</v>
      </c>
      <c r="I61" s="17">
        <f t="shared" si="12"/>
        <v>-2230.3507217039005</v>
      </c>
    </row>
    <row r="62" spans="1:9" ht="12.75" x14ac:dyDescent="0.2">
      <c r="A62" s="14">
        <v>45684</v>
      </c>
      <c r="B62" s="15">
        <f>VLOOKUP(A62,[1]szse_innovation_100!$A:$F,6)</f>
        <v>3.5560529785156252</v>
      </c>
      <c r="C62" s="16">
        <f t="shared" si="13"/>
        <v>2000</v>
      </c>
      <c r="D62" s="17">
        <f t="shared" si="9"/>
        <v>562.42131714101856</v>
      </c>
      <c r="E62" s="17">
        <f t="shared" si="14"/>
        <v>32636.337474101485</v>
      </c>
      <c r="F62" s="17">
        <f t="shared" si="10"/>
        <v>116056.5450826197</v>
      </c>
      <c r="G62" s="17">
        <f t="shared" si="15"/>
        <v>120000</v>
      </c>
      <c r="H62" s="17">
        <f t="shared" si="11"/>
        <v>116056.5450826197</v>
      </c>
      <c r="I62" s="17">
        <f t="shared" si="12"/>
        <v>-3943.4549173802952</v>
      </c>
    </row>
    <row r="63" spans="1:9" ht="12.75" x14ac:dyDescent="0.2">
      <c r="A63" s="14">
        <v>45716</v>
      </c>
      <c r="B63" s="15">
        <f>VLOOKUP(A63,[1]szse_innovation_100!$A:$F,6)</f>
        <v>3.7871579589843751</v>
      </c>
      <c r="C63" s="16">
        <f t="shared" si="13"/>
        <v>2000</v>
      </c>
      <c r="D63" s="17">
        <f t="shared" si="9"/>
        <v>528.10049690569338</v>
      </c>
      <c r="E63" s="17">
        <f t="shared" si="14"/>
        <v>33164.437971007181</v>
      </c>
      <c r="F63" s="17">
        <f t="shared" si="10"/>
        <v>125598.96521714347</v>
      </c>
      <c r="G63" s="17">
        <f t="shared" si="15"/>
        <v>122000</v>
      </c>
      <c r="H63" s="17">
        <f t="shared" si="11"/>
        <v>125598.96521714347</v>
      </c>
      <c r="I63" s="17">
        <f t="shared" si="12"/>
        <v>3598.9652171434718</v>
      </c>
    </row>
    <row r="64" spans="1:9" ht="12.75" x14ac:dyDescent="0.2">
      <c r="A64" s="14">
        <v>45747</v>
      </c>
      <c r="B64" s="15">
        <f>VLOOKUP(A64,[1]szse_innovation_100!$A:$F,6)</f>
        <v>3.7142958984374999</v>
      </c>
      <c r="C64" s="16">
        <f t="shared" si="13"/>
        <v>2000</v>
      </c>
      <c r="D64" s="17">
        <f t="shared" si="9"/>
        <v>538.46006206488391</v>
      </c>
      <c r="E64" s="17">
        <f t="shared" si="14"/>
        <v>33702.898033072066</v>
      </c>
      <c r="F64" s="17">
        <f t="shared" si="10"/>
        <v>125182.53592969685</v>
      </c>
      <c r="G64" s="17">
        <f t="shared" si="15"/>
        <v>124000</v>
      </c>
      <c r="H64" s="17">
        <f t="shared" si="11"/>
        <v>125182.53592969685</v>
      </c>
      <c r="I64" s="17">
        <f t="shared" si="12"/>
        <v>1182.5359296968527</v>
      </c>
    </row>
    <row r="65" spans="1:9" ht="12.75" x14ac:dyDescent="0.2">
      <c r="A65" s="14">
        <v>45777</v>
      </c>
      <c r="B65" s="15">
        <f>VLOOKUP(A65,[1]szse_innovation_100!$A:$F,6)</f>
        <v>3.4863349609375001</v>
      </c>
      <c r="C65" s="16">
        <f t="shared" si="13"/>
        <v>2000</v>
      </c>
      <c r="D65" s="17">
        <f t="shared" si="9"/>
        <v>573.66834294722673</v>
      </c>
      <c r="E65" s="17">
        <f t="shared" si="14"/>
        <v>34276.566376019291</v>
      </c>
      <c r="F65" s="17">
        <f t="shared" si="10"/>
        <v>119499.59169761084</v>
      </c>
      <c r="G65" s="17">
        <f t="shared" si="15"/>
        <v>126000</v>
      </c>
      <c r="H65" s="17">
        <f t="shared" si="11"/>
        <v>119499.59169761084</v>
      </c>
      <c r="I65" s="17">
        <f t="shared" si="12"/>
        <v>-6500.4083023891581</v>
      </c>
    </row>
    <row r="66" spans="1:9" ht="12.75" x14ac:dyDescent="0.2">
      <c r="A66" s="14">
        <v>45807</v>
      </c>
      <c r="B66" s="15">
        <f>VLOOKUP(A66,[1]szse_innovation_100!$A:$F,6)</f>
        <v>3.5330991210937501</v>
      </c>
      <c r="C66" s="16">
        <f t="shared" si="13"/>
        <v>2000</v>
      </c>
      <c r="D66" s="17">
        <f t="shared" si="9"/>
        <v>566.07525898703204</v>
      </c>
      <c r="E66" s="17">
        <f t="shared" si="14"/>
        <v>34842.641635006323</v>
      </c>
      <c r="F66" s="17">
        <f t="shared" si="10"/>
        <v>123102.50653722534</v>
      </c>
      <c r="G66" s="17">
        <f t="shared" si="15"/>
        <v>128000</v>
      </c>
      <c r="H66" s="17">
        <f t="shared" si="11"/>
        <v>123102.50653722534</v>
      </c>
      <c r="I66" s="17">
        <f t="shared" si="12"/>
        <v>-4897.4934627746552</v>
      </c>
    </row>
    <row r="67" spans="1:9" ht="12.75" x14ac:dyDescent="0.2">
      <c r="A67" s="14">
        <v>45838</v>
      </c>
      <c r="B67" s="15">
        <f>VLOOKUP(A67,[1]szse_innovation_100!$A:$F,6)</f>
        <v>3.6494370117187498</v>
      </c>
      <c r="C67" s="16">
        <f t="shared" si="13"/>
        <v>2000</v>
      </c>
      <c r="D67" s="17">
        <f t="shared" si="9"/>
        <v>548.02973542981465</v>
      </c>
      <c r="E67" s="17">
        <f t="shared" si="14"/>
        <v>35390.671370436139</v>
      </c>
      <c r="F67" s="17">
        <f t="shared" si="10"/>
        <v>129156.02596884477</v>
      </c>
      <c r="G67" s="17">
        <f t="shared" si="15"/>
        <v>130000</v>
      </c>
      <c r="H67" s="17">
        <f t="shared" si="11"/>
        <v>129156.02596884477</v>
      </c>
      <c r="I67" s="17">
        <f t="shared" si="12"/>
        <v>-843.97403115523048</v>
      </c>
    </row>
    <row r="68" spans="1:9" ht="12.75" x14ac:dyDescent="0.2">
      <c r="A68" s="14">
        <v>45869</v>
      </c>
      <c r="B68" s="15">
        <f>VLOOKUP(A68,[1]szse_innovation_100!$A:$F,6)</f>
        <v>3.7987399902343748</v>
      </c>
      <c r="C68" s="16">
        <f t="shared" si="13"/>
        <v>2000</v>
      </c>
      <c r="D68" s="17">
        <f t="shared" si="9"/>
        <v>526.49036394738982</v>
      </c>
      <c r="E68" s="17">
        <f t="shared" si="14"/>
        <v>35917.161734383531</v>
      </c>
      <c r="F68" s="17">
        <f t="shared" si="10"/>
        <v>136439.95861611856</v>
      </c>
      <c r="G68" s="17">
        <f t="shared" si="15"/>
        <v>132000</v>
      </c>
      <c r="H68" s="17">
        <f t="shared" si="11"/>
        <v>136439.95861611856</v>
      </c>
      <c r="I68" s="17">
        <f t="shared" si="12"/>
        <v>4439.958616118558</v>
      </c>
    </row>
    <row r="69" spans="1:9" ht="12.75" x14ac:dyDescent="0.2">
      <c r="A69" s="14">
        <v>45898</v>
      </c>
      <c r="B69" s="15">
        <f>VLOOKUP(A69,[1]szse_innovation_100!$A:$F,6)</f>
        <v>4.5379448242187497</v>
      </c>
      <c r="C69" s="16">
        <f t="shared" si="13"/>
        <v>2000</v>
      </c>
      <c r="D69" s="17">
        <f t="shared" si="9"/>
        <v>440.72814401050346</v>
      </c>
      <c r="E69" s="17">
        <f t="shared" si="14"/>
        <v>36357.889878394039</v>
      </c>
      <c r="F69" s="17">
        <f t="shared" si="10"/>
        <v>164990.0981931735</v>
      </c>
      <c r="G69" s="17">
        <f t="shared" si="15"/>
        <v>134000</v>
      </c>
      <c r="H69" s="17">
        <f t="shared" si="11"/>
        <v>164990.0981931735</v>
      </c>
      <c r="I69" s="17">
        <f t="shared" si="12"/>
        <v>30990.0981931735</v>
      </c>
    </row>
    <row r="70" spans="1:9" ht="12.75" x14ac:dyDescent="0.2">
      <c r="A70" s="14">
        <v>45930</v>
      </c>
      <c r="B70" s="15">
        <f>VLOOKUP(A70,[1]szse_innovation_100!$A:$F,6)</f>
        <v>5.0581000976562498</v>
      </c>
      <c r="C70" s="16">
        <f t="shared" si="13"/>
        <v>2000</v>
      </c>
      <c r="D70" s="17">
        <f t="shared" si="9"/>
        <v>395.40538174140352</v>
      </c>
      <c r="E70" s="17">
        <f t="shared" si="14"/>
        <v>36753.295260135441</v>
      </c>
      <c r="F70" s="17">
        <f t="shared" si="10"/>
        <v>185901.84634448006</v>
      </c>
      <c r="G70" s="17">
        <f t="shared" si="15"/>
        <v>136000</v>
      </c>
      <c r="H70" s="17">
        <f t="shared" si="11"/>
        <v>185901.84634448006</v>
      </c>
      <c r="I70" s="17">
        <f t="shared" si="12"/>
        <v>49901.846344480058</v>
      </c>
    </row>
    <row r="71" spans="1:9" ht="12.75" x14ac:dyDescent="0.2">
      <c r="A71" s="14">
        <v>45961</v>
      </c>
      <c r="B71" s="15">
        <f>VLOOKUP(A71,[1]szse_innovation_100!$A:$F,6)</f>
        <v>4.9933417968749998</v>
      </c>
      <c r="C71" s="16">
        <f t="shared" si="13"/>
        <v>2000</v>
      </c>
      <c r="D71" s="17">
        <f t="shared" si="9"/>
        <v>400.53336650250276</v>
      </c>
      <c r="E71" s="17">
        <f t="shared" si="14"/>
        <v>37153.828626637944</v>
      </c>
      <c r="F71" s="17">
        <f t="shared" si="10"/>
        <v>185521.76539532212</v>
      </c>
      <c r="G71" s="17">
        <f t="shared" si="15"/>
        <v>138000</v>
      </c>
      <c r="H71" s="17">
        <f t="shared" si="11"/>
        <v>185521.76539532212</v>
      </c>
      <c r="I71" s="17">
        <f t="shared" si="12"/>
        <v>47521.765395322116</v>
      </c>
    </row>
    <row r="72" spans="1:9" ht="12.75" x14ac:dyDescent="0.2">
      <c r="A72" s="14">
        <v>45989</v>
      </c>
      <c r="B72" s="15">
        <f>VLOOKUP(A72,[1]szse_innovation_100!$A:$F,6)</f>
        <v>4.8240952148437497</v>
      </c>
      <c r="C72" s="16">
        <f t="shared" si="13"/>
        <v>2000</v>
      </c>
      <c r="D72" s="17">
        <f t="shared" si="9"/>
        <v>414.58551519588508</v>
      </c>
      <c r="E72" s="17">
        <f t="shared" si="14"/>
        <v>37568.414141833826</v>
      </c>
      <c r="F72" s="17">
        <f t="shared" si="10"/>
        <v>181233.60689088883</v>
      </c>
      <c r="G72" s="17">
        <f t="shared" si="15"/>
        <v>140000</v>
      </c>
      <c r="H72" s="17">
        <f t="shared" si="11"/>
        <v>181233.60689088883</v>
      </c>
      <c r="I72" s="17">
        <f t="shared" si="12"/>
        <v>41233.606890888826</v>
      </c>
    </row>
    <row r="73" spans="1:9" ht="12.75" x14ac:dyDescent="0.2">
      <c r="A73" s="14">
        <v>46022</v>
      </c>
      <c r="B73" s="15">
        <f>VLOOKUP(A73,[1]szse_innovation_100!$A:$F,6)</f>
        <v>5.0477412109374997</v>
      </c>
      <c r="C73" s="16">
        <f t="shared" si="13"/>
        <v>2000</v>
      </c>
      <c r="D73" s="17">
        <f t="shared" si="9"/>
        <v>396.21682578860788</v>
      </c>
      <c r="E73" s="17">
        <f t="shared" si="14"/>
        <v>37964.630967622434</v>
      </c>
      <c r="F73" s="17">
        <f t="shared" si="10"/>
        <v>191635.63229330175</v>
      </c>
      <c r="G73" s="17">
        <f t="shared" si="15"/>
        <v>142000</v>
      </c>
      <c r="H73" s="17">
        <f t="shared" si="11"/>
        <v>191635.63229330175</v>
      </c>
      <c r="I73" s="17">
        <f t="shared" si="12"/>
        <v>49635.632293301751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173"/>
  <sheetViews>
    <sheetView tabSelected="1" topLeftCell="A3" workbookViewId="0">
      <selection activeCell="B3" sqref="B3"/>
    </sheetView>
  </sheetViews>
  <sheetFormatPr defaultRowHeight="12.75" x14ac:dyDescent="0.2"/>
  <cols>
    <col min="1" max="1" width="9" style="18"/>
    <col min="2" max="2" width="8.5" style="18" customWidth="1"/>
    <col min="3" max="3" width="6.625" style="18" customWidth="1"/>
    <col min="4" max="16384" width="9" style="18"/>
  </cols>
  <sheetData>
    <row r="1" spans="1:4" ht="12.75" customHeight="1" x14ac:dyDescent="0.2">
      <c r="B1" s="32" t="s">
        <v>194</v>
      </c>
      <c r="C1" s="22">
        <v>399088</v>
      </c>
    </row>
    <row r="2" spans="1:4" ht="12.75" customHeight="1" x14ac:dyDescent="0.2">
      <c r="B2" s="32"/>
      <c r="C2" s="28" t="s">
        <v>0</v>
      </c>
      <c r="D2" s="29" t="s">
        <v>193</v>
      </c>
    </row>
    <row r="3" spans="1:4" ht="12.75" customHeight="1" x14ac:dyDescent="0.2">
      <c r="A3" s="18">
        <v>1</v>
      </c>
      <c r="B3" s="19">
        <v>44292</v>
      </c>
      <c r="C3" s="20">
        <v>45.12</v>
      </c>
      <c r="D3" s="18">
        <f>SUM(C$3:C3)/A3</f>
        <v>45.12</v>
      </c>
    </row>
    <row r="4" spans="1:4" ht="12.75" customHeight="1" x14ac:dyDescent="0.2">
      <c r="A4" s="18">
        <f t="shared" ref="A4:A36" si="0">A3+1</f>
        <v>2</v>
      </c>
      <c r="B4" s="19">
        <v>44293</v>
      </c>
      <c r="C4" s="20">
        <v>44.81</v>
      </c>
      <c r="D4" s="18">
        <f>SUM(C$3:C4)/A4</f>
        <v>44.965000000000003</v>
      </c>
    </row>
    <row r="5" spans="1:4" ht="12.75" customHeight="1" x14ac:dyDescent="0.2">
      <c r="A5" s="18">
        <f t="shared" si="0"/>
        <v>3</v>
      </c>
      <c r="B5" s="19">
        <v>44294</v>
      </c>
      <c r="C5" s="20">
        <v>45.06</v>
      </c>
      <c r="D5" s="18">
        <f>SUM(C$3:C5)/A5</f>
        <v>44.99666666666667</v>
      </c>
    </row>
    <row r="6" spans="1:4" ht="12.75" customHeight="1" x14ac:dyDescent="0.2">
      <c r="A6" s="18">
        <f t="shared" si="0"/>
        <v>4</v>
      </c>
      <c r="B6" s="19">
        <v>44295</v>
      </c>
      <c r="C6" s="20">
        <v>44.18</v>
      </c>
      <c r="D6" s="18">
        <f>SUM(C$3:C6)/A6</f>
        <v>44.792500000000004</v>
      </c>
    </row>
    <row r="7" spans="1:4" ht="12.75" customHeight="1" x14ac:dyDescent="0.2">
      <c r="A7" s="18">
        <f t="shared" si="0"/>
        <v>5</v>
      </c>
      <c r="B7" s="19">
        <v>44298</v>
      </c>
      <c r="C7" s="20">
        <v>43.03</v>
      </c>
      <c r="D7" s="18">
        <f>SUM(C$3:C7)/A7</f>
        <v>44.440000000000005</v>
      </c>
    </row>
    <row r="8" spans="1:4" ht="12.75" customHeight="1" x14ac:dyDescent="0.2">
      <c r="A8" s="18">
        <f t="shared" si="0"/>
        <v>6</v>
      </c>
      <c r="B8" s="19">
        <v>44299</v>
      </c>
      <c r="C8" s="20">
        <v>43.34</v>
      </c>
      <c r="D8" s="18">
        <f>SUM(C$3:C8)/A8</f>
        <v>44.256666666666668</v>
      </c>
    </row>
    <row r="9" spans="1:4" ht="12.75" customHeight="1" x14ac:dyDescent="0.2">
      <c r="A9" s="18">
        <f t="shared" si="0"/>
        <v>7</v>
      </c>
      <c r="B9" s="19">
        <v>44300</v>
      </c>
      <c r="C9" s="20">
        <v>44.23</v>
      </c>
      <c r="D9" s="18">
        <f>SUM(C$3:C9)/A9</f>
        <v>44.252857142857145</v>
      </c>
    </row>
    <row r="10" spans="1:4" ht="12.75" customHeight="1" x14ac:dyDescent="0.2">
      <c r="A10" s="18">
        <f t="shared" si="0"/>
        <v>8</v>
      </c>
      <c r="B10" s="19">
        <v>44301</v>
      </c>
      <c r="C10" s="20">
        <v>43.99</v>
      </c>
      <c r="D10" s="18">
        <f>SUM(C$3:C10)/A10</f>
        <v>44.220000000000006</v>
      </c>
    </row>
    <row r="11" spans="1:4" ht="12.75" customHeight="1" x14ac:dyDescent="0.2">
      <c r="A11" s="18">
        <f t="shared" si="0"/>
        <v>9</v>
      </c>
      <c r="B11" s="19">
        <v>44302</v>
      </c>
      <c r="C11" s="20">
        <v>43.87</v>
      </c>
      <c r="D11" s="18">
        <f>SUM(C$3:C11)/A11</f>
        <v>44.181111111111115</v>
      </c>
    </row>
    <row r="12" spans="1:4" ht="12.75" customHeight="1" x14ac:dyDescent="0.2">
      <c r="A12" s="18">
        <f t="shared" si="0"/>
        <v>10</v>
      </c>
      <c r="B12" s="19">
        <v>44305</v>
      </c>
      <c r="C12" s="20">
        <v>45.78</v>
      </c>
      <c r="D12" s="18">
        <f>SUM(C$3:C12)/A12</f>
        <v>44.341000000000008</v>
      </c>
    </row>
    <row r="13" spans="1:4" ht="12.75" customHeight="1" x14ac:dyDescent="0.2">
      <c r="A13" s="18">
        <f t="shared" si="0"/>
        <v>11</v>
      </c>
      <c r="B13" s="19">
        <v>44306</v>
      </c>
      <c r="C13" s="20">
        <v>45.63</v>
      </c>
      <c r="D13" s="18">
        <f>SUM(C$3:C13)/A13</f>
        <v>44.458181818181828</v>
      </c>
    </row>
    <row r="14" spans="1:4" ht="12.75" customHeight="1" x14ac:dyDescent="0.2">
      <c r="A14" s="18">
        <f t="shared" si="0"/>
        <v>12</v>
      </c>
      <c r="B14" s="19">
        <v>44307</v>
      </c>
      <c r="C14" s="20">
        <v>45.89</v>
      </c>
      <c r="D14" s="18">
        <f>SUM(C$3:C14)/A14</f>
        <v>44.577500000000008</v>
      </c>
    </row>
    <row r="15" spans="1:4" ht="12.75" customHeight="1" x14ac:dyDescent="0.2">
      <c r="A15" s="18">
        <f t="shared" si="0"/>
        <v>13</v>
      </c>
      <c r="B15" s="19">
        <v>44308</v>
      </c>
      <c r="C15" s="20">
        <v>46.21</v>
      </c>
      <c r="D15" s="18">
        <f>SUM(C$3:C15)/A15</f>
        <v>44.703076923076928</v>
      </c>
    </row>
    <row r="16" spans="1:4" ht="12.75" customHeight="1" x14ac:dyDescent="0.2">
      <c r="A16" s="18">
        <f t="shared" si="0"/>
        <v>14</v>
      </c>
      <c r="B16" s="19">
        <v>44309</v>
      </c>
      <c r="C16" s="20">
        <v>46.9</v>
      </c>
      <c r="D16" s="18">
        <f>SUM(C$3:C16)/A16</f>
        <v>44.860000000000007</v>
      </c>
    </row>
    <row r="17" spans="1:4" ht="12.75" customHeight="1" x14ac:dyDescent="0.2">
      <c r="A17" s="18">
        <f t="shared" si="0"/>
        <v>15</v>
      </c>
      <c r="B17" s="19">
        <v>44312</v>
      </c>
      <c r="C17" s="20">
        <v>46.48</v>
      </c>
      <c r="D17" s="18">
        <f>SUM(C$3:C17)/A17</f>
        <v>44.968000000000004</v>
      </c>
    </row>
    <row r="18" spans="1:4" ht="12.75" customHeight="1" x14ac:dyDescent="0.2">
      <c r="A18" s="18">
        <f t="shared" si="0"/>
        <v>16</v>
      </c>
      <c r="B18" s="19">
        <v>44313</v>
      </c>
      <c r="C18" s="20">
        <v>46.74</v>
      </c>
      <c r="D18" s="18">
        <f>SUM(C$3:C18)/A18</f>
        <v>45.078750000000007</v>
      </c>
    </row>
    <row r="19" spans="1:4" ht="12.75" customHeight="1" x14ac:dyDescent="0.2">
      <c r="A19" s="18">
        <f t="shared" si="0"/>
        <v>17</v>
      </c>
      <c r="B19" s="19">
        <v>44314</v>
      </c>
      <c r="C19" s="20">
        <v>47.38</v>
      </c>
      <c r="D19" s="18">
        <f>SUM(C$3:C19)/A19</f>
        <v>45.214117647058828</v>
      </c>
    </row>
    <row r="20" spans="1:4" ht="12.75" customHeight="1" x14ac:dyDescent="0.2">
      <c r="A20" s="18">
        <f t="shared" si="0"/>
        <v>18</v>
      </c>
      <c r="B20" s="19">
        <v>44315</v>
      </c>
      <c r="C20" s="20">
        <v>47.58</v>
      </c>
      <c r="D20" s="18">
        <f>SUM(C$3:C20)/A20</f>
        <v>45.345555555555563</v>
      </c>
    </row>
    <row r="21" spans="1:4" ht="12.75" customHeight="1" x14ac:dyDescent="0.2">
      <c r="A21" s="18">
        <f t="shared" si="0"/>
        <v>19</v>
      </c>
      <c r="B21" s="19">
        <v>44316</v>
      </c>
      <c r="C21" s="20">
        <v>47.64</v>
      </c>
      <c r="D21" s="18">
        <f>SUM(C$3:C21)/A21</f>
        <v>45.46631578947369</v>
      </c>
    </row>
    <row r="22" spans="1:4" ht="12.75" customHeight="1" x14ac:dyDescent="0.2">
      <c r="A22" s="18">
        <f t="shared" si="0"/>
        <v>20</v>
      </c>
      <c r="B22" s="19">
        <v>44322</v>
      </c>
      <c r="C22" s="20">
        <v>37.39</v>
      </c>
      <c r="D22" s="18">
        <f>SUM(C$3:C22)/A22</f>
        <v>45.062500000000007</v>
      </c>
    </row>
    <row r="23" spans="1:4" ht="12.75" customHeight="1" x14ac:dyDescent="0.2">
      <c r="A23" s="18">
        <f t="shared" si="0"/>
        <v>21</v>
      </c>
      <c r="B23" s="19">
        <v>44323</v>
      </c>
      <c r="C23" s="20">
        <v>36.26</v>
      </c>
      <c r="D23" s="18">
        <f>SUM(C$3:C23)/A23</f>
        <v>44.643333333333338</v>
      </c>
    </row>
    <row r="24" spans="1:4" ht="12.75" customHeight="1" x14ac:dyDescent="0.2">
      <c r="A24" s="18">
        <f t="shared" si="0"/>
        <v>22</v>
      </c>
      <c r="B24" s="19">
        <v>44326</v>
      </c>
      <c r="C24" s="20">
        <v>36.409999999999997</v>
      </c>
      <c r="D24" s="18">
        <f>SUM(C$3:C24)/A24</f>
        <v>44.269090909090913</v>
      </c>
    </row>
    <row r="25" spans="1:4" ht="12.75" customHeight="1" x14ac:dyDescent="0.2">
      <c r="A25" s="18">
        <f t="shared" si="0"/>
        <v>23</v>
      </c>
      <c r="B25" s="19">
        <v>44327</v>
      </c>
      <c r="C25" s="20">
        <v>36.44</v>
      </c>
      <c r="D25" s="18">
        <f>SUM(C$3:C25)/A25</f>
        <v>43.928695652173921</v>
      </c>
    </row>
    <row r="26" spans="1:4" ht="12.75" customHeight="1" x14ac:dyDescent="0.2">
      <c r="A26" s="18">
        <f t="shared" si="0"/>
        <v>24</v>
      </c>
      <c r="B26" s="19">
        <v>44328</v>
      </c>
      <c r="C26" s="20">
        <v>36.700000000000003</v>
      </c>
      <c r="D26" s="18">
        <f>SUM(C$3:C26)/A26</f>
        <v>43.627500000000005</v>
      </c>
    </row>
    <row r="27" spans="1:4" ht="12.75" customHeight="1" x14ac:dyDescent="0.2">
      <c r="A27" s="18">
        <f t="shared" si="0"/>
        <v>25</v>
      </c>
      <c r="B27" s="19">
        <v>44329</v>
      </c>
      <c r="C27" s="20">
        <v>36.25</v>
      </c>
      <c r="D27" s="18">
        <f>SUM(C$3:C27)/A27</f>
        <v>43.332400000000007</v>
      </c>
    </row>
    <row r="28" spans="1:4" ht="12.75" customHeight="1" x14ac:dyDescent="0.2">
      <c r="A28" s="18">
        <f t="shared" si="0"/>
        <v>26</v>
      </c>
      <c r="B28" s="19">
        <v>44330</v>
      </c>
      <c r="C28" s="20">
        <v>36.99</v>
      </c>
      <c r="D28" s="18">
        <f>SUM(C$3:C28)/A28</f>
        <v>43.088461538461544</v>
      </c>
    </row>
    <row r="29" spans="1:4" ht="12.75" customHeight="1" x14ac:dyDescent="0.2">
      <c r="A29" s="18">
        <f t="shared" si="0"/>
        <v>27</v>
      </c>
      <c r="B29" s="19">
        <v>44333</v>
      </c>
      <c r="C29" s="20">
        <v>38.049999999999997</v>
      </c>
      <c r="D29" s="18">
        <f>SUM(C$3:C29)/A29</f>
        <v>42.901851851851859</v>
      </c>
    </row>
    <row r="30" spans="1:4" ht="12.75" customHeight="1" x14ac:dyDescent="0.2">
      <c r="A30" s="18">
        <f t="shared" si="0"/>
        <v>28</v>
      </c>
      <c r="B30" s="19">
        <v>44334</v>
      </c>
      <c r="C30" s="20">
        <v>37.979999999999997</v>
      </c>
      <c r="D30" s="18">
        <f>SUM(C$3:C30)/A30</f>
        <v>42.726071428571437</v>
      </c>
    </row>
    <row r="31" spans="1:4" ht="12.75" customHeight="1" x14ac:dyDescent="0.2">
      <c r="A31" s="18">
        <f t="shared" si="0"/>
        <v>29</v>
      </c>
      <c r="B31" s="19">
        <v>44335</v>
      </c>
      <c r="C31" s="20">
        <v>38.200000000000003</v>
      </c>
      <c r="D31" s="18">
        <f>SUM(C$3:C31)/A31</f>
        <v>42.570000000000007</v>
      </c>
    </row>
    <row r="32" spans="1:4" ht="12.75" customHeight="1" x14ac:dyDescent="0.2">
      <c r="A32" s="18">
        <f t="shared" si="0"/>
        <v>30</v>
      </c>
      <c r="B32" s="19">
        <v>44336</v>
      </c>
      <c r="C32" s="20">
        <v>38.520000000000003</v>
      </c>
      <c r="D32" s="18">
        <f>SUM(C$3:C32)/A32</f>
        <v>42.435000000000009</v>
      </c>
    </row>
    <row r="33" spans="1:4" ht="12.75" customHeight="1" x14ac:dyDescent="0.2">
      <c r="A33" s="18">
        <f t="shared" si="0"/>
        <v>31</v>
      </c>
      <c r="B33" s="19">
        <v>44337</v>
      </c>
      <c r="C33" s="20">
        <v>38.200000000000003</v>
      </c>
      <c r="D33" s="18">
        <f>SUM(C$3:C33)/A33</f>
        <v>42.298387096774199</v>
      </c>
    </row>
    <row r="34" spans="1:4" ht="12.75" customHeight="1" x14ac:dyDescent="0.2">
      <c r="A34" s="18">
        <f t="shared" si="0"/>
        <v>32</v>
      </c>
      <c r="B34" s="19">
        <v>44340</v>
      </c>
      <c r="C34" s="20">
        <v>38.479999999999997</v>
      </c>
      <c r="D34" s="18">
        <f>SUM(C$3:C34)/A34</f>
        <v>42.179062500000008</v>
      </c>
    </row>
    <row r="35" spans="1:4" ht="12.75" customHeight="1" x14ac:dyDescent="0.2">
      <c r="A35" s="18">
        <f t="shared" si="0"/>
        <v>33</v>
      </c>
      <c r="B35" s="19">
        <v>44341</v>
      </c>
      <c r="C35" s="20">
        <v>39.35</v>
      </c>
      <c r="D35" s="18">
        <f>SUM(C$3:C35)/A35</f>
        <v>42.093333333333341</v>
      </c>
    </row>
    <row r="36" spans="1:4" ht="12.75" customHeight="1" x14ac:dyDescent="0.2">
      <c r="A36" s="18">
        <f t="shared" si="0"/>
        <v>34</v>
      </c>
      <c r="B36" s="19">
        <v>44342</v>
      </c>
      <c r="C36" s="20">
        <v>39.090000000000003</v>
      </c>
      <c r="D36" s="18">
        <f>SUM(C$3:C36)/A36</f>
        <v>42.005000000000003</v>
      </c>
    </row>
    <row r="37" spans="1:4" ht="12.75" customHeight="1" x14ac:dyDescent="0.2">
      <c r="A37" s="18">
        <f t="shared" ref="A37:A100" si="1">A36+1</f>
        <v>35</v>
      </c>
      <c r="B37" s="19">
        <v>44343</v>
      </c>
      <c r="C37" s="20">
        <v>39.36</v>
      </c>
      <c r="D37" s="18">
        <f>SUM(C$3:C37)/A37</f>
        <v>41.929428571428573</v>
      </c>
    </row>
    <row r="38" spans="1:4" ht="12.75" customHeight="1" x14ac:dyDescent="0.2">
      <c r="A38" s="18">
        <f t="shared" si="1"/>
        <v>36</v>
      </c>
      <c r="B38" s="19">
        <v>44344</v>
      </c>
      <c r="C38" s="20">
        <v>39.31</v>
      </c>
      <c r="D38" s="18">
        <f>SUM(C$3:C38)/A38</f>
        <v>41.856666666666662</v>
      </c>
    </row>
    <row r="39" spans="1:4" ht="12.75" customHeight="1" x14ac:dyDescent="0.2">
      <c r="A39" s="18">
        <f t="shared" si="1"/>
        <v>37</v>
      </c>
      <c r="B39" s="19">
        <v>44347</v>
      </c>
      <c r="C39" s="20">
        <v>39.85</v>
      </c>
      <c r="D39" s="18">
        <f>SUM(C$3:C39)/A39</f>
        <v>41.802432432432425</v>
      </c>
    </row>
    <row r="40" spans="1:4" ht="12.75" customHeight="1" x14ac:dyDescent="0.2">
      <c r="A40" s="18">
        <f t="shared" si="1"/>
        <v>38</v>
      </c>
      <c r="B40" s="19">
        <v>44348</v>
      </c>
      <c r="C40" s="20">
        <v>39.86</v>
      </c>
      <c r="D40" s="18">
        <f>SUM(C$3:C40)/A40</f>
        <v>41.751315789473679</v>
      </c>
    </row>
    <row r="41" spans="1:4" ht="12.75" customHeight="1" x14ac:dyDescent="0.2">
      <c r="A41" s="18">
        <f t="shared" si="1"/>
        <v>39</v>
      </c>
      <c r="B41" s="19">
        <v>44349</v>
      </c>
      <c r="C41" s="20">
        <v>39.36</v>
      </c>
      <c r="D41" s="18">
        <f>SUM(C$3:C41)/A41</f>
        <v>41.689999999999991</v>
      </c>
    </row>
    <row r="42" spans="1:4" ht="12.75" customHeight="1" x14ac:dyDescent="0.2">
      <c r="A42" s="18">
        <f t="shared" si="1"/>
        <v>40</v>
      </c>
      <c r="B42" s="19">
        <v>44350</v>
      </c>
      <c r="C42" s="20">
        <v>38.97</v>
      </c>
      <c r="D42" s="18">
        <f>SUM(C$3:C42)/A42</f>
        <v>41.621999999999993</v>
      </c>
    </row>
    <row r="43" spans="1:4" ht="12.75" customHeight="1" x14ac:dyDescent="0.2">
      <c r="A43" s="18">
        <f t="shared" si="1"/>
        <v>41</v>
      </c>
      <c r="B43" s="19">
        <v>44351</v>
      </c>
      <c r="C43" s="20">
        <v>39.409999999999997</v>
      </c>
      <c r="D43" s="18">
        <f>SUM(C$3:C43)/A43</f>
        <v>41.5680487804878</v>
      </c>
    </row>
    <row r="44" spans="1:4" ht="12.75" customHeight="1" x14ac:dyDescent="0.2">
      <c r="A44" s="18">
        <f t="shared" si="1"/>
        <v>42</v>
      </c>
      <c r="B44" s="19">
        <v>44354</v>
      </c>
      <c r="C44" s="20">
        <v>39.229999999999997</v>
      </c>
      <c r="D44" s="18">
        <f>SUM(C$3:C44)/A44</f>
        <v>41.512380952380944</v>
      </c>
    </row>
    <row r="45" spans="1:4" ht="12.75" customHeight="1" x14ac:dyDescent="0.2">
      <c r="A45" s="18">
        <f t="shared" si="1"/>
        <v>43</v>
      </c>
      <c r="B45" s="19">
        <v>44355</v>
      </c>
      <c r="C45" s="20">
        <v>39.01</v>
      </c>
      <c r="D45" s="18">
        <f>SUM(C$3:C45)/A45</f>
        <v>41.454186046511623</v>
      </c>
    </row>
    <row r="46" spans="1:4" ht="12.75" customHeight="1" x14ac:dyDescent="0.2">
      <c r="A46" s="18">
        <f t="shared" si="1"/>
        <v>44</v>
      </c>
      <c r="B46" s="19">
        <v>44356</v>
      </c>
      <c r="C46" s="20">
        <v>39.04</v>
      </c>
      <c r="D46" s="18">
        <f>SUM(C$3:C46)/A46</f>
        <v>41.399318181818174</v>
      </c>
    </row>
    <row r="47" spans="1:4" ht="12.75" customHeight="1" x14ac:dyDescent="0.2">
      <c r="A47" s="18">
        <f t="shared" si="1"/>
        <v>45</v>
      </c>
      <c r="B47" s="19">
        <v>44357</v>
      </c>
      <c r="C47" s="20">
        <v>39.65</v>
      </c>
      <c r="D47" s="18">
        <f>SUM(C$3:C47)/A47</f>
        <v>41.36044444444444</v>
      </c>
    </row>
    <row r="48" spans="1:4" ht="12.75" customHeight="1" x14ac:dyDescent="0.2">
      <c r="A48" s="18">
        <f t="shared" si="1"/>
        <v>46</v>
      </c>
      <c r="B48" s="19">
        <v>44358</v>
      </c>
      <c r="C48" s="20">
        <v>39.61</v>
      </c>
      <c r="D48" s="18">
        <f>SUM(C$3:C48)/A48</f>
        <v>41.322391304347818</v>
      </c>
    </row>
    <row r="49" spans="1:4" ht="12.75" customHeight="1" x14ac:dyDescent="0.2">
      <c r="A49" s="18">
        <f t="shared" si="1"/>
        <v>47</v>
      </c>
      <c r="B49" s="19">
        <v>44362</v>
      </c>
      <c r="C49" s="20">
        <v>39.58</v>
      </c>
      <c r="D49" s="18">
        <f>SUM(C$3:C49)/A49</f>
        <v>41.285319148936161</v>
      </c>
    </row>
    <row r="50" spans="1:4" ht="12.75" customHeight="1" x14ac:dyDescent="0.2">
      <c r="A50" s="18">
        <f t="shared" si="1"/>
        <v>48</v>
      </c>
      <c r="B50" s="19">
        <v>44363</v>
      </c>
      <c r="C50" s="20">
        <v>38.270000000000003</v>
      </c>
      <c r="D50" s="18">
        <f>SUM(C$3:C50)/A50</f>
        <v>41.222499999999989</v>
      </c>
    </row>
    <row r="51" spans="1:4" ht="12.75" customHeight="1" x14ac:dyDescent="0.2">
      <c r="A51" s="18">
        <f t="shared" si="1"/>
        <v>49</v>
      </c>
      <c r="B51" s="19">
        <v>44364</v>
      </c>
      <c r="C51" s="20">
        <v>38.880000000000003</v>
      </c>
      <c r="D51" s="18">
        <f>SUM(C$3:C51)/A51</f>
        <v>41.174693877551015</v>
      </c>
    </row>
    <row r="52" spans="1:4" ht="12.75" customHeight="1" x14ac:dyDescent="0.2">
      <c r="A52" s="18">
        <f t="shared" si="1"/>
        <v>50</v>
      </c>
      <c r="B52" s="19">
        <v>44365</v>
      </c>
      <c r="C52" s="20">
        <v>39.4</v>
      </c>
      <c r="D52" s="18">
        <f>SUM(C$3:C52)/A52</f>
        <v>41.139199999999988</v>
      </c>
    </row>
    <row r="53" spans="1:4" ht="12.75" customHeight="1" x14ac:dyDescent="0.2">
      <c r="A53" s="18">
        <f t="shared" si="1"/>
        <v>51</v>
      </c>
      <c r="B53" s="19">
        <v>44368</v>
      </c>
      <c r="C53" s="20">
        <v>39.49</v>
      </c>
      <c r="D53" s="18">
        <f>SUM(C$3:C53)/A53</f>
        <v>41.106862745098027</v>
      </c>
    </row>
    <row r="54" spans="1:4" ht="12.75" customHeight="1" x14ac:dyDescent="0.2">
      <c r="A54" s="18">
        <f t="shared" si="1"/>
        <v>52</v>
      </c>
      <c r="B54" s="19">
        <v>44369</v>
      </c>
      <c r="C54" s="20">
        <v>39.64</v>
      </c>
      <c r="D54" s="18">
        <f>SUM(C$3:C54)/A54</f>
        <v>41.078653846153834</v>
      </c>
    </row>
    <row r="55" spans="1:4" ht="12.75" customHeight="1" x14ac:dyDescent="0.2">
      <c r="A55" s="18">
        <f t="shared" si="1"/>
        <v>53</v>
      </c>
      <c r="B55" s="19">
        <v>44370</v>
      </c>
      <c r="C55" s="20">
        <v>40.22</v>
      </c>
      <c r="D55" s="18">
        <f>SUM(C$3:C55)/A55</f>
        <v>41.062452830188661</v>
      </c>
    </row>
    <row r="56" spans="1:4" ht="12.75" customHeight="1" x14ac:dyDescent="0.2">
      <c r="A56" s="18">
        <f t="shared" si="1"/>
        <v>54</v>
      </c>
      <c r="B56" s="19">
        <v>44371</v>
      </c>
      <c r="C56" s="20">
        <v>40.15</v>
      </c>
      <c r="D56" s="18">
        <f>SUM(C$3:C56)/A56</f>
        <v>41.045555555555538</v>
      </c>
    </row>
    <row r="57" spans="1:4" ht="12.75" customHeight="1" x14ac:dyDescent="0.2">
      <c r="A57" s="18">
        <f t="shared" si="1"/>
        <v>55</v>
      </c>
      <c r="B57" s="19">
        <v>44372</v>
      </c>
      <c r="C57" s="20">
        <v>40.64</v>
      </c>
      <c r="D57" s="18">
        <f>SUM(C$3:C57)/A57</f>
        <v>41.038181818181798</v>
      </c>
    </row>
    <row r="58" spans="1:4" ht="12.75" customHeight="1" x14ac:dyDescent="0.2">
      <c r="A58" s="18">
        <f t="shared" si="1"/>
        <v>56</v>
      </c>
      <c r="B58" s="19">
        <v>44375</v>
      </c>
      <c r="C58" s="20">
        <v>41.08</v>
      </c>
      <c r="D58" s="18">
        <f>SUM(C$3:C58)/A58</f>
        <v>41.038928571428549</v>
      </c>
    </row>
    <row r="59" spans="1:4" ht="12.75" customHeight="1" x14ac:dyDescent="0.2">
      <c r="A59" s="18">
        <f t="shared" si="1"/>
        <v>57</v>
      </c>
      <c r="B59" s="19">
        <v>44376</v>
      </c>
      <c r="C59" s="20">
        <v>40.799999999999997</v>
      </c>
      <c r="D59" s="18">
        <f>SUM(C$3:C59)/A59</f>
        <v>41.034736842105247</v>
      </c>
    </row>
    <row r="60" spans="1:4" ht="12.75" customHeight="1" x14ac:dyDescent="0.2">
      <c r="A60" s="18">
        <f t="shared" si="1"/>
        <v>58</v>
      </c>
      <c r="B60" s="19">
        <v>44377</v>
      </c>
      <c r="C60" s="20">
        <v>41.45</v>
      </c>
      <c r="D60" s="18">
        <f>SUM(C$3:C60)/A60</f>
        <v>41.041896551724122</v>
      </c>
    </row>
    <row r="61" spans="1:4" ht="12.75" customHeight="1" x14ac:dyDescent="0.2">
      <c r="A61" s="18">
        <f t="shared" si="1"/>
        <v>59</v>
      </c>
      <c r="B61" s="19">
        <v>44378</v>
      </c>
      <c r="C61" s="20">
        <v>41.29</v>
      </c>
      <c r="D61" s="18">
        <f>SUM(C$3:C61)/A61</f>
        <v>41.046101694915237</v>
      </c>
    </row>
    <row r="62" spans="1:4" ht="12.75" customHeight="1" x14ac:dyDescent="0.2">
      <c r="A62" s="18">
        <f t="shared" si="1"/>
        <v>60</v>
      </c>
      <c r="B62" s="19">
        <v>44379</v>
      </c>
      <c r="C62" s="20">
        <v>40.03</v>
      </c>
      <c r="D62" s="18">
        <f>SUM(C$3:C62)/A62</f>
        <v>41.029166666666654</v>
      </c>
    </row>
    <row r="63" spans="1:4" ht="12.75" customHeight="1" x14ac:dyDescent="0.2">
      <c r="A63" s="18">
        <f t="shared" si="1"/>
        <v>61</v>
      </c>
      <c r="B63" s="19">
        <v>44382</v>
      </c>
      <c r="C63" s="20">
        <v>40.21</v>
      </c>
      <c r="D63" s="18">
        <f>SUM(C$3:C63)/A63</f>
        <v>41.015737704918017</v>
      </c>
    </row>
    <row r="64" spans="1:4" ht="12.75" customHeight="1" x14ac:dyDescent="0.2">
      <c r="A64" s="18">
        <f t="shared" si="1"/>
        <v>62</v>
      </c>
      <c r="B64" s="19">
        <v>44383</v>
      </c>
      <c r="C64" s="20">
        <v>39.89</v>
      </c>
      <c r="D64" s="18">
        <f>SUM(C$3:C64)/A64</f>
        <v>40.997580645161271</v>
      </c>
    </row>
    <row r="65" spans="1:4" ht="12.75" customHeight="1" x14ac:dyDescent="0.2">
      <c r="A65" s="18">
        <f t="shared" si="1"/>
        <v>63</v>
      </c>
      <c r="B65" s="19">
        <v>44384</v>
      </c>
      <c r="C65" s="20">
        <v>40.98</v>
      </c>
      <c r="D65" s="18">
        <f>SUM(C$3:C65)/A65</f>
        <v>40.997301587301571</v>
      </c>
    </row>
    <row r="66" spans="1:4" ht="12.75" customHeight="1" x14ac:dyDescent="0.2">
      <c r="A66" s="18">
        <f t="shared" si="1"/>
        <v>64</v>
      </c>
      <c r="B66" s="19">
        <v>44385</v>
      </c>
      <c r="C66" s="20">
        <v>41.06</v>
      </c>
      <c r="D66" s="18">
        <f>SUM(C$3:C66)/A66</f>
        <v>40.998281249999984</v>
      </c>
    </row>
    <row r="67" spans="1:4" ht="12.75" customHeight="1" x14ac:dyDescent="0.2">
      <c r="A67" s="18">
        <f t="shared" si="1"/>
        <v>65</v>
      </c>
      <c r="B67" s="19">
        <v>44386</v>
      </c>
      <c r="C67" s="20">
        <v>40.729999999999997</v>
      </c>
      <c r="D67" s="18">
        <f>SUM(C$3:C67)/A67</f>
        <v>40.994153846153829</v>
      </c>
    </row>
    <row r="68" spans="1:4" ht="12.75" customHeight="1" x14ac:dyDescent="0.2">
      <c r="A68" s="18">
        <f t="shared" si="1"/>
        <v>66</v>
      </c>
      <c r="B68" s="19">
        <v>44389</v>
      </c>
      <c r="C68" s="20">
        <v>41.78</v>
      </c>
      <c r="D68" s="18">
        <f>SUM(C$3:C68)/A68</f>
        <v>41.006060606060593</v>
      </c>
    </row>
    <row r="69" spans="1:4" ht="12.75" customHeight="1" x14ac:dyDescent="0.2">
      <c r="A69" s="18">
        <f t="shared" si="1"/>
        <v>67</v>
      </c>
      <c r="B69" s="19">
        <v>44390</v>
      </c>
      <c r="C69" s="20">
        <v>41.7</v>
      </c>
      <c r="D69" s="18">
        <f>SUM(C$3:C69)/A69</f>
        <v>41.01641791044775</v>
      </c>
    </row>
    <row r="70" spans="1:4" ht="12.75" customHeight="1" x14ac:dyDescent="0.2">
      <c r="A70" s="18">
        <f t="shared" si="1"/>
        <v>68</v>
      </c>
      <c r="B70" s="19">
        <v>44391</v>
      </c>
      <c r="C70" s="20">
        <v>41.28</v>
      </c>
      <c r="D70" s="18">
        <f>SUM(C$3:C70)/A70</f>
        <v>41.020294117647047</v>
      </c>
    </row>
    <row r="71" spans="1:4" ht="12.75" customHeight="1" x14ac:dyDescent="0.2">
      <c r="A71" s="18">
        <f t="shared" si="1"/>
        <v>69</v>
      </c>
      <c r="B71" s="19">
        <v>44392</v>
      </c>
      <c r="C71" s="20">
        <v>41.54</v>
      </c>
      <c r="D71" s="18">
        <f>SUM(C$3:C71)/A71</f>
        <v>41.027826086956509</v>
      </c>
    </row>
    <row r="72" spans="1:4" ht="12.75" customHeight="1" x14ac:dyDescent="0.2">
      <c r="A72" s="18">
        <f t="shared" si="1"/>
        <v>70</v>
      </c>
      <c r="B72" s="19">
        <v>44393</v>
      </c>
      <c r="C72" s="20">
        <v>40.58</v>
      </c>
      <c r="D72" s="18">
        <f>SUM(C$3:C72)/A72</f>
        <v>41.021428571428558</v>
      </c>
    </row>
    <row r="73" spans="1:4" ht="12.75" customHeight="1" x14ac:dyDescent="0.2">
      <c r="A73" s="18">
        <f t="shared" si="1"/>
        <v>71</v>
      </c>
      <c r="B73" s="19">
        <v>44396</v>
      </c>
      <c r="C73" s="20">
        <v>40.869999999999997</v>
      </c>
      <c r="D73" s="18">
        <f>SUM(C$3:C73)/A73</f>
        <v>41.019295774647873</v>
      </c>
    </row>
    <row r="74" spans="1:4" ht="12.75" customHeight="1" x14ac:dyDescent="0.2">
      <c r="A74" s="18">
        <f t="shared" si="1"/>
        <v>72</v>
      </c>
      <c r="B74" s="19">
        <v>44397</v>
      </c>
      <c r="C74" s="20">
        <v>40.89</v>
      </c>
      <c r="D74" s="18">
        <f>SUM(C$3:C74)/A74</f>
        <v>41.017499999999984</v>
      </c>
    </row>
    <row r="75" spans="1:4" ht="12.75" customHeight="1" x14ac:dyDescent="0.2">
      <c r="A75" s="18">
        <f t="shared" si="1"/>
        <v>73</v>
      </c>
      <c r="B75" s="19">
        <v>44398</v>
      </c>
      <c r="C75" s="20">
        <v>41.72</v>
      </c>
      <c r="D75" s="18">
        <f>SUM(C$3:C75)/A75</f>
        <v>41.027123287671216</v>
      </c>
    </row>
    <row r="76" spans="1:4" ht="12.75" customHeight="1" x14ac:dyDescent="0.2">
      <c r="A76" s="18">
        <f t="shared" si="1"/>
        <v>74</v>
      </c>
      <c r="B76" s="19">
        <v>44399</v>
      </c>
      <c r="C76" s="20">
        <v>41.69</v>
      </c>
      <c r="D76" s="18">
        <f>SUM(C$3:C76)/A76</f>
        <v>41.036081081081065</v>
      </c>
    </row>
    <row r="77" spans="1:4" ht="12.75" customHeight="1" x14ac:dyDescent="0.2">
      <c r="A77" s="18">
        <f t="shared" si="1"/>
        <v>75</v>
      </c>
      <c r="B77" s="19">
        <v>44400</v>
      </c>
      <c r="C77" s="20">
        <v>40.99</v>
      </c>
      <c r="D77" s="18">
        <f>SUM(C$3:C77)/A77</f>
        <v>41.035466666666643</v>
      </c>
    </row>
    <row r="78" spans="1:4" ht="12.75" customHeight="1" x14ac:dyDescent="0.2">
      <c r="A78" s="18">
        <f t="shared" si="1"/>
        <v>76</v>
      </c>
      <c r="B78" s="19">
        <v>44403</v>
      </c>
      <c r="C78" s="20">
        <v>39.900001525878906</v>
      </c>
      <c r="D78" s="18">
        <f>SUM(C$3:C78)/A78</f>
        <v>41.020526335866805</v>
      </c>
    </row>
    <row r="79" spans="1:4" ht="12.75" customHeight="1" x14ac:dyDescent="0.2">
      <c r="A79" s="18">
        <f t="shared" si="1"/>
        <v>77</v>
      </c>
      <c r="B79" s="19">
        <v>44404</v>
      </c>
      <c r="C79" s="20">
        <v>38.209999084472656</v>
      </c>
      <c r="D79" s="18">
        <f>SUM(C$3:C79)/A79</f>
        <v>40.984025981952598</v>
      </c>
    </row>
    <row r="80" spans="1:4" ht="12.75" customHeight="1" x14ac:dyDescent="0.2">
      <c r="A80" s="18">
        <f t="shared" si="1"/>
        <v>78</v>
      </c>
      <c r="B80" s="19">
        <v>44405</v>
      </c>
      <c r="C80" s="20">
        <v>38.619998931884766</v>
      </c>
      <c r="D80" s="18">
        <f>SUM(C$3:C80)/A80</f>
        <v>40.953717942849167</v>
      </c>
    </row>
    <row r="81" spans="1:4" ht="12.75" customHeight="1" x14ac:dyDescent="0.2">
      <c r="A81" s="18">
        <f t="shared" si="1"/>
        <v>79</v>
      </c>
      <c r="B81" s="19">
        <v>44406</v>
      </c>
      <c r="C81" s="20">
        <v>40.119998931884766</v>
      </c>
      <c r="D81" s="18">
        <f>SUM(C$3:C81)/A81</f>
        <v>40.943164537647085</v>
      </c>
    </row>
    <row r="82" spans="1:4" ht="12.75" customHeight="1" x14ac:dyDescent="0.2">
      <c r="A82" s="18">
        <f t="shared" si="1"/>
        <v>80</v>
      </c>
      <c r="B82" s="19">
        <v>44407</v>
      </c>
      <c r="C82" s="20">
        <v>39.930000305175781</v>
      </c>
      <c r="D82" s="18">
        <f>SUM(C$3:C82)/A82</f>
        <v>40.930499984741189</v>
      </c>
    </row>
    <row r="83" spans="1:4" ht="12.75" customHeight="1" x14ac:dyDescent="0.2">
      <c r="A83" s="18">
        <f t="shared" si="1"/>
        <v>81</v>
      </c>
      <c r="B83" s="19">
        <v>44410</v>
      </c>
      <c r="C83" s="20">
        <v>40.659999847412109</v>
      </c>
      <c r="D83" s="18">
        <f>SUM(C$3:C83)/A83</f>
        <v>40.927160476872935</v>
      </c>
    </row>
    <row r="84" spans="1:4" ht="12.75" customHeight="1" x14ac:dyDescent="0.2">
      <c r="A84" s="18">
        <f t="shared" si="1"/>
        <v>82</v>
      </c>
      <c r="B84" s="19">
        <v>44411</v>
      </c>
      <c r="C84" s="20">
        <v>40.5</v>
      </c>
      <c r="D84" s="18">
        <f>SUM(C$3:C84)/A84</f>
        <v>40.921951202764724</v>
      </c>
    </row>
    <row r="85" spans="1:4" ht="12.75" customHeight="1" x14ac:dyDescent="0.2">
      <c r="A85" s="18">
        <f t="shared" si="1"/>
        <v>83</v>
      </c>
      <c r="B85" s="19">
        <v>44412</v>
      </c>
      <c r="C85" s="20">
        <v>41.509998321533203</v>
      </c>
      <c r="D85" s="18">
        <f>SUM(C$3:C85)/A85</f>
        <v>40.929036107810127</v>
      </c>
    </row>
    <row r="86" spans="1:4" ht="12.75" customHeight="1" x14ac:dyDescent="0.2">
      <c r="A86" s="18">
        <f t="shared" si="1"/>
        <v>84</v>
      </c>
      <c r="B86" s="19">
        <v>44413</v>
      </c>
      <c r="C86" s="20">
        <v>41.130001068115234</v>
      </c>
      <c r="D86" s="18">
        <f>SUM(C$3:C86)/A86</f>
        <v>40.931428547813759</v>
      </c>
    </row>
    <row r="87" spans="1:4" ht="12.75" customHeight="1" x14ac:dyDescent="0.2">
      <c r="A87" s="18">
        <f t="shared" si="1"/>
        <v>85</v>
      </c>
      <c r="B87" s="19">
        <v>44414</v>
      </c>
      <c r="C87" s="20">
        <v>40.799999237060547</v>
      </c>
      <c r="D87" s="18">
        <f>SUM(C$3:C87)/A87</f>
        <v>40.92988232062843</v>
      </c>
    </row>
    <row r="88" spans="1:4" ht="12.75" customHeight="1" x14ac:dyDescent="0.2">
      <c r="A88" s="18">
        <f t="shared" si="1"/>
        <v>86</v>
      </c>
      <c r="B88" s="19">
        <v>44417</v>
      </c>
      <c r="C88" s="20">
        <v>40.799999237060547</v>
      </c>
      <c r="D88" s="18">
        <f>SUM(C$3:C88)/A88</f>
        <v>40.928372052214847</v>
      </c>
    </row>
    <row r="89" spans="1:4" ht="12.75" customHeight="1" x14ac:dyDescent="0.2">
      <c r="A89" s="18">
        <f t="shared" si="1"/>
        <v>87</v>
      </c>
      <c r="B89" s="19">
        <v>44418</v>
      </c>
      <c r="C89" s="20">
        <v>40.869998931884766</v>
      </c>
      <c r="D89" s="18">
        <f>SUM(C$3:C89)/A89</f>
        <v>40.927701096808754</v>
      </c>
    </row>
    <row r="90" spans="1:4" ht="12.75" customHeight="1" x14ac:dyDescent="0.2">
      <c r="A90" s="18">
        <f t="shared" si="1"/>
        <v>88</v>
      </c>
      <c r="B90" s="19">
        <v>44419</v>
      </c>
      <c r="C90" s="20">
        <v>40.610000610351563</v>
      </c>
      <c r="D90" s="18">
        <f>SUM(C$3:C90)/A90</f>
        <v>40.924090864008107</v>
      </c>
    </row>
    <row r="91" spans="1:4" ht="12.75" customHeight="1" x14ac:dyDescent="0.2">
      <c r="A91" s="18">
        <f t="shared" si="1"/>
        <v>89</v>
      </c>
      <c r="B91" s="19">
        <v>44420</v>
      </c>
      <c r="C91" s="20">
        <v>40.340000152587891</v>
      </c>
      <c r="D91" s="18">
        <f>SUM(C$3:C91)/A91</f>
        <v>40.917528047025854</v>
      </c>
    </row>
    <row r="92" spans="1:4" ht="12.75" customHeight="1" x14ac:dyDescent="0.2">
      <c r="A92" s="18">
        <f t="shared" si="1"/>
        <v>90</v>
      </c>
      <c r="B92" s="19">
        <v>44421</v>
      </c>
      <c r="C92" s="20">
        <v>39.740001678466797</v>
      </c>
      <c r="D92" s="18">
        <f>SUM(C$3:C92)/A92</f>
        <v>40.904444420708536</v>
      </c>
    </row>
    <row r="93" spans="1:4" ht="12.75" customHeight="1" x14ac:dyDescent="0.2">
      <c r="A93" s="18">
        <f t="shared" si="1"/>
        <v>91</v>
      </c>
      <c r="B93" s="19">
        <v>44424</v>
      </c>
      <c r="C93" s="20">
        <v>39.290000915527344</v>
      </c>
      <c r="D93" s="18">
        <f>SUM(C$3:C93)/A93</f>
        <v>40.886703283288959</v>
      </c>
    </row>
    <row r="94" spans="1:4" ht="12.75" customHeight="1" x14ac:dyDescent="0.2">
      <c r="A94" s="18">
        <f t="shared" si="1"/>
        <v>92</v>
      </c>
      <c r="B94" s="19">
        <v>44425</v>
      </c>
      <c r="C94" s="20">
        <v>38.419998168945313</v>
      </c>
      <c r="D94" s="18">
        <f>SUM(C$3:C94)/A94</f>
        <v>40.859891271176529</v>
      </c>
    </row>
    <row r="95" spans="1:4" ht="12.75" customHeight="1" x14ac:dyDescent="0.2">
      <c r="A95" s="18">
        <f t="shared" si="1"/>
        <v>93</v>
      </c>
      <c r="B95" s="19">
        <v>44426</v>
      </c>
      <c r="C95" s="20">
        <v>38.669998168945313</v>
      </c>
      <c r="D95" s="18">
        <f>SUM(C$3:C95)/A95</f>
        <v>40.836344033518131</v>
      </c>
    </row>
    <row r="96" spans="1:4" ht="12.75" customHeight="1" x14ac:dyDescent="0.2">
      <c r="A96" s="18">
        <f t="shared" si="1"/>
        <v>94</v>
      </c>
      <c r="B96" s="19">
        <v>44427</v>
      </c>
      <c r="C96" s="20">
        <v>38.909999847412109</v>
      </c>
      <c r="D96" s="18">
        <f>SUM(C$3:C96)/A96</f>
        <v>40.815851010261682</v>
      </c>
    </row>
    <row r="97" spans="1:4" ht="12.75" customHeight="1" x14ac:dyDescent="0.2">
      <c r="A97" s="18">
        <f t="shared" si="1"/>
        <v>95</v>
      </c>
      <c r="B97" s="19">
        <v>44428</v>
      </c>
      <c r="C97" s="20">
        <v>38.139999389648438</v>
      </c>
      <c r="D97" s="18">
        <f>SUM(C$3:C97)/A97</f>
        <v>40.787684151097331</v>
      </c>
    </row>
    <row r="98" spans="1:4" ht="12.75" customHeight="1" x14ac:dyDescent="0.2">
      <c r="A98" s="18">
        <f t="shared" si="1"/>
        <v>96</v>
      </c>
      <c r="B98" s="19">
        <v>44431</v>
      </c>
      <c r="C98" s="20">
        <v>39.130001068115234</v>
      </c>
      <c r="D98" s="18">
        <f>SUM(C$3:C98)/A98</f>
        <v>40.770416618982935</v>
      </c>
    </row>
    <row r="99" spans="1:4" ht="12.75" customHeight="1" x14ac:dyDescent="0.2">
      <c r="A99" s="18">
        <f t="shared" si="1"/>
        <v>97</v>
      </c>
      <c r="B99" s="19">
        <v>44432</v>
      </c>
      <c r="C99" s="20">
        <v>39.450000762939453</v>
      </c>
      <c r="D99" s="18">
        <f>SUM(C$3:C99)/A99</f>
        <v>40.756804084384548</v>
      </c>
    </row>
    <row r="100" spans="1:4" ht="12.75" customHeight="1" x14ac:dyDescent="0.2">
      <c r="A100" s="18">
        <f t="shared" si="1"/>
        <v>98</v>
      </c>
      <c r="B100" s="19">
        <v>44433</v>
      </c>
      <c r="C100" s="20">
        <v>39.549999237060547</v>
      </c>
      <c r="D100" s="18">
        <f>SUM(C$3:C100)/A100</f>
        <v>40.744489749207773</v>
      </c>
    </row>
    <row r="101" spans="1:4" ht="12.75" customHeight="1" x14ac:dyDescent="0.2">
      <c r="A101" s="18">
        <f t="shared" ref="A101:A355" si="2">A100+1</f>
        <v>99</v>
      </c>
      <c r="B101" s="19">
        <v>44434</v>
      </c>
      <c r="C101" s="20">
        <v>38.639999389648438</v>
      </c>
      <c r="D101" s="18">
        <f>SUM(C$3:C101)/A101</f>
        <v>40.723232270828383</v>
      </c>
    </row>
    <row r="102" spans="1:4" ht="12.75" customHeight="1" x14ac:dyDescent="0.2">
      <c r="A102" s="18">
        <f t="shared" si="2"/>
        <v>100</v>
      </c>
      <c r="B102" s="19">
        <v>44435</v>
      </c>
      <c r="C102" s="20">
        <v>38.630001068115234</v>
      </c>
      <c r="D102" s="18">
        <f>SUM(C$3:C102)/A102</f>
        <v>40.702299958801255</v>
      </c>
    </row>
    <row r="103" spans="1:4" ht="12.75" customHeight="1" x14ac:dyDescent="0.2">
      <c r="A103" s="18">
        <f t="shared" si="2"/>
        <v>101</v>
      </c>
      <c r="B103" s="19">
        <v>44438</v>
      </c>
      <c r="C103" s="20">
        <v>38.479999542236328</v>
      </c>
      <c r="D103" s="18">
        <f>SUM(C$3:C103)/A103</f>
        <v>40.680296984379815</v>
      </c>
    </row>
    <row r="104" spans="1:4" ht="12.75" customHeight="1" x14ac:dyDescent="0.2">
      <c r="A104" s="18">
        <f t="shared" si="2"/>
        <v>102</v>
      </c>
      <c r="B104" s="19">
        <v>44439</v>
      </c>
      <c r="C104" s="20">
        <v>38.069999694824219</v>
      </c>
      <c r="D104" s="18">
        <f>SUM(C$3:C104)/A104</f>
        <v>40.654705834482208</v>
      </c>
    </row>
    <row r="105" spans="1:4" ht="12.75" customHeight="1" x14ac:dyDescent="0.2">
      <c r="A105" s="18">
        <f t="shared" si="2"/>
        <v>103</v>
      </c>
      <c r="B105" s="19">
        <v>44440</v>
      </c>
      <c r="C105" s="20">
        <v>35.020000457763672</v>
      </c>
      <c r="D105" s="18">
        <f>SUM(C$3:C105)/A105</f>
        <v>40.599999957038342</v>
      </c>
    </row>
    <row r="106" spans="1:4" ht="12.75" customHeight="1" x14ac:dyDescent="0.2">
      <c r="A106" s="18">
        <f t="shared" si="2"/>
        <v>104</v>
      </c>
      <c r="B106" s="19">
        <v>44441</v>
      </c>
      <c r="C106" s="20">
        <v>34.639999389648438</v>
      </c>
      <c r="D106" s="18">
        <f>SUM(C$3:C106)/A106</f>
        <v>40.542692259274979</v>
      </c>
    </row>
    <row r="107" spans="1:4" ht="12.75" customHeight="1" x14ac:dyDescent="0.2">
      <c r="A107" s="18">
        <f t="shared" si="2"/>
        <v>105</v>
      </c>
      <c r="B107" s="19">
        <v>44442</v>
      </c>
      <c r="C107" s="20">
        <v>34.220001220703125</v>
      </c>
      <c r="D107" s="18">
        <f>SUM(C$3:C107)/A107</f>
        <v>40.482476154145722</v>
      </c>
    </row>
    <row r="108" spans="1:4" ht="12.75" customHeight="1" x14ac:dyDescent="0.2">
      <c r="A108" s="18">
        <f t="shared" si="2"/>
        <v>106</v>
      </c>
      <c r="B108" s="19">
        <v>44445</v>
      </c>
      <c r="C108" s="20">
        <v>35.540000915527344</v>
      </c>
      <c r="D108" s="18">
        <f>SUM(C$3:C108)/A108</f>
        <v>40.435849029253099</v>
      </c>
    </row>
    <row r="109" spans="1:4" ht="12.75" customHeight="1" x14ac:dyDescent="0.2">
      <c r="A109" s="18">
        <f t="shared" si="2"/>
        <v>107</v>
      </c>
      <c r="B109" s="19">
        <v>44446</v>
      </c>
      <c r="C109" s="20">
        <v>35.720001220703125</v>
      </c>
      <c r="D109" s="18">
        <f>SUM(C$3:C109)/A109</f>
        <v>40.391775685247957</v>
      </c>
    </row>
    <row r="110" spans="1:4" ht="12.75" customHeight="1" x14ac:dyDescent="0.2">
      <c r="A110" s="18">
        <f t="shared" si="2"/>
        <v>108</v>
      </c>
      <c r="B110" s="19">
        <v>44447</v>
      </c>
      <c r="C110" s="20">
        <v>35.509998321533203</v>
      </c>
      <c r="D110" s="18">
        <f>SUM(C$3:C110)/A110</f>
        <v>40.346574042991335</v>
      </c>
    </row>
    <row r="111" spans="1:4" ht="12.75" customHeight="1" x14ac:dyDescent="0.2">
      <c r="A111" s="18">
        <f t="shared" si="2"/>
        <v>109</v>
      </c>
      <c r="B111" s="19">
        <v>44448</v>
      </c>
      <c r="C111" s="20">
        <v>35.5</v>
      </c>
      <c r="D111" s="18">
        <f>SUM(C$3:C111)/A111</f>
        <v>40.302110060945544</v>
      </c>
    </row>
    <row r="112" spans="1:4" ht="12.75" customHeight="1" x14ac:dyDescent="0.2">
      <c r="A112" s="18">
        <f t="shared" si="2"/>
        <v>110</v>
      </c>
      <c r="B112" s="19">
        <v>44449</v>
      </c>
      <c r="C112" s="20">
        <v>35.700000762939453</v>
      </c>
      <c r="D112" s="18">
        <f>SUM(C$3:C112)/A112</f>
        <v>40.260272703690944</v>
      </c>
    </row>
    <row r="113" spans="1:4" ht="12.75" customHeight="1" x14ac:dyDescent="0.2">
      <c r="A113" s="18">
        <f t="shared" si="2"/>
        <v>111</v>
      </c>
      <c r="B113" s="19">
        <v>44452</v>
      </c>
      <c r="C113" s="20">
        <v>35.299999237060547</v>
      </c>
      <c r="D113" s="18">
        <f>SUM(C$3:C113)/A113</f>
        <v>40.215585555342926</v>
      </c>
    </row>
    <row r="114" spans="1:4" ht="12.75" customHeight="1" x14ac:dyDescent="0.2">
      <c r="A114" s="18">
        <f t="shared" si="2"/>
        <v>112</v>
      </c>
      <c r="B114" s="19">
        <v>44453</v>
      </c>
      <c r="C114" s="20">
        <v>35.470001220703125</v>
      </c>
      <c r="D114" s="18">
        <f>SUM(C$3:C114)/A114</f>
        <v>40.173214266640784</v>
      </c>
    </row>
    <row r="115" spans="1:4" ht="12.75" customHeight="1" x14ac:dyDescent="0.2">
      <c r="A115" s="18">
        <f t="shared" si="2"/>
        <v>113</v>
      </c>
      <c r="B115" s="19">
        <v>44454</v>
      </c>
      <c r="C115" s="20">
        <v>35.130001068115234</v>
      </c>
      <c r="D115" s="18">
        <f>SUM(C$3:C115)/A115</f>
        <v>40.128584061344093</v>
      </c>
    </row>
    <row r="116" spans="1:4" ht="12.75" customHeight="1" x14ac:dyDescent="0.2">
      <c r="A116" s="18">
        <f t="shared" si="2"/>
        <v>114</v>
      </c>
      <c r="B116" s="19">
        <v>44455</v>
      </c>
      <c r="C116" s="20">
        <v>34.389999389648438</v>
      </c>
      <c r="D116" s="18">
        <f>SUM(C$3:C116)/A116</f>
        <v>40.078245599311678</v>
      </c>
    </row>
    <row r="117" spans="1:4" ht="12.75" customHeight="1" x14ac:dyDescent="0.2">
      <c r="A117" s="18">
        <f t="shared" si="2"/>
        <v>115</v>
      </c>
      <c r="B117" s="19">
        <v>44456</v>
      </c>
      <c r="C117" s="20">
        <v>34.819999694824219</v>
      </c>
      <c r="D117" s="18">
        <f>SUM(C$3:C117)/A117</f>
        <v>40.032521721881352</v>
      </c>
    </row>
    <row r="118" spans="1:4" ht="12.75" customHeight="1" x14ac:dyDescent="0.2">
      <c r="A118" s="18">
        <f t="shared" si="2"/>
        <v>116</v>
      </c>
      <c r="B118" s="19">
        <v>44461</v>
      </c>
      <c r="C118" s="20">
        <v>34.560001373291016</v>
      </c>
      <c r="D118" s="18">
        <f>SUM(C$3:C118)/A118</f>
        <v>39.985344822324535</v>
      </c>
    </row>
    <row r="119" spans="1:4" ht="12.75" customHeight="1" x14ac:dyDescent="0.2">
      <c r="A119" s="18">
        <f t="shared" si="2"/>
        <v>117</v>
      </c>
      <c r="B119" s="19">
        <v>44462</v>
      </c>
      <c r="C119" s="20">
        <v>34.729999542236328</v>
      </c>
      <c r="D119" s="18">
        <f>SUM(C$3:C119)/A119</f>
        <v>39.940427341298147</v>
      </c>
    </row>
    <row r="120" spans="1:4" ht="12.75" customHeight="1" x14ac:dyDescent="0.2">
      <c r="A120" s="18">
        <f t="shared" si="2"/>
        <v>118</v>
      </c>
      <c r="B120" s="19">
        <v>44463</v>
      </c>
      <c r="C120" s="20">
        <v>34.819999694824219</v>
      </c>
      <c r="D120" s="18">
        <f>SUM(C$3:C120)/A120</f>
        <v>39.89703388666701</v>
      </c>
    </row>
    <row r="121" spans="1:4" ht="12.75" customHeight="1" x14ac:dyDescent="0.2">
      <c r="A121" s="18">
        <f t="shared" si="2"/>
        <v>119</v>
      </c>
      <c r="B121" s="19">
        <v>44466</v>
      </c>
      <c r="C121" s="20">
        <v>35.090000152587891</v>
      </c>
      <c r="D121" s="18">
        <f>SUM(C$3:C121)/A121</f>
        <v>39.856638645204157</v>
      </c>
    </row>
    <row r="122" spans="1:4" ht="12.75" customHeight="1" x14ac:dyDescent="0.2">
      <c r="A122" s="18">
        <f t="shared" si="2"/>
        <v>120</v>
      </c>
      <c r="B122" s="19">
        <v>44467</v>
      </c>
      <c r="C122" s="20">
        <v>34.840000152587891</v>
      </c>
      <c r="D122" s="18">
        <f>SUM(C$3:C122)/A122</f>
        <v>39.814833324432357</v>
      </c>
    </row>
    <row r="123" spans="1:4" ht="12.75" customHeight="1" x14ac:dyDescent="0.2">
      <c r="A123" s="18">
        <f t="shared" si="2"/>
        <v>121</v>
      </c>
      <c r="B123" s="19">
        <v>44468</v>
      </c>
      <c r="C123" s="20">
        <v>34.360000610351563</v>
      </c>
      <c r="D123" s="18">
        <f>SUM(C$3:C123)/A123</f>
        <v>39.769752062332515</v>
      </c>
    </row>
    <row r="124" spans="1:4" ht="12.75" customHeight="1" x14ac:dyDescent="0.2">
      <c r="A124" s="18">
        <f t="shared" si="2"/>
        <v>122</v>
      </c>
      <c r="B124" s="19">
        <v>44469</v>
      </c>
      <c r="C124" s="20">
        <v>35.020000457763672</v>
      </c>
      <c r="D124" s="18">
        <f>SUM(C$3:C124)/A124</f>
        <v>39.730819672131133</v>
      </c>
    </row>
    <row r="125" spans="1:4" ht="12.75" customHeight="1" x14ac:dyDescent="0.2">
      <c r="A125" s="18">
        <f t="shared" si="2"/>
        <v>123</v>
      </c>
      <c r="B125" s="19" t="s">
        <v>1</v>
      </c>
      <c r="C125" s="20">
        <v>35.279998779296875</v>
      </c>
      <c r="D125" s="18">
        <f>SUM(C$3:C125)/A125</f>
        <v>39.694634136417029</v>
      </c>
    </row>
    <row r="126" spans="1:4" ht="12.75" customHeight="1" x14ac:dyDescent="0.2">
      <c r="A126" s="18">
        <f t="shared" si="2"/>
        <v>124</v>
      </c>
      <c r="B126" s="19" t="s">
        <v>2</v>
      </c>
      <c r="C126" s="20">
        <v>35.009998321533203</v>
      </c>
      <c r="D126" s="18">
        <f>SUM(C$3:C126)/A126</f>
        <v>39.656854815329261</v>
      </c>
    </row>
    <row r="127" spans="1:4" ht="12.75" customHeight="1" x14ac:dyDescent="0.2">
      <c r="A127" s="18">
        <f t="shared" si="2"/>
        <v>125</v>
      </c>
      <c r="B127" s="19" t="s">
        <v>3</v>
      </c>
      <c r="C127" s="20">
        <v>34.529998779296875</v>
      </c>
      <c r="D127" s="18">
        <f>SUM(C$3:C127)/A127</f>
        <v>39.615839967040998</v>
      </c>
    </row>
    <row r="128" spans="1:4" ht="12.75" customHeight="1" x14ac:dyDescent="0.2">
      <c r="A128" s="18">
        <f t="shared" si="2"/>
        <v>126</v>
      </c>
      <c r="B128" s="19" t="s">
        <v>4</v>
      </c>
      <c r="C128" s="20">
        <v>35.150001525878906</v>
      </c>
      <c r="D128" s="18">
        <f>SUM(C$3:C128)/A128</f>
        <v>39.580396804809553</v>
      </c>
    </row>
    <row r="129" spans="1:4" ht="12.75" customHeight="1" x14ac:dyDescent="0.2">
      <c r="A129" s="18">
        <f t="shared" si="2"/>
        <v>127</v>
      </c>
      <c r="B129" s="19" t="s">
        <v>5</v>
      </c>
      <c r="C129" s="20">
        <v>35.139999389648437</v>
      </c>
      <c r="D129" s="18">
        <f>SUM(C$3:C129)/A129</f>
        <v>39.545433045635058</v>
      </c>
    </row>
    <row r="130" spans="1:4" ht="12.75" customHeight="1" x14ac:dyDescent="0.2">
      <c r="A130" s="18">
        <f t="shared" si="2"/>
        <v>128</v>
      </c>
      <c r="B130" s="19" t="s">
        <v>6</v>
      </c>
      <c r="C130" s="20">
        <v>35.619998931884766</v>
      </c>
      <c r="D130" s="18">
        <f>SUM(C$3:C130)/A130</f>
        <v>39.514765591621384</v>
      </c>
    </row>
    <row r="131" spans="1:4" ht="12.75" customHeight="1" x14ac:dyDescent="0.2">
      <c r="A131" s="18">
        <f t="shared" si="2"/>
        <v>129</v>
      </c>
      <c r="B131" s="19" t="s">
        <v>7</v>
      </c>
      <c r="C131" s="20">
        <v>35.540000915527344</v>
      </c>
      <c r="D131" s="18">
        <f>SUM(C$3:C131)/A131</f>
        <v>39.483953462349334</v>
      </c>
    </row>
    <row r="132" spans="1:4" ht="12.75" customHeight="1" x14ac:dyDescent="0.2">
      <c r="A132" s="18">
        <f t="shared" si="2"/>
        <v>130</v>
      </c>
      <c r="B132" s="19" t="s">
        <v>8</v>
      </c>
      <c r="C132" s="20">
        <v>35.770000457763672</v>
      </c>
      <c r="D132" s="18">
        <f>SUM(C$3:C132)/A132</f>
        <v>39.455384593083295</v>
      </c>
    </row>
    <row r="133" spans="1:4" ht="12.75" customHeight="1" x14ac:dyDescent="0.2">
      <c r="A133" s="18">
        <f t="shared" si="2"/>
        <v>131</v>
      </c>
      <c r="B133" s="19" t="s">
        <v>9</v>
      </c>
      <c r="C133" s="20">
        <v>35.529998779296875</v>
      </c>
      <c r="D133" s="18">
        <f>SUM(C$3:C133)/A133</f>
        <v>39.425419815878818</v>
      </c>
    </row>
    <row r="134" spans="1:4" ht="12.75" customHeight="1" x14ac:dyDescent="0.2">
      <c r="A134" s="18">
        <f t="shared" si="2"/>
        <v>132</v>
      </c>
      <c r="B134" s="19" t="s">
        <v>10</v>
      </c>
      <c r="C134" s="20">
        <v>35.619998931884766</v>
      </c>
      <c r="D134" s="18">
        <f>SUM(C$3:C134)/A134</f>
        <v>39.39659086978795</v>
      </c>
    </row>
    <row r="135" spans="1:4" ht="12.75" customHeight="1" x14ac:dyDescent="0.2">
      <c r="A135" s="18">
        <f t="shared" si="2"/>
        <v>133</v>
      </c>
      <c r="B135" s="19" t="s">
        <v>11</v>
      </c>
      <c r="C135" s="20">
        <v>36.009998321533203</v>
      </c>
      <c r="D135" s="18">
        <f>SUM(C$3:C135)/A135</f>
        <v>39.371127767921372</v>
      </c>
    </row>
    <row r="136" spans="1:4" ht="12.75" customHeight="1" x14ac:dyDescent="0.2">
      <c r="A136" s="18">
        <f t="shared" si="2"/>
        <v>134</v>
      </c>
      <c r="B136" s="19" t="s">
        <v>12</v>
      </c>
      <c r="C136" s="20">
        <v>36.319999694824219</v>
      </c>
      <c r="D136" s="18">
        <f>SUM(C$3:C136)/A136</f>
        <v>39.348358155435577</v>
      </c>
    </row>
    <row r="137" spans="1:4" ht="12.75" customHeight="1" x14ac:dyDescent="0.2">
      <c r="A137" s="18">
        <f t="shared" si="2"/>
        <v>135</v>
      </c>
      <c r="B137" s="19" t="s">
        <v>13</v>
      </c>
      <c r="C137" s="20">
        <v>36.299999237060547</v>
      </c>
      <c r="D137" s="18">
        <f>SUM(C$3:C137)/A137</f>
        <v>39.32577771900317</v>
      </c>
    </row>
    <row r="138" spans="1:4" ht="12.75" customHeight="1" x14ac:dyDescent="0.2">
      <c r="A138" s="18">
        <f t="shared" si="2"/>
        <v>136</v>
      </c>
      <c r="B138" s="19" t="s">
        <v>14</v>
      </c>
      <c r="C138" s="20">
        <v>35.990001678466797</v>
      </c>
      <c r="D138" s="18">
        <f>SUM(C$3:C138)/A138</f>
        <v>39.301249953999225</v>
      </c>
    </row>
    <row r="139" spans="1:4" ht="12.75" customHeight="1" x14ac:dyDescent="0.2">
      <c r="A139" s="18">
        <f t="shared" si="2"/>
        <v>137</v>
      </c>
      <c r="B139" s="19">
        <v>44497</v>
      </c>
      <c r="C139" s="20">
        <v>35.729999542236328</v>
      </c>
      <c r="D139" s="18">
        <f>SUM(C$3:C139)/A139</f>
        <v>39.275182432745481</v>
      </c>
    </row>
    <row r="140" spans="1:4" ht="12.75" customHeight="1" x14ac:dyDescent="0.2">
      <c r="A140" s="18">
        <f t="shared" si="2"/>
        <v>138</v>
      </c>
      <c r="B140" s="19">
        <v>44498</v>
      </c>
      <c r="C140" s="20">
        <v>36.299999237060547</v>
      </c>
      <c r="D140" s="18">
        <f>SUM(C$3:C140)/A140</f>
        <v>39.253623134226025</v>
      </c>
    </row>
    <row r="141" spans="1:4" ht="12.75" customHeight="1" x14ac:dyDescent="0.2">
      <c r="A141" s="18">
        <f t="shared" si="2"/>
        <v>139</v>
      </c>
      <c r="B141" s="19" t="s">
        <v>15</v>
      </c>
      <c r="C141" s="20">
        <v>34.930000305175781</v>
      </c>
      <c r="D141" s="18">
        <f>SUM(C$3:C141)/A141</f>
        <v>39.222517934017027</v>
      </c>
    </row>
    <row r="142" spans="1:4" ht="12.75" customHeight="1" x14ac:dyDescent="0.2">
      <c r="A142" s="18">
        <f t="shared" si="2"/>
        <v>140</v>
      </c>
      <c r="B142" s="19" t="s">
        <v>16</v>
      </c>
      <c r="C142" s="20">
        <v>34.909999847412109</v>
      </c>
      <c r="D142" s="18">
        <f>SUM(C$3:C142)/A142</f>
        <v>39.191714233398422</v>
      </c>
    </row>
    <row r="143" spans="1:4" ht="12.75" customHeight="1" x14ac:dyDescent="0.2">
      <c r="A143" s="18">
        <f t="shared" si="2"/>
        <v>141</v>
      </c>
      <c r="B143" s="19" t="s">
        <v>17</v>
      </c>
      <c r="C143" s="20">
        <v>34.630001068115234</v>
      </c>
      <c r="D143" s="18">
        <f>SUM(C$3:C143)/A143</f>
        <v>39.159361657758119</v>
      </c>
    </row>
    <row r="144" spans="1:4" ht="12.75" customHeight="1" x14ac:dyDescent="0.2">
      <c r="A144" s="18">
        <f t="shared" si="2"/>
        <v>142</v>
      </c>
      <c r="B144" s="19" t="s">
        <v>18</v>
      </c>
      <c r="C144" s="20">
        <v>35.090000152587891</v>
      </c>
      <c r="D144" s="18">
        <f>SUM(C$3:C144)/A144</f>
        <v>39.130704182369591</v>
      </c>
    </row>
    <row r="145" spans="1:4" ht="12.75" customHeight="1" x14ac:dyDescent="0.2">
      <c r="A145" s="18">
        <f t="shared" si="2"/>
        <v>143</v>
      </c>
      <c r="B145" s="19" t="s">
        <v>19</v>
      </c>
      <c r="C145" s="20">
        <v>34.900001525878906</v>
      </c>
      <c r="D145" s="18">
        <f>SUM(C$3:C145)/A145</f>
        <v>39.101118849107422</v>
      </c>
    </row>
    <row r="146" spans="1:4" ht="12.75" customHeight="1" x14ac:dyDescent="0.2">
      <c r="A146" s="18">
        <f t="shared" si="2"/>
        <v>144</v>
      </c>
      <c r="B146" s="19" t="s">
        <v>20</v>
      </c>
      <c r="C146" s="20">
        <v>35.040000915527344</v>
      </c>
      <c r="D146" s="18">
        <f>SUM(C$3:C146)/A146</f>
        <v>39.072916641235338</v>
      </c>
    </row>
    <row r="147" spans="1:4" ht="12.75" customHeight="1" x14ac:dyDescent="0.2">
      <c r="A147" s="18">
        <f t="shared" si="2"/>
        <v>145</v>
      </c>
      <c r="B147" s="19" t="s">
        <v>21</v>
      </c>
      <c r="C147" s="20">
        <v>35.220001220703125</v>
      </c>
      <c r="D147" s="18">
        <f>SUM(C$3:C147)/A147</f>
        <v>39.046344810748906</v>
      </c>
    </row>
    <row r="148" spans="1:4" ht="12.75" customHeight="1" x14ac:dyDescent="0.2">
      <c r="A148" s="18">
        <f t="shared" si="2"/>
        <v>146</v>
      </c>
      <c r="B148" s="19" t="s">
        <v>22</v>
      </c>
      <c r="C148" s="20">
        <v>34.990001678466797</v>
      </c>
      <c r="D148" s="18">
        <f>SUM(C$3:C148)/A148</f>
        <v>39.018561638609988</v>
      </c>
    </row>
    <row r="149" spans="1:4" ht="12.75" customHeight="1" x14ac:dyDescent="0.2">
      <c r="A149" s="18">
        <f t="shared" si="2"/>
        <v>147</v>
      </c>
      <c r="B149" s="19" t="s">
        <v>23</v>
      </c>
      <c r="C149" s="20">
        <v>35.409999847412109</v>
      </c>
      <c r="D149" s="18">
        <f>SUM(C$3:C149)/A149</f>
        <v>38.994013599214085</v>
      </c>
    </row>
    <row r="150" spans="1:4" ht="12.75" customHeight="1" x14ac:dyDescent="0.2">
      <c r="A150" s="18">
        <f t="shared" si="2"/>
        <v>148</v>
      </c>
      <c r="B150" s="19" t="s">
        <v>24</v>
      </c>
      <c r="C150" s="20">
        <v>35.259998321533203</v>
      </c>
      <c r="D150" s="18">
        <f>SUM(C$3:C150)/A150</f>
        <v>38.968783766256784</v>
      </c>
    </row>
    <row r="151" spans="1:4" ht="12.75" customHeight="1" x14ac:dyDescent="0.2">
      <c r="A151" s="18">
        <f t="shared" si="2"/>
        <v>149</v>
      </c>
      <c r="B151" s="19" t="s">
        <v>25</v>
      </c>
      <c r="C151" s="20">
        <v>34.950000762939453</v>
      </c>
      <c r="D151" s="18">
        <f>SUM(C$3:C151)/A151</f>
        <v>38.941812068247941</v>
      </c>
    </row>
    <row r="152" spans="1:4" ht="12.75" customHeight="1" x14ac:dyDescent="0.2">
      <c r="A152" s="18">
        <f t="shared" si="2"/>
        <v>150</v>
      </c>
      <c r="B152" s="19" t="s">
        <v>26</v>
      </c>
      <c r="C152" s="20">
        <v>34.950000762939453</v>
      </c>
      <c r="D152" s="18">
        <f>SUM(C$3:C152)/A152</f>
        <v>38.915199992879216</v>
      </c>
    </row>
    <row r="153" spans="1:4" ht="12.75" customHeight="1" x14ac:dyDescent="0.2">
      <c r="A153" s="18">
        <f t="shared" si="2"/>
        <v>151</v>
      </c>
      <c r="B153" s="19" t="s">
        <v>27</v>
      </c>
      <c r="C153" s="20">
        <v>35.229999542236328</v>
      </c>
      <c r="D153" s="18">
        <f>SUM(C$3:C153)/A153</f>
        <v>38.890794691881581</v>
      </c>
    </row>
    <row r="154" spans="1:4" ht="12.75" customHeight="1" x14ac:dyDescent="0.2">
      <c r="A154" s="18">
        <f t="shared" si="2"/>
        <v>152</v>
      </c>
      <c r="B154" s="19" t="s">
        <v>28</v>
      </c>
      <c r="C154" s="20">
        <v>34.840000152587891</v>
      </c>
      <c r="D154" s="18">
        <f>SUM(C$3:C154)/A154</f>
        <v>38.864144727807286</v>
      </c>
    </row>
    <row r="155" spans="1:4" ht="12.75" customHeight="1" x14ac:dyDescent="0.2">
      <c r="A155" s="18">
        <f t="shared" si="2"/>
        <v>153</v>
      </c>
      <c r="B155" s="19" t="s">
        <v>29</v>
      </c>
      <c r="C155" s="20">
        <v>35.270000457763672</v>
      </c>
      <c r="D155" s="18">
        <f>SUM(C$3:C155)/A155</f>
        <v>38.84065358878739</v>
      </c>
    </row>
    <row r="156" spans="1:4" ht="12.75" customHeight="1" x14ac:dyDescent="0.2">
      <c r="A156" s="18">
        <f t="shared" si="2"/>
        <v>154</v>
      </c>
      <c r="B156" s="19" t="s">
        <v>30</v>
      </c>
      <c r="C156" s="20">
        <v>35.990001678466797</v>
      </c>
      <c r="D156" s="18">
        <f>SUM(C$3:C156)/A156</f>
        <v>38.822142862096996</v>
      </c>
    </row>
    <row r="157" spans="1:4" ht="12.75" customHeight="1" x14ac:dyDescent="0.2">
      <c r="A157" s="18">
        <f t="shared" si="2"/>
        <v>155</v>
      </c>
      <c r="B157" s="19" t="s">
        <v>31</v>
      </c>
      <c r="C157" s="20">
        <v>35.680000305175781</v>
      </c>
      <c r="D157" s="18">
        <f>SUM(C$3:C157)/A157</f>
        <v>38.80187097463299</v>
      </c>
    </row>
    <row r="158" spans="1:4" ht="12.75" customHeight="1" x14ac:dyDescent="0.2">
      <c r="A158" s="18">
        <f t="shared" si="2"/>
        <v>156</v>
      </c>
      <c r="B158" s="19" t="s">
        <v>32</v>
      </c>
      <c r="C158" s="20">
        <v>35.549999237060547</v>
      </c>
      <c r="D158" s="18">
        <f>SUM(C$3:C158)/A158</f>
        <v>38.781025642981881</v>
      </c>
    </row>
    <row r="159" spans="1:4" ht="12.75" customHeight="1" x14ac:dyDescent="0.2">
      <c r="A159" s="18">
        <f t="shared" si="2"/>
        <v>157</v>
      </c>
      <c r="B159" s="19" t="s">
        <v>33</v>
      </c>
      <c r="C159" s="20">
        <v>35.389999389648437</v>
      </c>
      <c r="D159" s="18">
        <f>SUM(C$3:C159)/A159</f>
        <v>38.759426749648547</v>
      </c>
    </row>
    <row r="160" spans="1:4" ht="12.75" customHeight="1" x14ac:dyDescent="0.2">
      <c r="A160" s="18">
        <f t="shared" si="2"/>
        <v>158</v>
      </c>
      <c r="B160" s="19" t="s">
        <v>34</v>
      </c>
      <c r="C160" s="20">
        <v>35.189998626708984</v>
      </c>
      <c r="D160" s="18">
        <f>SUM(C$3:C160)/A160</f>
        <v>38.736835432414757</v>
      </c>
    </row>
    <row r="161" spans="1:4" ht="12.75" customHeight="1" x14ac:dyDescent="0.2">
      <c r="A161" s="18">
        <f t="shared" si="2"/>
        <v>159</v>
      </c>
      <c r="B161" s="19">
        <v>44529</v>
      </c>
      <c r="C161" s="20">
        <v>35.409999847412109</v>
      </c>
      <c r="D161" s="18">
        <f>SUM(C$3:C161)/A161</f>
        <v>38.715911938169455</v>
      </c>
    </row>
    <row r="162" spans="1:4" ht="12.75" customHeight="1" x14ac:dyDescent="0.2">
      <c r="A162" s="18">
        <f t="shared" si="2"/>
        <v>160</v>
      </c>
      <c r="B162" s="19">
        <v>44530</v>
      </c>
      <c r="C162" s="20">
        <v>35.450000762939453</v>
      </c>
      <c r="D162" s="18">
        <f>SUM(C$3:C162)/A162</f>
        <v>38.695499993324269</v>
      </c>
    </row>
    <row r="163" spans="1:4" ht="12.75" customHeight="1" x14ac:dyDescent="0.2">
      <c r="A163" s="18">
        <f t="shared" si="2"/>
        <v>161</v>
      </c>
      <c r="B163" s="19">
        <v>44531</v>
      </c>
      <c r="C163" s="20">
        <v>35.279998779296875</v>
      </c>
      <c r="D163" s="18">
        <f>SUM(C$3:C163)/A163</f>
        <v>38.67428570006944</v>
      </c>
    </row>
    <row r="164" spans="1:4" ht="12.75" customHeight="1" x14ac:dyDescent="0.2">
      <c r="A164" s="18">
        <f t="shared" si="2"/>
        <v>162</v>
      </c>
      <c r="B164" s="19">
        <v>44532</v>
      </c>
      <c r="C164" s="20">
        <v>35.220001220703125</v>
      </c>
      <c r="D164" s="18">
        <f>SUM(C$3:C164)/A164</f>
        <v>38.652962956369649</v>
      </c>
    </row>
    <row r="165" spans="1:4" ht="12.75" customHeight="1" x14ac:dyDescent="0.2">
      <c r="A165" s="18">
        <f t="shared" si="2"/>
        <v>163</v>
      </c>
      <c r="B165" s="19">
        <v>44533</v>
      </c>
      <c r="C165" s="20">
        <v>35.319999694824219</v>
      </c>
      <c r="D165" s="18">
        <f>SUM(C$3:C165)/A165</f>
        <v>38.632515328998203</v>
      </c>
    </row>
    <row r="166" spans="1:4" ht="12.75" customHeight="1" x14ac:dyDescent="0.2">
      <c r="A166" s="18">
        <f t="shared" si="2"/>
        <v>164</v>
      </c>
      <c r="B166" s="19">
        <v>44536</v>
      </c>
      <c r="C166" s="20">
        <v>34.939998626708984</v>
      </c>
      <c r="D166" s="18">
        <f>SUM(C$3:C166)/A166</f>
        <v>38.609999983252536</v>
      </c>
    </row>
    <row r="167" spans="1:4" ht="12.75" customHeight="1" x14ac:dyDescent="0.2">
      <c r="A167" s="18">
        <f t="shared" si="2"/>
        <v>165</v>
      </c>
      <c r="B167" s="19">
        <v>44537</v>
      </c>
      <c r="C167" s="20">
        <v>34.709999084472656</v>
      </c>
      <c r="D167" s="18">
        <f>SUM(C$3:C167)/A167</f>
        <v>38.586363614169024</v>
      </c>
    </row>
    <row r="168" spans="1:4" ht="12.75" customHeight="1" x14ac:dyDescent="0.2">
      <c r="A168" s="18">
        <f t="shared" si="2"/>
        <v>166</v>
      </c>
      <c r="B168" s="19">
        <v>44538</v>
      </c>
      <c r="C168" s="20">
        <v>35.330001831054688</v>
      </c>
      <c r="D168" s="18">
        <f>SUM(C$3:C168)/A168</f>
        <v>38.566746976921344</v>
      </c>
    </row>
    <row r="169" spans="1:4" ht="12.75" customHeight="1" x14ac:dyDescent="0.2">
      <c r="A169" s="18">
        <f t="shared" si="2"/>
        <v>167</v>
      </c>
      <c r="B169" s="19">
        <v>44539</v>
      </c>
      <c r="C169" s="20">
        <v>35.869998931884766</v>
      </c>
      <c r="D169" s="18">
        <f>SUM(C$3:C169)/A169</f>
        <v>38.5505987850349</v>
      </c>
    </row>
    <row r="170" spans="1:4" ht="12.75" customHeight="1" x14ac:dyDescent="0.2">
      <c r="A170" s="18">
        <f t="shared" si="2"/>
        <v>168</v>
      </c>
      <c r="B170" s="19">
        <v>44540</v>
      </c>
      <c r="C170" s="20">
        <v>35.860000610351563</v>
      </c>
      <c r="D170" s="18">
        <f>SUM(C$3:C170)/A170</f>
        <v>38.534583319709405</v>
      </c>
    </row>
    <row r="171" spans="1:4" ht="12.75" customHeight="1" x14ac:dyDescent="0.2">
      <c r="A171" s="18">
        <f t="shared" si="2"/>
        <v>169</v>
      </c>
      <c r="B171" s="19">
        <v>44543</v>
      </c>
      <c r="C171" s="20">
        <v>35.860000610351563</v>
      </c>
      <c r="D171" s="18">
        <f>SUM(C$3:C171)/A171</f>
        <v>38.518757386517933</v>
      </c>
    </row>
    <row r="172" spans="1:4" ht="12.75" customHeight="1" x14ac:dyDescent="0.2">
      <c r="A172" s="18">
        <f t="shared" si="2"/>
        <v>170</v>
      </c>
      <c r="B172" s="19">
        <v>44544</v>
      </c>
      <c r="C172" s="20">
        <v>35.599998474121094</v>
      </c>
      <c r="D172" s="18">
        <f>SUM(C$3:C172)/A172</f>
        <v>38.501588216445015</v>
      </c>
    </row>
    <row r="173" spans="1:4" ht="12.75" customHeight="1" x14ac:dyDescent="0.2">
      <c r="A173" s="18">
        <f t="shared" si="2"/>
        <v>171</v>
      </c>
      <c r="B173" s="19">
        <v>44545</v>
      </c>
      <c r="C173" s="20">
        <v>35.290000915527344</v>
      </c>
      <c r="D173" s="18">
        <f>SUM(C$3:C173)/A173</f>
        <v>38.482807004158943</v>
      </c>
    </row>
    <row r="174" spans="1:4" ht="12.75" customHeight="1" x14ac:dyDescent="0.2">
      <c r="A174" s="18">
        <f t="shared" si="2"/>
        <v>172</v>
      </c>
      <c r="B174" s="19">
        <v>44546</v>
      </c>
      <c r="C174" s="20">
        <v>35.520000457763672</v>
      </c>
      <c r="D174" s="18">
        <f>SUM(C$3:C174)/A174</f>
        <v>38.465581384703157</v>
      </c>
    </row>
    <row r="175" spans="1:4" ht="12.75" customHeight="1" x14ac:dyDescent="0.2">
      <c r="A175" s="18">
        <f t="shared" si="2"/>
        <v>173</v>
      </c>
      <c r="B175" s="19">
        <v>44547</v>
      </c>
      <c r="C175" s="20">
        <v>34.939998626708984</v>
      </c>
      <c r="D175" s="18">
        <f>SUM(C$3:C175)/A175</f>
        <v>38.445202293616489</v>
      </c>
    </row>
    <row r="176" spans="1:4" ht="12.75" customHeight="1" x14ac:dyDescent="0.2">
      <c r="A176" s="18">
        <f t="shared" si="2"/>
        <v>174</v>
      </c>
      <c r="B176" s="19">
        <v>44550</v>
      </c>
      <c r="C176" s="20">
        <v>34.099998474121094</v>
      </c>
      <c r="D176" s="18">
        <f>SUM(C$3:C176)/A176</f>
        <v>38.420229857872258</v>
      </c>
    </row>
    <row r="177" spans="1:4" ht="12.75" customHeight="1" x14ac:dyDescent="0.2">
      <c r="A177" s="18">
        <f t="shared" si="2"/>
        <v>175</v>
      </c>
      <c r="B177" s="19">
        <v>44551</v>
      </c>
      <c r="C177" s="20">
        <v>34.439998626708984</v>
      </c>
      <c r="D177" s="18">
        <f>SUM(C$3:C177)/A177</f>
        <v>38.397485679408469</v>
      </c>
    </row>
    <row r="178" spans="1:4" ht="12.75" customHeight="1" x14ac:dyDescent="0.2">
      <c r="A178" s="18">
        <f t="shared" si="2"/>
        <v>176</v>
      </c>
      <c r="B178" s="19">
        <v>44552</v>
      </c>
      <c r="C178" s="20">
        <v>34.689998626708984</v>
      </c>
      <c r="D178" s="18">
        <f>SUM(C$3:C178)/A178</f>
        <v>38.376420412063588</v>
      </c>
    </row>
    <row r="179" spans="1:4" ht="12.75" customHeight="1" x14ac:dyDescent="0.2">
      <c r="A179" s="18">
        <f t="shared" si="2"/>
        <v>177</v>
      </c>
      <c r="B179" s="19">
        <v>44553</v>
      </c>
      <c r="C179" s="20">
        <v>34.810001373291016</v>
      </c>
      <c r="D179" s="18">
        <f>SUM(C$3:C179)/A179</f>
        <v>38.356271151957529</v>
      </c>
    </row>
    <row r="180" spans="1:4" ht="12.75" customHeight="1" x14ac:dyDescent="0.2">
      <c r="A180" s="18">
        <f t="shared" si="2"/>
        <v>178</v>
      </c>
      <c r="B180" s="19">
        <v>44554</v>
      </c>
      <c r="C180" s="20">
        <v>34.290000915527344</v>
      </c>
      <c r="D180" s="18">
        <f>SUM(C$3:C180)/A180</f>
        <v>38.333426937146122</v>
      </c>
    </row>
    <row r="181" spans="1:4" ht="12.75" customHeight="1" x14ac:dyDescent="0.2">
      <c r="A181" s="18">
        <f t="shared" si="2"/>
        <v>179</v>
      </c>
      <c r="B181" s="19">
        <v>44557</v>
      </c>
      <c r="C181" s="20">
        <v>34.360000610351563</v>
      </c>
      <c r="D181" s="18">
        <f>SUM(C$3:C181)/A181</f>
        <v>38.311229024705931</v>
      </c>
    </row>
    <row r="182" spans="1:4" ht="12.75" customHeight="1" x14ac:dyDescent="0.2">
      <c r="A182" s="18">
        <f t="shared" si="2"/>
        <v>180</v>
      </c>
      <c r="B182" s="19">
        <v>44558</v>
      </c>
      <c r="C182" s="20">
        <v>34.650001525878906</v>
      </c>
      <c r="D182" s="18">
        <f>SUM(C$3:C182)/A182</f>
        <v>38.290888871934669</v>
      </c>
    </row>
    <row r="183" spans="1:4" ht="12.75" customHeight="1" x14ac:dyDescent="0.2">
      <c r="A183" s="18">
        <f t="shared" si="2"/>
        <v>181</v>
      </c>
      <c r="B183" s="19">
        <v>44559</v>
      </c>
      <c r="C183" s="20">
        <v>34.259998321533203</v>
      </c>
      <c r="D183" s="18">
        <f>SUM(C$3:C183)/A183</f>
        <v>38.268618758396535</v>
      </c>
    </row>
    <row r="184" spans="1:4" ht="12.75" customHeight="1" x14ac:dyDescent="0.2">
      <c r="A184" s="18">
        <f t="shared" si="2"/>
        <v>182</v>
      </c>
      <c r="B184" s="19">
        <v>44560</v>
      </c>
      <c r="C184" s="20">
        <v>34.580001831054687</v>
      </c>
      <c r="D184" s="18">
        <f>SUM(C$3:C184)/A184</f>
        <v>38.248351632422136</v>
      </c>
    </row>
    <row r="185" spans="1:4" ht="12.75" customHeight="1" x14ac:dyDescent="0.2">
      <c r="A185" s="18">
        <f t="shared" si="2"/>
        <v>183</v>
      </c>
      <c r="B185" s="19">
        <v>44561</v>
      </c>
      <c r="C185" s="20">
        <v>34.630001068115234</v>
      </c>
      <c r="D185" s="18">
        <f>SUM(C$3:C185)/A185</f>
        <v>38.2285792249669</v>
      </c>
    </row>
    <row r="186" spans="1:4" ht="12.75" customHeight="1" x14ac:dyDescent="0.2">
      <c r="A186" s="18">
        <f t="shared" si="2"/>
        <v>184</v>
      </c>
      <c r="B186" s="19" t="s">
        <v>35</v>
      </c>
      <c r="C186" s="20">
        <v>34.229999542236328</v>
      </c>
      <c r="D186" s="18">
        <f>SUM(C$3:C186)/A186</f>
        <v>38.206847813647713</v>
      </c>
    </row>
    <row r="187" spans="1:4" ht="12.75" customHeight="1" x14ac:dyDescent="0.2">
      <c r="A187" s="18">
        <f t="shared" si="2"/>
        <v>185</v>
      </c>
      <c r="B187" s="19" t="s">
        <v>36</v>
      </c>
      <c r="C187" s="20">
        <v>33.459999084472656</v>
      </c>
      <c r="D187" s="18">
        <f>SUM(C$3:C187)/A187</f>
        <v>38.18118917186839</v>
      </c>
    </row>
    <row r="188" spans="1:4" ht="12.75" customHeight="1" x14ac:dyDescent="0.2">
      <c r="A188" s="18">
        <f t="shared" si="2"/>
        <v>186</v>
      </c>
      <c r="B188" s="19" t="s">
        <v>37</v>
      </c>
      <c r="C188" s="20">
        <v>33.099998474121094</v>
      </c>
      <c r="D188" s="18">
        <f>SUM(C$3:C188)/A188</f>
        <v>38.153870942310611</v>
      </c>
    </row>
    <row r="189" spans="1:4" ht="12.75" customHeight="1" x14ac:dyDescent="0.2">
      <c r="A189" s="18">
        <f t="shared" si="2"/>
        <v>187</v>
      </c>
      <c r="B189" s="19" t="s">
        <v>38</v>
      </c>
      <c r="C189" s="20">
        <v>33.049999237060547</v>
      </c>
      <c r="D189" s="18">
        <f>SUM(C$3:C189)/A189</f>
        <v>38.126577510731735</v>
      </c>
    </row>
    <row r="190" spans="1:4" ht="12.75" customHeight="1" x14ac:dyDescent="0.2">
      <c r="A190" s="18">
        <f t="shared" si="2"/>
        <v>188</v>
      </c>
      <c r="B190" s="19" t="s">
        <v>39</v>
      </c>
      <c r="C190" s="20">
        <v>33.139999389648437</v>
      </c>
      <c r="D190" s="18">
        <f>SUM(C$3:C190)/A190</f>
        <v>38.100053159023844</v>
      </c>
    </row>
    <row r="191" spans="1:4" ht="12.75" customHeight="1" x14ac:dyDescent="0.2">
      <c r="A191" s="18">
        <f t="shared" si="2"/>
        <v>189</v>
      </c>
      <c r="B191" s="19" t="s">
        <v>40</v>
      </c>
      <c r="C191" s="20">
        <v>32.65</v>
      </c>
      <c r="D191" s="18">
        <f>SUM(C$3:C191)/A191</f>
        <v>38.071216898923183</v>
      </c>
    </row>
    <row r="192" spans="1:4" ht="12.75" customHeight="1" x14ac:dyDescent="0.2">
      <c r="A192" s="18">
        <f t="shared" si="2"/>
        <v>190</v>
      </c>
      <c r="B192" s="19" t="s">
        <v>41</v>
      </c>
      <c r="C192" s="20">
        <v>33.209999084472656</v>
      </c>
      <c r="D192" s="18">
        <f>SUM(C$3:C192)/A192</f>
        <v>38.045631542005026</v>
      </c>
    </row>
    <row r="193" spans="1:4" ht="12.75" customHeight="1" x14ac:dyDescent="0.2">
      <c r="A193" s="18">
        <f t="shared" si="2"/>
        <v>191</v>
      </c>
      <c r="B193" s="19" t="s">
        <v>42</v>
      </c>
      <c r="C193" s="20">
        <v>32.6</v>
      </c>
      <c r="D193" s="18">
        <f>SUM(C$3:C193)/A193</f>
        <v>38.017120382099243</v>
      </c>
    </row>
    <row r="194" spans="1:4" ht="12.75" customHeight="1" x14ac:dyDescent="0.2">
      <c r="A194" s="18">
        <f t="shared" si="2"/>
        <v>192</v>
      </c>
      <c r="B194" s="19" t="s">
        <v>43</v>
      </c>
      <c r="C194" s="20">
        <v>32.770000457763672</v>
      </c>
      <c r="D194" s="18">
        <f>SUM(C$3:C194)/A194</f>
        <v>37.989791632493329</v>
      </c>
    </row>
    <row r="195" spans="1:4" ht="12.75" customHeight="1" x14ac:dyDescent="0.2">
      <c r="A195" s="18">
        <f t="shared" si="2"/>
        <v>193</v>
      </c>
      <c r="B195" s="19" t="s">
        <v>44</v>
      </c>
      <c r="C195" s="20">
        <v>33.340000152587891</v>
      </c>
      <c r="D195" s="18">
        <f>SUM(C$3:C195)/A195</f>
        <v>37.96569944865962</v>
      </c>
    </row>
    <row r="196" spans="1:4" ht="12.75" customHeight="1" x14ac:dyDescent="0.2">
      <c r="A196" s="18">
        <f t="shared" si="2"/>
        <v>194</v>
      </c>
      <c r="B196" s="19" t="s">
        <v>45</v>
      </c>
      <c r="C196" s="20">
        <v>33.340000152587891</v>
      </c>
      <c r="D196" s="18">
        <f>SUM(C$3:C196)/A196</f>
        <v>37.941855637855127</v>
      </c>
    </row>
    <row r="197" spans="1:4" ht="12.75" customHeight="1" x14ac:dyDescent="0.2">
      <c r="A197" s="18">
        <f t="shared" si="2"/>
        <v>195</v>
      </c>
      <c r="B197" s="19" t="s">
        <v>46</v>
      </c>
      <c r="C197" s="20">
        <v>32.729999542236328</v>
      </c>
      <c r="D197" s="18">
        <f>SUM(C$3:C197)/A197</f>
        <v>37.915128170698104</v>
      </c>
    </row>
    <row r="198" spans="1:4" ht="12.75" customHeight="1" x14ac:dyDescent="0.2">
      <c r="A198" s="18">
        <f t="shared" si="2"/>
        <v>196</v>
      </c>
      <c r="B198" s="19" t="s">
        <v>47</v>
      </c>
      <c r="C198" s="20">
        <v>32.819999694824219</v>
      </c>
      <c r="D198" s="18">
        <f>SUM(C$3:C198)/A198</f>
        <v>37.889132617249771</v>
      </c>
    </row>
    <row r="199" spans="1:4" ht="12.75" customHeight="1" x14ac:dyDescent="0.2">
      <c r="A199" s="18">
        <f t="shared" si="2"/>
        <v>197</v>
      </c>
      <c r="B199" s="19" t="s">
        <v>48</v>
      </c>
      <c r="C199" s="20">
        <v>32.400001525878906</v>
      </c>
      <c r="D199" s="18">
        <f>SUM(C$3:C199)/A199</f>
        <v>37.8612690076489</v>
      </c>
    </row>
    <row r="200" spans="1:4" ht="12.75" customHeight="1" x14ac:dyDescent="0.2">
      <c r="A200" s="18">
        <f t="shared" si="2"/>
        <v>198</v>
      </c>
      <c r="B200" s="19" t="s">
        <v>49</v>
      </c>
      <c r="C200" s="20">
        <v>32.590000152587891</v>
      </c>
      <c r="D200" s="18">
        <f>SUM(C$3:C200)/A200</f>
        <v>37.834646437673847</v>
      </c>
    </row>
    <row r="201" spans="1:4" ht="12.75" customHeight="1" x14ac:dyDescent="0.2">
      <c r="A201" s="18">
        <f t="shared" si="2"/>
        <v>199</v>
      </c>
      <c r="B201" s="19" t="s">
        <v>50</v>
      </c>
      <c r="C201" s="20">
        <v>31.819999694824219</v>
      </c>
      <c r="D201" s="18">
        <f>SUM(C$3:C201)/A201</f>
        <v>37.804422082182143</v>
      </c>
    </row>
    <row r="202" spans="1:4" ht="12.75" customHeight="1" x14ac:dyDescent="0.2">
      <c r="A202" s="18">
        <f t="shared" si="2"/>
        <v>200</v>
      </c>
      <c r="B202" s="19" t="s">
        <v>51</v>
      </c>
      <c r="C202" s="20">
        <v>32.119998931884766</v>
      </c>
      <c r="D202" s="18">
        <f>SUM(C$3:C202)/A202</f>
        <v>37.775999966430653</v>
      </c>
    </row>
    <row r="203" spans="1:4" ht="12.75" customHeight="1" x14ac:dyDescent="0.2">
      <c r="A203" s="18">
        <f t="shared" si="2"/>
        <v>201</v>
      </c>
      <c r="B203" s="19">
        <v>44588</v>
      </c>
      <c r="C203" s="20">
        <v>31.159999847412109</v>
      </c>
      <c r="D203" s="18">
        <f>SUM(C$3:C203)/A203</f>
        <v>37.74308454295295</v>
      </c>
    </row>
    <row r="204" spans="1:4" ht="12.75" customHeight="1" x14ac:dyDescent="0.2">
      <c r="A204" s="18">
        <f t="shared" si="2"/>
        <v>202</v>
      </c>
      <c r="B204" s="19">
        <v>44589</v>
      </c>
      <c r="C204" s="20">
        <v>31.020000457763672</v>
      </c>
      <c r="D204" s="18">
        <f>SUM(C$3:C204)/A204</f>
        <v>37.709801948471814</v>
      </c>
    </row>
    <row r="205" spans="1:4" ht="12.75" customHeight="1" x14ac:dyDescent="0.2">
      <c r="A205" s="18">
        <f t="shared" si="2"/>
        <v>203</v>
      </c>
      <c r="B205" s="19" t="s">
        <v>52</v>
      </c>
      <c r="C205" s="20">
        <v>31.209999084472656</v>
      </c>
      <c r="D205" s="18">
        <f>SUM(C$3:C205)/A205</f>
        <v>37.677783215151621</v>
      </c>
    </row>
    <row r="206" spans="1:4" ht="12.75" customHeight="1" x14ac:dyDescent="0.2">
      <c r="A206" s="18">
        <f t="shared" si="2"/>
        <v>204</v>
      </c>
      <c r="B206" s="19" t="s">
        <v>53</v>
      </c>
      <c r="C206" s="20">
        <v>30.620000839233398</v>
      </c>
      <c r="D206" s="18">
        <f>SUM(C$3:C206)/A206</f>
        <v>37.643186242720653</v>
      </c>
    </row>
    <row r="207" spans="1:4" ht="12.75" customHeight="1" x14ac:dyDescent="0.2">
      <c r="A207" s="18">
        <f t="shared" si="2"/>
        <v>205</v>
      </c>
      <c r="B207" s="19" t="s">
        <v>54</v>
      </c>
      <c r="C207" s="20">
        <v>31.010000228881836</v>
      </c>
      <c r="D207" s="18">
        <f>SUM(C$3:C207)/A207</f>
        <v>37.610829237775093</v>
      </c>
    </row>
    <row r="208" spans="1:4" ht="12.75" customHeight="1" x14ac:dyDescent="0.2">
      <c r="A208" s="18">
        <f t="shared" si="2"/>
        <v>206</v>
      </c>
      <c r="B208" s="19" t="s">
        <v>55</v>
      </c>
      <c r="C208" s="20">
        <v>30.559999465942383</v>
      </c>
      <c r="D208" s="18">
        <f>SUM(C$3:C208)/A208</f>
        <v>37.576601908785619</v>
      </c>
    </row>
    <row r="209" spans="1:4" ht="12.75" customHeight="1" x14ac:dyDescent="0.2">
      <c r="A209" s="18">
        <f t="shared" si="2"/>
        <v>207</v>
      </c>
      <c r="B209" s="19" t="s">
        <v>56</v>
      </c>
      <c r="C209" s="20">
        <v>29.899999618530273</v>
      </c>
      <c r="D209" s="18">
        <f>SUM(C$3:C209)/A209</f>
        <v>37.539516873566988</v>
      </c>
    </row>
    <row r="210" spans="1:4" ht="12.75" customHeight="1" x14ac:dyDescent="0.2">
      <c r="A210" s="18">
        <f t="shared" si="2"/>
        <v>208</v>
      </c>
      <c r="B210" s="19" t="s">
        <v>57</v>
      </c>
      <c r="C210" s="20">
        <v>29.850000381469727</v>
      </c>
      <c r="D210" s="18">
        <f>SUM(C$3:C210)/A210</f>
        <v>37.502548044278065</v>
      </c>
    </row>
    <row r="211" spans="1:4" ht="12.75" customHeight="1" x14ac:dyDescent="0.2">
      <c r="A211" s="18">
        <f t="shared" si="2"/>
        <v>209</v>
      </c>
      <c r="B211" s="19" t="s">
        <v>58</v>
      </c>
      <c r="C211" s="20">
        <v>30.559999465942383</v>
      </c>
      <c r="D211" s="18">
        <f>SUM(C$3:C211)/A211</f>
        <v>37.46933010849655</v>
      </c>
    </row>
    <row r="212" spans="1:4" ht="12.75" customHeight="1" x14ac:dyDescent="0.2">
      <c r="A212" s="18">
        <f t="shared" si="2"/>
        <v>210</v>
      </c>
      <c r="B212" s="19" t="s">
        <v>59</v>
      </c>
      <c r="C212" s="20">
        <v>30.620000839233398</v>
      </c>
      <c r="D212" s="18">
        <f>SUM(C$3:C212)/A212</f>
        <v>37.43671425483339</v>
      </c>
    </row>
    <row r="213" spans="1:4" ht="12.75" customHeight="1" x14ac:dyDescent="0.2">
      <c r="A213" s="18">
        <f t="shared" si="2"/>
        <v>211</v>
      </c>
      <c r="B213" s="19" t="s">
        <v>60</v>
      </c>
      <c r="C213" s="20">
        <v>30.770000457763672</v>
      </c>
      <c r="D213" s="18">
        <f>SUM(C$3:C213)/A213</f>
        <v>37.405118454847283</v>
      </c>
    </row>
    <row r="214" spans="1:4" ht="12.75" customHeight="1" x14ac:dyDescent="0.2">
      <c r="A214" s="18">
        <f t="shared" si="2"/>
        <v>212</v>
      </c>
      <c r="B214" s="19" t="s">
        <v>61</v>
      </c>
      <c r="C214" s="20">
        <v>30.719999313354492</v>
      </c>
      <c r="D214" s="18">
        <f>SUM(C$3:C214)/A214</f>
        <v>37.373584873991184</v>
      </c>
    </row>
    <row r="215" spans="1:4" ht="12.75" customHeight="1" x14ac:dyDescent="0.2">
      <c r="A215" s="18">
        <f t="shared" si="2"/>
        <v>213</v>
      </c>
      <c r="B215" s="19" t="s">
        <v>62</v>
      </c>
      <c r="C215" s="20">
        <v>30.639999389648438</v>
      </c>
      <c r="D215" s="18">
        <f>SUM(C$3:C215)/A215</f>
        <v>37.3419717965999</v>
      </c>
    </row>
    <row r="216" spans="1:4" ht="12.75" customHeight="1" x14ac:dyDescent="0.2">
      <c r="A216" s="18">
        <f t="shared" si="2"/>
        <v>214</v>
      </c>
      <c r="B216" s="19" t="s">
        <v>63</v>
      </c>
      <c r="C216" s="20">
        <v>30.190000534057617</v>
      </c>
      <c r="D216" s="18">
        <f>SUM(C$3:C216)/A216</f>
        <v>37.308551370139426</v>
      </c>
    </row>
    <row r="217" spans="1:4" ht="12.75" customHeight="1" x14ac:dyDescent="0.2">
      <c r="A217" s="18">
        <f t="shared" si="2"/>
        <v>215</v>
      </c>
      <c r="B217" s="19" t="s">
        <v>64</v>
      </c>
      <c r="C217" s="20">
        <v>30.989999771118164</v>
      </c>
      <c r="D217" s="18">
        <f>SUM(C$3:C217)/A217</f>
        <v>37.279162758050951</v>
      </c>
    </row>
    <row r="218" spans="1:4" ht="12.75" customHeight="1" x14ac:dyDescent="0.2">
      <c r="A218" s="18">
        <f t="shared" si="2"/>
        <v>216</v>
      </c>
      <c r="B218" s="19" t="s">
        <v>65</v>
      </c>
      <c r="C218" s="20">
        <v>30.340000152587891</v>
      </c>
      <c r="D218" s="18">
        <f>SUM(C$3:C218)/A218</f>
        <v>37.247037005247883</v>
      </c>
    </row>
    <row r="219" spans="1:4" ht="12.75" customHeight="1" x14ac:dyDescent="0.2">
      <c r="A219" s="18">
        <f t="shared" si="2"/>
        <v>217</v>
      </c>
      <c r="B219" s="19">
        <v>44617</v>
      </c>
      <c r="C219" s="20">
        <v>30.899999618530273</v>
      </c>
      <c r="D219" s="18">
        <f>SUM(C$3:C219)/A219</f>
        <v>37.217787985032594</v>
      </c>
    </row>
    <row r="220" spans="1:4" ht="12.75" customHeight="1" x14ac:dyDescent="0.2">
      <c r="A220" s="18">
        <f t="shared" si="2"/>
        <v>218</v>
      </c>
      <c r="B220" s="19">
        <v>44620</v>
      </c>
      <c r="C220" s="20">
        <v>30.969999313354492</v>
      </c>
      <c r="D220" s="18">
        <f>SUM(C$3:C220)/A220</f>
        <v>37.189128403969853</v>
      </c>
    </row>
    <row r="221" spans="1:4" ht="12.75" customHeight="1" x14ac:dyDescent="0.2">
      <c r="A221" s="18">
        <f t="shared" si="2"/>
        <v>219</v>
      </c>
      <c r="B221" s="19" t="s">
        <v>66</v>
      </c>
      <c r="C221" s="20">
        <v>30.940000534057617</v>
      </c>
      <c r="D221" s="18">
        <f>SUM(C$3:C221)/A221</f>
        <v>37.16059357351363</v>
      </c>
    </row>
    <row r="222" spans="1:4" ht="12.75" customHeight="1" x14ac:dyDescent="0.2">
      <c r="A222" s="18">
        <f t="shared" si="2"/>
        <v>220</v>
      </c>
      <c r="B222" s="19" t="s">
        <v>67</v>
      </c>
      <c r="C222" s="20">
        <v>30.459999084472656</v>
      </c>
      <c r="D222" s="18">
        <f>SUM(C$3:C222)/A222</f>
        <v>37.130136325836176</v>
      </c>
    </row>
    <row r="223" spans="1:4" ht="12.75" customHeight="1" x14ac:dyDescent="0.2">
      <c r="A223" s="18">
        <f t="shared" si="2"/>
        <v>221</v>
      </c>
      <c r="B223" s="19" t="s">
        <v>68</v>
      </c>
      <c r="C223" s="20">
        <v>30.090000152587891</v>
      </c>
      <c r="D223" s="18">
        <f>SUM(C$3:C223)/A223</f>
        <v>37.098280506047722</v>
      </c>
    </row>
    <row r="224" spans="1:4" ht="12.75" customHeight="1" x14ac:dyDescent="0.2">
      <c r="A224" s="18">
        <f t="shared" si="2"/>
        <v>222</v>
      </c>
      <c r="B224" s="19" t="s">
        <v>69</v>
      </c>
      <c r="C224" s="20">
        <v>29.610000610351563</v>
      </c>
      <c r="D224" s="18">
        <f>SUM(C$3:C224)/A224</f>
        <v>37.064549515526565</v>
      </c>
    </row>
    <row r="225" spans="1:4" ht="12.75" customHeight="1" x14ac:dyDescent="0.2">
      <c r="A225" s="18">
        <f t="shared" si="2"/>
        <v>223</v>
      </c>
      <c r="B225" s="19" t="s">
        <v>70</v>
      </c>
      <c r="C225" s="20">
        <v>28.340000152587891</v>
      </c>
      <c r="D225" s="18">
        <f>SUM(C$3:C225)/A225</f>
        <v>37.025425975782447</v>
      </c>
    </row>
    <row r="226" spans="1:4" ht="12.75" customHeight="1" x14ac:dyDescent="0.2">
      <c r="A226" s="18">
        <f t="shared" si="2"/>
        <v>224</v>
      </c>
      <c r="B226" s="19" t="s">
        <v>71</v>
      </c>
      <c r="C226" s="20">
        <v>27.709999084472656</v>
      </c>
      <c r="D226" s="18">
        <f>SUM(C$3:C226)/A226</f>
        <v>36.983839248589099</v>
      </c>
    </row>
    <row r="227" spans="1:4" ht="12.75" customHeight="1" x14ac:dyDescent="0.2">
      <c r="A227" s="18">
        <f t="shared" si="2"/>
        <v>225</v>
      </c>
      <c r="B227" s="19" t="s">
        <v>72</v>
      </c>
      <c r="C227" s="20">
        <v>27.540000915527344</v>
      </c>
      <c r="D227" s="18">
        <f>SUM(C$3:C227)/A227</f>
        <v>36.94186663377549</v>
      </c>
    </row>
    <row r="228" spans="1:4" ht="12.75" customHeight="1" x14ac:dyDescent="0.2">
      <c r="A228" s="18">
        <f t="shared" si="2"/>
        <v>226</v>
      </c>
      <c r="B228" s="19" t="s">
        <v>73</v>
      </c>
      <c r="C228" s="20">
        <v>28.209999084472656</v>
      </c>
      <c r="D228" s="18">
        <f>SUM(C$3:C228)/A228</f>
        <v>36.903230051698927</v>
      </c>
    </row>
    <row r="229" spans="1:4" ht="12.75" customHeight="1" x14ac:dyDescent="0.2">
      <c r="A229" s="18">
        <f t="shared" si="2"/>
        <v>227</v>
      </c>
      <c r="B229" s="19" t="s">
        <v>74</v>
      </c>
      <c r="C229" s="20">
        <v>28.450000762939453</v>
      </c>
      <c r="D229" s="18">
        <f>SUM(C$3:C229)/A229</f>
        <v>36.865991156153733</v>
      </c>
    </row>
    <row r="230" spans="1:4" ht="12.75" customHeight="1" x14ac:dyDescent="0.2">
      <c r="A230" s="18">
        <f t="shared" si="2"/>
        <v>228</v>
      </c>
      <c r="B230" s="19" t="s">
        <v>75</v>
      </c>
      <c r="C230" s="20">
        <v>27.479999542236328</v>
      </c>
      <c r="D230" s="18">
        <f>SUM(C$3:C230)/A230</f>
        <v>36.824824526268131</v>
      </c>
    </row>
    <row r="231" spans="1:4" ht="12.75" customHeight="1" x14ac:dyDescent="0.2">
      <c r="A231" s="18">
        <f t="shared" si="2"/>
        <v>229</v>
      </c>
      <c r="B231" s="19" t="s">
        <v>76</v>
      </c>
      <c r="C231" s="20">
        <v>26.540000915527344</v>
      </c>
      <c r="D231" s="18">
        <f>SUM(C$3:C231)/A231</f>
        <v>36.779912632771449</v>
      </c>
    </row>
    <row r="232" spans="1:4" ht="12.75" customHeight="1" x14ac:dyDescent="0.2">
      <c r="A232" s="18">
        <f t="shared" si="2"/>
        <v>230</v>
      </c>
      <c r="B232" s="19" t="s">
        <v>77</v>
      </c>
      <c r="C232" s="20">
        <v>27.680000305175781</v>
      </c>
      <c r="D232" s="18">
        <f>SUM(C$3:C232)/A232</f>
        <v>36.740347796564507</v>
      </c>
    </row>
    <row r="233" spans="1:4" ht="12.75" customHeight="1" x14ac:dyDescent="0.2">
      <c r="A233" s="18">
        <f t="shared" si="2"/>
        <v>231</v>
      </c>
      <c r="B233" s="19" t="s">
        <v>78</v>
      </c>
      <c r="C233" s="20">
        <v>28.430000305175781</v>
      </c>
      <c r="D233" s="18">
        <f>SUM(C$3:C233)/A233</f>
        <v>36.704372266298755</v>
      </c>
    </row>
    <row r="234" spans="1:4" ht="12.75" customHeight="1" x14ac:dyDescent="0.2">
      <c r="A234" s="18">
        <f t="shared" si="2"/>
        <v>232</v>
      </c>
      <c r="B234" s="19" t="s">
        <v>79</v>
      </c>
      <c r="C234" s="20">
        <v>28.340000152587891</v>
      </c>
      <c r="D234" s="18">
        <f>SUM(C$3:C234)/A234</f>
        <v>36.668318938222413</v>
      </c>
    </row>
    <row r="235" spans="1:4" ht="12.75" customHeight="1" x14ac:dyDescent="0.2">
      <c r="A235" s="18">
        <f t="shared" si="2"/>
        <v>233</v>
      </c>
      <c r="B235" s="19" t="s">
        <v>80</v>
      </c>
      <c r="C235" s="20">
        <v>28.520000457763672</v>
      </c>
      <c r="D235" s="18">
        <f>SUM(C$3:C235)/A235</f>
        <v>36.633347614271948</v>
      </c>
    </row>
    <row r="236" spans="1:4" ht="12.75" customHeight="1" x14ac:dyDescent="0.2">
      <c r="A236" s="18">
        <f t="shared" si="2"/>
        <v>234</v>
      </c>
      <c r="B236" s="19" t="s">
        <v>81</v>
      </c>
      <c r="C236" s="20">
        <v>28.25</v>
      </c>
      <c r="D236" s="18">
        <f>SUM(C$3:C236)/A236</f>
        <v>36.597521342416087</v>
      </c>
    </row>
    <row r="237" spans="1:4" ht="12.75" customHeight="1" x14ac:dyDescent="0.2">
      <c r="A237" s="18">
        <f t="shared" si="2"/>
        <v>235</v>
      </c>
      <c r="B237" s="19" t="s">
        <v>82</v>
      </c>
      <c r="C237" s="20">
        <v>28.430000305175781</v>
      </c>
      <c r="D237" s="18">
        <f>SUM(C$3:C237)/A237</f>
        <v>36.562765933746981</v>
      </c>
    </row>
    <row r="238" spans="1:4" ht="12.75" customHeight="1" x14ac:dyDescent="0.2">
      <c r="A238" s="18">
        <f t="shared" si="2"/>
        <v>236</v>
      </c>
      <c r="B238" s="19" t="s">
        <v>83</v>
      </c>
      <c r="C238" s="20">
        <v>28.280000686645508</v>
      </c>
      <c r="D238" s="18">
        <f>SUM(C$3:C238)/A238</f>
        <v>36.527669470835534</v>
      </c>
    </row>
    <row r="239" spans="1:4" ht="12.75" customHeight="1" x14ac:dyDescent="0.2">
      <c r="A239" s="18">
        <f t="shared" si="2"/>
        <v>237</v>
      </c>
      <c r="B239" s="19" t="s">
        <v>84</v>
      </c>
      <c r="C239" s="20">
        <v>27.610000610351563</v>
      </c>
      <c r="D239" s="18">
        <f>SUM(C$3:C239)/A239</f>
        <v>36.490042176065558</v>
      </c>
    </row>
    <row r="240" spans="1:4" ht="12.75" customHeight="1" x14ac:dyDescent="0.2">
      <c r="A240" s="18">
        <f t="shared" si="2"/>
        <v>238</v>
      </c>
      <c r="B240" s="19" t="s">
        <v>85</v>
      </c>
      <c r="C240" s="20">
        <v>27.180000305175781</v>
      </c>
      <c r="D240" s="18">
        <f>SUM(C$3:C240)/A240</f>
        <v>36.450924353078626</v>
      </c>
    </row>
    <row r="241" spans="1:4" ht="12.75" customHeight="1" x14ac:dyDescent="0.2">
      <c r="A241" s="18">
        <f t="shared" si="2"/>
        <v>239</v>
      </c>
      <c r="B241" s="19" t="s">
        <v>86</v>
      </c>
      <c r="C241" s="20">
        <v>27.010000228881836</v>
      </c>
      <c r="D241" s="18">
        <f>SUM(C$3:C241)/A241</f>
        <v>36.4114225785004</v>
      </c>
    </row>
    <row r="242" spans="1:4" ht="12.75" customHeight="1" x14ac:dyDescent="0.2">
      <c r="A242" s="18">
        <f t="shared" si="2"/>
        <v>240</v>
      </c>
      <c r="B242" s="19">
        <v>44650</v>
      </c>
      <c r="C242" s="20">
        <v>27.979999542236328</v>
      </c>
      <c r="D242" s="18">
        <f>SUM(C$3:C242)/A242</f>
        <v>36.376291649182626</v>
      </c>
    </row>
    <row r="243" spans="1:4" ht="12.75" customHeight="1" x14ac:dyDescent="0.2">
      <c r="A243" s="18">
        <f t="shared" si="2"/>
        <v>241</v>
      </c>
      <c r="B243" s="19">
        <v>44651</v>
      </c>
      <c r="C243" s="20">
        <v>27.639999389648438</v>
      </c>
      <c r="D243" s="18">
        <f>SUM(C$3:C243)/A243</f>
        <v>36.340041473831867</v>
      </c>
    </row>
    <row r="244" spans="1:4" ht="12.75" customHeight="1" x14ac:dyDescent="0.2">
      <c r="A244" s="18">
        <f t="shared" si="2"/>
        <v>242</v>
      </c>
      <c r="B244" s="19" t="s">
        <v>87</v>
      </c>
      <c r="C244" s="20">
        <v>27.840000152587891</v>
      </c>
      <c r="D244" s="18">
        <f>SUM(C$3:C244)/A244</f>
        <v>36.304917336140775</v>
      </c>
    </row>
    <row r="245" spans="1:4" ht="12.75" customHeight="1" x14ac:dyDescent="0.2">
      <c r="A245" s="18">
        <f t="shared" si="2"/>
        <v>243</v>
      </c>
      <c r="B245" s="19" t="s">
        <v>88</v>
      </c>
      <c r="C245" s="20">
        <v>27.649999618530273</v>
      </c>
      <c r="D245" s="18">
        <f>SUM(C$3:C245)/A245</f>
        <v>36.269300390800815</v>
      </c>
    </row>
    <row r="246" spans="1:4" ht="12.75" customHeight="1" x14ac:dyDescent="0.2">
      <c r="A246" s="18">
        <f t="shared" si="2"/>
        <v>244</v>
      </c>
      <c r="B246" s="19" t="s">
        <v>89</v>
      </c>
      <c r="C246" s="20">
        <v>27.200000762939453</v>
      </c>
      <c r="D246" s="18">
        <f>SUM(C$3:C246)/A246</f>
        <v>36.232131130030886</v>
      </c>
    </row>
    <row r="247" spans="1:4" ht="12.75" customHeight="1" x14ac:dyDescent="0.2">
      <c r="A247" s="18">
        <f t="shared" si="2"/>
        <v>245</v>
      </c>
      <c r="B247" s="19" t="s">
        <v>90</v>
      </c>
      <c r="C247" s="20">
        <v>27.170000076293945</v>
      </c>
      <c r="D247" s="18">
        <f>SUM(C$3:C247)/A247</f>
        <v>36.195142840015635</v>
      </c>
    </row>
    <row r="248" spans="1:4" ht="12.75" customHeight="1" x14ac:dyDescent="0.2">
      <c r="A248" s="18">
        <f t="shared" si="2"/>
        <v>246</v>
      </c>
      <c r="B248" s="19" t="s">
        <v>91</v>
      </c>
      <c r="C248" s="20">
        <v>26.110000610351563</v>
      </c>
      <c r="D248" s="18">
        <f>SUM(C$3:C248)/A248</f>
        <v>36.154146326886924</v>
      </c>
    </row>
    <row r="249" spans="1:4" ht="12.75" customHeight="1" x14ac:dyDescent="0.2">
      <c r="A249" s="18">
        <f t="shared" si="2"/>
        <v>247</v>
      </c>
      <c r="B249" s="19" t="s">
        <v>92</v>
      </c>
      <c r="C249" s="20">
        <v>26.620000839233398</v>
      </c>
      <c r="D249" s="18">
        <f>SUM(C$3:C249)/A249</f>
        <v>36.115546547584678</v>
      </c>
    </row>
    <row r="250" spans="1:4" ht="12.75" customHeight="1" x14ac:dyDescent="0.2">
      <c r="A250" s="18">
        <f t="shared" si="2"/>
        <v>248</v>
      </c>
      <c r="B250" s="19" t="s">
        <v>93</v>
      </c>
      <c r="C250" s="20">
        <v>26.180000305175781</v>
      </c>
      <c r="D250" s="18">
        <f>SUM(C$3:C250)/A250</f>
        <v>36.075483861123352</v>
      </c>
    </row>
    <row r="251" spans="1:4" ht="12.75" customHeight="1" x14ac:dyDescent="0.2">
      <c r="A251" s="18">
        <f t="shared" si="2"/>
        <v>249</v>
      </c>
      <c r="B251" s="19" t="s">
        <v>94</v>
      </c>
      <c r="C251" s="20">
        <v>26.340000152587891</v>
      </c>
      <c r="D251" s="18">
        <f>SUM(C$3:C251)/A251</f>
        <v>36.036385532976624</v>
      </c>
    </row>
    <row r="252" spans="1:4" ht="12.75" customHeight="1" x14ac:dyDescent="0.2">
      <c r="A252" s="18">
        <f t="shared" si="2"/>
        <v>250</v>
      </c>
      <c r="B252" s="19" t="s">
        <v>95</v>
      </c>
      <c r="C252" s="20">
        <v>26.209999084472656</v>
      </c>
      <c r="D252" s="18">
        <f>SUM(C$3:C252)/A252</f>
        <v>35.997079987182609</v>
      </c>
    </row>
    <row r="253" spans="1:4" ht="12.75" customHeight="1" x14ac:dyDescent="0.2">
      <c r="A253" s="18">
        <f t="shared" si="2"/>
        <v>251</v>
      </c>
      <c r="B253" s="19" t="s">
        <v>96</v>
      </c>
      <c r="C253" s="20">
        <v>26.399999618530273</v>
      </c>
      <c r="D253" s="18">
        <f>SUM(C$3:C253)/A253</f>
        <v>35.958844607227817</v>
      </c>
    </row>
    <row r="254" spans="1:4" ht="12.75" customHeight="1" x14ac:dyDescent="0.2">
      <c r="A254" s="18">
        <f t="shared" si="2"/>
        <v>252</v>
      </c>
      <c r="B254" s="19" t="s">
        <v>97</v>
      </c>
      <c r="C254" s="20">
        <v>26.120000839233398</v>
      </c>
      <c r="D254" s="18">
        <f>SUM(C$3:C254)/A254</f>
        <v>35.919801576402442</v>
      </c>
    </row>
    <row r="255" spans="1:4" ht="12.75" customHeight="1" x14ac:dyDescent="0.2">
      <c r="A255" s="18">
        <f t="shared" si="2"/>
        <v>253</v>
      </c>
      <c r="B255" s="19" t="s">
        <v>98</v>
      </c>
      <c r="C255" s="20">
        <v>25.469999313354492</v>
      </c>
      <c r="D255" s="18">
        <f>SUM(C$3:C255)/A255</f>
        <v>35.878498010145336</v>
      </c>
    </row>
    <row r="256" spans="1:4" ht="12.75" customHeight="1" x14ac:dyDescent="0.2">
      <c r="A256" s="18">
        <f t="shared" si="2"/>
        <v>254</v>
      </c>
      <c r="B256" s="19" t="s">
        <v>99</v>
      </c>
      <c r="C256" s="20">
        <v>24.889999389648437</v>
      </c>
      <c r="D256" s="18">
        <f>SUM(C$3:C256)/A256</f>
        <v>35.835236204552828</v>
      </c>
    </row>
    <row r="257" spans="1:4" ht="12.75" customHeight="1" x14ac:dyDescent="0.2">
      <c r="A257" s="18">
        <f t="shared" si="2"/>
        <v>255</v>
      </c>
      <c r="B257" s="19" t="s">
        <v>100</v>
      </c>
      <c r="C257" s="20">
        <v>24.889999389648437</v>
      </c>
      <c r="D257" s="18">
        <f>SUM(C$3:C257)/A257</f>
        <v>35.792313707239479</v>
      </c>
    </row>
    <row r="258" spans="1:4" ht="12.75" customHeight="1" x14ac:dyDescent="0.2">
      <c r="A258" s="18">
        <f t="shared" si="2"/>
        <v>256</v>
      </c>
      <c r="B258" s="19" t="s">
        <v>101</v>
      </c>
      <c r="C258" s="20">
        <v>23.450000762939453</v>
      </c>
      <c r="D258" s="18">
        <f>SUM(C$3:C258)/A258</f>
        <v>35.744101547300808</v>
      </c>
    </row>
    <row r="259" spans="1:4" ht="12.75" customHeight="1" x14ac:dyDescent="0.2">
      <c r="A259" s="18">
        <f t="shared" si="2"/>
        <v>257</v>
      </c>
      <c r="B259" s="19" t="s">
        <v>102</v>
      </c>
      <c r="C259" s="20">
        <v>23.170000076293945</v>
      </c>
      <c r="D259" s="18">
        <f>SUM(C$3:C259)/A259</f>
        <v>35.695175082433074</v>
      </c>
    </row>
    <row r="260" spans="1:4" ht="12.75" customHeight="1" x14ac:dyDescent="0.2">
      <c r="A260" s="18">
        <f t="shared" si="2"/>
        <v>258</v>
      </c>
      <c r="B260" s="19" t="s">
        <v>103</v>
      </c>
      <c r="C260" s="20">
        <v>24.280000686645508</v>
      </c>
      <c r="D260" s="18">
        <f>SUM(C$3:C260)/A260</f>
        <v>35.650930220433899</v>
      </c>
    </row>
    <row r="261" spans="1:4" ht="12.75" customHeight="1" x14ac:dyDescent="0.2">
      <c r="A261" s="18">
        <f t="shared" si="2"/>
        <v>259</v>
      </c>
      <c r="B261" s="19">
        <v>44679</v>
      </c>
      <c r="C261" s="20">
        <v>24.120000839233398</v>
      </c>
      <c r="D261" s="18">
        <f>SUM(C$3:C261)/A261</f>
        <v>35.606409257572125</v>
      </c>
    </row>
    <row r="262" spans="1:4" ht="12.75" customHeight="1" x14ac:dyDescent="0.2">
      <c r="A262" s="18">
        <f t="shared" si="2"/>
        <v>260</v>
      </c>
      <c r="B262" s="19">
        <v>44680</v>
      </c>
      <c r="C262" s="20">
        <v>25.129999160766602</v>
      </c>
      <c r="D262" s="18">
        <f>SUM(C$3:C262)/A262</f>
        <v>35.566115372584406</v>
      </c>
    </row>
    <row r="263" spans="1:4" ht="12.75" customHeight="1" x14ac:dyDescent="0.2">
      <c r="A263" s="18">
        <f t="shared" si="2"/>
        <v>261</v>
      </c>
      <c r="B263" s="19" t="s">
        <v>104</v>
      </c>
      <c r="C263" s="20">
        <v>23.229999542236328</v>
      </c>
      <c r="D263" s="18">
        <f>SUM(C$3:C263)/A263</f>
        <v>35.518850560973881</v>
      </c>
    </row>
    <row r="264" spans="1:4" ht="12.75" customHeight="1" x14ac:dyDescent="0.2">
      <c r="A264" s="18">
        <f t="shared" si="2"/>
        <v>262</v>
      </c>
      <c r="B264" s="19" t="s">
        <v>105</v>
      </c>
      <c r="C264" s="20">
        <v>22.719999313354492</v>
      </c>
      <c r="D264" s="18">
        <f>SUM(C$3:C264)/A264</f>
        <v>35.469999983692887</v>
      </c>
    </row>
    <row r="265" spans="1:4" ht="12.75" customHeight="1" x14ac:dyDescent="0.2">
      <c r="A265" s="18">
        <f t="shared" si="2"/>
        <v>263</v>
      </c>
      <c r="B265" s="19" t="s">
        <v>106</v>
      </c>
      <c r="C265" s="20">
        <v>22.459999084472656</v>
      </c>
      <c r="D265" s="18">
        <f>SUM(C$3:C265)/A265</f>
        <v>35.420532299665439</v>
      </c>
    </row>
    <row r="266" spans="1:4" ht="12.75" customHeight="1" x14ac:dyDescent="0.2">
      <c r="A266" s="18">
        <f t="shared" si="2"/>
        <v>264</v>
      </c>
      <c r="B266" s="19" t="s">
        <v>107</v>
      </c>
      <c r="C266" s="20">
        <v>22.780000686645508</v>
      </c>
      <c r="D266" s="18">
        <f>SUM(C$3:C266)/A266</f>
        <v>35.372651498100964</v>
      </c>
    </row>
    <row r="267" spans="1:4" ht="12.75" customHeight="1" x14ac:dyDescent="0.2">
      <c r="A267" s="18">
        <f t="shared" si="2"/>
        <v>265</v>
      </c>
      <c r="B267" s="19" t="s">
        <v>108</v>
      </c>
      <c r="C267" s="20">
        <v>23.450000762939453</v>
      </c>
      <c r="D267" s="18">
        <f>SUM(C$3:C267)/A267</f>
        <v>35.327660363251297</v>
      </c>
    </row>
    <row r="268" spans="1:4" ht="12.75" customHeight="1" x14ac:dyDescent="0.2">
      <c r="A268" s="18">
        <f t="shared" si="2"/>
        <v>266</v>
      </c>
      <c r="B268" s="19" t="s">
        <v>109</v>
      </c>
      <c r="C268" s="20">
        <v>23.370000839233398</v>
      </c>
      <c r="D268" s="18">
        <f>SUM(C$3:C268)/A268</f>
        <v>35.28270675601815</v>
      </c>
    </row>
    <row r="269" spans="1:4" ht="12.75" customHeight="1" x14ac:dyDescent="0.2">
      <c r="A269" s="18">
        <f t="shared" si="2"/>
        <v>267</v>
      </c>
      <c r="B269" s="19" t="s">
        <v>110</v>
      </c>
      <c r="C269" s="20">
        <v>23.549999237060547</v>
      </c>
      <c r="D269" s="18">
        <f>SUM(C$3:C269)/A269</f>
        <v>35.238764031228044</v>
      </c>
    </row>
    <row r="270" spans="1:4" ht="12.75" customHeight="1" x14ac:dyDescent="0.2">
      <c r="A270" s="18">
        <f t="shared" si="2"/>
        <v>268</v>
      </c>
      <c r="B270" s="19" t="s">
        <v>111</v>
      </c>
      <c r="C270" s="20">
        <v>23.290000915527344</v>
      </c>
      <c r="D270" s="18">
        <f>SUM(C$3:C270)/A270</f>
        <v>35.194179094229163</v>
      </c>
    </row>
    <row r="271" spans="1:4" ht="12.75" customHeight="1" x14ac:dyDescent="0.2">
      <c r="A271" s="18">
        <f t="shared" si="2"/>
        <v>269</v>
      </c>
      <c r="B271" s="19" t="s">
        <v>112</v>
      </c>
      <c r="C271" s="20">
        <v>23.729999542236328</v>
      </c>
      <c r="D271" s="18">
        <f>SUM(C$3:C271)/A271</f>
        <v>35.151561326377887</v>
      </c>
    </row>
    <row r="272" spans="1:4" ht="12.75" customHeight="1" x14ac:dyDescent="0.2">
      <c r="A272" s="18">
        <f t="shared" si="2"/>
        <v>270</v>
      </c>
      <c r="B272" s="19" t="s">
        <v>113</v>
      </c>
      <c r="C272" s="20">
        <v>23.709999084472656</v>
      </c>
      <c r="D272" s="18">
        <f>SUM(C$3:C272)/A272</f>
        <v>35.109185169926391</v>
      </c>
    </row>
    <row r="273" spans="1:4" ht="12.75" customHeight="1" x14ac:dyDescent="0.2">
      <c r="A273" s="18">
        <f t="shared" si="2"/>
        <v>271</v>
      </c>
      <c r="B273" s="19" t="s">
        <v>114</v>
      </c>
      <c r="C273" s="20">
        <v>23.790000915527344</v>
      </c>
      <c r="D273" s="18">
        <f>SUM(C$3:C273)/A273</f>
        <v>35.067416962345582</v>
      </c>
    </row>
    <row r="274" spans="1:4" ht="12.75" customHeight="1" x14ac:dyDescent="0.2">
      <c r="A274" s="18">
        <f t="shared" si="2"/>
        <v>272</v>
      </c>
      <c r="B274" s="19" t="s">
        <v>115</v>
      </c>
      <c r="C274" s="20">
        <v>24.17</v>
      </c>
      <c r="D274" s="18">
        <f>SUM(C$3:C274)/A274</f>
        <v>35.027352929395782</v>
      </c>
    </row>
    <row r="275" spans="1:4" ht="12.75" customHeight="1" x14ac:dyDescent="0.2">
      <c r="A275" s="18">
        <f t="shared" si="2"/>
        <v>273</v>
      </c>
      <c r="B275" s="19" t="s">
        <v>116</v>
      </c>
      <c r="C275" s="20">
        <v>24.049999237060547</v>
      </c>
      <c r="D275" s="18">
        <f>SUM(C$3:C275)/A275</f>
        <v>34.987142842610673</v>
      </c>
    </row>
    <row r="276" spans="1:4" ht="12.75" customHeight="1" x14ac:dyDescent="0.2">
      <c r="A276" s="18">
        <f t="shared" si="2"/>
        <v>274</v>
      </c>
      <c r="B276" s="19" t="s">
        <v>117</v>
      </c>
      <c r="C276" s="20">
        <v>23.209999084472656</v>
      </c>
      <c r="D276" s="18">
        <f>SUM(C$3:C276)/A276</f>
        <v>34.944160566121113</v>
      </c>
    </row>
    <row r="277" spans="1:4" ht="12.75" customHeight="1" x14ac:dyDescent="0.2">
      <c r="A277" s="18">
        <f t="shared" si="2"/>
        <v>275</v>
      </c>
      <c r="B277" s="19" t="s">
        <v>118</v>
      </c>
      <c r="C277" s="20">
        <v>23.309999465942383</v>
      </c>
      <c r="D277" s="18">
        <f>SUM(C$3:C277)/A277</f>
        <v>34.901854525756832</v>
      </c>
    </row>
    <row r="278" spans="1:4" ht="12.75" customHeight="1" x14ac:dyDescent="0.2">
      <c r="A278" s="18">
        <f t="shared" si="2"/>
        <v>276</v>
      </c>
      <c r="B278" s="19" t="s">
        <v>119</v>
      </c>
      <c r="C278" s="20">
        <v>23.329999923706055</v>
      </c>
      <c r="D278" s="18">
        <f>SUM(C$3:C278)/A278</f>
        <v>34.859927516329108</v>
      </c>
    </row>
    <row r="279" spans="1:4" ht="12.75" customHeight="1" x14ac:dyDescent="0.2">
      <c r="A279" s="18">
        <f t="shared" si="2"/>
        <v>277</v>
      </c>
      <c r="B279" s="19" t="s">
        <v>120</v>
      </c>
      <c r="C279" s="20">
        <v>23.370000839233398</v>
      </c>
      <c r="D279" s="18">
        <f>SUM(C$3:C279)/A279</f>
        <v>34.818447636628399</v>
      </c>
    </row>
    <row r="280" spans="1:4" ht="12.75" customHeight="1" x14ac:dyDescent="0.2">
      <c r="A280" s="18">
        <f t="shared" si="2"/>
        <v>278</v>
      </c>
      <c r="B280" s="19">
        <v>44711</v>
      </c>
      <c r="C280" s="20">
        <v>23.639999389648438</v>
      </c>
      <c r="D280" s="18">
        <f>SUM(C$3:C280)/A280</f>
        <v>34.778237391135669</v>
      </c>
    </row>
    <row r="281" spans="1:4" ht="12.75" customHeight="1" x14ac:dyDescent="0.2">
      <c r="A281" s="18">
        <f t="shared" si="2"/>
        <v>279</v>
      </c>
      <c r="B281" s="19">
        <v>44712</v>
      </c>
      <c r="C281" s="20">
        <v>24.129999160766602</v>
      </c>
      <c r="D281" s="18">
        <f>SUM(C$3:C281)/A281</f>
        <v>34.740071662711408</v>
      </c>
    </row>
    <row r="282" spans="1:4" ht="12.75" customHeight="1" x14ac:dyDescent="0.2">
      <c r="A282" s="18">
        <f t="shared" si="2"/>
        <v>280</v>
      </c>
      <c r="B282" s="19" t="s">
        <v>121</v>
      </c>
      <c r="C282" s="20">
        <v>24.309999465942383</v>
      </c>
      <c r="D282" s="18">
        <f>SUM(C$3:C282)/A282</f>
        <v>34.702821404865801</v>
      </c>
    </row>
    <row r="283" spans="1:4" ht="12.75" customHeight="1" x14ac:dyDescent="0.2">
      <c r="A283" s="18">
        <f t="shared" si="2"/>
        <v>281</v>
      </c>
      <c r="B283" s="19" t="s">
        <v>122</v>
      </c>
      <c r="C283" s="20">
        <v>24.510000228881836</v>
      </c>
      <c r="D283" s="18">
        <f>SUM(C$3:C283)/A283</f>
        <v>34.666548019897888</v>
      </c>
    </row>
    <row r="284" spans="1:4" ht="12.75" customHeight="1" x14ac:dyDescent="0.2">
      <c r="A284" s="18">
        <f t="shared" si="2"/>
        <v>282</v>
      </c>
      <c r="B284" s="19" t="s">
        <v>123</v>
      </c>
      <c r="C284" s="20">
        <v>25.329999923706055</v>
      </c>
      <c r="D284" s="18">
        <f>SUM(C$3:C284)/A284</f>
        <v>34.633439693315651</v>
      </c>
    </row>
    <row r="285" spans="1:4" ht="12.75" customHeight="1" x14ac:dyDescent="0.2">
      <c r="A285" s="18">
        <f t="shared" si="2"/>
        <v>283</v>
      </c>
      <c r="B285" s="19" t="s">
        <v>124</v>
      </c>
      <c r="C285" s="20">
        <v>25.270000457763672</v>
      </c>
      <c r="D285" s="18">
        <f>SUM(C$3:C285)/A285</f>
        <v>34.60035333559285</v>
      </c>
    </row>
    <row r="286" spans="1:4" ht="12.75" customHeight="1" x14ac:dyDescent="0.2">
      <c r="A286" s="18">
        <f t="shared" si="2"/>
        <v>284</v>
      </c>
      <c r="B286" s="19" t="s">
        <v>125</v>
      </c>
      <c r="C286" s="20">
        <v>25.459999084472656</v>
      </c>
      <c r="D286" s="18">
        <f>SUM(C$3:C286)/A286</f>
        <v>34.568168989638203</v>
      </c>
    </row>
    <row r="287" spans="1:4" ht="12.75" customHeight="1" x14ac:dyDescent="0.2">
      <c r="A287" s="18">
        <f t="shared" si="2"/>
        <v>285</v>
      </c>
      <c r="B287" s="19" t="s">
        <v>126</v>
      </c>
      <c r="C287" s="20">
        <v>24.75</v>
      </c>
      <c r="D287" s="18">
        <f>SUM(C$3:C287)/A287</f>
        <v>34.533719273885083</v>
      </c>
    </row>
    <row r="288" spans="1:4" ht="12.75" customHeight="1" x14ac:dyDescent="0.2">
      <c r="A288" s="18">
        <f t="shared" si="2"/>
        <v>286</v>
      </c>
      <c r="B288" s="19" t="s">
        <v>127</v>
      </c>
      <c r="C288" s="20">
        <v>25.379999160766602</v>
      </c>
      <c r="D288" s="18">
        <f>SUM(C$3:C288)/A288</f>
        <v>34.501713259503553</v>
      </c>
    </row>
    <row r="289" spans="1:4" ht="12.75" customHeight="1" x14ac:dyDescent="0.2">
      <c r="A289" s="18">
        <f t="shared" si="2"/>
        <v>287</v>
      </c>
      <c r="B289" s="19" t="s">
        <v>128</v>
      </c>
      <c r="C289" s="20">
        <v>17.149999618530273</v>
      </c>
      <c r="D289" s="18">
        <f>SUM(C$3:C289)/A289</f>
        <v>34.441254326956603</v>
      </c>
    </row>
    <row r="290" spans="1:4" ht="12.75" customHeight="1" x14ac:dyDescent="0.2">
      <c r="A290" s="18">
        <f t="shared" si="2"/>
        <v>288</v>
      </c>
      <c r="B290" s="19" t="s">
        <v>129</v>
      </c>
      <c r="C290" s="20">
        <v>25.610000610351563</v>
      </c>
      <c r="D290" s="18">
        <f>SUM(C$3:C290)/A290</f>
        <v>34.410590251551724</v>
      </c>
    </row>
    <row r="291" spans="1:4" ht="12.75" customHeight="1" x14ac:dyDescent="0.2">
      <c r="A291" s="18">
        <f t="shared" si="2"/>
        <v>289</v>
      </c>
      <c r="B291" s="19" t="s">
        <v>130</v>
      </c>
      <c r="C291" s="20">
        <v>25.979999542236328</v>
      </c>
      <c r="D291" s="18">
        <f>SUM(C$3:C291)/A291</f>
        <v>34.381418657401845</v>
      </c>
    </row>
    <row r="292" spans="1:4" ht="12.75" customHeight="1" x14ac:dyDescent="0.2">
      <c r="A292" s="18">
        <f t="shared" si="2"/>
        <v>290</v>
      </c>
      <c r="B292" s="19" t="s">
        <v>131</v>
      </c>
      <c r="C292" s="20">
        <v>26</v>
      </c>
      <c r="D292" s="18">
        <f>SUM(C$3:C292)/A292</f>
        <v>34.352517213755632</v>
      </c>
    </row>
    <row r="293" spans="1:4" ht="12.75" customHeight="1" x14ac:dyDescent="0.2">
      <c r="A293" s="18">
        <f t="shared" si="2"/>
        <v>291</v>
      </c>
      <c r="B293" s="19" t="s">
        <v>132</v>
      </c>
      <c r="C293" s="20">
        <v>26.5</v>
      </c>
      <c r="D293" s="18">
        <f>SUM(C$3:C293)/A293</f>
        <v>34.325532618519361</v>
      </c>
    </row>
    <row r="294" spans="1:4" ht="12.75" customHeight="1" x14ac:dyDescent="0.2">
      <c r="A294" s="18">
        <f t="shared" si="2"/>
        <v>292</v>
      </c>
      <c r="B294" s="19" t="s">
        <v>133</v>
      </c>
      <c r="C294" s="20">
        <v>27.010000228881836</v>
      </c>
      <c r="D294" s="18">
        <f>SUM(C$3:C294)/A294</f>
        <v>34.300479425404163</v>
      </c>
    </row>
    <row r="295" spans="1:4" ht="12.75" customHeight="1" x14ac:dyDescent="0.2">
      <c r="A295" s="18">
        <f t="shared" si="2"/>
        <v>293</v>
      </c>
      <c r="B295" s="19" t="s">
        <v>134</v>
      </c>
      <c r="C295" s="20">
        <v>26.989999771118164</v>
      </c>
      <c r="D295" s="18">
        <f>SUM(C$3:C295)/A295</f>
        <v>34.275528982898066</v>
      </c>
    </row>
    <row r="296" spans="1:4" ht="12.75" customHeight="1" x14ac:dyDescent="0.2">
      <c r="A296" s="18">
        <f t="shared" si="2"/>
        <v>294</v>
      </c>
      <c r="B296" s="19" t="s">
        <v>135</v>
      </c>
      <c r="C296" s="20">
        <v>26.600000381469727</v>
      </c>
      <c r="D296" s="18">
        <f>SUM(C$3:C296)/A296</f>
        <v>34.249421742757157</v>
      </c>
    </row>
    <row r="297" spans="1:4" ht="12.75" customHeight="1" x14ac:dyDescent="0.2">
      <c r="A297" s="18">
        <f t="shared" si="2"/>
        <v>295</v>
      </c>
      <c r="B297" s="19" t="s">
        <v>136</v>
      </c>
      <c r="C297" s="20">
        <v>27.239999771118164</v>
      </c>
      <c r="D297" s="18">
        <f>SUM(C$3:C297)/A297</f>
        <v>34.225660990310921</v>
      </c>
    </row>
    <row r="298" spans="1:4" ht="12.75" customHeight="1" x14ac:dyDescent="0.2">
      <c r="A298" s="18">
        <f t="shared" si="2"/>
        <v>296</v>
      </c>
      <c r="B298" s="19" t="s">
        <v>137</v>
      </c>
      <c r="C298" s="20">
        <v>27.739999771118164</v>
      </c>
      <c r="D298" s="18">
        <f>SUM(C$3:C298)/A298</f>
        <v>34.203749972678516</v>
      </c>
    </row>
    <row r="299" spans="1:4" ht="12.75" customHeight="1" x14ac:dyDescent="0.2">
      <c r="A299" s="18">
        <f t="shared" si="2"/>
        <v>297</v>
      </c>
      <c r="B299" s="19" t="s">
        <v>138</v>
      </c>
      <c r="C299" s="20">
        <v>27.870000839233398</v>
      </c>
      <c r="D299" s="18">
        <f>SUM(C$3:C299)/A299</f>
        <v>34.182424218020451</v>
      </c>
    </row>
    <row r="300" spans="1:4" ht="12.75" customHeight="1" x14ac:dyDescent="0.2">
      <c r="A300" s="18">
        <f t="shared" si="2"/>
        <v>298</v>
      </c>
      <c r="B300" s="19" t="s">
        <v>139</v>
      </c>
      <c r="C300" s="20">
        <v>28.170000076293945</v>
      </c>
      <c r="D300" s="18">
        <f>SUM(C$3:C300)/A300</f>
        <v>34.162248298081771</v>
      </c>
    </row>
    <row r="301" spans="1:4" ht="12.75" customHeight="1" x14ac:dyDescent="0.2">
      <c r="A301" s="18">
        <f t="shared" si="2"/>
        <v>299</v>
      </c>
      <c r="B301" s="19">
        <v>44741</v>
      </c>
      <c r="C301" s="20">
        <v>27.510000228881836</v>
      </c>
      <c r="D301" s="18">
        <f>SUM(C$3:C301)/A301</f>
        <v>34.139999976780096</v>
      </c>
    </row>
    <row r="302" spans="1:4" ht="12.75" customHeight="1" x14ac:dyDescent="0.2">
      <c r="A302" s="18">
        <f t="shared" si="2"/>
        <v>300</v>
      </c>
      <c r="B302" s="19">
        <v>44742</v>
      </c>
      <c r="C302" s="20">
        <v>27.809999465942383</v>
      </c>
      <c r="D302" s="18">
        <f>SUM(C$3:C302)/A302</f>
        <v>34.118899975077305</v>
      </c>
    </row>
    <row r="303" spans="1:4" ht="12.75" customHeight="1" x14ac:dyDescent="0.2">
      <c r="A303" s="18">
        <f t="shared" si="2"/>
        <v>301</v>
      </c>
      <c r="B303" s="19" t="s">
        <v>140</v>
      </c>
      <c r="C303" s="20">
        <v>27.639999389648438</v>
      </c>
      <c r="D303" s="18">
        <f>SUM(C$3:C303)/A303</f>
        <v>34.097375388414747</v>
      </c>
    </row>
    <row r="304" spans="1:4" ht="12.75" customHeight="1" x14ac:dyDescent="0.2">
      <c r="A304" s="18">
        <f t="shared" si="2"/>
        <v>302</v>
      </c>
      <c r="B304" s="19" t="s">
        <v>141</v>
      </c>
      <c r="C304" s="20">
        <v>28.079999923706055</v>
      </c>
      <c r="D304" s="18">
        <f>SUM(C$3:C304)/A304</f>
        <v>34.077450304094526</v>
      </c>
    </row>
    <row r="305" spans="1:4" ht="12.75" customHeight="1" x14ac:dyDescent="0.2">
      <c r="A305" s="18">
        <f t="shared" si="2"/>
        <v>303</v>
      </c>
      <c r="B305" s="19" t="s">
        <v>142</v>
      </c>
      <c r="C305" s="20">
        <v>27.930000305175781</v>
      </c>
      <c r="D305" s="18">
        <f>SUM(C$3:C305)/A305</f>
        <v>34.057161690236704</v>
      </c>
    </row>
    <row r="306" spans="1:4" ht="12.75" customHeight="1" x14ac:dyDescent="0.2">
      <c r="A306" s="18">
        <f t="shared" si="2"/>
        <v>304</v>
      </c>
      <c r="B306" s="19" t="s">
        <v>143</v>
      </c>
      <c r="C306" s="20">
        <v>27.709999084472656</v>
      </c>
      <c r="D306" s="18">
        <f>SUM(C$3:C306)/A306</f>
        <v>34.036282865875641</v>
      </c>
    </row>
    <row r="307" spans="1:4" ht="12.75" customHeight="1" x14ac:dyDescent="0.2">
      <c r="A307" s="18">
        <f t="shared" si="2"/>
        <v>305</v>
      </c>
      <c r="B307" s="19" t="s">
        <v>144</v>
      </c>
      <c r="C307" s="20">
        <v>28.079999923706055</v>
      </c>
      <c r="D307" s="18">
        <f>SUM(C$3:C307)/A307</f>
        <v>34.016754069343939</v>
      </c>
    </row>
    <row r="308" spans="1:4" ht="12.75" customHeight="1" x14ac:dyDescent="0.2">
      <c r="A308" s="18">
        <f t="shared" si="2"/>
        <v>306</v>
      </c>
      <c r="B308" s="19" t="s">
        <v>145</v>
      </c>
      <c r="C308" s="20">
        <v>27.860000610351563</v>
      </c>
      <c r="D308" s="18">
        <f>SUM(C$3:C308)/A308</f>
        <v>33.996633960000821</v>
      </c>
    </row>
    <row r="309" spans="1:4" ht="12.75" customHeight="1" x14ac:dyDescent="0.2">
      <c r="A309" s="18">
        <f t="shared" si="2"/>
        <v>307</v>
      </c>
      <c r="B309" s="19" t="s">
        <v>146</v>
      </c>
      <c r="C309" s="20">
        <v>27.280000686645508</v>
      </c>
      <c r="D309" s="18">
        <f>SUM(C$3:C309)/A309</f>
        <v>33.97475567572279</v>
      </c>
    </row>
    <row r="310" spans="1:4" ht="12.75" customHeight="1" x14ac:dyDescent="0.2">
      <c r="A310" s="18">
        <f t="shared" si="2"/>
        <v>308</v>
      </c>
      <c r="B310" s="19" t="s">
        <v>147</v>
      </c>
      <c r="C310" s="20">
        <v>26.770000457763672</v>
      </c>
      <c r="D310" s="18">
        <f>SUM(C$3:C310)/A310</f>
        <v>33.951363613326819</v>
      </c>
    </row>
    <row r="311" spans="1:4" ht="12.75" customHeight="1" x14ac:dyDescent="0.2">
      <c r="A311" s="18">
        <f t="shared" si="2"/>
        <v>309</v>
      </c>
      <c r="B311" s="19" t="s">
        <v>148</v>
      </c>
      <c r="C311" s="20">
        <v>27.020000457763672</v>
      </c>
      <c r="D311" s="18">
        <f>SUM(C$3:C311)/A311</f>
        <v>33.928932017354128</v>
      </c>
    </row>
    <row r="312" spans="1:4" ht="12.75" customHeight="1" x14ac:dyDescent="0.2">
      <c r="A312" s="18">
        <f t="shared" si="2"/>
        <v>310</v>
      </c>
      <c r="B312" s="19" t="s">
        <v>149</v>
      </c>
      <c r="C312" s="20">
        <v>27.459999084472656</v>
      </c>
      <c r="D312" s="18">
        <f>SUM(C$3:C312)/A312</f>
        <v>33.908064491764186</v>
      </c>
    </row>
    <row r="313" spans="1:4" ht="12.75" customHeight="1" x14ac:dyDescent="0.2">
      <c r="A313" s="18">
        <f t="shared" si="2"/>
        <v>311</v>
      </c>
      <c r="B313" s="19" t="s">
        <v>150</v>
      </c>
      <c r="C313" s="20">
        <v>27.059999465942383</v>
      </c>
      <c r="D313" s="18">
        <f>SUM(C$3:C313)/A313</f>
        <v>33.886044990073444</v>
      </c>
    </row>
    <row r="314" spans="1:4" ht="12.75" customHeight="1" x14ac:dyDescent="0.2">
      <c r="A314" s="18">
        <f t="shared" si="2"/>
        <v>312</v>
      </c>
      <c r="B314" s="19" t="s">
        <v>151</v>
      </c>
      <c r="C314" s="20">
        <v>27.329999923706055</v>
      </c>
      <c r="D314" s="18">
        <f>SUM(C$3:C314)/A314</f>
        <v>33.865032025117138</v>
      </c>
    </row>
    <row r="315" spans="1:4" ht="12.75" customHeight="1" x14ac:dyDescent="0.2">
      <c r="A315" s="18">
        <f t="shared" si="2"/>
        <v>313</v>
      </c>
      <c r="B315" s="19" t="s">
        <v>152</v>
      </c>
      <c r="C315" s="20">
        <v>27.049999237060547</v>
      </c>
      <c r="D315" s="18">
        <f>SUM(C$3:C315)/A315</f>
        <v>33.843258757423662</v>
      </c>
    </row>
    <row r="316" spans="1:4" ht="12.75" customHeight="1" x14ac:dyDescent="0.2">
      <c r="A316" s="18">
        <f t="shared" si="2"/>
        <v>314</v>
      </c>
      <c r="B316" s="19" t="s">
        <v>153</v>
      </c>
      <c r="C316" s="20">
        <v>27.120000839233398</v>
      </c>
      <c r="D316" s="18">
        <f>SUM(C$3:C316)/A316</f>
        <v>33.821847108002672</v>
      </c>
    </row>
    <row r="317" spans="1:4" ht="12.75" customHeight="1" x14ac:dyDescent="0.2">
      <c r="A317" s="18">
        <f t="shared" si="2"/>
        <v>315</v>
      </c>
      <c r="B317" s="19" t="s">
        <v>154</v>
      </c>
      <c r="C317" s="20">
        <v>26.889999389648437</v>
      </c>
      <c r="D317" s="18">
        <f>SUM(C$3:C317)/A317</f>
        <v>33.799841242230123</v>
      </c>
    </row>
    <row r="318" spans="1:4" ht="12.75" customHeight="1" x14ac:dyDescent="0.2">
      <c r="A318" s="18">
        <f t="shared" si="2"/>
        <v>316</v>
      </c>
      <c r="B318" s="19" t="s">
        <v>155</v>
      </c>
      <c r="C318" s="20">
        <v>26.799999237060547</v>
      </c>
      <c r="D318" s="18">
        <f>SUM(C$3:C318)/A318</f>
        <v>33.777689843479585</v>
      </c>
    </row>
    <row r="319" spans="1:4" ht="12.75" customHeight="1" x14ac:dyDescent="0.2">
      <c r="A319" s="18">
        <f t="shared" si="2"/>
        <v>317</v>
      </c>
      <c r="B319" s="19" t="s">
        <v>156</v>
      </c>
      <c r="C319" s="20">
        <v>26.569999694824219</v>
      </c>
      <c r="D319" s="18">
        <f>SUM(C$3:C319)/A319</f>
        <v>33.754952650581622</v>
      </c>
    </row>
    <row r="320" spans="1:4" ht="12.75" customHeight="1" x14ac:dyDescent="0.2">
      <c r="A320" s="18">
        <f t="shared" si="2"/>
        <v>318</v>
      </c>
      <c r="B320" s="19" t="s">
        <v>157</v>
      </c>
      <c r="C320" s="20">
        <v>26.709999084472656</v>
      </c>
      <c r="D320" s="18">
        <f>SUM(C$3:C320)/A320</f>
        <v>33.732798708549829</v>
      </c>
    </row>
    <row r="321" spans="1:4" ht="12.75" customHeight="1" x14ac:dyDescent="0.2">
      <c r="A321" s="18">
        <f t="shared" si="2"/>
        <v>319</v>
      </c>
      <c r="B321" s="19" t="s">
        <v>158</v>
      </c>
      <c r="C321" s="20">
        <v>26.620000839233398</v>
      </c>
      <c r="D321" s="18">
        <f>SUM(C$3:C321)/A321</f>
        <v>33.710501536545699</v>
      </c>
    </row>
    <row r="322" spans="1:4" ht="12.75" customHeight="1" x14ac:dyDescent="0.2">
      <c r="A322" s="18">
        <f t="shared" si="2"/>
        <v>320</v>
      </c>
      <c r="B322" s="19">
        <v>44770</v>
      </c>
      <c r="C322" s="20">
        <v>26.709999084472656</v>
      </c>
      <c r="D322" s="18">
        <f>SUM(C$3:C322)/A322</f>
        <v>33.688624966382974</v>
      </c>
    </row>
    <row r="323" spans="1:4" ht="12.75" customHeight="1" x14ac:dyDescent="0.2">
      <c r="A323" s="18">
        <f t="shared" si="2"/>
        <v>321</v>
      </c>
      <c r="B323" s="19">
        <v>44771</v>
      </c>
      <c r="C323" s="20">
        <v>26.329999923706055</v>
      </c>
      <c r="D323" s="18">
        <f>SUM(C$3:C323)/A323</f>
        <v>33.665700900829464</v>
      </c>
    </row>
    <row r="324" spans="1:4" ht="12.75" customHeight="1" x14ac:dyDescent="0.2">
      <c r="A324" s="18">
        <f t="shared" si="2"/>
        <v>322</v>
      </c>
      <c r="B324" s="19" t="s">
        <v>159</v>
      </c>
      <c r="C324" s="20">
        <v>26.870000839233398</v>
      </c>
      <c r="D324" s="18">
        <f>SUM(C$3:C324)/A324</f>
        <v>33.64459624225308</v>
      </c>
    </row>
    <row r="325" spans="1:4" ht="12.75" customHeight="1" x14ac:dyDescent="0.2">
      <c r="A325" s="18">
        <f t="shared" si="2"/>
        <v>323</v>
      </c>
      <c r="B325" s="19" t="s">
        <v>160</v>
      </c>
      <c r="C325" s="20">
        <v>26.34</v>
      </c>
      <c r="D325" s="18">
        <f>SUM(C$3:C325)/A325</f>
        <v>33.621981393205857</v>
      </c>
    </row>
    <row r="326" spans="1:4" ht="12.75" customHeight="1" x14ac:dyDescent="0.2">
      <c r="A326" s="18">
        <f t="shared" si="2"/>
        <v>324</v>
      </c>
      <c r="B326" s="19" t="s">
        <v>161</v>
      </c>
      <c r="C326" s="20">
        <v>25.96</v>
      </c>
      <c r="D326" s="18">
        <f>SUM(C$3:C326)/A326</f>
        <v>33.598333302486083</v>
      </c>
    </row>
    <row r="327" spans="1:4" ht="12.75" customHeight="1" x14ac:dyDescent="0.2">
      <c r="A327" s="18">
        <f t="shared" si="2"/>
        <v>325</v>
      </c>
      <c r="B327" s="19" t="s">
        <v>162</v>
      </c>
      <c r="C327" s="20">
        <v>26.08</v>
      </c>
      <c r="D327" s="18">
        <f>SUM(C$3:C327)/A327</f>
        <v>33.575199969247663</v>
      </c>
    </row>
    <row r="328" spans="1:4" ht="12.75" customHeight="1" x14ac:dyDescent="0.2">
      <c r="A328" s="18">
        <f t="shared" si="2"/>
        <v>326</v>
      </c>
      <c r="B328" s="19" t="s">
        <v>163</v>
      </c>
      <c r="C328" s="20">
        <v>26.459999084472656</v>
      </c>
      <c r="D328" s="18">
        <f>SUM(C$3:C328)/A328</f>
        <v>33.553374199662464</v>
      </c>
    </row>
    <row r="329" spans="1:4" ht="12.75" customHeight="1" x14ac:dyDescent="0.2">
      <c r="A329" s="18">
        <f t="shared" si="2"/>
        <v>327</v>
      </c>
      <c r="B329" s="19" t="s">
        <v>164</v>
      </c>
      <c r="C329" s="20">
        <v>26.450000762939453</v>
      </c>
      <c r="D329" s="18">
        <f>SUM(C$3:C329)/A329</f>
        <v>33.531651345115911</v>
      </c>
    </row>
    <row r="330" spans="1:4" ht="12.75" customHeight="1" x14ac:dyDescent="0.2">
      <c r="A330" s="18">
        <f t="shared" si="2"/>
        <v>328</v>
      </c>
      <c r="B330" s="19" t="s">
        <v>165</v>
      </c>
      <c r="C330" s="20">
        <v>26.559999465942383</v>
      </c>
      <c r="D330" s="18">
        <f>SUM(C$3:C330)/A330</f>
        <v>33.510396308898919</v>
      </c>
    </row>
    <row r="331" spans="1:4" ht="12.75" customHeight="1" x14ac:dyDescent="0.2">
      <c r="A331" s="18">
        <f t="shared" si="2"/>
        <v>329</v>
      </c>
      <c r="B331" s="19" t="s">
        <v>166</v>
      </c>
      <c r="C331" s="20">
        <v>26.200000762939453</v>
      </c>
      <c r="D331" s="18">
        <f>SUM(C$3:C331)/A331</f>
        <v>33.488176261646764</v>
      </c>
    </row>
    <row r="332" spans="1:4" ht="12.75" customHeight="1" x14ac:dyDescent="0.2">
      <c r="A332" s="18">
        <f t="shared" si="2"/>
        <v>330</v>
      </c>
      <c r="B332" s="19" t="s">
        <v>167</v>
      </c>
      <c r="C332" s="20">
        <v>26.81</v>
      </c>
      <c r="D332" s="18">
        <f>SUM(C$3:C332)/A332</f>
        <v>33.467939363884192</v>
      </c>
    </row>
    <row r="333" spans="1:4" ht="12.75" customHeight="1" x14ac:dyDescent="0.2">
      <c r="A333" s="18">
        <f t="shared" si="2"/>
        <v>331</v>
      </c>
      <c r="B333" s="19" t="s">
        <v>168</v>
      </c>
      <c r="C333" s="20">
        <v>26.620000839233398</v>
      </c>
      <c r="D333" s="18">
        <f>SUM(C$3:C333)/A333</f>
        <v>33.447250727858055</v>
      </c>
    </row>
    <row r="334" spans="1:4" ht="12.75" customHeight="1" x14ac:dyDescent="0.2">
      <c r="A334" s="18">
        <f t="shared" si="2"/>
        <v>332</v>
      </c>
      <c r="B334" s="19" t="s">
        <v>169</v>
      </c>
      <c r="C334" s="20">
        <v>26.709999084472656</v>
      </c>
      <c r="D334" s="18">
        <f>SUM(C$3:C334)/A334</f>
        <v>33.426957801221356</v>
      </c>
    </row>
    <row r="335" spans="1:4" ht="12.75" customHeight="1" x14ac:dyDescent="0.2">
      <c r="A335" s="18">
        <f t="shared" si="2"/>
        <v>333</v>
      </c>
      <c r="B335" s="19" t="s">
        <v>170</v>
      </c>
      <c r="C335" s="20">
        <v>26.719999313354492</v>
      </c>
      <c r="D335" s="18">
        <f>SUM(C$3:C335)/A335</f>
        <v>33.406816784741274</v>
      </c>
    </row>
    <row r="336" spans="1:4" ht="12.75" customHeight="1" x14ac:dyDescent="0.2">
      <c r="A336" s="18">
        <f t="shared" si="2"/>
        <v>334</v>
      </c>
      <c r="B336" s="19" t="s">
        <v>171</v>
      </c>
      <c r="C336" s="20">
        <v>27.159999847412109</v>
      </c>
      <c r="D336" s="18">
        <f>SUM(C$3:C336)/A336</f>
        <v>33.388113740018731</v>
      </c>
    </row>
    <row r="337" spans="1:4" ht="12.75" customHeight="1" x14ac:dyDescent="0.2">
      <c r="A337" s="18">
        <f t="shared" si="2"/>
        <v>335</v>
      </c>
      <c r="B337" s="19" t="s">
        <v>172</v>
      </c>
      <c r="C337" s="20">
        <v>27.030000686645508</v>
      </c>
      <c r="D337" s="18">
        <f>SUM(C$3:C337)/A337</f>
        <v>33.369134298068367</v>
      </c>
    </row>
    <row r="338" spans="1:4" ht="12.75" customHeight="1" x14ac:dyDescent="0.2">
      <c r="A338" s="18">
        <f t="shared" si="2"/>
        <v>336</v>
      </c>
      <c r="B338" s="19" t="s">
        <v>173</v>
      </c>
      <c r="C338" s="20">
        <v>26.559999465942383</v>
      </c>
      <c r="D338" s="18">
        <f>SUM(C$3:C338)/A338</f>
        <v>33.348869015829891</v>
      </c>
    </row>
    <row r="339" spans="1:4" ht="12.75" customHeight="1" x14ac:dyDescent="0.2">
      <c r="A339" s="18">
        <f t="shared" si="2"/>
        <v>337</v>
      </c>
      <c r="B339" s="19" t="s">
        <v>174</v>
      </c>
      <c r="C339" s="20">
        <v>26.969999313354492</v>
      </c>
      <c r="D339" s="18">
        <f>SUM(C$3:C339)/A339</f>
        <v>33.329940619086642</v>
      </c>
    </row>
    <row r="340" spans="1:4" ht="12.75" customHeight="1" x14ac:dyDescent="0.2">
      <c r="A340" s="18">
        <f t="shared" si="2"/>
        <v>338</v>
      </c>
      <c r="B340" s="19" t="s">
        <v>175</v>
      </c>
      <c r="C340" s="20">
        <v>26.860000610351562</v>
      </c>
      <c r="D340" s="18">
        <f>SUM(C$3:C340)/A340</f>
        <v>33.310798784741273</v>
      </c>
    </row>
    <row r="341" spans="1:4" ht="12.75" customHeight="1" x14ac:dyDescent="0.2">
      <c r="A341" s="18">
        <f t="shared" si="2"/>
        <v>339</v>
      </c>
      <c r="B341" s="19" t="s">
        <v>176</v>
      </c>
      <c r="C341" s="20">
        <v>25.950000762939453</v>
      </c>
      <c r="D341" s="18">
        <f>SUM(C$3:C341)/A341</f>
        <v>33.289085516240384</v>
      </c>
    </row>
    <row r="342" spans="1:4" ht="12.75" customHeight="1" x14ac:dyDescent="0.2">
      <c r="A342" s="18">
        <f t="shared" si="2"/>
        <v>340</v>
      </c>
      <c r="B342" s="19" t="s">
        <v>177</v>
      </c>
      <c r="C342" s="20">
        <v>25.899999618530273</v>
      </c>
      <c r="D342" s="18">
        <f>SUM(C$3:C342)/A342</f>
        <v>33.267352910658886</v>
      </c>
    </row>
    <row r="343" spans="1:4" ht="12.75" customHeight="1" x14ac:dyDescent="0.2">
      <c r="A343" s="18">
        <f t="shared" si="2"/>
        <v>341</v>
      </c>
      <c r="B343" s="19" t="s">
        <v>178</v>
      </c>
      <c r="C343" s="20">
        <v>25.780000686645508</v>
      </c>
      <c r="D343" s="18">
        <f>SUM(C$3:C343)/A343</f>
        <v>33.245395866013681</v>
      </c>
    </row>
    <row r="344" spans="1:4" ht="12.75" customHeight="1" x14ac:dyDescent="0.2">
      <c r="A344" s="18">
        <f t="shared" si="2"/>
        <v>342</v>
      </c>
      <c r="B344" s="19" t="s">
        <v>179</v>
      </c>
      <c r="C344" s="20">
        <v>25.620000839233398</v>
      </c>
      <c r="D344" s="18">
        <f>SUM(C$3:C344)/A344</f>
        <v>33.223099389327189</v>
      </c>
    </row>
    <row r="345" spans="1:4" ht="12.75" customHeight="1" x14ac:dyDescent="0.2">
      <c r="A345" s="18">
        <f t="shared" si="2"/>
        <v>343</v>
      </c>
      <c r="B345" s="19">
        <v>44803</v>
      </c>
      <c r="C345" s="20">
        <v>25.479999542236328</v>
      </c>
      <c r="D345" s="18">
        <f>SUM(C$3:C345)/A345</f>
        <v>33.20052475420448</v>
      </c>
    </row>
    <row r="346" spans="1:4" ht="12.75" customHeight="1" x14ac:dyDescent="0.2">
      <c r="A346" s="18">
        <f t="shared" si="2"/>
        <v>344</v>
      </c>
      <c r="B346" s="19">
        <v>44804</v>
      </c>
      <c r="C346" s="20">
        <v>25.180000305175781</v>
      </c>
      <c r="D346" s="18">
        <f>SUM(C$3:C346)/A346</f>
        <v>33.177209276154976</v>
      </c>
    </row>
    <row r="347" spans="1:4" x14ac:dyDescent="0.2">
      <c r="A347" s="18">
        <f t="shared" si="2"/>
        <v>345</v>
      </c>
      <c r="B347" s="19" t="s">
        <v>195</v>
      </c>
      <c r="C347" s="20">
        <v>24.680000305175781</v>
      </c>
      <c r="D347" s="18">
        <f>SUM(C$3:C347)/A347</f>
        <v>33.152579684934743</v>
      </c>
    </row>
    <row r="348" spans="1:4" x14ac:dyDescent="0.2">
      <c r="A348" s="18">
        <f t="shared" si="2"/>
        <v>346</v>
      </c>
      <c r="B348" s="19" t="s">
        <v>196</v>
      </c>
      <c r="C348" s="20">
        <v>24.6341</v>
      </c>
      <c r="D348" s="18">
        <f>SUM(C$3:C348)/A348</f>
        <v>33.12795980145227</v>
      </c>
    </row>
    <row r="349" spans="1:4" x14ac:dyDescent="0.2">
      <c r="A349" s="18">
        <f t="shared" si="2"/>
        <v>347</v>
      </c>
      <c r="B349" s="19" t="s">
        <v>197</v>
      </c>
      <c r="C349" s="20">
        <v>24.469999313354492</v>
      </c>
      <c r="D349" s="18">
        <f>SUM(C$3:C349)/A349</f>
        <v>33.103008906673892</v>
      </c>
    </row>
    <row r="350" spans="1:4" x14ac:dyDescent="0.2">
      <c r="A350" s="18">
        <f t="shared" si="2"/>
        <v>348</v>
      </c>
      <c r="B350" s="19" t="s">
        <v>198</v>
      </c>
      <c r="C350" s="20">
        <v>24.540000915527344</v>
      </c>
      <c r="D350" s="18">
        <f>SUM(C$3:C350)/A350</f>
        <v>33.078402561871748</v>
      </c>
    </row>
    <row r="351" spans="1:4" x14ac:dyDescent="0.2">
      <c r="A351" s="18">
        <f t="shared" si="2"/>
        <v>349</v>
      </c>
      <c r="B351" s="19" t="s">
        <v>199</v>
      </c>
      <c r="C351" s="20">
        <v>24.780000686645508</v>
      </c>
      <c r="D351" s="18">
        <f>SUM(C$3:C351)/A351</f>
        <v>33.05462490606881</v>
      </c>
    </row>
    <row r="352" spans="1:4" x14ac:dyDescent="0.2">
      <c r="A352" s="18">
        <f t="shared" si="2"/>
        <v>350</v>
      </c>
      <c r="B352" s="19" t="s">
        <v>200</v>
      </c>
      <c r="C352" s="20">
        <v>24.440000534057617</v>
      </c>
      <c r="D352" s="18">
        <f>SUM(C$3:C352)/A352</f>
        <v>33.030011693577343</v>
      </c>
    </row>
    <row r="353" spans="1:4" x14ac:dyDescent="0.2">
      <c r="A353" s="18">
        <f t="shared" si="2"/>
        <v>351</v>
      </c>
      <c r="B353" s="19" t="s">
        <v>201</v>
      </c>
      <c r="C353" s="20">
        <v>24.770099999999999</v>
      </c>
      <c r="D353" s="18">
        <f>SUM(C$3:C353)/A353</f>
        <v>33.006479181629835</v>
      </c>
    </row>
    <row r="354" spans="1:4" x14ac:dyDescent="0.2">
      <c r="A354" s="18">
        <f t="shared" si="2"/>
        <v>352</v>
      </c>
      <c r="B354" s="19" t="s">
        <v>202</v>
      </c>
      <c r="C354" s="20">
        <v>24.93</v>
      </c>
      <c r="D354" s="18">
        <f>SUM(C$3:C354)/A354</f>
        <v>32.983534638500203</v>
      </c>
    </row>
    <row r="355" spans="1:4" x14ac:dyDescent="0.2">
      <c r="A355" s="18">
        <f t="shared" si="2"/>
        <v>353</v>
      </c>
      <c r="B355" s="19" t="s">
        <v>203</v>
      </c>
      <c r="C355" s="20">
        <v>24.52</v>
      </c>
      <c r="D355" s="18">
        <f>SUM(C$3:C355)/A355</f>
        <v>32.959558619694256</v>
      </c>
    </row>
    <row r="356" spans="1:4" x14ac:dyDescent="0.2">
      <c r="A356" s="18">
        <f t="shared" ref="A356:A610" si="3">A355+1</f>
        <v>354</v>
      </c>
      <c r="B356" s="19" t="s">
        <v>204</v>
      </c>
      <c r="C356" s="20">
        <v>23.94</v>
      </c>
      <c r="D356" s="18">
        <f>SUM(C$3:C356)/A356</f>
        <v>32.934079640542578</v>
      </c>
    </row>
    <row r="357" spans="1:4" x14ac:dyDescent="0.2">
      <c r="A357" s="18">
        <f t="shared" si="3"/>
        <v>355</v>
      </c>
      <c r="B357" s="19" t="s">
        <v>205</v>
      </c>
      <c r="C357" s="20">
        <v>23.5</v>
      </c>
      <c r="D357" s="18">
        <f>SUM(C$3:C357)/A357</f>
        <v>32.907504768315697</v>
      </c>
    </row>
    <row r="358" spans="1:4" x14ac:dyDescent="0.2">
      <c r="A358" s="18">
        <f t="shared" si="3"/>
        <v>356</v>
      </c>
      <c r="B358" s="19" t="s">
        <v>206</v>
      </c>
      <c r="C358" s="20">
        <v>23.5</v>
      </c>
      <c r="D358" s="18">
        <f>SUM(C$3:C358)/A358</f>
        <v>32.881079193123796</v>
      </c>
    </row>
    <row r="359" spans="1:4" x14ac:dyDescent="0.2">
      <c r="A359" s="18">
        <f t="shared" si="3"/>
        <v>357</v>
      </c>
      <c r="B359" s="19" t="s">
        <v>207</v>
      </c>
      <c r="C359" s="20">
        <v>23.5</v>
      </c>
      <c r="D359" s="18">
        <f>SUM(C$3:C359)/A359</f>
        <v>32.854801660369951</v>
      </c>
    </row>
    <row r="360" spans="1:4" x14ac:dyDescent="0.2">
      <c r="A360" s="18">
        <f t="shared" si="3"/>
        <v>358</v>
      </c>
      <c r="B360" s="19" t="s">
        <v>208</v>
      </c>
      <c r="C360" s="20">
        <v>23.33</v>
      </c>
      <c r="D360" s="18">
        <f>SUM(C$3:C360)/A360</f>
        <v>32.828196069139864</v>
      </c>
    </row>
    <row r="361" spans="1:4" x14ac:dyDescent="0.2">
      <c r="A361" s="18">
        <f t="shared" si="3"/>
        <v>359</v>
      </c>
      <c r="B361" s="19" t="s">
        <v>209</v>
      </c>
      <c r="C361" s="20">
        <v>23.05</v>
      </c>
      <c r="D361" s="18">
        <f>SUM(C$3:C361)/A361</f>
        <v>32.800958754184045</v>
      </c>
    </row>
    <row r="362" spans="1:4" x14ac:dyDescent="0.2">
      <c r="A362" s="18">
        <f t="shared" si="3"/>
        <v>360</v>
      </c>
      <c r="B362" s="19" t="s">
        <v>210</v>
      </c>
      <c r="C362" s="20">
        <v>22.91</v>
      </c>
      <c r="D362" s="18">
        <f>SUM(C$3:C362)/A362</f>
        <v>32.773483868755754</v>
      </c>
    </row>
    <row r="363" spans="1:4" x14ac:dyDescent="0.2">
      <c r="A363" s="18">
        <f t="shared" si="3"/>
        <v>361</v>
      </c>
      <c r="B363" s="19" t="s">
        <v>211</v>
      </c>
      <c r="C363" s="20">
        <v>23</v>
      </c>
      <c r="D363" s="18">
        <f>SUM(C$3:C363)/A363</f>
        <v>32.746410506238426</v>
      </c>
    </row>
    <row r="364" spans="1:4" x14ac:dyDescent="0.2">
      <c r="A364" s="18">
        <f t="shared" si="3"/>
        <v>362</v>
      </c>
      <c r="B364" s="19" t="s">
        <v>212</v>
      </c>
      <c r="C364" s="20">
        <v>23.46</v>
      </c>
      <c r="D364" s="18">
        <f>SUM(C$3:C364)/A364</f>
        <v>32.720757438541632</v>
      </c>
    </row>
    <row r="365" spans="1:4" x14ac:dyDescent="0.2">
      <c r="A365" s="18">
        <f t="shared" si="3"/>
        <v>363</v>
      </c>
      <c r="B365" s="19" t="s">
        <v>213</v>
      </c>
      <c r="C365" s="20">
        <v>22.93</v>
      </c>
      <c r="D365" s="18">
        <f>SUM(C$3:C365)/A365</f>
        <v>32.69378565496438</v>
      </c>
    </row>
    <row r="366" spans="1:4" x14ac:dyDescent="0.2">
      <c r="A366" s="18">
        <f t="shared" si="3"/>
        <v>364</v>
      </c>
      <c r="B366" s="19" t="s">
        <v>214</v>
      </c>
      <c r="C366" s="20">
        <v>23.03</v>
      </c>
      <c r="D366" s="18">
        <f>SUM(C$3:C366)/A366</f>
        <v>32.667236793274924</v>
      </c>
    </row>
    <row r="367" spans="1:4" x14ac:dyDescent="0.2">
      <c r="A367" s="18">
        <f t="shared" si="3"/>
        <v>365</v>
      </c>
      <c r="B367" s="19">
        <v>44834</v>
      </c>
      <c r="C367" s="20">
        <v>22.610000610351563</v>
      </c>
      <c r="D367" s="18">
        <f>SUM(C$3:C367)/A367</f>
        <v>32.639682721540886</v>
      </c>
    </row>
    <row r="368" spans="1:4" x14ac:dyDescent="0.2">
      <c r="A368" s="18">
        <f t="shared" si="3"/>
        <v>366</v>
      </c>
      <c r="B368" s="19" t="s">
        <v>215</v>
      </c>
      <c r="C368" s="20">
        <v>22.040000915527344</v>
      </c>
      <c r="D368" s="18">
        <f>SUM(C$3:C368)/A368</f>
        <v>32.610721842289479</v>
      </c>
    </row>
    <row r="369" spans="1:4" x14ac:dyDescent="0.2">
      <c r="A369" s="18">
        <f t="shared" si="3"/>
        <v>367</v>
      </c>
      <c r="B369" s="19" t="s">
        <v>216</v>
      </c>
      <c r="C369" s="20">
        <v>22.239999771118164</v>
      </c>
      <c r="D369" s="18">
        <f>SUM(C$3:C369)/A369</f>
        <v>32.582463744002908</v>
      </c>
    </row>
    <row r="370" spans="1:4" x14ac:dyDescent="0.2">
      <c r="A370" s="18">
        <f t="shared" si="3"/>
        <v>368</v>
      </c>
      <c r="B370" s="19" t="s">
        <v>217</v>
      </c>
      <c r="C370" s="20">
        <v>22.920000076293945</v>
      </c>
      <c r="D370" s="18">
        <f>SUM(C$3:C370)/A370</f>
        <v>32.5562070492537</v>
      </c>
    </row>
    <row r="371" spans="1:4" x14ac:dyDescent="0.2">
      <c r="A371" s="18">
        <f t="shared" si="3"/>
        <v>369</v>
      </c>
      <c r="B371" s="19" t="s">
        <v>218</v>
      </c>
      <c r="C371" s="20">
        <v>22.850000381469727</v>
      </c>
      <c r="D371" s="18">
        <f>SUM(C$3:C371)/A371</f>
        <v>32.529902966143176</v>
      </c>
    </row>
    <row r="372" spans="1:4" x14ac:dyDescent="0.2">
      <c r="A372" s="18">
        <f t="shared" si="3"/>
        <v>370</v>
      </c>
      <c r="B372" s="19" t="s">
        <v>219</v>
      </c>
      <c r="C372" s="20">
        <v>23.649999618530273</v>
      </c>
      <c r="D372" s="18">
        <f>SUM(C$3:C372)/A372</f>
        <v>32.505903227365842</v>
      </c>
    </row>
    <row r="373" spans="1:4" x14ac:dyDescent="0.2">
      <c r="A373" s="18">
        <f t="shared" si="3"/>
        <v>371</v>
      </c>
      <c r="B373" s="19" t="s">
        <v>220</v>
      </c>
      <c r="C373" s="20">
        <v>23.719999313354492</v>
      </c>
      <c r="D373" s="18">
        <f>SUM(C$3:C373)/A373</f>
        <v>32.48222154565692</v>
      </c>
    </row>
    <row r="374" spans="1:4" x14ac:dyDescent="0.2">
      <c r="A374" s="18">
        <f t="shared" si="3"/>
        <v>372</v>
      </c>
      <c r="B374" s="19" t="s">
        <v>221</v>
      </c>
      <c r="C374" s="20">
        <v>23.850000381469727</v>
      </c>
      <c r="D374" s="18">
        <f>SUM(C$3:C374)/A374</f>
        <v>32.459016650054267</v>
      </c>
    </row>
    <row r="375" spans="1:4" x14ac:dyDescent="0.2">
      <c r="A375" s="18">
        <f t="shared" si="3"/>
        <v>373</v>
      </c>
      <c r="B375" s="19" t="s">
        <v>222</v>
      </c>
      <c r="C375" s="20">
        <v>23.590000152587891</v>
      </c>
      <c r="D375" s="18">
        <f>SUM(C$3:C375)/A375</f>
        <v>32.43523912593237</v>
      </c>
    </row>
    <row r="376" spans="1:4" x14ac:dyDescent="0.2">
      <c r="A376" s="18">
        <f t="shared" si="3"/>
        <v>374</v>
      </c>
      <c r="B376" s="19" t="s">
        <v>223</v>
      </c>
      <c r="C376" s="20">
        <v>23.399999618530273</v>
      </c>
      <c r="D376" s="18">
        <f>SUM(C$3:C376)/A376</f>
        <v>32.411080731527555</v>
      </c>
    </row>
    <row r="377" spans="1:4" x14ac:dyDescent="0.2">
      <c r="A377" s="18">
        <f t="shared" si="3"/>
        <v>375</v>
      </c>
      <c r="B377" s="19" t="s">
        <v>224</v>
      </c>
      <c r="C377" s="20">
        <v>23.340000152587891</v>
      </c>
      <c r="D377" s="18">
        <f>SUM(C$3:C377)/A377</f>
        <v>32.386891183317047</v>
      </c>
    </row>
    <row r="378" spans="1:4" x14ac:dyDescent="0.2">
      <c r="A378" s="18">
        <f t="shared" si="3"/>
        <v>376</v>
      </c>
      <c r="B378" s="19" t="s">
        <v>225</v>
      </c>
      <c r="C378" s="20">
        <v>22.829999923706055</v>
      </c>
      <c r="D378" s="18">
        <f>SUM(C$3:C378)/A378</f>
        <v>32.361473919328724</v>
      </c>
    </row>
    <row r="379" spans="1:4" x14ac:dyDescent="0.2">
      <c r="A379" s="18">
        <f t="shared" si="3"/>
        <v>377</v>
      </c>
      <c r="B379" s="19" t="s">
        <v>226</v>
      </c>
      <c r="C379" s="20">
        <v>22.739999771118164</v>
      </c>
      <c r="D379" s="18">
        <f>SUM(C$3:C379)/A379</f>
        <v>32.335952767741958</v>
      </c>
    </row>
    <row r="380" spans="1:4" x14ac:dyDescent="0.2">
      <c r="A380" s="18">
        <f t="shared" si="3"/>
        <v>378</v>
      </c>
      <c r="B380" s="19" t="s">
        <v>227</v>
      </c>
      <c r="C380" s="20">
        <v>23.180000305175781</v>
      </c>
      <c r="D380" s="18">
        <f>SUM(C$3:C380)/A380</f>
        <v>32.311730671280138</v>
      </c>
    </row>
    <row r="381" spans="1:4" x14ac:dyDescent="0.2">
      <c r="A381" s="18">
        <f t="shared" si="3"/>
        <v>379</v>
      </c>
      <c r="B381" s="19" t="s">
        <v>228</v>
      </c>
      <c r="C381" s="20">
        <v>22.959999084472656</v>
      </c>
      <c r="D381" s="18">
        <f>SUM(C$3:C381)/A381</f>
        <v>32.287055917752944</v>
      </c>
    </row>
    <row r="382" spans="1:4" x14ac:dyDescent="0.2">
      <c r="A382" s="18">
        <f t="shared" si="3"/>
        <v>380</v>
      </c>
      <c r="B382" s="19">
        <v>44862</v>
      </c>
      <c r="C382" s="20">
        <v>22.139999389648438</v>
      </c>
      <c r="D382" s="18">
        <f>SUM(C$3:C382)/A382</f>
        <v>32.260353137415827</v>
      </c>
    </row>
    <row r="383" spans="1:4" x14ac:dyDescent="0.2">
      <c r="A383" s="18">
        <f t="shared" si="3"/>
        <v>381</v>
      </c>
      <c r="B383" s="19">
        <v>44865</v>
      </c>
      <c r="C383" s="20">
        <v>22.239999771118164</v>
      </c>
      <c r="D383" s="18">
        <f>SUM(C$3:C383)/A383</f>
        <v>32.234052997346801</v>
      </c>
    </row>
    <row r="384" spans="1:4" x14ac:dyDescent="0.2">
      <c r="A384" s="18">
        <f t="shared" si="3"/>
        <v>382</v>
      </c>
      <c r="B384" s="19" t="s">
        <v>229</v>
      </c>
      <c r="C384" s="20">
        <v>22.270000457763672</v>
      </c>
      <c r="D384" s="18">
        <f>SUM(C$3:C384)/A384</f>
        <v>32.207969090175119</v>
      </c>
    </row>
    <row r="385" spans="1:4" x14ac:dyDescent="0.2">
      <c r="A385" s="18">
        <f t="shared" si="3"/>
        <v>383</v>
      </c>
      <c r="B385" s="19" t="s">
        <v>230</v>
      </c>
      <c r="C385" s="20">
        <v>22.600000381469727</v>
      </c>
      <c r="D385" s="18">
        <f>SUM(C$3:C385)/A385</f>
        <v>32.182883009995734</v>
      </c>
    </row>
    <row r="386" spans="1:4" x14ac:dyDescent="0.2">
      <c r="A386" s="18">
        <f t="shared" si="3"/>
        <v>384</v>
      </c>
      <c r="B386" s="19" t="s">
        <v>231</v>
      </c>
      <c r="C386" s="20">
        <v>22.479999542236328</v>
      </c>
      <c r="D386" s="18">
        <f>SUM(C$3:C386)/A386</f>
        <v>32.157615084298442</v>
      </c>
    </row>
    <row r="387" spans="1:4" x14ac:dyDescent="0.2">
      <c r="A387" s="18">
        <f t="shared" si="3"/>
        <v>385</v>
      </c>
      <c r="B387" s="19" t="s">
        <v>232</v>
      </c>
      <c r="C387" s="20">
        <v>23.200000762939453</v>
      </c>
      <c r="D387" s="18">
        <f>SUM(C$3:C387)/A387</f>
        <v>32.134348553593611</v>
      </c>
    </row>
    <row r="388" spans="1:4" x14ac:dyDescent="0.2">
      <c r="A388" s="18">
        <f t="shared" si="3"/>
        <v>386</v>
      </c>
      <c r="B388" s="19" t="s">
        <v>233</v>
      </c>
      <c r="C388" s="20">
        <v>23.190000534057617</v>
      </c>
      <c r="D388" s="18">
        <f>SUM(C$3:C388)/A388</f>
        <v>32.111176667532639</v>
      </c>
    </row>
    <row r="389" spans="1:4" x14ac:dyDescent="0.2">
      <c r="A389" s="18">
        <f t="shared" si="3"/>
        <v>387</v>
      </c>
      <c r="B389" s="19" t="s">
        <v>234</v>
      </c>
      <c r="C389" s="20">
        <v>23.030000686645508</v>
      </c>
      <c r="D389" s="18">
        <f>SUM(C$3:C389)/A389</f>
        <v>32.087711096522597</v>
      </c>
    </row>
    <row r="390" spans="1:4" x14ac:dyDescent="0.2">
      <c r="A390" s="18">
        <f t="shared" si="3"/>
        <v>388</v>
      </c>
      <c r="B390" s="19" t="s">
        <v>235</v>
      </c>
      <c r="C390" s="20">
        <v>22.760000228881836</v>
      </c>
      <c r="D390" s="18">
        <f>SUM(C$3:C390)/A390</f>
        <v>32.063670604595686</v>
      </c>
    </row>
    <row r="391" spans="1:4" x14ac:dyDescent="0.2">
      <c r="A391" s="18">
        <f t="shared" si="3"/>
        <v>389</v>
      </c>
      <c r="B391" s="19" t="s">
        <v>236</v>
      </c>
      <c r="C391" s="20">
        <v>22.319999694824219</v>
      </c>
      <c r="D391" s="18">
        <f>SUM(C$3:C391)/A391</f>
        <v>32.038622607398331</v>
      </c>
    </row>
    <row r="392" spans="1:4" x14ac:dyDescent="0.2">
      <c r="A392" s="18">
        <f t="shared" si="3"/>
        <v>390</v>
      </c>
      <c r="B392" s="19" t="s">
        <v>237</v>
      </c>
      <c r="C392" s="20">
        <v>22.870000839233398</v>
      </c>
      <c r="D392" s="18">
        <f>SUM(C$3:C392)/A392</f>
        <v>32.015113320813292</v>
      </c>
    </row>
    <row r="393" spans="1:4" x14ac:dyDescent="0.2">
      <c r="A393" s="18">
        <f t="shared" si="3"/>
        <v>391</v>
      </c>
      <c r="B393" s="19" t="s">
        <v>238</v>
      </c>
      <c r="C393" s="20">
        <v>22.889999389648437</v>
      </c>
      <c r="D393" s="18">
        <f>SUM(C$3:C393)/A393</f>
        <v>31.991775433521308</v>
      </c>
    </row>
    <row r="394" spans="1:4" x14ac:dyDescent="0.2">
      <c r="A394" s="18">
        <f t="shared" si="3"/>
        <v>392</v>
      </c>
      <c r="B394" s="19" t="s">
        <v>239</v>
      </c>
      <c r="C394" s="20">
        <v>23.450000762939453</v>
      </c>
      <c r="D394" s="18">
        <f>SUM(C$3:C394)/A394</f>
        <v>31.969985192014722</v>
      </c>
    </row>
    <row r="395" spans="1:4" x14ac:dyDescent="0.2">
      <c r="A395" s="18">
        <f t="shared" si="3"/>
        <v>393</v>
      </c>
      <c r="B395" s="19" t="s">
        <v>240</v>
      </c>
      <c r="C395" s="20">
        <v>23.129999160766602</v>
      </c>
      <c r="D395" s="18">
        <f>SUM(C$3:C395)/A395</f>
        <v>31.947491588881778</v>
      </c>
    </row>
    <row r="396" spans="1:4" x14ac:dyDescent="0.2">
      <c r="A396" s="18">
        <f t="shared" si="3"/>
        <v>394</v>
      </c>
      <c r="B396" s="19" t="s">
        <v>241</v>
      </c>
      <c r="C396" s="20">
        <v>23.010000228881836</v>
      </c>
      <c r="D396" s="18">
        <f>SUM(C$3:C396)/A396</f>
        <v>31.924807600658426</v>
      </c>
    </row>
    <row r="397" spans="1:4" x14ac:dyDescent="0.2">
      <c r="A397" s="18">
        <f t="shared" si="3"/>
        <v>395</v>
      </c>
      <c r="B397" s="19" t="s">
        <v>242</v>
      </c>
      <c r="C397" s="20">
        <v>23.030000686645508</v>
      </c>
      <c r="D397" s="18">
        <f>SUM(C$3:C397)/A397</f>
        <v>31.902289102141939</v>
      </c>
    </row>
    <row r="398" spans="1:4" x14ac:dyDescent="0.2">
      <c r="A398" s="18">
        <f t="shared" si="3"/>
        <v>396</v>
      </c>
      <c r="B398" s="19" t="s">
        <v>243</v>
      </c>
      <c r="C398" s="20">
        <v>23</v>
      </c>
      <c r="D398" s="18">
        <f>SUM(C$3:C398)/A398</f>
        <v>31.879808574106224</v>
      </c>
    </row>
    <row r="399" spans="1:4" x14ac:dyDescent="0.2">
      <c r="A399" s="18">
        <f t="shared" si="3"/>
        <v>397</v>
      </c>
      <c r="B399" s="19" t="s">
        <v>244</v>
      </c>
      <c r="C399" s="20">
        <v>22.649999618530273</v>
      </c>
      <c r="D399" s="18">
        <f>SUM(C$3:C399)/A399</f>
        <v>31.856559685049358</v>
      </c>
    </row>
    <row r="400" spans="1:4" x14ac:dyDescent="0.2">
      <c r="A400" s="18">
        <f t="shared" si="3"/>
        <v>398</v>
      </c>
      <c r="B400" s="19" t="s">
        <v>245</v>
      </c>
      <c r="C400" s="20">
        <v>22.540000915527344</v>
      </c>
      <c r="D400" s="18">
        <f>SUM(C$3:C400)/A400</f>
        <v>31.833151245929958</v>
      </c>
    </row>
    <row r="401" spans="1:4" x14ac:dyDescent="0.2">
      <c r="A401" s="18">
        <f t="shared" si="3"/>
        <v>399</v>
      </c>
      <c r="B401" s="19" t="s">
        <v>246</v>
      </c>
      <c r="C401" s="20">
        <v>22.510000228881836</v>
      </c>
      <c r="D401" s="18">
        <f>SUM(C$3:C401)/A401</f>
        <v>31.809784952654148</v>
      </c>
    </row>
    <row r="402" spans="1:4" x14ac:dyDescent="0.2">
      <c r="A402" s="18">
        <f t="shared" si="3"/>
        <v>400</v>
      </c>
      <c r="B402" s="19" t="s">
        <v>247</v>
      </c>
      <c r="C402" s="20">
        <v>22.360000610351563</v>
      </c>
      <c r="D402" s="18">
        <f>SUM(C$3:C402)/A402</f>
        <v>31.786160491798391</v>
      </c>
    </row>
    <row r="403" spans="1:4" x14ac:dyDescent="0.2">
      <c r="A403" s="18">
        <f t="shared" si="3"/>
        <v>401</v>
      </c>
      <c r="B403" s="19" t="s">
        <v>248</v>
      </c>
      <c r="C403" s="20">
        <v>22.200000762939453</v>
      </c>
      <c r="D403" s="18">
        <f>SUM(C$3:C403)/A403</f>
        <v>31.762254856564329</v>
      </c>
    </row>
    <row r="404" spans="1:4" x14ac:dyDescent="0.2">
      <c r="A404" s="18">
        <f t="shared" si="3"/>
        <v>402</v>
      </c>
      <c r="B404" s="19" t="s">
        <v>249</v>
      </c>
      <c r="C404" s="20">
        <v>22.700000762939453</v>
      </c>
      <c r="D404" s="18">
        <f>SUM(C$3:C404)/A404</f>
        <v>31.739711935933421</v>
      </c>
    </row>
    <row r="405" spans="1:4" x14ac:dyDescent="0.2">
      <c r="A405" s="18">
        <f t="shared" si="3"/>
        <v>403</v>
      </c>
      <c r="B405" s="19">
        <v>44895</v>
      </c>
      <c r="C405" s="20">
        <v>22.809999465942383</v>
      </c>
      <c r="D405" s="18">
        <f>SUM(C$3:C405)/A405</f>
        <v>31.717553840474388</v>
      </c>
    </row>
    <row r="406" spans="1:4" x14ac:dyDescent="0.2">
      <c r="A406" s="18">
        <f t="shared" si="3"/>
        <v>404</v>
      </c>
      <c r="B406" s="19" t="s">
        <v>250</v>
      </c>
      <c r="C406" s="20">
        <v>23.170000076293945</v>
      </c>
      <c r="D406" s="18">
        <f>SUM(C$3:C406)/A406</f>
        <v>31.696396529176912</v>
      </c>
    </row>
    <row r="407" spans="1:4" x14ac:dyDescent="0.2">
      <c r="A407" s="18">
        <f t="shared" si="3"/>
        <v>405</v>
      </c>
      <c r="B407" s="19" t="s">
        <v>251</v>
      </c>
      <c r="C407" s="20">
        <v>23.030000686645508</v>
      </c>
      <c r="D407" s="18">
        <f>SUM(C$3:C407)/A407</f>
        <v>31.674998020923745</v>
      </c>
    </row>
    <row r="408" spans="1:4" x14ac:dyDescent="0.2">
      <c r="A408" s="18">
        <f t="shared" si="3"/>
        <v>406</v>
      </c>
      <c r="B408" s="19" t="s">
        <v>252</v>
      </c>
      <c r="C408" s="20">
        <v>23.219999313354492</v>
      </c>
      <c r="D408" s="18">
        <f>SUM(C$3:C408)/A408</f>
        <v>31.654172900954364</v>
      </c>
    </row>
    <row r="409" spans="1:4" x14ac:dyDescent="0.2">
      <c r="A409" s="18">
        <f t="shared" si="3"/>
        <v>407</v>
      </c>
      <c r="B409" s="19" t="s">
        <v>253</v>
      </c>
      <c r="C409" s="20">
        <v>23.459999084472656</v>
      </c>
      <c r="D409" s="18">
        <f>SUM(C$3:C409)/A409</f>
        <v>31.634039795754163</v>
      </c>
    </row>
    <row r="410" spans="1:4" x14ac:dyDescent="0.2">
      <c r="A410" s="18">
        <f t="shared" si="3"/>
        <v>408</v>
      </c>
      <c r="B410" s="19" t="s">
        <v>254</v>
      </c>
      <c r="C410" s="20">
        <v>23.649999618530273</v>
      </c>
      <c r="D410" s="18">
        <f>SUM(C$3:C410)/A410</f>
        <v>31.614471069829595</v>
      </c>
    </row>
    <row r="411" spans="1:4" x14ac:dyDescent="0.2">
      <c r="A411" s="18">
        <f t="shared" si="3"/>
        <v>409</v>
      </c>
      <c r="B411" s="19" t="s">
        <v>255</v>
      </c>
      <c r="C411" s="20">
        <v>23.629999160766602</v>
      </c>
      <c r="D411" s="18">
        <f>SUM(C$3:C411)/A411</f>
        <v>31.594949133621618</v>
      </c>
    </row>
    <row r="412" spans="1:4" x14ac:dyDescent="0.2">
      <c r="A412" s="18">
        <f t="shared" si="3"/>
        <v>410</v>
      </c>
      <c r="B412" s="19" t="s">
        <v>256</v>
      </c>
      <c r="C412" s="20">
        <v>23.840000152587891</v>
      </c>
      <c r="D412" s="18">
        <f>SUM(C$3:C412)/A412</f>
        <v>31.576034623911777</v>
      </c>
    </row>
    <row r="413" spans="1:4" x14ac:dyDescent="0.2">
      <c r="A413" s="18">
        <f t="shared" si="3"/>
        <v>411</v>
      </c>
      <c r="B413" s="19" t="s">
        <v>257</v>
      </c>
      <c r="C413" s="20">
        <v>23.600000381469727</v>
      </c>
      <c r="D413" s="18">
        <f>SUM(C$3:C413)/A413</f>
        <v>31.556628214562771</v>
      </c>
    </row>
    <row r="414" spans="1:4" x14ac:dyDescent="0.2">
      <c r="A414" s="18">
        <f t="shared" si="3"/>
        <v>412</v>
      </c>
      <c r="B414" s="19" t="s">
        <v>258</v>
      </c>
      <c r="C414" s="20">
        <v>23.329999923706055</v>
      </c>
      <c r="D414" s="18">
        <f>SUM(C$3:C414)/A414</f>
        <v>31.536660670167489</v>
      </c>
    </row>
    <row r="415" spans="1:4" x14ac:dyDescent="0.2">
      <c r="A415" s="18">
        <f t="shared" si="3"/>
        <v>413</v>
      </c>
      <c r="B415" s="19" t="s">
        <v>259</v>
      </c>
      <c r="C415" s="20">
        <v>23.270000457763672</v>
      </c>
      <c r="D415" s="18">
        <f>SUM(C$3:C415)/A415</f>
        <v>31.516644543745201</v>
      </c>
    </row>
    <row r="416" spans="1:4" x14ac:dyDescent="0.2">
      <c r="A416" s="18">
        <f t="shared" si="3"/>
        <v>414</v>
      </c>
      <c r="B416" s="19" t="s">
        <v>260</v>
      </c>
      <c r="C416" s="20">
        <v>23.5</v>
      </c>
      <c r="D416" s="18">
        <f>SUM(C$3:C416)/A416</f>
        <v>31.497280668035675</v>
      </c>
    </row>
    <row r="417" spans="1:4" x14ac:dyDescent="0.2">
      <c r="A417" s="18">
        <f t="shared" si="3"/>
        <v>415</v>
      </c>
      <c r="B417" s="19" t="s">
        <v>261</v>
      </c>
      <c r="C417" s="20">
        <v>23.350000381469727</v>
      </c>
      <c r="D417" s="18">
        <f>SUM(C$3:C417)/A417</f>
        <v>31.477648667345154</v>
      </c>
    </row>
    <row r="418" spans="1:4" x14ac:dyDescent="0.2">
      <c r="A418" s="18">
        <f t="shared" si="3"/>
        <v>416</v>
      </c>
      <c r="B418" s="19" t="s">
        <v>262</v>
      </c>
      <c r="C418" s="20">
        <v>23.079999923706055</v>
      </c>
      <c r="D418" s="18">
        <f>SUM(C$3:C418)/A418</f>
        <v>31.457462011711407</v>
      </c>
    </row>
    <row r="419" spans="1:4" x14ac:dyDescent="0.2">
      <c r="A419" s="18">
        <f t="shared" si="3"/>
        <v>417</v>
      </c>
      <c r="B419" s="19" t="s">
        <v>263</v>
      </c>
      <c r="C419" s="20">
        <v>22.709999084472656</v>
      </c>
      <c r="D419" s="18">
        <f>SUM(C$3:C419)/A419</f>
        <v>31.43648488238949</v>
      </c>
    </row>
    <row r="420" spans="1:4" x14ac:dyDescent="0.2">
      <c r="A420" s="18">
        <f t="shared" si="3"/>
        <v>418</v>
      </c>
      <c r="B420" s="19" t="s">
        <v>264</v>
      </c>
      <c r="C420" s="20">
        <v>22.610000610351563</v>
      </c>
      <c r="D420" s="18">
        <f>SUM(C$3:C420)/A420</f>
        <v>31.415368891308059</v>
      </c>
    </row>
    <row r="421" spans="1:4" x14ac:dyDescent="0.2">
      <c r="A421" s="18">
        <f t="shared" si="3"/>
        <v>419</v>
      </c>
      <c r="B421" s="19" t="s">
        <v>265</v>
      </c>
      <c r="C421" s="20">
        <v>22.549999237060547</v>
      </c>
      <c r="D421" s="18">
        <f>SUM(C$3:C421)/A421</f>
        <v>31.39421049117859</v>
      </c>
    </row>
    <row r="422" spans="1:4" x14ac:dyDescent="0.2">
      <c r="A422" s="18">
        <f t="shared" si="3"/>
        <v>420</v>
      </c>
      <c r="B422" s="19" t="s">
        <v>266</v>
      </c>
      <c r="C422" s="20">
        <v>22.450000762939453</v>
      </c>
      <c r="D422" s="18">
        <f>SUM(C$3:C422)/A422</f>
        <v>31.372914753730402</v>
      </c>
    </row>
    <row r="423" spans="1:4" x14ac:dyDescent="0.2">
      <c r="A423" s="18">
        <f t="shared" si="3"/>
        <v>421</v>
      </c>
      <c r="B423" s="19" t="s">
        <v>267</v>
      </c>
      <c r="C423" s="20">
        <v>22.790000915527344</v>
      </c>
      <c r="D423" s="18">
        <f>SUM(C$3:C423)/A423</f>
        <v>31.352527784993576</v>
      </c>
    </row>
    <row r="424" spans="1:4" x14ac:dyDescent="0.2">
      <c r="A424" s="18">
        <f t="shared" si="3"/>
        <v>422</v>
      </c>
      <c r="B424" s="19" t="s">
        <v>268</v>
      </c>
      <c r="C424" s="20">
        <v>23</v>
      </c>
      <c r="D424" s="18">
        <f>SUM(C$3:C424)/A424</f>
        <v>31.332735065123924</v>
      </c>
    </row>
    <row r="425" spans="1:4" x14ac:dyDescent="0.2">
      <c r="A425" s="18">
        <f t="shared" si="3"/>
        <v>423</v>
      </c>
      <c r="B425" s="19" t="s">
        <v>269</v>
      </c>
      <c r="C425" s="20">
        <v>22.729999542236328</v>
      </c>
      <c r="D425" s="18">
        <f>SUM(C$3:C425)/A425</f>
        <v>31.312397628899603</v>
      </c>
    </row>
    <row r="426" spans="1:4" x14ac:dyDescent="0.2">
      <c r="A426" s="18">
        <f t="shared" si="3"/>
        <v>424</v>
      </c>
      <c r="B426" s="19">
        <v>44924</v>
      </c>
      <c r="C426" s="20">
        <v>22.760000228881836</v>
      </c>
      <c r="D426" s="18">
        <f>SUM(C$3:C426)/A426</f>
        <v>31.292226880314654</v>
      </c>
    </row>
    <row r="427" spans="1:4" x14ac:dyDescent="0.2">
      <c r="A427" s="18">
        <f t="shared" si="3"/>
        <v>425</v>
      </c>
      <c r="B427" s="19">
        <v>44925</v>
      </c>
      <c r="C427" s="20">
        <v>22.739999771118164</v>
      </c>
      <c r="D427" s="18">
        <f>SUM(C$3:C427)/A427</f>
        <v>31.2721039929989</v>
      </c>
    </row>
    <row r="428" spans="1:4" x14ac:dyDescent="0.2">
      <c r="A428" s="18">
        <f t="shared" si="3"/>
        <v>426</v>
      </c>
      <c r="B428" s="19" t="s">
        <v>270</v>
      </c>
      <c r="C428" s="20">
        <v>22.940000534057617</v>
      </c>
      <c r="D428" s="18">
        <f>SUM(C$3:C428)/A428</f>
        <v>31.252545064691525</v>
      </c>
    </row>
    <row r="429" spans="1:4" x14ac:dyDescent="0.2">
      <c r="A429" s="18">
        <f t="shared" si="3"/>
        <v>427</v>
      </c>
      <c r="B429" s="19" t="s">
        <v>271</v>
      </c>
      <c r="C429" s="20">
        <v>22.829999923706055</v>
      </c>
      <c r="D429" s="18">
        <f>SUM(C$3:C429)/A429</f>
        <v>31.232820134618962</v>
      </c>
    </row>
    <row r="430" spans="1:4" x14ac:dyDescent="0.2">
      <c r="A430" s="18">
        <f t="shared" si="3"/>
        <v>428</v>
      </c>
      <c r="B430" s="19" t="s">
        <v>272</v>
      </c>
      <c r="C430" s="20">
        <v>23.409999847412109</v>
      </c>
      <c r="D430" s="18">
        <f>SUM(C$3:C430)/A430</f>
        <v>31.214542517125487</v>
      </c>
    </row>
    <row r="431" spans="1:4" x14ac:dyDescent="0.2">
      <c r="A431" s="18">
        <f t="shared" si="3"/>
        <v>429</v>
      </c>
      <c r="B431" s="19" t="s">
        <v>273</v>
      </c>
      <c r="C431" s="20">
        <v>23.5</v>
      </c>
      <c r="D431" s="18">
        <f>SUM(C$3:C431)/A431</f>
        <v>31.196559900535451</v>
      </c>
    </row>
    <row r="432" spans="1:4" x14ac:dyDescent="0.2">
      <c r="A432" s="18">
        <f t="shared" si="3"/>
        <v>430</v>
      </c>
      <c r="B432" s="19" t="s">
        <v>274</v>
      </c>
      <c r="C432" s="20">
        <v>23.579999923706055</v>
      </c>
      <c r="D432" s="18">
        <f>SUM(C$3:C432)/A432</f>
        <v>31.178846970356776</v>
      </c>
    </row>
    <row r="433" spans="1:4" x14ac:dyDescent="0.2">
      <c r="A433" s="18">
        <f t="shared" si="3"/>
        <v>431</v>
      </c>
      <c r="B433" s="19" t="s">
        <v>275</v>
      </c>
      <c r="C433" s="20">
        <v>23.819999694824219</v>
      </c>
      <c r="D433" s="18">
        <f>SUM(C$3:C433)/A433</f>
        <v>31.161773078766213</v>
      </c>
    </row>
    <row r="434" spans="1:4" x14ac:dyDescent="0.2">
      <c r="A434" s="18">
        <f t="shared" si="3"/>
        <v>432</v>
      </c>
      <c r="B434" s="19" t="s">
        <v>276</v>
      </c>
      <c r="C434" s="20">
        <v>23.649999618530273</v>
      </c>
      <c r="D434" s="18">
        <f>SUM(C$3:C434)/A434</f>
        <v>31.144384714274928</v>
      </c>
    </row>
    <row r="435" spans="1:4" x14ac:dyDescent="0.2">
      <c r="A435" s="18">
        <f t="shared" si="3"/>
        <v>433</v>
      </c>
      <c r="B435" s="19" t="s">
        <v>277</v>
      </c>
      <c r="C435" s="20">
        <v>23.780000686645508</v>
      </c>
      <c r="D435" s="18">
        <f>SUM(C$3:C435)/A435</f>
        <v>31.127376898968624</v>
      </c>
    </row>
    <row r="436" spans="1:4" x14ac:dyDescent="0.2">
      <c r="A436" s="18">
        <f t="shared" si="3"/>
        <v>434</v>
      </c>
      <c r="B436" s="19" t="s">
        <v>278</v>
      </c>
      <c r="C436" s="20">
        <v>24.100000381469727</v>
      </c>
      <c r="D436" s="18">
        <f>SUM(C$3:C436)/A436</f>
        <v>31.111184787177152</v>
      </c>
    </row>
    <row r="437" spans="1:4" x14ac:dyDescent="0.2">
      <c r="A437" s="18">
        <f t="shared" si="3"/>
        <v>435</v>
      </c>
      <c r="B437" s="19" t="s">
        <v>279</v>
      </c>
      <c r="C437" s="20">
        <v>24.450000762939453</v>
      </c>
      <c r="D437" s="18">
        <f>SUM(C$3:C437)/A437</f>
        <v>31.095871720454767</v>
      </c>
    </row>
    <row r="438" spans="1:4" x14ac:dyDescent="0.2">
      <c r="A438" s="18">
        <f t="shared" si="3"/>
        <v>436</v>
      </c>
      <c r="B438" s="19" t="s">
        <v>280</v>
      </c>
      <c r="C438" s="20">
        <v>24.520000457763672</v>
      </c>
      <c r="D438" s="18">
        <f>SUM(C$3:C438)/A438</f>
        <v>31.080789446916484</v>
      </c>
    </row>
    <row r="439" spans="1:4" x14ac:dyDescent="0.2">
      <c r="A439" s="18">
        <f t="shared" si="3"/>
        <v>437</v>
      </c>
      <c r="B439" s="19" t="s">
        <v>281</v>
      </c>
      <c r="C439" s="20">
        <v>24.530000686645508</v>
      </c>
      <c r="D439" s="18">
        <f>SUM(C$3:C439)/A439</f>
        <v>31.065799083620668</v>
      </c>
    </row>
    <row r="440" spans="1:4" x14ac:dyDescent="0.2">
      <c r="A440" s="18">
        <f t="shared" si="3"/>
        <v>438</v>
      </c>
      <c r="B440" s="19" t="s">
        <v>282</v>
      </c>
      <c r="C440" s="20">
        <v>24.739999771118164</v>
      </c>
      <c r="D440" s="18">
        <f>SUM(C$3:C440)/A440</f>
        <v>31.051356619436874</v>
      </c>
    </row>
    <row r="441" spans="1:4" x14ac:dyDescent="0.2">
      <c r="A441" s="18">
        <f t="shared" si="3"/>
        <v>439</v>
      </c>
      <c r="B441" s="19" t="s">
        <v>283</v>
      </c>
      <c r="C441" s="20">
        <v>24.829999923706055</v>
      </c>
      <c r="D441" s="18">
        <f>SUM(C$3:C441)/A441</f>
        <v>31.037184964093523</v>
      </c>
    </row>
    <row r="442" spans="1:4" x14ac:dyDescent="0.2">
      <c r="A442" s="18">
        <f t="shared" si="3"/>
        <v>440</v>
      </c>
      <c r="B442" s="19">
        <v>44956</v>
      </c>
      <c r="C442" s="20">
        <v>25.170000076293945</v>
      </c>
      <c r="D442" s="18">
        <f>SUM(C$3:C442)/A442</f>
        <v>31.023850452984888</v>
      </c>
    </row>
    <row r="443" spans="1:4" x14ac:dyDescent="0.2">
      <c r="A443" s="18">
        <f t="shared" si="3"/>
        <v>441</v>
      </c>
      <c r="B443" s="19">
        <v>44957</v>
      </c>
      <c r="C443" s="20">
        <v>24.899999618530273</v>
      </c>
      <c r="D443" s="18">
        <f>SUM(C$3:C443)/A443</f>
        <v>31.009964169913562</v>
      </c>
    </row>
    <row r="444" spans="1:4" x14ac:dyDescent="0.2">
      <c r="A444" s="18">
        <f t="shared" si="3"/>
        <v>442</v>
      </c>
      <c r="B444" s="19" t="s">
        <v>284</v>
      </c>
      <c r="C444" s="20">
        <v>25.239999771118164</v>
      </c>
      <c r="D444" s="18">
        <f>SUM(C$3:C444)/A444</f>
        <v>30.99690995181674</v>
      </c>
    </row>
    <row r="445" spans="1:4" x14ac:dyDescent="0.2">
      <c r="A445" s="18">
        <f t="shared" si="3"/>
        <v>443</v>
      </c>
      <c r="B445" s="19" t="s">
        <v>285</v>
      </c>
      <c r="C445" s="20">
        <v>25.129999160766602</v>
      </c>
      <c r="D445" s="18">
        <f>SUM(C$3:C445)/A445</f>
        <v>30.983666360866287</v>
      </c>
    </row>
    <row r="446" spans="1:4" x14ac:dyDescent="0.2">
      <c r="A446" s="18">
        <f t="shared" si="3"/>
        <v>444</v>
      </c>
      <c r="B446" s="19" t="s">
        <v>286</v>
      </c>
      <c r="C446" s="20">
        <v>24.930000305175781</v>
      </c>
      <c r="D446" s="18">
        <f>SUM(C$3:C446)/A446</f>
        <v>30.970031977857975</v>
      </c>
    </row>
    <row r="447" spans="1:4" x14ac:dyDescent="0.2">
      <c r="A447" s="18">
        <f t="shared" si="3"/>
        <v>445</v>
      </c>
      <c r="B447" s="19" t="s">
        <v>287</v>
      </c>
      <c r="C447" s="20">
        <v>24.600000381469727</v>
      </c>
      <c r="D447" s="18">
        <f>SUM(C$3:C447)/A447</f>
        <v>30.955717300113285</v>
      </c>
    </row>
    <row r="448" spans="1:4" x14ac:dyDescent="0.2">
      <c r="A448" s="18">
        <f t="shared" si="3"/>
        <v>446</v>
      </c>
      <c r="B448" s="19" t="s">
        <v>288</v>
      </c>
      <c r="C448" s="20">
        <v>24.610000610351563</v>
      </c>
      <c r="D448" s="18">
        <f>SUM(C$3:C448)/A448</f>
        <v>30.941489235786463</v>
      </c>
    </row>
    <row r="449" spans="1:4" x14ac:dyDescent="0.2">
      <c r="A449" s="18">
        <f t="shared" si="3"/>
        <v>447</v>
      </c>
      <c r="B449" s="19" t="s">
        <v>289</v>
      </c>
      <c r="C449" s="20">
        <v>24.5</v>
      </c>
      <c r="D449" s="18">
        <f>SUM(C$3:C449)/A449</f>
        <v>30.927078745326092</v>
      </c>
    </row>
    <row r="450" spans="1:4" x14ac:dyDescent="0.2">
      <c r="A450" s="18">
        <f t="shared" si="3"/>
        <v>448</v>
      </c>
      <c r="B450" s="19" t="s">
        <v>290</v>
      </c>
      <c r="C450" s="20">
        <v>24.870000839233398</v>
      </c>
      <c r="D450" s="18">
        <f>SUM(C$3:C450)/A450</f>
        <v>30.91355848214285</v>
      </c>
    </row>
    <row r="451" spans="1:4" x14ac:dyDescent="0.2">
      <c r="A451" s="18">
        <f t="shared" si="3"/>
        <v>449</v>
      </c>
      <c r="B451" s="19" t="s">
        <v>291</v>
      </c>
      <c r="C451" s="20">
        <v>24.639999389648438</v>
      </c>
      <c r="D451" s="18">
        <f>SUM(C$3:C451)/A451</f>
        <v>30.899586190177381</v>
      </c>
    </row>
    <row r="452" spans="1:4" x14ac:dyDescent="0.2">
      <c r="A452" s="18">
        <f t="shared" si="3"/>
        <v>450</v>
      </c>
      <c r="B452" s="19" t="s">
        <v>292</v>
      </c>
      <c r="C452" s="20">
        <v>24.879999160766602</v>
      </c>
      <c r="D452" s="18">
        <f>SUM(C$3:C452)/A452</f>
        <v>30.886209330112024</v>
      </c>
    </row>
    <row r="453" spans="1:4" x14ac:dyDescent="0.2">
      <c r="A453" s="18">
        <f t="shared" si="3"/>
        <v>451</v>
      </c>
      <c r="B453" s="19" t="s">
        <v>293</v>
      </c>
      <c r="C453" s="20">
        <v>24.809999465942383</v>
      </c>
      <c r="D453" s="18">
        <f>SUM(C$3:C453)/A453</f>
        <v>30.872736580967526</v>
      </c>
    </row>
    <row r="454" spans="1:4" x14ac:dyDescent="0.2">
      <c r="A454" s="18">
        <f t="shared" si="3"/>
        <v>452</v>
      </c>
      <c r="B454" s="19" t="s">
        <v>294</v>
      </c>
      <c r="C454" s="20">
        <v>24.739999771118164</v>
      </c>
      <c r="D454" s="18">
        <f>SUM(C$3:C454)/A454</f>
        <v>30.859168579175822</v>
      </c>
    </row>
    <row r="455" spans="1:4" x14ac:dyDescent="0.2">
      <c r="A455" s="18">
        <f t="shared" si="3"/>
        <v>453</v>
      </c>
      <c r="B455" s="19" t="s">
        <v>295</v>
      </c>
      <c r="C455" s="20">
        <v>24.489999771118164</v>
      </c>
      <c r="D455" s="18">
        <f>SUM(C$3:C455)/A455</f>
        <v>30.845108603882096</v>
      </c>
    </row>
    <row r="456" spans="1:4" x14ac:dyDescent="0.2">
      <c r="A456" s="18">
        <f t="shared" si="3"/>
        <v>454</v>
      </c>
      <c r="B456" s="19" t="s">
        <v>296</v>
      </c>
      <c r="C456" s="20">
        <v>23.950000762939453</v>
      </c>
      <c r="D456" s="18">
        <f>SUM(C$3:C456)/A456</f>
        <v>30.829921141677378</v>
      </c>
    </row>
    <row r="457" spans="1:4" x14ac:dyDescent="0.2">
      <c r="A457" s="18">
        <f t="shared" si="3"/>
        <v>455</v>
      </c>
      <c r="B457" s="19" t="s">
        <v>297</v>
      </c>
      <c r="C457" s="20">
        <v>24.409999847412109</v>
      </c>
      <c r="D457" s="18">
        <f>SUM(C$3:C457)/A457</f>
        <v>30.815811424547125</v>
      </c>
    </row>
    <row r="458" spans="1:4" x14ac:dyDescent="0.2">
      <c r="A458" s="18">
        <f t="shared" si="3"/>
        <v>456</v>
      </c>
      <c r="B458" s="19" t="s">
        <v>298</v>
      </c>
      <c r="C458" s="20">
        <v>24.399999618530273</v>
      </c>
      <c r="D458" s="18">
        <f>SUM(C$3:C458)/A458</f>
        <v>30.801741661814631</v>
      </c>
    </row>
    <row r="459" spans="1:4" x14ac:dyDescent="0.2">
      <c r="A459" s="18">
        <f t="shared" si="3"/>
        <v>457</v>
      </c>
      <c r="B459" s="19" t="s">
        <v>299</v>
      </c>
      <c r="C459" s="20">
        <v>24.200000762939453</v>
      </c>
      <c r="D459" s="18">
        <f>SUM(C$3:C459)/A459</f>
        <v>30.787295839278798</v>
      </c>
    </row>
    <row r="460" spans="1:4" x14ac:dyDescent="0.2">
      <c r="A460" s="18">
        <f t="shared" si="3"/>
        <v>458</v>
      </c>
      <c r="B460" s="19" t="s">
        <v>300</v>
      </c>
      <c r="C460" s="20">
        <v>24.229999542236328</v>
      </c>
      <c r="D460" s="18">
        <f>SUM(C$3:C460)/A460</f>
        <v>30.772978598455563</v>
      </c>
    </row>
    <row r="461" spans="1:4" x14ac:dyDescent="0.2">
      <c r="A461" s="18">
        <f t="shared" si="3"/>
        <v>459</v>
      </c>
      <c r="B461" s="19" t="s">
        <v>301</v>
      </c>
      <c r="C461" s="20">
        <v>24.020000457763672</v>
      </c>
      <c r="D461" s="18">
        <f>SUM(C$3:C461)/A461</f>
        <v>30.758266227778673</v>
      </c>
    </row>
    <row r="462" spans="1:4" x14ac:dyDescent="0.2">
      <c r="A462" s="18">
        <f t="shared" si="3"/>
        <v>460</v>
      </c>
      <c r="B462" s="19">
        <v>44984</v>
      </c>
      <c r="C462" s="20">
        <v>23.780000686645508</v>
      </c>
      <c r="D462" s="18">
        <f>SUM(C$3:C462)/A462</f>
        <v>30.74309608529795</v>
      </c>
    </row>
    <row r="463" spans="1:4" x14ac:dyDescent="0.2">
      <c r="A463" s="18">
        <f t="shared" si="3"/>
        <v>461</v>
      </c>
      <c r="B463" s="19">
        <v>44985</v>
      </c>
      <c r="C463" s="20">
        <v>23.979999542236328</v>
      </c>
      <c r="D463" s="18">
        <f>SUM(C$3:C463)/A463</f>
        <v>30.72842559388133</v>
      </c>
    </row>
    <row r="464" spans="1:4" x14ac:dyDescent="0.2">
      <c r="A464" s="18">
        <f t="shared" si="3"/>
        <v>462</v>
      </c>
      <c r="B464" s="19" t="s">
        <v>302</v>
      </c>
      <c r="C464" s="20">
        <v>24.290000915527344</v>
      </c>
      <c r="D464" s="18">
        <f>SUM(C$3:C464)/A464</f>
        <v>30.71448960972905</v>
      </c>
    </row>
    <row r="465" spans="1:4" x14ac:dyDescent="0.2">
      <c r="A465" s="18">
        <f t="shared" si="3"/>
        <v>463</v>
      </c>
      <c r="B465" s="19" t="s">
        <v>303</v>
      </c>
      <c r="C465" s="20">
        <v>24.120000839233398</v>
      </c>
      <c r="D465" s="18">
        <f>SUM(C$3:C465)/A465</f>
        <v>30.700246653421281</v>
      </c>
    </row>
    <row r="466" spans="1:4" x14ac:dyDescent="0.2">
      <c r="A466" s="18">
        <f t="shared" si="3"/>
        <v>464</v>
      </c>
      <c r="B466" s="19" t="s">
        <v>304</v>
      </c>
      <c r="C466" s="20">
        <v>24.120000839233398</v>
      </c>
      <c r="D466" s="18">
        <f>SUM(C$3:C466)/A466</f>
        <v>30.686065089166568</v>
      </c>
    </row>
    <row r="467" spans="1:4" x14ac:dyDescent="0.2">
      <c r="A467" s="18">
        <f t="shared" si="3"/>
        <v>465</v>
      </c>
      <c r="B467" s="19" t="s">
        <v>305</v>
      </c>
      <c r="C467" s="20">
        <v>24.190000534057617</v>
      </c>
      <c r="D467" s="18">
        <f>SUM(C$3:C467)/A467</f>
        <v>30.672095057865256</v>
      </c>
    </row>
    <row r="468" spans="1:4" x14ac:dyDescent="0.2">
      <c r="A468" s="18">
        <f t="shared" si="3"/>
        <v>466</v>
      </c>
      <c r="B468" s="19" t="s">
        <v>306</v>
      </c>
      <c r="C468" s="20">
        <v>23.739999771118164</v>
      </c>
      <c r="D468" s="18">
        <f>SUM(C$3:C468)/A468</f>
        <v>30.657219316906573</v>
      </c>
    </row>
    <row r="469" spans="1:4" x14ac:dyDescent="0.2">
      <c r="A469" s="18">
        <f t="shared" si="3"/>
        <v>467</v>
      </c>
      <c r="B469" s="19" t="s">
        <v>307</v>
      </c>
      <c r="C469" s="20">
        <v>23.659999847412109</v>
      </c>
      <c r="D469" s="18">
        <f>SUM(C$3:C469)/A469</f>
        <v>30.642235977571467</v>
      </c>
    </row>
    <row r="470" spans="1:4" x14ac:dyDescent="0.2">
      <c r="A470" s="18">
        <f t="shared" si="3"/>
        <v>468</v>
      </c>
      <c r="B470" s="19" t="s">
        <v>308</v>
      </c>
      <c r="C470" s="20">
        <v>23.670000076293945</v>
      </c>
      <c r="D470" s="18">
        <f>SUM(C$3:C470)/A470</f>
        <v>30.627338037611473</v>
      </c>
    </row>
    <row r="471" spans="1:4" x14ac:dyDescent="0.2">
      <c r="A471" s="18">
        <f t="shared" si="3"/>
        <v>469</v>
      </c>
      <c r="B471" s="19" t="s">
        <v>309</v>
      </c>
      <c r="C471" s="20">
        <v>23.459999084472656</v>
      </c>
      <c r="D471" s="18">
        <f>SUM(C$3:C471)/A471</f>
        <v>30.612055865003502</v>
      </c>
    </row>
    <row r="472" spans="1:4" x14ac:dyDescent="0.2">
      <c r="A472" s="18">
        <f t="shared" si="3"/>
        <v>470</v>
      </c>
      <c r="B472" s="19" t="s">
        <v>310</v>
      </c>
      <c r="C472" s="20">
        <v>23.5</v>
      </c>
      <c r="D472" s="18">
        <f>SUM(C$3:C472)/A472</f>
        <v>30.596923831248173</v>
      </c>
    </row>
    <row r="473" spans="1:4" x14ac:dyDescent="0.2">
      <c r="A473" s="18">
        <f t="shared" si="3"/>
        <v>471</v>
      </c>
      <c r="B473" s="19" t="s">
        <v>311</v>
      </c>
      <c r="C473" s="20">
        <v>23.299999237060547</v>
      </c>
      <c r="D473" s="18">
        <f>SUM(C$3:C473)/A473</f>
        <v>30.581431422343318</v>
      </c>
    </row>
    <row r="474" spans="1:4" x14ac:dyDescent="0.2">
      <c r="A474" s="18">
        <f t="shared" si="3"/>
        <v>472</v>
      </c>
      <c r="B474" s="19" t="s">
        <v>312</v>
      </c>
      <c r="C474" s="20">
        <v>23.280000686645508</v>
      </c>
      <c r="D474" s="18">
        <f>SUM(C$3:C474)/A474</f>
        <v>30.565962289428704</v>
      </c>
    </row>
    <row r="475" spans="1:4" x14ac:dyDescent="0.2">
      <c r="A475" s="18">
        <f t="shared" si="3"/>
        <v>473</v>
      </c>
      <c r="B475" s="19" t="s">
        <v>313</v>
      </c>
      <c r="C475" s="20">
        <v>22.920000076293945</v>
      </c>
      <c r="D475" s="18">
        <f>SUM(C$3:C475)/A475</f>
        <v>30.549797464453789</v>
      </c>
    </row>
    <row r="476" spans="1:4" x14ac:dyDescent="0.2">
      <c r="A476" s="18">
        <f t="shared" si="3"/>
        <v>474</v>
      </c>
      <c r="B476" s="19" t="s">
        <v>314</v>
      </c>
      <c r="C476" s="20">
        <v>22.940000534057617</v>
      </c>
      <c r="D476" s="18">
        <f>SUM(C$3:C476)/A476</f>
        <v>30.53374304055</v>
      </c>
    </row>
    <row r="477" spans="1:4" x14ac:dyDescent="0.2">
      <c r="A477" s="18">
        <f t="shared" si="3"/>
        <v>475</v>
      </c>
      <c r="B477" s="19" t="s">
        <v>315</v>
      </c>
      <c r="C477" s="20">
        <v>22.959999084472656</v>
      </c>
      <c r="D477" s="18">
        <f>SUM(C$3:C477)/A477</f>
        <v>30.517798316431939</v>
      </c>
    </row>
    <row r="478" spans="1:4" x14ac:dyDescent="0.2">
      <c r="A478" s="18">
        <f t="shared" si="3"/>
        <v>476</v>
      </c>
      <c r="B478" s="19" t="s">
        <v>316</v>
      </c>
      <c r="C478" s="20">
        <v>23.350000381469727</v>
      </c>
      <c r="D478" s="18">
        <f>SUM(C$3:C478)/A478</f>
        <v>30.50273991740891</v>
      </c>
    </row>
    <row r="479" spans="1:4" x14ac:dyDescent="0.2">
      <c r="A479" s="18">
        <f t="shared" si="3"/>
        <v>477</v>
      </c>
      <c r="B479" s="19" t="s">
        <v>317</v>
      </c>
      <c r="C479" s="20">
        <v>23.579999923706055</v>
      </c>
      <c r="D479" s="18">
        <f>SUM(C$3:C479)/A479</f>
        <v>30.488226835661106</v>
      </c>
    </row>
    <row r="480" spans="1:4" x14ac:dyDescent="0.2">
      <c r="A480" s="18">
        <f t="shared" si="3"/>
        <v>478</v>
      </c>
      <c r="B480" s="19" t="s">
        <v>318</v>
      </c>
      <c r="C480" s="20">
        <v>23.879999160766602</v>
      </c>
      <c r="D480" s="18">
        <f>SUM(C$3:C480)/A480</f>
        <v>30.47440209157137</v>
      </c>
    </row>
    <row r="481" spans="1:4" x14ac:dyDescent="0.2">
      <c r="A481" s="18">
        <f t="shared" si="3"/>
        <v>479</v>
      </c>
      <c r="B481" s="19" t="s">
        <v>319</v>
      </c>
      <c r="C481" s="20">
        <v>23.899999618530273</v>
      </c>
      <c r="D481" s="18">
        <f>SUM(C$3:C481)/A481</f>
        <v>30.460676825448111</v>
      </c>
    </row>
    <row r="482" spans="1:4" x14ac:dyDescent="0.2">
      <c r="A482" s="18">
        <f t="shared" si="3"/>
        <v>480</v>
      </c>
      <c r="B482" s="19" t="s">
        <v>320</v>
      </c>
      <c r="C482" s="20">
        <v>23.940000534057617</v>
      </c>
      <c r="D482" s="18">
        <f>SUM(C$3:C482)/A482</f>
        <v>30.447092083174379</v>
      </c>
    </row>
    <row r="483" spans="1:4" x14ac:dyDescent="0.2">
      <c r="A483" s="18">
        <f t="shared" si="3"/>
        <v>481</v>
      </c>
      <c r="B483" s="19" t="s">
        <v>321</v>
      </c>
      <c r="C483" s="20">
        <v>23.680000305175781</v>
      </c>
      <c r="D483" s="18">
        <f>SUM(C$3:C483)/A483</f>
        <v>30.433023285299122</v>
      </c>
    </row>
    <row r="484" spans="1:4" x14ac:dyDescent="0.2">
      <c r="A484" s="18">
        <f t="shared" si="3"/>
        <v>482</v>
      </c>
      <c r="B484" s="19" t="s">
        <v>322</v>
      </c>
      <c r="C484" s="20">
        <v>23.829999923706055</v>
      </c>
      <c r="D484" s="18">
        <f>SUM(C$3:C484)/A484</f>
        <v>30.419324066706604</v>
      </c>
    </row>
    <row r="485" spans="1:4" x14ac:dyDescent="0.2">
      <c r="A485" s="18">
        <f t="shared" si="3"/>
        <v>483</v>
      </c>
      <c r="B485" s="19">
        <v>45015</v>
      </c>
      <c r="C485" s="20">
        <v>23.979999542236328</v>
      </c>
      <c r="D485" s="18">
        <f>SUM(C$3:C485)/A485</f>
        <v>30.405992131873333</v>
      </c>
    </row>
    <row r="486" spans="1:4" x14ac:dyDescent="0.2">
      <c r="A486" s="18">
        <f t="shared" si="3"/>
        <v>484</v>
      </c>
      <c r="B486" s="19">
        <v>45016</v>
      </c>
      <c r="C486" s="20">
        <v>24.159999847412109</v>
      </c>
      <c r="D486" s="18">
        <f>SUM(C$3:C486)/A486</f>
        <v>30.393087189136843</v>
      </c>
    </row>
    <row r="487" spans="1:4" x14ac:dyDescent="0.2">
      <c r="A487" s="18">
        <f t="shared" si="3"/>
        <v>485</v>
      </c>
      <c r="B487" s="19" t="s">
        <v>323</v>
      </c>
      <c r="C487" s="20">
        <v>24.370000839233398</v>
      </c>
      <c r="D487" s="18">
        <f>SUM(C$3:C487)/A487</f>
        <v>30.380668454394776</v>
      </c>
    </row>
    <row r="488" spans="1:4" x14ac:dyDescent="0.2">
      <c r="A488" s="18">
        <f t="shared" si="3"/>
        <v>486</v>
      </c>
      <c r="B488" s="19" t="s">
        <v>324</v>
      </c>
      <c r="C488" s="20">
        <v>24.25</v>
      </c>
      <c r="D488" s="18">
        <f>SUM(C$3:C488)/A488</f>
        <v>30.36805391024993</v>
      </c>
    </row>
    <row r="489" spans="1:4" x14ac:dyDescent="0.2">
      <c r="A489" s="18">
        <f t="shared" si="3"/>
        <v>487</v>
      </c>
      <c r="B489" s="19" t="s">
        <v>325</v>
      </c>
      <c r="C489" s="20">
        <v>24.329999923706055</v>
      </c>
      <c r="D489" s="18">
        <f>SUM(C$3:C489)/A489</f>
        <v>30.355655442105075</v>
      </c>
    </row>
    <row r="490" spans="1:4" x14ac:dyDescent="0.2">
      <c r="A490" s="18">
        <f t="shared" si="3"/>
        <v>488</v>
      </c>
      <c r="B490" s="19" t="s">
        <v>326</v>
      </c>
      <c r="C490" s="20">
        <v>24.620000839233398</v>
      </c>
      <c r="D490" s="18">
        <f>SUM(C$3:C490)/A490</f>
        <v>30.343902051525422</v>
      </c>
    </row>
    <row r="491" spans="1:4" x14ac:dyDescent="0.2">
      <c r="A491" s="18">
        <f t="shared" si="3"/>
        <v>489</v>
      </c>
      <c r="B491" s="19" t="s">
        <v>327</v>
      </c>
      <c r="C491" s="20">
        <v>24.510000228881836</v>
      </c>
      <c r="D491" s="18">
        <f>SUM(C$3:C491)/A491</f>
        <v>30.331971781949463</v>
      </c>
    </row>
    <row r="492" spans="1:4" x14ac:dyDescent="0.2">
      <c r="A492" s="18">
        <f t="shared" si="3"/>
        <v>490</v>
      </c>
      <c r="B492" s="19" t="s">
        <v>328</v>
      </c>
      <c r="C492" s="20">
        <v>24.5</v>
      </c>
      <c r="D492" s="18">
        <f>SUM(C$3:C492)/A492</f>
        <v>30.320069798720994</v>
      </c>
    </row>
    <row r="493" spans="1:4" x14ac:dyDescent="0.2">
      <c r="A493" s="18">
        <f t="shared" si="3"/>
        <v>491</v>
      </c>
      <c r="B493" s="19" t="s">
        <v>329</v>
      </c>
      <c r="C493" s="20">
        <v>24.489999771118164</v>
      </c>
      <c r="D493" s="18">
        <f>SUM(C$3:C493)/A493</f>
        <v>30.30819592901101</v>
      </c>
    </row>
    <row r="494" spans="1:4" x14ac:dyDescent="0.2">
      <c r="A494" s="18">
        <f t="shared" si="3"/>
        <v>492</v>
      </c>
      <c r="B494" s="19" t="s">
        <v>330</v>
      </c>
      <c r="C494" s="20">
        <v>24.100000381469727</v>
      </c>
      <c r="D494" s="18">
        <f>SUM(C$3:C494)/A494</f>
        <v>30.295577645377794</v>
      </c>
    </row>
    <row r="495" spans="1:4" x14ac:dyDescent="0.2">
      <c r="A495" s="18">
        <f t="shared" si="3"/>
        <v>493</v>
      </c>
      <c r="B495" s="19" t="s">
        <v>331</v>
      </c>
      <c r="C495" s="20">
        <v>24.309999465942383</v>
      </c>
      <c r="D495" s="18">
        <f>SUM(C$3:C495)/A495</f>
        <v>30.283436513167988</v>
      </c>
    </row>
    <row r="496" spans="1:4" x14ac:dyDescent="0.2">
      <c r="A496" s="18">
        <f t="shared" si="3"/>
        <v>494</v>
      </c>
      <c r="B496" s="19" t="s">
        <v>332</v>
      </c>
      <c r="C496" s="20">
        <v>24.450000762939453</v>
      </c>
      <c r="D496" s="18">
        <f>SUM(C$3:C496)/A496</f>
        <v>30.271627938774813</v>
      </c>
    </row>
    <row r="497" spans="1:4" x14ac:dyDescent="0.2">
      <c r="A497" s="18">
        <f t="shared" si="3"/>
        <v>495</v>
      </c>
      <c r="B497" s="19" t="s">
        <v>333</v>
      </c>
      <c r="C497" s="20">
        <v>24.520000457763672</v>
      </c>
      <c r="D497" s="18">
        <f>SUM(C$3:C497)/A497</f>
        <v>30.260008489318224</v>
      </c>
    </row>
    <row r="498" spans="1:4" x14ac:dyDescent="0.2">
      <c r="A498" s="18">
        <f t="shared" si="3"/>
        <v>496</v>
      </c>
      <c r="B498" s="19" t="s">
        <v>334</v>
      </c>
      <c r="C498" s="20">
        <v>24.319999694824219</v>
      </c>
      <c r="D498" s="18">
        <f>SUM(C$3:C498)/A498</f>
        <v>30.248032665135774</v>
      </c>
    </row>
    <row r="499" spans="1:4" x14ac:dyDescent="0.2">
      <c r="A499" s="18">
        <f t="shared" si="3"/>
        <v>497</v>
      </c>
      <c r="B499" s="19" t="s">
        <v>335</v>
      </c>
      <c r="C499" s="20">
        <v>24.139999389648438</v>
      </c>
      <c r="D499" s="18">
        <f>SUM(C$3:C499)/A499</f>
        <v>30.235742859752502</v>
      </c>
    </row>
    <row r="500" spans="1:4" x14ac:dyDescent="0.2">
      <c r="A500" s="18">
        <f t="shared" si="3"/>
        <v>498</v>
      </c>
      <c r="B500" s="19" t="s">
        <v>336</v>
      </c>
      <c r="C500" s="20">
        <v>23.690000534057617</v>
      </c>
      <c r="D500" s="18">
        <f>SUM(C$3:C500)/A500</f>
        <v>30.222598798857533</v>
      </c>
    </row>
    <row r="501" spans="1:4" x14ac:dyDescent="0.2">
      <c r="A501" s="18">
        <f t="shared" si="3"/>
        <v>499</v>
      </c>
      <c r="B501" s="19" t="s">
        <v>337</v>
      </c>
      <c r="C501" s="20">
        <v>23.459999084472656</v>
      </c>
      <c r="D501" s="18">
        <f>SUM(C$3:C501)/A501</f>
        <v>30.20904649482069</v>
      </c>
    </row>
    <row r="502" spans="1:4" x14ac:dyDescent="0.2">
      <c r="A502" s="18">
        <f t="shared" si="3"/>
        <v>500</v>
      </c>
      <c r="B502" s="19" t="s">
        <v>338</v>
      </c>
      <c r="C502" s="20">
        <v>23.049999237060547</v>
      </c>
      <c r="D502" s="18">
        <f>SUM(C$3:C502)/A502</f>
        <v>30.19472840030517</v>
      </c>
    </row>
    <row r="503" spans="1:4" x14ac:dyDescent="0.2">
      <c r="A503" s="18">
        <f t="shared" si="3"/>
        <v>501</v>
      </c>
      <c r="B503" s="19" t="s">
        <v>339</v>
      </c>
      <c r="C503" s="20">
        <v>23.239999771118164</v>
      </c>
      <c r="D503" s="18">
        <f>SUM(C$3:C503)/A503</f>
        <v>30.180846706434536</v>
      </c>
    </row>
    <row r="504" spans="1:4" x14ac:dyDescent="0.2">
      <c r="A504" s="18">
        <f t="shared" si="3"/>
        <v>502</v>
      </c>
      <c r="B504" s="19">
        <v>45043</v>
      </c>
      <c r="C504" s="20">
        <v>23.469999313354492</v>
      </c>
      <c r="D504" s="18">
        <f>SUM(C$3:C504)/A504</f>
        <v>30.16747848453597</v>
      </c>
    </row>
    <row r="505" spans="1:4" x14ac:dyDescent="0.2">
      <c r="A505" s="18">
        <f t="shared" si="3"/>
        <v>503</v>
      </c>
      <c r="B505" s="19">
        <v>45044</v>
      </c>
      <c r="C505" s="20">
        <v>23.579999923706055</v>
      </c>
      <c r="D505" s="18">
        <f>SUM(C$3:C505)/A505</f>
        <v>30.1543821056874</v>
      </c>
    </row>
    <row r="506" spans="1:4" x14ac:dyDescent="0.2">
      <c r="A506" s="18">
        <f t="shared" si="3"/>
        <v>504</v>
      </c>
      <c r="B506" s="19" t="s">
        <v>340</v>
      </c>
      <c r="C506" s="20">
        <v>22.129999160766602</v>
      </c>
      <c r="D506" s="18">
        <f>SUM(C$3:C506)/A506</f>
        <v>30.138460710955414</v>
      </c>
    </row>
    <row r="507" spans="1:4" x14ac:dyDescent="0.2">
      <c r="A507" s="18">
        <f t="shared" si="3"/>
        <v>505</v>
      </c>
      <c r="B507" s="19" t="s">
        <v>341</v>
      </c>
      <c r="C507" s="20">
        <v>21.889999389648437</v>
      </c>
      <c r="D507" s="18">
        <f>SUM(C$3:C507)/A507</f>
        <v>30.122127124180551</v>
      </c>
    </row>
    <row r="508" spans="1:4" x14ac:dyDescent="0.2">
      <c r="A508" s="18">
        <f t="shared" si="3"/>
        <v>506</v>
      </c>
      <c r="B508" s="19" t="s">
        <v>342</v>
      </c>
      <c r="C508" s="20">
        <v>21.920000076293945</v>
      </c>
      <c r="D508" s="18">
        <f>SUM(C$3:C508)/A508</f>
        <v>30.105917386931761</v>
      </c>
    </row>
    <row r="509" spans="1:4" x14ac:dyDescent="0.2">
      <c r="A509" s="18">
        <f t="shared" si="3"/>
        <v>507</v>
      </c>
      <c r="B509" s="19" t="s">
        <v>343</v>
      </c>
      <c r="C509" s="20">
        <v>21.690000534057617</v>
      </c>
      <c r="D509" s="18">
        <f>SUM(C$3:C509)/A509</f>
        <v>30.089317945407355</v>
      </c>
    </row>
    <row r="510" spans="1:4" x14ac:dyDescent="0.2">
      <c r="A510" s="18">
        <f t="shared" si="3"/>
        <v>508</v>
      </c>
      <c r="B510" s="19" t="s">
        <v>344</v>
      </c>
      <c r="C510" s="20">
        <v>21.819999694824219</v>
      </c>
      <c r="D510" s="18">
        <f>SUM(C$3:C510)/A510</f>
        <v>30.07303975987471</v>
      </c>
    </row>
    <row r="511" spans="1:4" x14ac:dyDescent="0.2">
      <c r="A511" s="18">
        <f t="shared" si="3"/>
        <v>509</v>
      </c>
      <c r="B511" s="19" t="s">
        <v>345</v>
      </c>
      <c r="C511" s="20">
        <v>21.860000610351563</v>
      </c>
      <c r="D511" s="18">
        <f>SUM(C$3:C511)/A511</f>
        <v>30.056904123038713</v>
      </c>
    </row>
    <row r="512" spans="1:4" x14ac:dyDescent="0.2">
      <c r="A512" s="18">
        <f t="shared" si="3"/>
        <v>510</v>
      </c>
      <c r="B512" s="19" t="s">
        <v>346</v>
      </c>
      <c r="C512" s="20">
        <v>21.639999389648438</v>
      </c>
      <c r="D512" s="18">
        <f>SUM(C$3:C512)/A512</f>
        <v>30.040400388267361</v>
      </c>
    </row>
    <row r="513" spans="1:4" x14ac:dyDescent="0.2">
      <c r="A513" s="18">
        <f t="shared" si="3"/>
        <v>511</v>
      </c>
      <c r="B513" s="19" t="s">
        <v>347</v>
      </c>
      <c r="C513" s="20">
        <v>22.020000457763672</v>
      </c>
      <c r="D513" s="18">
        <f>SUM(C$3:C513)/A513</f>
        <v>30.024704889381834</v>
      </c>
    </row>
    <row r="514" spans="1:4" x14ac:dyDescent="0.2">
      <c r="A514" s="18">
        <f t="shared" si="3"/>
        <v>512</v>
      </c>
      <c r="B514" s="19" t="s">
        <v>348</v>
      </c>
      <c r="C514" s="20">
        <v>21.930000305175781</v>
      </c>
      <c r="D514" s="18">
        <f>SUM(C$3:C514)/A514</f>
        <v>30.008894919490807</v>
      </c>
    </row>
    <row r="515" spans="1:4" x14ac:dyDescent="0.2">
      <c r="A515" s="18">
        <f t="shared" si="3"/>
        <v>513</v>
      </c>
      <c r="B515" s="19" t="s">
        <v>349</v>
      </c>
      <c r="C515" s="20">
        <v>21.950000762939453</v>
      </c>
      <c r="D515" s="18">
        <f>SUM(C$3:C515)/A515</f>
        <v>29.993185574156399</v>
      </c>
    </row>
    <row r="516" spans="1:4" x14ac:dyDescent="0.2">
      <c r="A516" s="18">
        <f t="shared" si="3"/>
        <v>514</v>
      </c>
      <c r="B516" s="19" t="s">
        <v>350</v>
      </c>
      <c r="C516" s="20">
        <v>21.930000305175781</v>
      </c>
      <c r="D516" s="18">
        <f>SUM(C$3:C516)/A516</f>
        <v>29.977498443282897</v>
      </c>
    </row>
    <row r="517" spans="1:4" x14ac:dyDescent="0.2">
      <c r="A517" s="18">
        <f t="shared" si="3"/>
        <v>515</v>
      </c>
      <c r="B517" s="19" t="s">
        <v>351</v>
      </c>
      <c r="C517" s="20">
        <v>21.989999771118164</v>
      </c>
      <c r="D517" s="18">
        <f>SUM(C$3:C517)/A517</f>
        <v>29.961988737123352</v>
      </c>
    </row>
    <row r="518" spans="1:4" x14ac:dyDescent="0.2">
      <c r="A518" s="18">
        <f t="shared" si="3"/>
        <v>516</v>
      </c>
      <c r="B518" s="19" t="s">
        <v>352</v>
      </c>
      <c r="C518" s="20">
        <v>22.020000457763672</v>
      </c>
      <c r="D518" s="18">
        <f>SUM(C$3:C518)/A518</f>
        <v>29.946597286969556</v>
      </c>
    </row>
    <row r="519" spans="1:4" x14ac:dyDescent="0.2">
      <c r="A519" s="18">
        <f t="shared" si="3"/>
        <v>517</v>
      </c>
      <c r="B519" s="19" t="s">
        <v>353</v>
      </c>
      <c r="C519" s="20">
        <v>21.83</v>
      </c>
      <c r="D519" s="18">
        <f>SUM(C$3:C519)/A519</f>
        <v>29.930897872487989</v>
      </c>
    </row>
    <row r="520" spans="1:4" x14ac:dyDescent="0.2">
      <c r="A520" s="18">
        <f t="shared" si="3"/>
        <v>518</v>
      </c>
      <c r="B520" s="19" t="s">
        <v>354</v>
      </c>
      <c r="C520" s="20">
        <v>21.659999847412109</v>
      </c>
      <c r="D520" s="18">
        <f>SUM(C$3:C520)/A520</f>
        <v>29.914930887883596</v>
      </c>
    </row>
    <row r="521" spans="1:4" x14ac:dyDescent="0.2">
      <c r="A521" s="18">
        <f t="shared" si="3"/>
        <v>519</v>
      </c>
      <c r="B521" s="19" t="s">
        <v>355</v>
      </c>
      <c r="C521" s="20">
        <v>21.649999618530273</v>
      </c>
      <c r="D521" s="18">
        <f>SUM(C$3:C521)/A521</f>
        <v>29.899006164821259</v>
      </c>
    </row>
    <row r="522" spans="1:4" x14ac:dyDescent="0.2">
      <c r="A522" s="18">
        <f t="shared" si="3"/>
        <v>520</v>
      </c>
      <c r="B522" s="19" t="s">
        <v>356</v>
      </c>
      <c r="C522" s="20">
        <v>21.590000152587891</v>
      </c>
      <c r="D522" s="18">
        <f>SUM(C$3:C522)/A522</f>
        <v>29.883027307105422</v>
      </c>
    </row>
    <row r="523" spans="1:4" x14ac:dyDescent="0.2">
      <c r="A523" s="18">
        <f t="shared" si="3"/>
        <v>521</v>
      </c>
      <c r="B523" s="19" t="s">
        <v>357</v>
      </c>
      <c r="C523" s="20">
        <v>21.329999923706055</v>
      </c>
      <c r="D523" s="18">
        <f>SUM(C$3:C523)/A523</f>
        <v>29.866610747828265</v>
      </c>
    </row>
    <row r="524" spans="1:4" x14ac:dyDescent="0.2">
      <c r="A524" s="18">
        <f t="shared" si="3"/>
        <v>522</v>
      </c>
      <c r="B524" s="19">
        <v>45076</v>
      </c>
      <c r="C524" s="20">
        <v>21.520000457763672</v>
      </c>
      <c r="D524" s="18">
        <f>SUM(C$3:C524)/A524</f>
        <v>29.850621072943085</v>
      </c>
    </row>
    <row r="525" spans="1:4" x14ac:dyDescent="0.2">
      <c r="A525" s="18">
        <f t="shared" si="3"/>
        <v>523</v>
      </c>
      <c r="B525" s="19">
        <v>45077</v>
      </c>
      <c r="C525" s="20">
        <v>21.329999923706055</v>
      </c>
      <c r="D525" s="18">
        <f>SUM(C$3:C525)/A525</f>
        <v>29.834329254302094</v>
      </c>
    </row>
    <row r="526" spans="1:4" x14ac:dyDescent="0.2">
      <c r="A526" s="18">
        <f t="shared" si="3"/>
        <v>524</v>
      </c>
      <c r="B526" s="19" t="s">
        <v>358</v>
      </c>
      <c r="C526" s="20">
        <v>21.420000076293945</v>
      </c>
      <c r="D526" s="18">
        <f>SUM(C$3:C526)/A526</f>
        <v>29.818271374191394</v>
      </c>
    </row>
    <row r="527" spans="1:4" x14ac:dyDescent="0.2">
      <c r="A527" s="18">
        <f t="shared" si="3"/>
        <v>525</v>
      </c>
      <c r="B527" s="19" t="s">
        <v>359</v>
      </c>
      <c r="C527" s="20">
        <v>21.729999542236328</v>
      </c>
      <c r="D527" s="18">
        <f>SUM(C$3:C527)/A527</f>
        <v>29.802865142130525</v>
      </c>
    </row>
    <row r="528" spans="1:4" x14ac:dyDescent="0.2">
      <c r="A528" s="18">
        <f t="shared" si="3"/>
        <v>526</v>
      </c>
      <c r="B528" s="19" t="s">
        <v>360</v>
      </c>
      <c r="C528" s="20">
        <v>21.629999160766602</v>
      </c>
      <c r="D528" s="18">
        <f>SUM(C$3:C528)/A528</f>
        <v>29.787327374105121</v>
      </c>
    </row>
    <row r="529" spans="1:4" x14ac:dyDescent="0.2">
      <c r="A529" s="18">
        <f t="shared" si="3"/>
        <v>527</v>
      </c>
      <c r="B529" s="19" t="s">
        <v>361</v>
      </c>
      <c r="C529" s="20">
        <v>21.299999237060547</v>
      </c>
      <c r="D529" s="18">
        <f>SUM(C$3:C529)/A529</f>
        <v>29.771222387127807</v>
      </c>
    </row>
    <row r="530" spans="1:4" x14ac:dyDescent="0.2">
      <c r="A530" s="18">
        <f t="shared" si="3"/>
        <v>528</v>
      </c>
      <c r="B530" s="19" t="s">
        <v>362</v>
      </c>
      <c r="C530" s="20">
        <v>21.069999694824219</v>
      </c>
      <c r="D530" s="18">
        <f>SUM(C$3:C530)/A530</f>
        <v>29.754742798695414</v>
      </c>
    </row>
    <row r="531" spans="1:4" x14ac:dyDescent="0.2">
      <c r="A531" s="18">
        <f t="shared" si="3"/>
        <v>529</v>
      </c>
      <c r="B531" s="19" t="s">
        <v>363</v>
      </c>
      <c r="C531" s="20">
        <v>21.079999923706055</v>
      </c>
      <c r="D531" s="18">
        <f>SUM(C$3:C531)/A531</f>
        <v>29.738344418969536</v>
      </c>
    </row>
    <row r="532" spans="1:4" x14ac:dyDescent="0.2">
      <c r="A532" s="18">
        <f t="shared" si="3"/>
        <v>530</v>
      </c>
      <c r="B532" s="19" t="s">
        <v>364</v>
      </c>
      <c r="C532" s="20">
        <v>21.229999542236328</v>
      </c>
      <c r="D532" s="18">
        <f>SUM(C$3:C532)/A532</f>
        <v>29.722290938070039</v>
      </c>
    </row>
    <row r="533" spans="1:4" x14ac:dyDescent="0.2">
      <c r="A533" s="18">
        <f t="shared" si="3"/>
        <v>531</v>
      </c>
      <c r="B533" s="19" t="s">
        <v>365</v>
      </c>
      <c r="C533" s="20">
        <v>21.420000076293945</v>
      </c>
      <c r="D533" s="18">
        <f>SUM(C$3:C533)/A533</f>
        <v>29.706655738706996</v>
      </c>
    </row>
    <row r="534" spans="1:4" x14ac:dyDescent="0.2">
      <c r="A534" s="18">
        <f t="shared" si="3"/>
        <v>532</v>
      </c>
      <c r="B534" s="19" t="s">
        <v>366</v>
      </c>
      <c r="C534" s="20">
        <v>21.649999618530273</v>
      </c>
      <c r="D534" s="18">
        <f>SUM(C$3:C534)/A534</f>
        <v>29.691511648255535</v>
      </c>
    </row>
    <row r="535" spans="1:4" x14ac:dyDescent="0.2">
      <c r="A535" s="18">
        <f t="shared" si="3"/>
        <v>533</v>
      </c>
      <c r="B535" s="19" t="s">
        <v>367</v>
      </c>
      <c r="C535" s="20">
        <v>21.670000076293945</v>
      </c>
      <c r="D535" s="18">
        <f>SUM(C$3:C535)/A535</f>
        <v>29.676461907970427</v>
      </c>
    </row>
    <row r="536" spans="1:4" x14ac:dyDescent="0.2">
      <c r="A536" s="18">
        <f t="shared" si="3"/>
        <v>534</v>
      </c>
      <c r="B536" s="19" t="s">
        <v>368</v>
      </c>
      <c r="C536" s="20">
        <v>22.270000457763672</v>
      </c>
      <c r="D536" s="18">
        <f>SUM(C$3:C536)/A536</f>
        <v>29.662592129973788</v>
      </c>
    </row>
    <row r="537" spans="1:4" x14ac:dyDescent="0.2">
      <c r="A537" s="18">
        <f t="shared" si="3"/>
        <v>535</v>
      </c>
      <c r="B537" s="19" t="s">
        <v>369</v>
      </c>
      <c r="C537" s="20">
        <v>22.579999923706055</v>
      </c>
      <c r="D537" s="18">
        <f>SUM(C$3:C537)/A537</f>
        <v>29.649353639868615</v>
      </c>
    </row>
    <row r="538" spans="1:4" x14ac:dyDescent="0.2">
      <c r="A538" s="18">
        <f t="shared" si="3"/>
        <v>536</v>
      </c>
      <c r="B538" s="19" t="s">
        <v>370</v>
      </c>
      <c r="C538" s="20">
        <v>22.559999465942383</v>
      </c>
      <c r="D538" s="18">
        <f>SUM(C$3:C538)/A538</f>
        <v>29.636127232827707</v>
      </c>
    </row>
    <row r="539" spans="1:4" x14ac:dyDescent="0.2">
      <c r="A539" s="18">
        <f t="shared" si="3"/>
        <v>537</v>
      </c>
      <c r="B539" s="19" t="s">
        <v>371</v>
      </c>
      <c r="C539" s="20">
        <v>22.760000228881836</v>
      </c>
      <c r="D539" s="18">
        <f>SUM(C$3:C539)/A539</f>
        <v>29.623322527047545</v>
      </c>
    </row>
    <row r="540" spans="1:4" x14ac:dyDescent="0.2">
      <c r="A540" s="18">
        <f t="shared" si="3"/>
        <v>538</v>
      </c>
      <c r="B540" s="19" t="s">
        <v>372</v>
      </c>
      <c r="C540" s="20">
        <v>22.319999694824219</v>
      </c>
      <c r="D540" s="18">
        <f>SUM(C$3:C540)/A540</f>
        <v>29.609747577545271</v>
      </c>
    </row>
    <row r="541" spans="1:4" x14ac:dyDescent="0.2">
      <c r="A541" s="18">
        <f t="shared" si="3"/>
        <v>539</v>
      </c>
      <c r="B541" s="19" t="s">
        <v>373</v>
      </c>
      <c r="C541" s="20">
        <v>22.010000228881836</v>
      </c>
      <c r="D541" s="18">
        <f>SUM(C$3:C541)/A541</f>
        <v>29.595647860757399</v>
      </c>
    </row>
    <row r="542" spans="1:4" x14ac:dyDescent="0.2">
      <c r="A542" s="18">
        <f t="shared" si="3"/>
        <v>540</v>
      </c>
      <c r="B542" s="19" t="s">
        <v>374</v>
      </c>
      <c r="C542" s="20">
        <v>22.190000534057617</v>
      </c>
      <c r="D542" s="18">
        <f>SUM(C$3:C542)/A542</f>
        <v>29.58193369904129</v>
      </c>
    </row>
    <row r="543" spans="1:4" x14ac:dyDescent="0.2">
      <c r="A543" s="18">
        <f t="shared" si="3"/>
        <v>541</v>
      </c>
      <c r="B543" s="19" t="s">
        <v>375</v>
      </c>
      <c r="C543" s="20">
        <v>22.049999237060547</v>
      </c>
      <c r="D543" s="18">
        <f>SUM(C$3:C543)/A543</f>
        <v>29.568011454194743</v>
      </c>
    </row>
    <row r="544" spans="1:4" x14ac:dyDescent="0.2">
      <c r="A544" s="18">
        <f t="shared" si="3"/>
        <v>542</v>
      </c>
      <c r="B544" s="19">
        <v>45106</v>
      </c>
      <c r="C544" s="20">
        <v>21.989999771118164</v>
      </c>
      <c r="D544" s="18">
        <f>SUM(C$3:C544)/A544</f>
        <v>29.554029882823755</v>
      </c>
    </row>
    <row r="545" spans="1:4" x14ac:dyDescent="0.2">
      <c r="A545" s="18">
        <f t="shared" si="3"/>
        <v>543</v>
      </c>
      <c r="B545" s="19">
        <v>45107</v>
      </c>
      <c r="C545" s="20">
        <v>22.200000762939453</v>
      </c>
      <c r="D545" s="18">
        <f>SUM(C$3:C545)/A545</f>
        <v>29.540486551111261</v>
      </c>
    </row>
    <row r="546" spans="1:4" x14ac:dyDescent="0.2">
      <c r="A546" s="18">
        <f t="shared" si="3"/>
        <v>544</v>
      </c>
      <c r="B546" s="19" t="s">
        <v>376</v>
      </c>
      <c r="C546" s="20">
        <v>22.340000152587891</v>
      </c>
      <c r="D546" s="18">
        <f>SUM(C$3:C546)/A546</f>
        <v>29.527250362878679</v>
      </c>
    </row>
    <row r="547" spans="1:4" x14ac:dyDescent="0.2">
      <c r="A547" s="18">
        <f t="shared" si="3"/>
        <v>545</v>
      </c>
      <c r="B547" s="19" t="s">
        <v>377</v>
      </c>
      <c r="C547" s="20">
        <v>22.469999313354492</v>
      </c>
      <c r="D547" s="18">
        <f>SUM(C$3:C547)/A547</f>
        <v>29.514301278384142</v>
      </c>
    </row>
    <row r="548" spans="1:4" x14ac:dyDescent="0.2">
      <c r="A548" s="18">
        <f t="shared" si="3"/>
        <v>546</v>
      </c>
      <c r="B548" s="19" t="s">
        <v>378</v>
      </c>
      <c r="C548" s="20">
        <v>22.25</v>
      </c>
      <c r="D548" s="18">
        <f>SUM(C$3:C548)/A548</f>
        <v>29.500996697288198</v>
      </c>
    </row>
    <row r="549" spans="1:4" x14ac:dyDescent="0.2">
      <c r="A549" s="18">
        <f t="shared" si="3"/>
        <v>547</v>
      </c>
      <c r="B549" s="19" t="s">
        <v>379</v>
      </c>
      <c r="C549" s="20">
        <v>22.120000839233398</v>
      </c>
      <c r="D549" s="18">
        <f>SUM(C$3:C549)/A549</f>
        <v>29.487503103397788</v>
      </c>
    </row>
    <row r="550" spans="1:4" x14ac:dyDescent="0.2">
      <c r="A550" s="18">
        <f t="shared" si="3"/>
        <v>548</v>
      </c>
      <c r="B550" s="19" t="s">
        <v>380</v>
      </c>
      <c r="C550" s="20">
        <v>21.879999160766602</v>
      </c>
      <c r="D550" s="18">
        <f>SUM(C$3:C550)/A550</f>
        <v>29.473620796933133</v>
      </c>
    </row>
    <row r="551" spans="1:4" x14ac:dyDescent="0.2">
      <c r="A551" s="18">
        <f t="shared" si="3"/>
        <v>549</v>
      </c>
      <c r="B551" s="19" t="s">
        <v>381</v>
      </c>
      <c r="C551" s="20">
        <v>22.040000915527344</v>
      </c>
      <c r="D551" s="18">
        <f>SUM(C$3:C551)/A551</f>
        <v>29.46008050571017</v>
      </c>
    </row>
    <row r="552" spans="1:4" x14ac:dyDescent="0.2">
      <c r="A552" s="18">
        <f t="shared" si="3"/>
        <v>550</v>
      </c>
      <c r="B552" s="19" t="s">
        <v>382</v>
      </c>
      <c r="C552" s="20">
        <v>22.280000686645508</v>
      </c>
      <c r="D552" s="18">
        <f>SUM(C$3:C552)/A552</f>
        <v>29.447025815130054</v>
      </c>
    </row>
    <row r="553" spans="1:4" x14ac:dyDescent="0.2">
      <c r="A553" s="18">
        <f t="shared" si="3"/>
        <v>551</v>
      </c>
      <c r="B553" s="19" t="s">
        <v>383</v>
      </c>
      <c r="C553" s="20">
        <v>22.040000915527344</v>
      </c>
      <c r="D553" s="18">
        <f>SUM(C$3:C553)/A553</f>
        <v>29.433582938724239</v>
      </c>
    </row>
    <row r="554" spans="1:4" x14ac:dyDescent="0.2">
      <c r="A554" s="18">
        <f t="shared" si="3"/>
        <v>552</v>
      </c>
      <c r="B554" s="19" t="s">
        <v>384</v>
      </c>
      <c r="C554" s="20">
        <v>22.370000839233398</v>
      </c>
      <c r="D554" s="18">
        <f>SUM(C$3:C554)/A554</f>
        <v>29.420786594341106</v>
      </c>
    </row>
    <row r="555" spans="1:4" x14ac:dyDescent="0.2">
      <c r="A555" s="18">
        <f t="shared" si="3"/>
        <v>553</v>
      </c>
      <c r="B555" s="19" t="s">
        <v>385</v>
      </c>
      <c r="C555" s="20">
        <v>22.319999694824219</v>
      </c>
      <c r="D555" s="18">
        <f>SUM(C$3:C555)/A555</f>
        <v>29.407946111701833</v>
      </c>
    </row>
    <row r="556" spans="1:4" x14ac:dyDescent="0.2">
      <c r="A556" s="18">
        <f t="shared" si="3"/>
        <v>554</v>
      </c>
      <c r="B556" s="19" t="s">
        <v>386</v>
      </c>
      <c r="C556" s="20">
        <v>22.190000534057617</v>
      </c>
      <c r="D556" s="18">
        <f>SUM(C$3:C556)/A556</f>
        <v>29.394917329070708</v>
      </c>
    </row>
    <row r="557" spans="1:4" x14ac:dyDescent="0.2">
      <c r="A557" s="18">
        <f t="shared" si="3"/>
        <v>555</v>
      </c>
      <c r="B557" s="19" t="s">
        <v>387</v>
      </c>
      <c r="C557" s="20">
        <v>22.090000152587891</v>
      </c>
      <c r="D557" s="18">
        <f>SUM(C$3:C557)/A557</f>
        <v>29.381755316140108</v>
      </c>
    </row>
    <row r="558" spans="1:4" x14ac:dyDescent="0.2">
      <c r="A558" s="18">
        <f t="shared" si="3"/>
        <v>556</v>
      </c>
      <c r="B558" s="19" t="s">
        <v>388</v>
      </c>
      <c r="C558" s="20">
        <v>21.969999313354492</v>
      </c>
      <c r="D558" s="18">
        <f>SUM(C$3:C558)/A558</f>
        <v>29.368424819732219</v>
      </c>
    </row>
    <row r="559" spans="1:4" x14ac:dyDescent="0.2">
      <c r="A559" s="18">
        <f t="shared" si="3"/>
        <v>557</v>
      </c>
      <c r="B559" s="19" t="s">
        <v>389</v>
      </c>
      <c r="C559" s="20">
        <v>21.719999313354492</v>
      </c>
      <c r="D559" s="18">
        <f>SUM(C$3:C559)/A559</f>
        <v>29.354693355627411</v>
      </c>
    </row>
    <row r="560" spans="1:4" x14ac:dyDescent="0.2">
      <c r="A560" s="18">
        <f t="shared" si="3"/>
        <v>558</v>
      </c>
      <c r="B560" s="19" t="s">
        <v>390</v>
      </c>
      <c r="C560" s="20">
        <v>21.649999618530273</v>
      </c>
      <c r="D560" s="18">
        <f>SUM(C$3:C560)/A560</f>
        <v>29.340885660758062</v>
      </c>
    </row>
    <row r="561" spans="1:4" x14ac:dyDescent="0.2">
      <c r="A561" s="18">
        <f t="shared" si="3"/>
        <v>559</v>
      </c>
      <c r="B561" s="19" t="s">
        <v>391</v>
      </c>
      <c r="C561" s="20">
        <v>21.510000228881836</v>
      </c>
      <c r="D561" s="18">
        <f>SUM(C$3:C561)/A561</f>
        <v>29.326876921166154</v>
      </c>
    </row>
    <row r="562" spans="1:4" x14ac:dyDescent="0.2">
      <c r="A562" s="18">
        <f t="shared" si="3"/>
        <v>560</v>
      </c>
      <c r="B562" s="19" t="s">
        <v>392</v>
      </c>
      <c r="C562" s="20">
        <v>22.069999694824219</v>
      </c>
      <c r="D562" s="18">
        <f>SUM(C$3:C562)/A562</f>
        <v>29.3139182118334</v>
      </c>
    </row>
    <row r="563" spans="1:4" x14ac:dyDescent="0.2">
      <c r="A563" s="18">
        <f t="shared" si="3"/>
        <v>561</v>
      </c>
      <c r="B563" s="19" t="s">
        <v>393</v>
      </c>
      <c r="C563" s="20">
        <v>21.969999313354492</v>
      </c>
      <c r="D563" s="18">
        <f>SUM(C$3:C563)/A563</f>
        <v>29.300827447308482</v>
      </c>
    </row>
    <row r="564" spans="1:4" x14ac:dyDescent="0.2">
      <c r="A564" s="18">
        <f t="shared" si="3"/>
        <v>562</v>
      </c>
      <c r="B564" s="19" t="s">
        <v>394</v>
      </c>
      <c r="C564" s="20">
        <v>21.920000076293945</v>
      </c>
      <c r="D564" s="18">
        <f>SUM(C$3:C564)/A564</f>
        <v>29.287694302520197</v>
      </c>
    </row>
    <row r="565" spans="1:4" x14ac:dyDescent="0.2">
      <c r="A565" s="18">
        <f t="shared" si="3"/>
        <v>563</v>
      </c>
      <c r="B565" s="19">
        <v>45135</v>
      </c>
      <c r="C565" s="20">
        <v>22.25</v>
      </c>
      <c r="D565" s="18">
        <f>SUM(C$3:C565)/A565</f>
        <v>29.275193957400269</v>
      </c>
    </row>
    <row r="566" spans="1:4" x14ac:dyDescent="0.2">
      <c r="A566" s="18">
        <f t="shared" si="3"/>
        <v>564</v>
      </c>
      <c r="B566" s="19">
        <v>45138</v>
      </c>
      <c r="C566" s="20">
        <v>22.409999847412109</v>
      </c>
      <c r="D566" s="18">
        <f>SUM(C$3:C566)/A566</f>
        <v>29.26302162741802</v>
      </c>
    </row>
    <row r="567" spans="1:4" x14ac:dyDescent="0.2">
      <c r="A567" s="18">
        <f t="shared" si="3"/>
        <v>565</v>
      </c>
      <c r="B567" s="19" t="s">
        <v>395</v>
      </c>
      <c r="C567" s="20">
        <v>22.309999465942383</v>
      </c>
      <c r="D567" s="18">
        <f>SUM(C$3:C567)/A567</f>
        <v>29.250715393503906</v>
      </c>
    </row>
    <row r="568" spans="1:4" x14ac:dyDescent="0.2">
      <c r="A568" s="18">
        <f t="shared" si="3"/>
        <v>566</v>
      </c>
      <c r="B568" s="19" t="s">
        <v>396</v>
      </c>
      <c r="C568" s="20">
        <v>22.239999771118164</v>
      </c>
      <c r="D568" s="18">
        <f>SUM(C$3:C568)/A568</f>
        <v>29.238328970142799</v>
      </c>
    </row>
    <row r="569" spans="1:4" x14ac:dyDescent="0.2">
      <c r="A569" s="18">
        <f t="shared" si="3"/>
        <v>567</v>
      </c>
      <c r="B569" s="19" t="s">
        <v>397</v>
      </c>
      <c r="C569" s="20">
        <v>22.350000381469727</v>
      </c>
      <c r="D569" s="18">
        <f>SUM(C$3:C569)/A569</f>
        <v>29.22618024247318</v>
      </c>
    </row>
    <row r="570" spans="1:4" x14ac:dyDescent="0.2">
      <c r="A570" s="18">
        <f t="shared" si="3"/>
        <v>568</v>
      </c>
      <c r="B570" s="19" t="s">
        <v>398</v>
      </c>
      <c r="C570" s="20">
        <v>22.510000228881836</v>
      </c>
      <c r="D570" s="18">
        <f>SUM(C$3:C570)/A570</f>
        <v>29.214355981885873</v>
      </c>
    </row>
    <row r="571" spans="1:4" x14ac:dyDescent="0.2">
      <c r="A571" s="18">
        <f t="shared" si="3"/>
        <v>569</v>
      </c>
      <c r="B571" s="19" t="s">
        <v>399</v>
      </c>
      <c r="C571" s="20">
        <v>22.290000915527344</v>
      </c>
      <c r="D571" s="18">
        <f>SUM(C$3:C571)/A571</f>
        <v>29.202186640820216</v>
      </c>
    </row>
    <row r="572" spans="1:4" x14ac:dyDescent="0.2">
      <c r="A572" s="18">
        <f t="shared" si="3"/>
        <v>570</v>
      </c>
      <c r="B572" s="19" t="s">
        <v>400</v>
      </c>
      <c r="C572" s="20">
        <v>22.219999313354492</v>
      </c>
      <c r="D572" s="18">
        <f>SUM(C$3:C572)/A572</f>
        <v>29.189937189368521</v>
      </c>
    </row>
    <row r="573" spans="1:4" x14ac:dyDescent="0.2">
      <c r="A573" s="18">
        <f t="shared" si="3"/>
        <v>571</v>
      </c>
      <c r="B573" s="19" t="s">
        <v>401</v>
      </c>
      <c r="C573" s="20">
        <v>22.100000381469727</v>
      </c>
      <c r="D573" s="18">
        <f>SUM(C$3:C573)/A573</f>
        <v>29.177520487428243</v>
      </c>
    </row>
    <row r="574" spans="1:4" x14ac:dyDescent="0.2">
      <c r="A574" s="18">
        <f t="shared" si="3"/>
        <v>572</v>
      </c>
      <c r="B574" s="19" t="s">
        <v>402</v>
      </c>
      <c r="C574" s="20">
        <v>22.090000152587891</v>
      </c>
      <c r="D574" s="18">
        <f>SUM(C$3:C574)/A574</f>
        <v>29.165129717612089</v>
      </c>
    </row>
    <row r="575" spans="1:4" x14ac:dyDescent="0.2">
      <c r="A575" s="18">
        <f t="shared" si="3"/>
        <v>573</v>
      </c>
      <c r="B575" s="19" t="s">
        <v>403</v>
      </c>
      <c r="C575" s="20">
        <v>21.620000839233398</v>
      </c>
      <c r="D575" s="18">
        <f>SUM(C$3:C575)/A575</f>
        <v>29.151961953426436</v>
      </c>
    </row>
    <row r="576" spans="1:4" x14ac:dyDescent="0.2">
      <c r="A576" s="18">
        <f t="shared" si="3"/>
        <v>574</v>
      </c>
      <c r="B576" s="19" t="s">
        <v>404</v>
      </c>
      <c r="C576" s="20">
        <v>21.409999847412109</v>
      </c>
      <c r="D576" s="18">
        <f>SUM(C$3:C576)/A576</f>
        <v>29.138474214565786</v>
      </c>
    </row>
    <row r="577" spans="1:4" x14ac:dyDescent="0.2">
      <c r="A577" s="18">
        <f t="shared" si="3"/>
        <v>575</v>
      </c>
      <c r="B577" s="19" t="s">
        <v>405</v>
      </c>
      <c r="C577" s="20">
        <v>21.229999542236328</v>
      </c>
      <c r="D577" s="18">
        <f>SUM(C$3:C577)/A577</f>
        <v>29.124720345570431</v>
      </c>
    </row>
    <row r="578" spans="1:4" x14ac:dyDescent="0.2">
      <c r="A578" s="18">
        <f t="shared" si="3"/>
        <v>576</v>
      </c>
      <c r="B578" s="19" t="s">
        <v>406</v>
      </c>
      <c r="C578" s="20">
        <v>21.010000228881836</v>
      </c>
      <c r="D578" s="18">
        <f>SUM(C$3:C578)/A578</f>
        <v>29.11063228981229</v>
      </c>
    </row>
    <row r="579" spans="1:4" x14ac:dyDescent="0.2">
      <c r="A579" s="18">
        <f t="shared" si="3"/>
        <v>577</v>
      </c>
      <c r="B579" s="19" t="s">
        <v>407</v>
      </c>
      <c r="C579" s="20">
        <v>21.149999618530273</v>
      </c>
      <c r="D579" s="18">
        <f>SUM(C$3:C579)/A579</f>
        <v>29.096835699394124</v>
      </c>
    </row>
    <row r="580" spans="1:4" x14ac:dyDescent="0.2">
      <c r="A580" s="18">
        <f t="shared" si="3"/>
        <v>578</v>
      </c>
      <c r="B580" s="19" t="s">
        <v>408</v>
      </c>
      <c r="C580" s="20">
        <v>20.829999923706055</v>
      </c>
      <c r="D580" s="18">
        <f>SUM(C$3:C580)/A580</f>
        <v>29.082533215353141</v>
      </c>
    </row>
    <row r="581" spans="1:4" x14ac:dyDescent="0.2">
      <c r="A581" s="18">
        <f t="shared" si="3"/>
        <v>579</v>
      </c>
      <c r="B581" s="19" t="s">
        <v>409</v>
      </c>
      <c r="C581" s="20">
        <v>20.549999237060547</v>
      </c>
      <c r="D581" s="18">
        <f>SUM(C$3:C581)/A581</f>
        <v>29.067796541815504</v>
      </c>
    </row>
    <row r="582" spans="1:4" x14ac:dyDescent="0.2">
      <c r="A582" s="18">
        <f t="shared" si="3"/>
        <v>580</v>
      </c>
      <c r="B582" s="19" t="s">
        <v>410</v>
      </c>
      <c r="C582" s="20">
        <v>20.629999160766602</v>
      </c>
      <c r="D582" s="18">
        <f>SUM(C$3:C582)/A582</f>
        <v>29.053248615296454</v>
      </c>
    </row>
    <row r="583" spans="1:4" x14ac:dyDescent="0.2">
      <c r="A583" s="18">
        <f t="shared" si="3"/>
        <v>581</v>
      </c>
      <c r="B583" s="19" t="s">
        <v>411</v>
      </c>
      <c r="C583" s="20">
        <v>20.159999847412109</v>
      </c>
      <c r="D583" s="18">
        <f>SUM(C$3:C583)/A583</f>
        <v>29.037941818794071</v>
      </c>
    </row>
    <row r="584" spans="1:4" x14ac:dyDescent="0.2">
      <c r="A584" s="18">
        <f t="shared" si="3"/>
        <v>582</v>
      </c>
      <c r="B584" s="19" t="s">
        <v>412</v>
      </c>
      <c r="C584" s="20">
        <v>20.399999618530273</v>
      </c>
      <c r="D584" s="18">
        <f>SUM(C$3:C584)/A584</f>
        <v>29.023099993707707</v>
      </c>
    </row>
    <row r="585" spans="1:4" x14ac:dyDescent="0.2">
      <c r="A585" s="18">
        <f t="shared" si="3"/>
        <v>583</v>
      </c>
      <c r="B585" s="19" t="s">
        <v>413</v>
      </c>
      <c r="C585" s="20">
        <v>20.149999618530273</v>
      </c>
      <c r="D585" s="18">
        <f>SUM(C$3:C585)/A585</f>
        <v>29.007880267506717</v>
      </c>
    </row>
    <row r="586" spans="1:4" x14ac:dyDescent="0.2">
      <c r="A586" s="18">
        <f t="shared" si="3"/>
        <v>584</v>
      </c>
      <c r="B586" s="19" t="s">
        <v>414</v>
      </c>
      <c r="C586" s="20">
        <v>20.399999618530273</v>
      </c>
      <c r="D586" s="18">
        <f>SUM(C$3:C586)/A586</f>
        <v>28.993140745847509</v>
      </c>
    </row>
    <row r="587" spans="1:4" x14ac:dyDescent="0.2">
      <c r="A587" s="18">
        <f t="shared" si="3"/>
        <v>585</v>
      </c>
      <c r="B587" s="19" t="s">
        <v>415</v>
      </c>
      <c r="C587" s="20">
        <v>20.879999160766602</v>
      </c>
      <c r="D587" s="18">
        <f>SUM(C$3:C587)/A587</f>
        <v>28.979272127753354</v>
      </c>
    </row>
    <row r="588" spans="1:4" x14ac:dyDescent="0.2">
      <c r="A588" s="18">
        <f t="shared" si="3"/>
        <v>586</v>
      </c>
      <c r="B588" s="19">
        <v>45168</v>
      </c>
      <c r="C588" s="20">
        <v>20.989999771118164</v>
      </c>
      <c r="D588" s="18">
        <f>SUM(C$3:C588)/A588</f>
        <v>28.965638557178892</v>
      </c>
    </row>
    <row r="589" spans="1:4" x14ac:dyDescent="0.2">
      <c r="A589" s="18">
        <f t="shared" si="3"/>
        <v>587</v>
      </c>
      <c r="B589" s="19">
        <v>45169</v>
      </c>
      <c r="C589" s="20">
        <v>20.899999618530273</v>
      </c>
      <c r="D589" s="18">
        <f>SUM(C$3:C589)/A589</f>
        <v>28.951898116056832</v>
      </c>
    </row>
    <row r="590" spans="1:4" x14ac:dyDescent="0.2">
      <c r="A590" s="18">
        <f t="shared" si="3"/>
        <v>588</v>
      </c>
      <c r="B590" s="19" t="s">
        <v>416</v>
      </c>
      <c r="C590" s="20">
        <v>20.190000534057617</v>
      </c>
      <c r="D590" s="18">
        <f>SUM(C$3:C590)/A590</f>
        <v>28.936996929692889</v>
      </c>
    </row>
    <row r="591" spans="1:4" x14ac:dyDescent="0.2">
      <c r="A591" s="18">
        <f t="shared" si="3"/>
        <v>589</v>
      </c>
      <c r="B591" s="19" t="s">
        <v>417</v>
      </c>
      <c r="C591" s="20">
        <v>20.379999160766602</v>
      </c>
      <c r="D591" s="18">
        <f>SUM(C$3:C591)/A591</f>
        <v>28.922468919898446</v>
      </c>
    </row>
    <row r="592" spans="1:4" x14ac:dyDescent="0.2">
      <c r="A592" s="18">
        <f t="shared" si="3"/>
        <v>590</v>
      </c>
      <c r="B592" s="19" t="s">
        <v>418</v>
      </c>
      <c r="C592" s="20">
        <v>20.25</v>
      </c>
      <c r="D592" s="18">
        <f>SUM(C$3:C592)/A592</f>
        <v>28.907769820034211</v>
      </c>
    </row>
    <row r="593" spans="1:4" x14ac:dyDescent="0.2">
      <c r="A593" s="18">
        <f t="shared" si="3"/>
        <v>591</v>
      </c>
      <c r="B593" s="19" t="s">
        <v>419</v>
      </c>
      <c r="C593" s="20">
        <v>20.149999618530273</v>
      </c>
      <c r="D593" s="18">
        <f>SUM(C$3:C593)/A593</f>
        <v>28.892951257933529</v>
      </c>
    </row>
    <row r="594" spans="1:4" x14ac:dyDescent="0.2">
      <c r="A594" s="18">
        <f t="shared" si="3"/>
        <v>592</v>
      </c>
      <c r="B594" s="19" t="s">
        <v>420</v>
      </c>
      <c r="C594" s="20">
        <v>19.729999542236328</v>
      </c>
      <c r="D594" s="18">
        <f>SUM(C$3:C594)/A594</f>
        <v>28.87747329895431</v>
      </c>
    </row>
    <row r="595" spans="1:4" x14ac:dyDescent="0.2">
      <c r="A595" s="18">
        <f t="shared" si="3"/>
        <v>593</v>
      </c>
      <c r="B595" s="19" t="s">
        <v>421</v>
      </c>
      <c r="C595" s="20">
        <v>19.610000610351562</v>
      </c>
      <c r="D595" s="18">
        <f>SUM(C$3:C595)/A595</f>
        <v>28.861845183121929</v>
      </c>
    </row>
    <row r="596" spans="1:4" x14ac:dyDescent="0.2">
      <c r="A596" s="18">
        <f t="shared" si="3"/>
        <v>594</v>
      </c>
      <c r="B596" s="19" t="s">
        <v>422</v>
      </c>
      <c r="C596" s="20">
        <v>19.770000457763672</v>
      </c>
      <c r="D596" s="18">
        <f>SUM(C$3:C596)/A596</f>
        <v>28.846539047220652</v>
      </c>
    </row>
    <row r="597" spans="1:4" x14ac:dyDescent="0.2">
      <c r="A597" s="18">
        <f t="shared" si="3"/>
        <v>595</v>
      </c>
      <c r="B597" s="19" t="s">
        <v>423</v>
      </c>
      <c r="C597" s="20">
        <v>19.770000457763672</v>
      </c>
      <c r="D597" s="18">
        <f>SUM(C$3:C597)/A597</f>
        <v>28.831284360515681</v>
      </c>
    </row>
    <row r="598" spans="1:4" x14ac:dyDescent="0.2">
      <c r="A598" s="18">
        <f t="shared" si="3"/>
        <v>596</v>
      </c>
      <c r="B598" s="19" t="s">
        <v>424</v>
      </c>
      <c r="C598" s="20">
        <v>19.520000457763672</v>
      </c>
      <c r="D598" s="18">
        <f>SUM(C$3:C598)/A598</f>
        <v>28.815661400947306</v>
      </c>
    </row>
    <row r="599" spans="1:4" x14ac:dyDescent="0.2">
      <c r="A599" s="18">
        <f t="shared" si="3"/>
        <v>597</v>
      </c>
      <c r="B599" s="19" t="s">
        <v>425</v>
      </c>
      <c r="C599" s="20">
        <v>19.360000610351563</v>
      </c>
      <c r="D599" s="18">
        <f>SUM(C$3:C599)/A599</f>
        <v>28.799822773157363</v>
      </c>
    </row>
    <row r="600" spans="1:4" x14ac:dyDescent="0.2">
      <c r="A600" s="18">
        <f t="shared" si="3"/>
        <v>598</v>
      </c>
      <c r="B600" s="19" t="s">
        <v>426</v>
      </c>
      <c r="C600" s="20">
        <v>19.219999313354492</v>
      </c>
      <c r="D600" s="18">
        <f>SUM(C$3:C600)/A600</f>
        <v>28.783803001485452</v>
      </c>
    </row>
    <row r="601" spans="1:4" x14ac:dyDescent="0.2">
      <c r="A601" s="18">
        <f t="shared" si="3"/>
        <v>599</v>
      </c>
      <c r="B601" s="19" t="s">
        <v>427</v>
      </c>
      <c r="C601" s="20">
        <v>19.370000839233398</v>
      </c>
      <c r="D601" s="18">
        <f>SUM(C$3:C601)/A601</f>
        <v>28.768087138109404</v>
      </c>
    </row>
    <row r="602" spans="1:4" x14ac:dyDescent="0.2">
      <c r="A602" s="18">
        <f t="shared" si="3"/>
        <v>600</v>
      </c>
      <c r="B602" s="19" t="s">
        <v>428</v>
      </c>
      <c r="C602" s="20">
        <v>19.219999313354492</v>
      </c>
      <c r="D602" s="18">
        <f>SUM(C$3:C602)/A602</f>
        <v>28.752173658401478</v>
      </c>
    </row>
    <row r="603" spans="1:4" x14ac:dyDescent="0.2">
      <c r="A603" s="18">
        <f t="shared" si="3"/>
        <v>601</v>
      </c>
      <c r="B603" s="19" t="s">
        <v>429</v>
      </c>
      <c r="C603" s="20">
        <v>19.120000839233398</v>
      </c>
      <c r="D603" s="18">
        <f>SUM(C$3:C603)/A603</f>
        <v>28.736146748552613</v>
      </c>
    </row>
    <row r="604" spans="1:4" x14ac:dyDescent="0.2">
      <c r="A604" s="18">
        <f t="shared" si="3"/>
        <v>602</v>
      </c>
      <c r="B604" s="19" t="s">
        <v>430</v>
      </c>
      <c r="C604" s="20">
        <v>18.959999084472656</v>
      </c>
      <c r="D604" s="18">
        <f>SUM(C$3:C604)/A604</f>
        <v>28.719907300605637</v>
      </c>
    </row>
    <row r="605" spans="1:4" x14ac:dyDescent="0.2">
      <c r="A605" s="18">
        <f t="shared" si="3"/>
        <v>603</v>
      </c>
      <c r="B605" s="19" t="s">
        <v>431</v>
      </c>
      <c r="C605" s="20">
        <v>19.370000839233398</v>
      </c>
      <c r="D605" s="18">
        <f>SUM(C$3:C605)/A605</f>
        <v>28.704401651415967</v>
      </c>
    </row>
    <row r="606" spans="1:4" x14ac:dyDescent="0.2">
      <c r="A606" s="18">
        <f t="shared" si="3"/>
        <v>604</v>
      </c>
      <c r="B606" s="19" t="s">
        <v>432</v>
      </c>
      <c r="C606" s="20">
        <v>19.290000915527344</v>
      </c>
      <c r="D606" s="18">
        <f>SUM(C$3:C606)/A606</f>
        <v>28.68881489523072</v>
      </c>
    </row>
    <row r="607" spans="1:4" x14ac:dyDescent="0.2">
      <c r="A607" s="18">
        <f t="shared" si="3"/>
        <v>605</v>
      </c>
      <c r="B607" s="19" t="s">
        <v>433</v>
      </c>
      <c r="C607" s="20">
        <v>19.170000076293945</v>
      </c>
      <c r="D607" s="18">
        <f>SUM(C$3:C607)/A607</f>
        <v>28.673081317017601</v>
      </c>
    </row>
    <row r="608" spans="1:4" x14ac:dyDescent="0.2">
      <c r="A608" s="18">
        <f t="shared" si="3"/>
        <v>606</v>
      </c>
      <c r="B608" s="19">
        <v>45196</v>
      </c>
      <c r="C608" s="20">
        <v>19.25</v>
      </c>
      <c r="D608" s="18">
        <f>SUM(C$3:C608)/A608</f>
        <v>28.657531677880609</v>
      </c>
    </row>
    <row r="609" spans="1:4" x14ac:dyDescent="0.2">
      <c r="A609" s="18">
        <f t="shared" si="3"/>
        <v>607</v>
      </c>
      <c r="B609" s="19">
        <v>45197</v>
      </c>
      <c r="C609" s="20">
        <v>19.25</v>
      </c>
      <c r="D609" s="18">
        <f>SUM(C$3:C609)/A609</f>
        <v>28.642033273139454</v>
      </c>
    </row>
    <row r="610" spans="1:4" x14ac:dyDescent="0.2">
      <c r="A610" s="18">
        <f t="shared" si="3"/>
        <v>608</v>
      </c>
      <c r="B610" s="19" t="s">
        <v>434</v>
      </c>
      <c r="C610" s="20">
        <v>19.350000381469727</v>
      </c>
      <c r="D610" s="18">
        <f>SUM(C$3:C610)/A610</f>
        <v>28.626750324304471</v>
      </c>
    </row>
    <row r="611" spans="1:4" x14ac:dyDescent="0.2">
      <c r="A611" s="18">
        <f t="shared" ref="A611:A809" si="4">A610+1</f>
        <v>609</v>
      </c>
      <c r="B611" s="19" t="s">
        <v>435</v>
      </c>
      <c r="C611" s="20">
        <v>19.180000305175781</v>
      </c>
      <c r="D611" s="18">
        <f>SUM(C$3:C611)/A611</f>
        <v>28.611238419511157</v>
      </c>
    </row>
    <row r="612" spans="1:4" x14ac:dyDescent="0.2">
      <c r="A612" s="18">
        <f t="shared" si="4"/>
        <v>610</v>
      </c>
      <c r="B612" s="19" t="s">
        <v>436</v>
      </c>
      <c r="C612" s="20">
        <v>19.309999465942383</v>
      </c>
      <c r="D612" s="18">
        <f>SUM(C$3:C612)/A612</f>
        <v>28.595990486800389</v>
      </c>
    </row>
    <row r="613" spans="1:4" x14ac:dyDescent="0.2">
      <c r="A613" s="18">
        <f t="shared" si="4"/>
        <v>611</v>
      </c>
      <c r="B613" s="19" t="s">
        <v>437</v>
      </c>
      <c r="C613" s="20">
        <v>19.459999084472656</v>
      </c>
      <c r="D613" s="18">
        <f>SUM(C$3:C613)/A613</f>
        <v>28.581037964046988</v>
      </c>
    </row>
    <row r="614" spans="1:4" x14ac:dyDescent="0.2">
      <c r="A614" s="18">
        <f t="shared" si="4"/>
        <v>612</v>
      </c>
      <c r="B614" s="19" t="s">
        <v>438</v>
      </c>
      <c r="C614" s="20">
        <v>19.219999313354492</v>
      </c>
      <c r="D614" s="18">
        <f>SUM(C$3:C614)/A614</f>
        <v>28.565742149258273</v>
      </c>
    </row>
    <row r="615" spans="1:4" x14ac:dyDescent="0.2">
      <c r="A615" s="18">
        <f t="shared" si="4"/>
        <v>613</v>
      </c>
      <c r="B615" s="19" t="s">
        <v>439</v>
      </c>
      <c r="C615" s="20">
        <v>18.930000305175781</v>
      </c>
      <c r="D615" s="18">
        <f>SUM(C$3:C615)/A615</f>
        <v>28.550023157669234</v>
      </c>
    </row>
    <row r="616" spans="1:4" x14ac:dyDescent="0.2">
      <c r="A616" s="18">
        <f t="shared" si="4"/>
        <v>614</v>
      </c>
      <c r="B616" s="19" t="s">
        <v>440</v>
      </c>
      <c r="C616" s="20">
        <v>18.950000762939453</v>
      </c>
      <c r="D616" s="18">
        <f>SUM(C$3:C616)/A616</f>
        <v>28.534387942042638</v>
      </c>
    </row>
    <row r="617" spans="1:4" x14ac:dyDescent="0.2">
      <c r="A617" s="18">
        <f t="shared" si="4"/>
        <v>615</v>
      </c>
      <c r="B617" s="19" t="s">
        <v>441</v>
      </c>
      <c r="C617" s="20">
        <v>18.760000228881836</v>
      </c>
      <c r="D617" s="18">
        <f>SUM(C$3:C617)/A617</f>
        <v>28.518494628687904</v>
      </c>
    </row>
    <row r="618" spans="1:4" x14ac:dyDescent="0.2">
      <c r="A618" s="18">
        <f t="shared" si="4"/>
        <v>616</v>
      </c>
      <c r="B618" s="19" t="s">
        <v>442</v>
      </c>
      <c r="C618" s="20">
        <v>18.409999847412109</v>
      </c>
      <c r="D618" s="18">
        <f>SUM(C$3:C618)/A618</f>
        <v>28.502084734562455</v>
      </c>
    </row>
    <row r="619" spans="1:4" x14ac:dyDescent="0.2">
      <c r="A619" s="18">
        <f t="shared" si="4"/>
        <v>617</v>
      </c>
      <c r="B619" s="19" t="s">
        <v>443</v>
      </c>
      <c r="C619" s="20">
        <v>18.200000762939453</v>
      </c>
      <c r="D619" s="18">
        <f>SUM(C$3:C619)/A619</f>
        <v>28.485387677882354</v>
      </c>
    </row>
    <row r="620" spans="1:4" x14ac:dyDescent="0.2">
      <c r="A620" s="18">
        <f t="shared" si="4"/>
        <v>618</v>
      </c>
      <c r="B620" s="19" t="s">
        <v>444</v>
      </c>
      <c r="C620" s="20">
        <v>18.040000915527344</v>
      </c>
      <c r="D620" s="18">
        <f>SUM(C$3:C620)/A620</f>
        <v>28.46848575755492</v>
      </c>
    </row>
    <row r="621" spans="1:4" x14ac:dyDescent="0.2">
      <c r="A621" s="18">
        <f t="shared" si="4"/>
        <v>619</v>
      </c>
      <c r="B621" s="19" t="s">
        <v>445</v>
      </c>
      <c r="C621" s="20">
        <v>18.059999465942383</v>
      </c>
      <c r="D621" s="18">
        <f>SUM(C$3:C621)/A621</f>
        <v>28.451670755468307</v>
      </c>
    </row>
    <row r="622" spans="1:4" x14ac:dyDescent="0.2">
      <c r="A622" s="18">
        <f t="shared" si="4"/>
        <v>620</v>
      </c>
      <c r="B622" s="19" t="s">
        <v>446</v>
      </c>
      <c r="C622" s="20">
        <v>18.100000381469727</v>
      </c>
      <c r="D622" s="18">
        <f>SUM(C$3:C622)/A622</f>
        <v>28.4349745129296</v>
      </c>
    </row>
    <row r="623" spans="1:4" x14ac:dyDescent="0.2">
      <c r="A623" s="18">
        <f t="shared" si="4"/>
        <v>621</v>
      </c>
      <c r="B623" s="19" t="s">
        <v>447</v>
      </c>
      <c r="C623" s="20">
        <v>18.159999847412109</v>
      </c>
      <c r="D623" s="18">
        <f>SUM(C$3:C623)/A623</f>
        <v>28.418428660006061</v>
      </c>
    </row>
    <row r="624" spans="1:4" x14ac:dyDescent="0.2">
      <c r="A624" s="18">
        <f t="shared" si="4"/>
        <v>622</v>
      </c>
      <c r="B624" s="19" t="s">
        <v>448</v>
      </c>
      <c r="C624" s="20">
        <v>18.620000839233398</v>
      </c>
      <c r="D624" s="18">
        <f>SUM(C$3:C624)/A624</f>
        <v>28.402675560615751</v>
      </c>
    </row>
    <row r="625" spans="1:4" x14ac:dyDescent="0.2">
      <c r="A625" s="18">
        <f t="shared" si="4"/>
        <v>623</v>
      </c>
      <c r="B625" s="19">
        <v>45229</v>
      </c>
      <c r="C625" s="20">
        <v>18.969999313354492</v>
      </c>
      <c r="D625" s="18">
        <f>SUM(C$3:C625)/A625</f>
        <v>28.38753482827665</v>
      </c>
    </row>
    <row r="626" spans="1:4" x14ac:dyDescent="0.2">
      <c r="A626" s="18">
        <f t="shared" si="4"/>
        <v>624</v>
      </c>
      <c r="B626" s="19">
        <v>45230</v>
      </c>
      <c r="C626" s="20">
        <v>18.770000457763672</v>
      </c>
      <c r="D626" s="18">
        <f>SUM(C$3:C626)/A626</f>
        <v>28.372122112939287</v>
      </c>
    </row>
    <row r="627" spans="1:4" x14ac:dyDescent="0.2">
      <c r="A627" s="18">
        <f t="shared" si="4"/>
        <v>625</v>
      </c>
      <c r="B627" s="19" t="s">
        <v>449</v>
      </c>
      <c r="C627" s="20">
        <v>18.219999313354492</v>
      </c>
      <c r="D627" s="18">
        <f>SUM(C$3:C627)/A627</f>
        <v>28.355878716459952</v>
      </c>
    </row>
    <row r="628" spans="1:4" x14ac:dyDescent="0.2">
      <c r="A628" s="18">
        <f t="shared" si="4"/>
        <v>626</v>
      </c>
      <c r="B628" s="19" t="s">
        <v>450</v>
      </c>
      <c r="C628" s="20">
        <v>18.069999694824219</v>
      </c>
      <c r="D628" s="18">
        <f>SUM(C$3:C628)/A628</f>
        <v>28.339447599811972</v>
      </c>
    </row>
    <row r="629" spans="1:4" x14ac:dyDescent="0.2">
      <c r="A629" s="18">
        <f t="shared" si="4"/>
        <v>627</v>
      </c>
      <c r="B629" s="19" t="s">
        <v>451</v>
      </c>
      <c r="C629" s="20">
        <v>18.280000686645508</v>
      </c>
      <c r="D629" s="18">
        <f>SUM(C$3:C629)/A629</f>
        <v>28.323403824830844</v>
      </c>
    </row>
    <row r="630" spans="1:4" x14ac:dyDescent="0.2">
      <c r="A630" s="18">
        <f t="shared" si="4"/>
        <v>628</v>
      </c>
      <c r="B630" s="19" t="s">
        <v>452</v>
      </c>
      <c r="C630" s="20">
        <v>18.790000915527344</v>
      </c>
      <c r="D630" s="18">
        <f>SUM(C$3:C630)/A630</f>
        <v>28.308223246949787</v>
      </c>
    </row>
    <row r="631" spans="1:4" x14ac:dyDescent="0.2">
      <c r="A631" s="18">
        <f t="shared" si="4"/>
        <v>629</v>
      </c>
      <c r="B631" s="19" t="s">
        <v>453</v>
      </c>
      <c r="C631" s="20">
        <v>18.709999084472656</v>
      </c>
      <c r="D631" s="18">
        <f>SUM(C$3:C631)/A631</f>
        <v>28.292963749076215</v>
      </c>
    </row>
    <row r="632" spans="1:4" x14ac:dyDescent="0.2">
      <c r="A632" s="18">
        <f t="shared" si="4"/>
        <v>630</v>
      </c>
      <c r="B632" s="19" t="s">
        <v>454</v>
      </c>
      <c r="C632" s="20">
        <v>18.709999084472656</v>
      </c>
      <c r="D632" s="18">
        <f>SUM(C$3:C632)/A632</f>
        <v>28.277752694053035</v>
      </c>
    </row>
    <row r="633" spans="1:4" x14ac:dyDescent="0.2">
      <c r="A633" s="18">
        <f t="shared" si="4"/>
        <v>631</v>
      </c>
      <c r="B633" s="19" t="s">
        <v>455</v>
      </c>
      <c r="C633" s="20">
        <v>18.700000762939453</v>
      </c>
      <c r="D633" s="18">
        <f>SUM(C$3:C633)/A633</f>
        <v>28.262574006365057</v>
      </c>
    </row>
    <row r="634" spans="1:4" x14ac:dyDescent="0.2">
      <c r="A634" s="18">
        <f t="shared" si="4"/>
        <v>632</v>
      </c>
      <c r="B634" s="19" t="s">
        <v>456</v>
      </c>
      <c r="C634" s="20">
        <v>18.569999694824219</v>
      </c>
      <c r="D634" s="18">
        <f>SUM(C$3:C634)/A634</f>
        <v>28.247237654606291</v>
      </c>
    </row>
    <row r="635" spans="1:4" x14ac:dyDescent="0.2">
      <c r="A635" s="18">
        <f t="shared" si="4"/>
        <v>633</v>
      </c>
      <c r="B635" s="19" t="s">
        <v>457</v>
      </c>
      <c r="C635" s="20">
        <v>18.549999237060547</v>
      </c>
      <c r="D635" s="18">
        <f>SUM(C$3:C635)/A635</f>
        <v>28.231918162635445</v>
      </c>
    </row>
    <row r="636" spans="1:4" x14ac:dyDescent="0.2">
      <c r="A636" s="18">
        <f t="shared" si="4"/>
        <v>634</v>
      </c>
      <c r="B636" s="19" t="s">
        <v>458</v>
      </c>
      <c r="C636" s="20">
        <v>18.530000686645508</v>
      </c>
      <c r="D636" s="18">
        <f>SUM(C$3:C636)/A636</f>
        <v>28.216615453682778</v>
      </c>
    </row>
    <row r="637" spans="1:4" x14ac:dyDescent="0.2">
      <c r="A637" s="18">
        <f t="shared" si="4"/>
        <v>635</v>
      </c>
      <c r="B637" s="19" t="s">
        <v>459</v>
      </c>
      <c r="C637" s="20">
        <v>18.690000534057617</v>
      </c>
      <c r="D637" s="18">
        <f>SUM(C$3:C637)/A637</f>
        <v>28.201612910502266</v>
      </c>
    </row>
    <row r="638" spans="1:4" x14ac:dyDescent="0.2">
      <c r="A638" s="18">
        <f t="shared" si="4"/>
        <v>636</v>
      </c>
      <c r="B638" s="19" t="s">
        <v>460</v>
      </c>
      <c r="C638" s="20">
        <v>18.440000534057617</v>
      </c>
      <c r="D638" s="18">
        <f>SUM(C$3:C638)/A638</f>
        <v>28.186264463369493</v>
      </c>
    </row>
    <row r="639" spans="1:4" x14ac:dyDescent="0.2">
      <c r="A639" s="18">
        <f t="shared" si="4"/>
        <v>637</v>
      </c>
      <c r="B639" s="19" t="s">
        <v>461</v>
      </c>
      <c r="C639" s="20">
        <v>18.459999084472656</v>
      </c>
      <c r="D639" s="18">
        <f>SUM(C$3:C639)/A639</f>
        <v>28.170995600922243</v>
      </c>
    </row>
    <row r="640" spans="1:4" x14ac:dyDescent="0.2">
      <c r="A640" s="18">
        <f t="shared" si="4"/>
        <v>638</v>
      </c>
      <c r="B640" s="19" t="s">
        <v>462</v>
      </c>
      <c r="C640" s="20">
        <v>18.510000228881836</v>
      </c>
      <c r="D640" s="18">
        <f>SUM(C$3:C640)/A640</f>
        <v>28.155852974947258</v>
      </c>
    </row>
    <row r="641" spans="1:4" x14ac:dyDescent="0.2">
      <c r="A641" s="18">
        <f t="shared" si="4"/>
        <v>639</v>
      </c>
      <c r="B641" s="19" t="s">
        <v>463</v>
      </c>
      <c r="C641" s="20">
        <v>18.450000762939453</v>
      </c>
      <c r="D641" s="18">
        <f>SUM(C$3:C641)/A641</f>
        <v>28.140663847854917</v>
      </c>
    </row>
    <row r="642" spans="1:4" x14ac:dyDescent="0.2">
      <c r="A642" s="18">
        <f t="shared" si="4"/>
        <v>640</v>
      </c>
      <c r="B642" s="19" t="s">
        <v>464</v>
      </c>
      <c r="C642" s="20">
        <v>18.149999618530273</v>
      </c>
      <c r="D642" s="18">
        <f>SUM(C$3:C642)/A642</f>
        <v>28.125053434996595</v>
      </c>
    </row>
    <row r="643" spans="1:4" x14ac:dyDescent="0.2">
      <c r="A643" s="18">
        <f t="shared" si="4"/>
        <v>641</v>
      </c>
      <c r="B643" s="19" t="s">
        <v>465</v>
      </c>
      <c r="C643" s="20">
        <v>18.309999465942383</v>
      </c>
      <c r="D643" s="18">
        <f>SUM(C$3:C643)/A643</f>
        <v>28.109741338321005</v>
      </c>
    </row>
    <row r="644" spans="1:4" x14ac:dyDescent="0.2">
      <c r="A644" s="18">
        <f t="shared" si="4"/>
        <v>642</v>
      </c>
      <c r="B644" s="19" t="s">
        <v>466</v>
      </c>
      <c r="C644" s="20">
        <v>18.129999160766602</v>
      </c>
      <c r="D644" s="18">
        <f>SUM(C$3:C644)/A644</f>
        <v>28.094196568574034</v>
      </c>
    </row>
    <row r="645" spans="1:4" x14ac:dyDescent="0.2">
      <c r="A645" s="18">
        <f t="shared" si="4"/>
        <v>643</v>
      </c>
      <c r="B645" s="19" t="s">
        <v>467</v>
      </c>
      <c r="C645" s="20">
        <v>18.020000457763672</v>
      </c>
      <c r="D645" s="18">
        <f>SUM(C$3:C645)/A645</f>
        <v>28.078529078510567</v>
      </c>
    </row>
    <row r="646" spans="1:4" x14ac:dyDescent="0.2">
      <c r="A646" s="18">
        <f t="shared" si="4"/>
        <v>644</v>
      </c>
      <c r="B646" s="19" t="s">
        <v>468</v>
      </c>
      <c r="C646" s="20">
        <v>18.170000076293945</v>
      </c>
      <c r="D646" s="18">
        <f>SUM(C$3:C646)/A646</f>
        <v>28.063143163910851</v>
      </c>
    </row>
    <row r="647" spans="1:4" x14ac:dyDescent="0.2">
      <c r="A647" s="18">
        <f t="shared" si="4"/>
        <v>645</v>
      </c>
      <c r="B647" s="19" t="s">
        <v>469</v>
      </c>
      <c r="C647" s="20">
        <v>17.959999084472656</v>
      </c>
      <c r="D647" s="18">
        <f>SUM(C$3:C647)/A647</f>
        <v>28.047479374640403</v>
      </c>
    </row>
    <row r="648" spans="1:4" x14ac:dyDescent="0.2">
      <c r="A648" s="18">
        <f t="shared" si="4"/>
        <v>646</v>
      </c>
      <c r="B648" s="19">
        <v>45260</v>
      </c>
      <c r="C648" s="20">
        <v>17.930000305175781</v>
      </c>
      <c r="D648" s="18">
        <f>SUM(C$3:C648)/A648</f>
        <v>28.031817642334733</v>
      </c>
    </row>
    <row r="649" spans="1:4" x14ac:dyDescent="0.2">
      <c r="A649" s="18">
        <f t="shared" si="4"/>
        <v>647</v>
      </c>
      <c r="B649" s="19" t="s">
        <v>470</v>
      </c>
      <c r="C649" s="20">
        <v>17.860000610351563</v>
      </c>
      <c r="D649" s="18">
        <f>SUM(C$3:C649)/A649</f>
        <v>28.016096132238932</v>
      </c>
    </row>
    <row r="650" spans="1:4" x14ac:dyDescent="0.2">
      <c r="A650" s="18">
        <f t="shared" si="4"/>
        <v>648</v>
      </c>
      <c r="B650" s="19" t="s">
        <v>471</v>
      </c>
      <c r="C650" s="20">
        <v>17.719999313354492</v>
      </c>
      <c r="D650" s="18">
        <f>SUM(C$3:C650)/A650</f>
        <v>28.000207093938183</v>
      </c>
    </row>
    <row r="651" spans="1:4" x14ac:dyDescent="0.2">
      <c r="A651" s="18">
        <f t="shared" si="4"/>
        <v>649</v>
      </c>
      <c r="B651" s="19" t="s">
        <v>472</v>
      </c>
      <c r="C651" s="20">
        <v>17.379999160766602</v>
      </c>
      <c r="D651" s="18">
        <f>SUM(C$3:C651)/A651</f>
        <v>27.983843137184451</v>
      </c>
    </row>
    <row r="652" spans="1:4" x14ac:dyDescent="0.2">
      <c r="A652" s="18">
        <f t="shared" si="4"/>
        <v>650</v>
      </c>
      <c r="B652" s="19" t="s">
        <v>473</v>
      </c>
      <c r="C652" s="20">
        <v>17.440000534057617</v>
      </c>
      <c r="D652" s="18">
        <f>SUM(C$3:C652)/A652</f>
        <v>27.967621840871949</v>
      </c>
    </row>
    <row r="653" spans="1:4" x14ac:dyDescent="0.2">
      <c r="A653" s="18">
        <f t="shared" si="4"/>
        <v>651</v>
      </c>
      <c r="B653" s="19" t="s">
        <v>474</v>
      </c>
      <c r="C653" s="20">
        <v>17.399999618530273</v>
      </c>
      <c r="D653" s="18">
        <f>SUM(C$3:C653)/A653</f>
        <v>27.951388934232408</v>
      </c>
    </row>
    <row r="654" spans="1:4" x14ac:dyDescent="0.2">
      <c r="A654" s="18">
        <f t="shared" si="4"/>
        <v>652</v>
      </c>
      <c r="B654" s="19" t="s">
        <v>475</v>
      </c>
      <c r="C654" s="20">
        <v>17.530000686645508</v>
      </c>
      <c r="D654" s="18">
        <f>SUM(C$3:C654)/A654</f>
        <v>27.935405209926291</v>
      </c>
    </row>
    <row r="655" spans="1:4" x14ac:dyDescent="0.2">
      <c r="A655" s="18">
        <f t="shared" si="4"/>
        <v>653</v>
      </c>
      <c r="B655" s="19" t="s">
        <v>476</v>
      </c>
      <c r="C655" s="20">
        <v>17.760000228881836</v>
      </c>
      <c r="D655" s="18">
        <f>SUM(C$3:C655)/A655</f>
        <v>27.91982266018503</v>
      </c>
    </row>
    <row r="656" spans="1:4" x14ac:dyDescent="0.2">
      <c r="A656" s="18">
        <f t="shared" si="4"/>
        <v>654</v>
      </c>
      <c r="B656" s="19" t="s">
        <v>477</v>
      </c>
      <c r="C656" s="20">
        <v>17.700000762939453</v>
      </c>
      <c r="D656" s="18">
        <f>SUM(C$3:C656)/A656</f>
        <v>27.904196021198416</v>
      </c>
    </row>
    <row r="657" spans="1:4" x14ac:dyDescent="0.2">
      <c r="A657" s="18">
        <f t="shared" si="4"/>
        <v>655</v>
      </c>
      <c r="B657" s="19" t="s">
        <v>478</v>
      </c>
      <c r="C657" s="20">
        <v>17.450000762939453</v>
      </c>
      <c r="D657" s="18">
        <f>SUM(C$3:C657)/A657</f>
        <v>27.888235417750693</v>
      </c>
    </row>
    <row r="658" spans="1:4" x14ac:dyDescent="0.2">
      <c r="A658" s="18">
        <f t="shared" si="4"/>
        <v>656</v>
      </c>
      <c r="B658" s="19" t="s">
        <v>479</v>
      </c>
      <c r="C658" s="20">
        <v>17.340000152587891</v>
      </c>
      <c r="D658" s="18">
        <f>SUM(C$3:C658)/A658</f>
        <v>27.872155790822092</v>
      </c>
    </row>
    <row r="659" spans="1:4" x14ac:dyDescent="0.2">
      <c r="A659" s="18">
        <f t="shared" si="4"/>
        <v>657</v>
      </c>
      <c r="B659" s="19" t="s">
        <v>480</v>
      </c>
      <c r="C659" s="20">
        <v>17.25</v>
      </c>
      <c r="D659" s="18">
        <f>SUM(C$3:C659)/A659</f>
        <v>27.855988125995879</v>
      </c>
    </row>
    <row r="660" spans="1:4" x14ac:dyDescent="0.2">
      <c r="A660" s="18">
        <f t="shared" si="4"/>
        <v>658</v>
      </c>
      <c r="B660" s="19" t="s">
        <v>481</v>
      </c>
      <c r="C660" s="20">
        <v>17.049999237060547</v>
      </c>
      <c r="D660" s="18">
        <f>SUM(C$3:C660)/A660</f>
        <v>27.839565650480779</v>
      </c>
    </row>
    <row r="661" spans="1:4" x14ac:dyDescent="0.2">
      <c r="A661" s="18">
        <f t="shared" si="4"/>
        <v>659</v>
      </c>
      <c r="B661" s="19" t="s">
        <v>482</v>
      </c>
      <c r="C661" s="20">
        <v>17.079999923706055</v>
      </c>
      <c r="D661" s="18">
        <f>SUM(C$3:C661)/A661</f>
        <v>27.823238540121483</v>
      </c>
    </row>
    <row r="662" spans="1:4" x14ac:dyDescent="0.2">
      <c r="A662" s="18">
        <f t="shared" si="4"/>
        <v>660</v>
      </c>
      <c r="B662" s="19" t="s">
        <v>483</v>
      </c>
      <c r="C662" s="20">
        <v>16.860000610351563</v>
      </c>
      <c r="D662" s="18">
        <f>SUM(C$3:C662)/A662</f>
        <v>27.806627573561226</v>
      </c>
    </row>
    <row r="663" spans="1:4" x14ac:dyDescent="0.2">
      <c r="A663" s="18">
        <f t="shared" si="4"/>
        <v>661</v>
      </c>
      <c r="B663" s="19" t="s">
        <v>484</v>
      </c>
      <c r="C663" s="20">
        <v>17.090000152587891</v>
      </c>
      <c r="D663" s="18">
        <f>SUM(C$3:C663)/A663</f>
        <v>27.790414824058999</v>
      </c>
    </row>
    <row r="664" spans="1:4" x14ac:dyDescent="0.2">
      <c r="A664" s="18">
        <f t="shared" si="4"/>
        <v>662</v>
      </c>
      <c r="B664" s="19" t="s">
        <v>485</v>
      </c>
      <c r="C664" s="20">
        <v>17.079999923706055</v>
      </c>
      <c r="D664" s="18">
        <f>SUM(C$3:C664)/A664</f>
        <v>27.774235949587165</v>
      </c>
    </row>
    <row r="665" spans="1:4" x14ac:dyDescent="0.2">
      <c r="A665" s="18">
        <f t="shared" si="4"/>
        <v>663</v>
      </c>
      <c r="B665" s="19" t="s">
        <v>486</v>
      </c>
      <c r="C665" s="20">
        <v>17.170000076293945</v>
      </c>
      <c r="D665" s="18">
        <f>SUM(C$3:C665)/A665</f>
        <v>27.758241627003013</v>
      </c>
    </row>
    <row r="666" spans="1:4" x14ac:dyDescent="0.2">
      <c r="A666" s="18">
        <f t="shared" si="4"/>
        <v>664</v>
      </c>
      <c r="B666" s="19" t="s">
        <v>487</v>
      </c>
      <c r="C666" s="20">
        <v>16.989999771118164</v>
      </c>
      <c r="D666" s="18">
        <f>SUM(C$3:C666)/A666</f>
        <v>27.742024395292344</v>
      </c>
    </row>
    <row r="667" spans="1:4" x14ac:dyDescent="0.2">
      <c r="A667" s="18">
        <f t="shared" si="4"/>
        <v>665</v>
      </c>
      <c r="B667" s="19" t="s">
        <v>488</v>
      </c>
      <c r="C667" s="20">
        <v>17.040000915527344</v>
      </c>
      <c r="D667" s="18">
        <f>SUM(C$3:C667)/A667</f>
        <v>27.725931126901717</v>
      </c>
    </row>
    <row r="668" spans="1:4" x14ac:dyDescent="0.2">
      <c r="A668" s="18">
        <f t="shared" si="4"/>
        <v>666</v>
      </c>
      <c r="B668" s="19">
        <v>45288</v>
      </c>
      <c r="C668" s="20">
        <v>17.569999694824219</v>
      </c>
      <c r="D668" s="18">
        <f>SUM(C$3:C668)/A668</f>
        <v>27.710681980607308</v>
      </c>
    </row>
    <row r="669" spans="1:4" x14ac:dyDescent="0.2">
      <c r="A669" s="18">
        <f t="shared" si="4"/>
        <v>667</v>
      </c>
      <c r="B669" s="19">
        <v>45289</v>
      </c>
      <c r="C669" s="20">
        <v>17.709999084472656</v>
      </c>
      <c r="D669" s="18">
        <f>SUM(C$3:C669)/A669</f>
        <v>27.695688453026897</v>
      </c>
    </row>
    <row r="670" spans="1:4" x14ac:dyDescent="0.2">
      <c r="A670" s="18">
        <f t="shared" si="4"/>
        <v>668</v>
      </c>
      <c r="B670" s="19" t="s">
        <v>489</v>
      </c>
      <c r="C670" s="20">
        <v>17.389999389648437</v>
      </c>
      <c r="D670" s="18">
        <f>SUM(C$3:C670)/A670</f>
        <v>27.680260774788305</v>
      </c>
    </row>
    <row r="671" spans="1:4" x14ac:dyDescent="0.2">
      <c r="A671" s="18">
        <f t="shared" si="4"/>
        <v>669</v>
      </c>
      <c r="B671" s="19" t="s">
        <v>490</v>
      </c>
      <c r="C671" s="20">
        <v>17.209999084472656</v>
      </c>
      <c r="D671" s="18">
        <f>SUM(C$3:C671)/A671</f>
        <v>27.664610159406667</v>
      </c>
    </row>
    <row r="672" spans="1:4" x14ac:dyDescent="0.2">
      <c r="A672" s="18">
        <f t="shared" si="4"/>
        <v>670</v>
      </c>
      <c r="B672" s="19" t="s">
        <v>491</v>
      </c>
      <c r="C672" s="20">
        <v>16.98</v>
      </c>
      <c r="D672" s="18">
        <f>SUM(C$3:C672)/A672</f>
        <v>27.64866298006427</v>
      </c>
    </row>
    <row r="673" spans="1:4" x14ac:dyDescent="0.2">
      <c r="A673" s="18">
        <f t="shared" si="4"/>
        <v>671</v>
      </c>
      <c r="B673" s="19" t="s">
        <v>492</v>
      </c>
      <c r="C673" s="20">
        <v>16.850000000000001</v>
      </c>
      <c r="D673" s="18">
        <f>SUM(C$3:C673)/A673</f>
        <v>27.632569592612608</v>
      </c>
    </row>
    <row r="674" spans="1:4" x14ac:dyDescent="0.2">
      <c r="A674" s="18">
        <f t="shared" si="4"/>
        <v>672</v>
      </c>
      <c r="B674" s="19" t="s">
        <v>493</v>
      </c>
      <c r="C674" s="20">
        <v>16.590000152587891</v>
      </c>
      <c r="D674" s="18">
        <f>SUM(C$3:C674)/A674</f>
        <v>27.61613719761257</v>
      </c>
    </row>
    <row r="675" spans="1:4" x14ac:dyDescent="0.2">
      <c r="A675" s="18">
        <f t="shared" si="4"/>
        <v>673</v>
      </c>
      <c r="B675" s="19" t="s">
        <v>494</v>
      </c>
      <c r="C675" s="20">
        <v>16.629999160766602</v>
      </c>
      <c r="D675" s="18">
        <f>SUM(C$3:C675)/A675</f>
        <v>27.599813069771788</v>
      </c>
    </row>
    <row r="676" spans="1:4" x14ac:dyDescent="0.2">
      <c r="A676" s="18">
        <f t="shared" si="4"/>
        <v>674</v>
      </c>
      <c r="B676" s="19" t="s">
        <v>495</v>
      </c>
      <c r="C676" s="20">
        <v>16.530000686645508</v>
      </c>
      <c r="D676" s="18">
        <f>SUM(C$3:C676)/A676</f>
        <v>27.583389015790889</v>
      </c>
    </row>
    <row r="677" spans="1:4" x14ac:dyDescent="0.2">
      <c r="A677" s="18">
        <f t="shared" si="4"/>
        <v>675</v>
      </c>
      <c r="B677" s="19" t="s">
        <v>496</v>
      </c>
      <c r="C677" s="20">
        <v>16.75</v>
      </c>
      <c r="D677" s="18">
        <f>SUM(C$3:C677)/A677</f>
        <v>27.567339550582311</v>
      </c>
    </row>
    <row r="678" spans="1:4" x14ac:dyDescent="0.2">
      <c r="A678" s="18">
        <f t="shared" si="4"/>
        <v>676</v>
      </c>
      <c r="B678" s="19" t="s">
        <v>497</v>
      </c>
      <c r="C678" s="20">
        <v>16.610000610351563</v>
      </c>
      <c r="D678" s="18">
        <f>SUM(C$3:C678)/A678</f>
        <v>27.551130469309779</v>
      </c>
    </row>
    <row r="679" spans="1:4" x14ac:dyDescent="0.2">
      <c r="A679" s="18">
        <f t="shared" si="4"/>
        <v>677</v>
      </c>
      <c r="B679" s="19" t="s">
        <v>498</v>
      </c>
      <c r="C679" s="20">
        <v>16.549999237060547</v>
      </c>
      <c r="D679" s="18">
        <f>SUM(C$3:C679)/A679</f>
        <v>27.534880644742202</v>
      </c>
    </row>
    <row r="680" spans="1:4" x14ac:dyDescent="0.2">
      <c r="A680" s="18">
        <f t="shared" si="4"/>
        <v>678</v>
      </c>
      <c r="B680" s="19" t="s">
        <v>499</v>
      </c>
      <c r="C680" s="20">
        <v>16.649999618530273</v>
      </c>
      <c r="D680" s="18">
        <f>SUM(C$3:C680)/A680</f>
        <v>27.518826247948379</v>
      </c>
    </row>
    <row r="681" spans="1:4" x14ac:dyDescent="0.2">
      <c r="A681" s="18">
        <f t="shared" si="4"/>
        <v>679</v>
      </c>
      <c r="B681" s="19" t="s">
        <v>500</v>
      </c>
      <c r="C681" s="20">
        <v>16.229999542236328</v>
      </c>
      <c r="D681" s="18">
        <f>SUM(C$3:C681)/A681</f>
        <v>27.502200582696961</v>
      </c>
    </row>
    <row r="682" spans="1:4" x14ac:dyDescent="0.2">
      <c r="A682" s="18">
        <f t="shared" si="4"/>
        <v>680</v>
      </c>
      <c r="B682" s="19" t="s">
        <v>501</v>
      </c>
      <c r="C682" s="20">
        <v>16.469999313354492</v>
      </c>
      <c r="D682" s="18">
        <f>SUM(C$3:C682)/A682</f>
        <v>27.485976757300872</v>
      </c>
    </row>
    <row r="683" spans="1:4" x14ac:dyDescent="0.2">
      <c r="A683" s="18">
        <f t="shared" si="4"/>
        <v>681</v>
      </c>
      <c r="B683" s="19" t="s">
        <v>502</v>
      </c>
      <c r="C683" s="20">
        <v>16.389999389648437</v>
      </c>
      <c r="D683" s="18">
        <f>SUM(C$3:C683)/A683</f>
        <v>27.469683104778621</v>
      </c>
    </row>
    <row r="684" spans="1:4" x14ac:dyDescent="0.2">
      <c r="A684" s="18">
        <f t="shared" si="4"/>
        <v>682</v>
      </c>
      <c r="B684" s="19" t="s">
        <v>503</v>
      </c>
      <c r="C684" s="20">
        <v>15.989999771118164</v>
      </c>
      <c r="D684" s="18">
        <f>SUM(C$3:C684)/A684</f>
        <v>27.452850724523987</v>
      </c>
    </row>
    <row r="685" spans="1:4" x14ac:dyDescent="0.2">
      <c r="A685" s="18">
        <f t="shared" si="4"/>
        <v>683</v>
      </c>
      <c r="B685" s="19" t="s">
        <v>504</v>
      </c>
      <c r="C685" s="20">
        <v>16.180000305175781</v>
      </c>
      <c r="D685" s="18">
        <f>SUM(C$3:C685)/A685</f>
        <v>27.43634581907838</v>
      </c>
    </row>
    <row r="686" spans="1:4" x14ac:dyDescent="0.2">
      <c r="A686" s="18">
        <f t="shared" si="4"/>
        <v>684</v>
      </c>
      <c r="B686" s="19" t="s">
        <v>505</v>
      </c>
      <c r="C686" s="20">
        <v>16.309999465942383</v>
      </c>
      <c r="D686" s="18">
        <f>SUM(C$3:C686)/A686</f>
        <v>27.420079230842802</v>
      </c>
    </row>
    <row r="687" spans="1:4" x14ac:dyDescent="0.2">
      <c r="A687" s="18">
        <f t="shared" si="4"/>
        <v>685</v>
      </c>
      <c r="B687" s="19" t="s">
        <v>506</v>
      </c>
      <c r="C687" s="20">
        <v>16.510000228881836</v>
      </c>
      <c r="D687" s="18">
        <f>SUM(C$3:C687)/A687</f>
        <v>27.404152108212202</v>
      </c>
    </row>
    <row r="688" spans="1:4" x14ac:dyDescent="0.2">
      <c r="A688" s="18">
        <f t="shared" si="4"/>
        <v>686</v>
      </c>
      <c r="B688" s="19" t="s">
        <v>507</v>
      </c>
      <c r="C688" s="20">
        <v>16.280000686645508</v>
      </c>
      <c r="D688" s="18">
        <f>SUM(C$3:C688)/A688</f>
        <v>27.387936144040822</v>
      </c>
    </row>
    <row r="689" spans="1:4" x14ac:dyDescent="0.2">
      <c r="A689" s="18">
        <f t="shared" si="4"/>
        <v>687</v>
      </c>
      <c r="B689" s="19" t="s">
        <v>508</v>
      </c>
      <c r="C689" s="20">
        <v>15.909999847412109</v>
      </c>
      <c r="D689" s="18">
        <f>SUM(C$3:C689)/A689</f>
        <v>27.371228813186924</v>
      </c>
    </row>
    <row r="690" spans="1:4" x14ac:dyDescent="0.2">
      <c r="A690" s="18">
        <f t="shared" si="4"/>
        <v>688</v>
      </c>
      <c r="B690" s="19">
        <v>45321</v>
      </c>
      <c r="C690" s="20">
        <v>15.520000457763672</v>
      </c>
      <c r="D690" s="18">
        <f>SUM(C$3:C690)/A690</f>
        <v>27.354003190577295</v>
      </c>
    </row>
    <row r="691" spans="1:4" x14ac:dyDescent="0.2">
      <c r="A691" s="18">
        <f t="shared" si="4"/>
        <v>689</v>
      </c>
      <c r="B691" s="19">
        <v>45322</v>
      </c>
      <c r="C691" s="20">
        <v>15.380000114440918</v>
      </c>
      <c r="D691" s="18">
        <f>SUM(C$3:C691)/A691</f>
        <v>27.336624376243282</v>
      </c>
    </row>
    <row r="692" spans="1:4" x14ac:dyDescent="0.2">
      <c r="A692" s="18">
        <f t="shared" si="4"/>
        <v>690</v>
      </c>
      <c r="B692" s="19" t="s">
        <v>509</v>
      </c>
      <c r="C692" s="20">
        <v>15.5</v>
      </c>
      <c r="D692" s="18">
        <f>SUM(C$3:C692)/A692</f>
        <v>27.31946984816177</v>
      </c>
    </row>
    <row r="693" spans="1:4" x14ac:dyDescent="0.2">
      <c r="A693" s="18">
        <f t="shared" si="4"/>
        <v>691</v>
      </c>
      <c r="B693" s="19" t="s">
        <v>510</v>
      </c>
      <c r="C693" s="20">
        <v>15.170000076293945</v>
      </c>
      <c r="D693" s="18">
        <f>SUM(C$3:C693)/A693</f>
        <v>27.301887402761093</v>
      </c>
    </row>
    <row r="694" spans="1:4" x14ac:dyDescent="0.2">
      <c r="A694" s="18">
        <f t="shared" si="4"/>
        <v>692</v>
      </c>
      <c r="B694" s="19" t="s">
        <v>511</v>
      </c>
      <c r="C694" s="20">
        <v>15.3</v>
      </c>
      <c r="D694" s="18">
        <f>SUM(C$3:C694)/A694</f>
        <v>27.284543634838027</v>
      </c>
    </row>
    <row r="695" spans="1:4" x14ac:dyDescent="0.2">
      <c r="A695" s="18">
        <f t="shared" si="4"/>
        <v>693</v>
      </c>
      <c r="B695" s="19" t="s">
        <v>512</v>
      </c>
      <c r="C695" s="20">
        <v>16.100000381469727</v>
      </c>
      <c r="D695" s="18">
        <f>SUM(C$3:C695)/A695</f>
        <v>27.268404322784104</v>
      </c>
    </row>
    <row r="696" spans="1:4" x14ac:dyDescent="0.2">
      <c r="A696" s="18">
        <f t="shared" si="4"/>
        <v>694</v>
      </c>
      <c r="B696" s="19" t="s">
        <v>513</v>
      </c>
      <c r="C696" s="20">
        <v>16.399999618530273</v>
      </c>
      <c r="D696" s="18">
        <f>SUM(C$3:C696)/A696</f>
        <v>27.252743797273652</v>
      </c>
    </row>
    <row r="697" spans="1:4" x14ac:dyDescent="0.2">
      <c r="A697" s="18">
        <f t="shared" si="4"/>
        <v>695</v>
      </c>
      <c r="B697" s="19" t="s">
        <v>514</v>
      </c>
      <c r="C697" s="20">
        <v>16.590000152587891</v>
      </c>
      <c r="D697" s="18">
        <f>SUM(C$3:C697)/A697</f>
        <v>27.237401720087053</v>
      </c>
    </row>
    <row r="698" spans="1:4" x14ac:dyDescent="0.2">
      <c r="A698" s="18">
        <f t="shared" si="4"/>
        <v>696</v>
      </c>
      <c r="B698" s="19" t="s">
        <v>515</v>
      </c>
      <c r="C698" s="20">
        <v>16.719999313354492</v>
      </c>
      <c r="D698" s="18">
        <f>SUM(C$3:C698)/A698</f>
        <v>27.222290509732552</v>
      </c>
    </row>
    <row r="699" spans="1:4" x14ac:dyDescent="0.2">
      <c r="A699" s="18">
        <f t="shared" si="4"/>
        <v>697</v>
      </c>
      <c r="B699" s="19" t="s">
        <v>516</v>
      </c>
      <c r="C699" s="20">
        <v>16.709999084472656</v>
      </c>
      <c r="D699" s="18">
        <f>SUM(C$3:C699)/A699</f>
        <v>27.207208312565751</v>
      </c>
    </row>
    <row r="700" spans="1:4" x14ac:dyDescent="0.2">
      <c r="A700" s="18">
        <f t="shared" si="4"/>
        <v>698</v>
      </c>
      <c r="B700" s="19" t="s">
        <v>517</v>
      </c>
      <c r="C700" s="20">
        <v>16.870000839233398</v>
      </c>
      <c r="D700" s="18">
        <f>SUM(C$3:C700)/A700</f>
        <v>27.192398559738628</v>
      </c>
    </row>
    <row r="701" spans="1:4" x14ac:dyDescent="0.2">
      <c r="A701" s="18">
        <f t="shared" si="4"/>
        <v>699</v>
      </c>
      <c r="B701" s="19" t="s">
        <v>518</v>
      </c>
      <c r="C701" s="20">
        <v>16.959999084472656</v>
      </c>
      <c r="D701" s="18">
        <f>SUM(C$3:C701)/A701</f>
        <v>27.17775993387988</v>
      </c>
    </row>
    <row r="702" spans="1:4" x14ac:dyDescent="0.2">
      <c r="A702" s="18">
        <f t="shared" si="4"/>
        <v>700</v>
      </c>
      <c r="B702" s="19" t="s">
        <v>519</v>
      </c>
      <c r="C702" s="20">
        <v>16.950000762939453</v>
      </c>
      <c r="D702" s="18">
        <f>SUM(C$3:C702)/A702</f>
        <v>27.163148849349962</v>
      </c>
    </row>
    <row r="703" spans="1:4" x14ac:dyDescent="0.2">
      <c r="A703" s="18">
        <f t="shared" si="4"/>
        <v>701</v>
      </c>
      <c r="B703" s="19" t="s">
        <v>520</v>
      </c>
      <c r="C703" s="20">
        <v>16.959999084472656</v>
      </c>
      <c r="D703" s="18">
        <f>SUM(C$3:C703)/A703</f>
        <v>27.14859371416469</v>
      </c>
    </row>
    <row r="704" spans="1:4" x14ac:dyDescent="0.2">
      <c r="A704" s="18">
        <f t="shared" si="4"/>
        <v>702</v>
      </c>
      <c r="B704" s="19" t="s">
        <v>521</v>
      </c>
      <c r="C704" s="20">
        <v>17.340000152587891</v>
      </c>
      <c r="D704" s="18">
        <f>SUM(C$3:C704)/A704</f>
        <v>27.134621358663868</v>
      </c>
    </row>
    <row r="705" spans="1:4" x14ac:dyDescent="0.2">
      <c r="A705" s="18">
        <f t="shared" si="4"/>
        <v>703</v>
      </c>
      <c r="B705" s="19" t="s">
        <v>522</v>
      </c>
      <c r="C705" s="20">
        <v>16.959999084472656</v>
      </c>
      <c r="D705" s="18">
        <f>SUM(C$3:C705)/A705</f>
        <v>27.120148211758902</v>
      </c>
    </row>
    <row r="706" spans="1:4" x14ac:dyDescent="0.2">
      <c r="A706" s="18">
        <f t="shared" si="4"/>
        <v>704</v>
      </c>
      <c r="B706" s="19">
        <v>45351</v>
      </c>
      <c r="C706" s="20">
        <v>17.479999542236328</v>
      </c>
      <c r="D706" s="18">
        <f>SUM(C$3:C706)/A706</f>
        <v>27.106454818762419</v>
      </c>
    </row>
    <row r="707" spans="1:4" x14ac:dyDescent="0.2">
      <c r="A707" s="18">
        <f t="shared" si="4"/>
        <v>705</v>
      </c>
      <c r="B707" s="19" t="s">
        <v>523</v>
      </c>
      <c r="C707" s="20">
        <v>17.709999084472656</v>
      </c>
      <c r="D707" s="18">
        <f>SUM(C$3:C707)/A707</f>
        <v>27.093126512756335</v>
      </c>
    </row>
    <row r="708" spans="1:4" x14ac:dyDescent="0.2">
      <c r="A708" s="18">
        <f t="shared" si="4"/>
        <v>706</v>
      </c>
      <c r="B708" s="19" t="s">
        <v>524</v>
      </c>
      <c r="C708" s="20">
        <v>17.739999771118164</v>
      </c>
      <c r="D708" s="18">
        <f>SUM(C$3:C708)/A708</f>
        <v>27.079878457881495</v>
      </c>
    </row>
    <row r="709" spans="1:4" x14ac:dyDescent="0.2">
      <c r="A709" s="18">
        <f t="shared" si="4"/>
        <v>707</v>
      </c>
      <c r="B709" s="19" t="s">
        <v>525</v>
      </c>
      <c r="C709" s="20">
        <v>17.760000228881836</v>
      </c>
      <c r="D709" s="18">
        <f>SUM(C$3:C709)/A709</f>
        <v>27.066696169014453</v>
      </c>
    </row>
    <row r="710" spans="1:4" x14ac:dyDescent="0.2">
      <c r="A710" s="18">
        <f t="shared" si="4"/>
        <v>708</v>
      </c>
      <c r="B710" s="19" t="s">
        <v>526</v>
      </c>
      <c r="C710" s="20">
        <v>17.700000762939453</v>
      </c>
      <c r="D710" s="18">
        <f>SUM(C$3:C710)/A710</f>
        <v>27.053466373243158</v>
      </c>
    </row>
    <row r="711" spans="1:4" x14ac:dyDescent="0.2">
      <c r="A711" s="18">
        <f t="shared" si="4"/>
        <v>709</v>
      </c>
      <c r="B711" s="19" t="s">
        <v>527</v>
      </c>
      <c r="C711" s="20">
        <v>17.450000762939453</v>
      </c>
      <c r="D711" s="18">
        <f>SUM(C$3:C711)/A711</f>
        <v>27.03992128775613</v>
      </c>
    </row>
    <row r="712" spans="1:4" x14ac:dyDescent="0.2">
      <c r="A712" s="18">
        <f t="shared" si="4"/>
        <v>710</v>
      </c>
      <c r="B712" s="19" t="s">
        <v>528</v>
      </c>
      <c r="C712" s="20">
        <v>17.610000610351563</v>
      </c>
      <c r="D712" s="18">
        <f>SUM(C$3:C712)/A712</f>
        <v>27.02663970933725</v>
      </c>
    </row>
    <row r="713" spans="1:4" x14ac:dyDescent="0.2">
      <c r="A713" s="18">
        <f t="shared" si="4"/>
        <v>711</v>
      </c>
      <c r="B713" s="19" t="s">
        <v>529</v>
      </c>
      <c r="C713" s="20">
        <v>18.129999160766602</v>
      </c>
      <c r="D713" s="18">
        <f>SUM(C$3:C713)/A713</f>
        <v>27.014126853432089</v>
      </c>
    </row>
    <row r="714" spans="1:4" x14ac:dyDescent="0.2">
      <c r="A714" s="18">
        <f t="shared" si="4"/>
        <v>712</v>
      </c>
      <c r="B714" s="19" t="s">
        <v>530</v>
      </c>
      <c r="C714" s="20">
        <v>18.25</v>
      </c>
      <c r="D714" s="18">
        <f>SUM(C$3:C714)/A714</f>
        <v>27.001817686503109</v>
      </c>
    </row>
    <row r="715" spans="1:4" x14ac:dyDescent="0.2">
      <c r="A715" s="18">
        <f t="shared" si="4"/>
        <v>713</v>
      </c>
      <c r="B715" s="19" t="s">
        <v>531</v>
      </c>
      <c r="C715" s="20">
        <v>18.159999847412109</v>
      </c>
      <c r="D715" s="18">
        <f>SUM(C$3:C715)/A715</f>
        <v>26.989416819968621</v>
      </c>
    </row>
    <row r="716" spans="1:4" x14ac:dyDescent="0.2">
      <c r="A716" s="18">
        <f t="shared" si="4"/>
        <v>714</v>
      </c>
      <c r="B716" s="19" t="s">
        <v>532</v>
      </c>
      <c r="C716" s="20">
        <v>18.040000915527344</v>
      </c>
      <c r="D716" s="18">
        <f>SUM(C$3:C716)/A716</f>
        <v>26.976882624024025</v>
      </c>
    </row>
    <row r="717" spans="1:4" x14ac:dyDescent="0.2">
      <c r="A717" s="18">
        <f t="shared" si="4"/>
        <v>715</v>
      </c>
      <c r="B717" s="19" t="s">
        <v>533</v>
      </c>
      <c r="C717" s="20">
        <v>18.049999237060547</v>
      </c>
      <c r="D717" s="18">
        <f>SUM(C$3:C717)/A717</f>
        <v>26.964397472433866</v>
      </c>
    </row>
    <row r="718" spans="1:4" x14ac:dyDescent="0.2">
      <c r="A718" s="18">
        <f t="shared" si="4"/>
        <v>716</v>
      </c>
      <c r="B718" s="19" t="s">
        <v>534</v>
      </c>
      <c r="C718" s="20">
        <v>18.350000381469727</v>
      </c>
      <c r="D718" s="18">
        <f>SUM(C$3:C718)/A718</f>
        <v>26.952366191580563</v>
      </c>
    </row>
    <row r="719" spans="1:4" x14ac:dyDescent="0.2">
      <c r="A719" s="18">
        <f t="shared" si="4"/>
        <v>717</v>
      </c>
      <c r="B719" s="19" t="s">
        <v>535</v>
      </c>
      <c r="C719" s="20">
        <v>18.200000762939453</v>
      </c>
      <c r="D719" s="18">
        <f>SUM(C$3:C719)/A719</f>
        <v>26.940159266296547</v>
      </c>
    </row>
    <row r="720" spans="1:4" x14ac:dyDescent="0.2">
      <c r="A720" s="18">
        <f t="shared" si="4"/>
        <v>718</v>
      </c>
      <c r="B720" s="19" t="s">
        <v>536</v>
      </c>
      <c r="C720" s="20">
        <v>18.219999313354492</v>
      </c>
      <c r="D720" s="18">
        <f>SUM(C$3:C720)/A720</f>
        <v>26.928014196724202</v>
      </c>
    </row>
    <row r="721" spans="1:4" x14ac:dyDescent="0.2">
      <c r="A721" s="18">
        <f t="shared" si="4"/>
        <v>719</v>
      </c>
      <c r="B721" s="19" t="s">
        <v>537</v>
      </c>
      <c r="C721" s="20">
        <v>18.100000381469727</v>
      </c>
      <c r="D721" s="18">
        <f>SUM(C$3:C721)/A721</f>
        <v>26.915736013392834</v>
      </c>
    </row>
    <row r="722" spans="1:4" x14ac:dyDescent="0.2">
      <c r="A722" s="18">
        <f t="shared" si="4"/>
        <v>720</v>
      </c>
      <c r="B722" s="19" t="s">
        <v>538</v>
      </c>
      <c r="C722" s="20">
        <v>17.950000762939453</v>
      </c>
      <c r="D722" s="18">
        <f>SUM(C$3:C722)/A722</f>
        <v>26.903283603322759</v>
      </c>
    </row>
    <row r="723" spans="1:4" x14ac:dyDescent="0.2">
      <c r="A723" s="18">
        <f t="shared" si="4"/>
        <v>721</v>
      </c>
      <c r="B723" s="19" t="s">
        <v>539</v>
      </c>
      <c r="C723" s="20">
        <v>17.739999771118164</v>
      </c>
      <c r="D723" s="18">
        <f>SUM(C$3:C723)/A723</f>
        <v>26.890574471794043</v>
      </c>
    </row>
    <row r="724" spans="1:4" x14ac:dyDescent="0.2">
      <c r="A724" s="18">
        <f t="shared" si="4"/>
        <v>722</v>
      </c>
      <c r="B724" s="19" t="s">
        <v>540</v>
      </c>
      <c r="C724" s="20">
        <v>17.840000152587891</v>
      </c>
      <c r="D724" s="18">
        <f>SUM(C$3:C724)/A724</f>
        <v>26.878039050299297</v>
      </c>
    </row>
    <row r="725" spans="1:4" x14ac:dyDescent="0.2">
      <c r="A725" s="18">
        <f t="shared" si="4"/>
        <v>723</v>
      </c>
      <c r="B725" s="19" t="s">
        <v>541</v>
      </c>
      <c r="C725" s="20">
        <v>17.459999084472656</v>
      </c>
      <c r="D725" s="18">
        <f>SUM(C$3:C725)/A725</f>
        <v>26.865012715630105</v>
      </c>
    </row>
    <row r="726" spans="1:4" x14ac:dyDescent="0.2">
      <c r="A726" s="18">
        <f t="shared" si="4"/>
        <v>724</v>
      </c>
      <c r="B726" s="19">
        <v>45379</v>
      </c>
      <c r="C726" s="20">
        <v>17.659999847412109</v>
      </c>
      <c r="D726" s="18">
        <f>SUM(C$3:C726)/A726</f>
        <v>26.852298609458533</v>
      </c>
    </row>
    <row r="727" spans="1:4" x14ac:dyDescent="0.2">
      <c r="A727" s="18">
        <f t="shared" si="4"/>
        <v>725</v>
      </c>
      <c r="B727" s="19">
        <v>45380</v>
      </c>
      <c r="C727" s="20">
        <v>17.700000762939453</v>
      </c>
      <c r="D727" s="18">
        <f>SUM(C$3:C727)/A727</f>
        <v>26.839674750359887</v>
      </c>
    </row>
    <row r="728" spans="1:4" x14ac:dyDescent="0.2">
      <c r="A728" s="18">
        <f t="shared" si="4"/>
        <v>726</v>
      </c>
      <c r="B728" s="19" t="s">
        <v>542</v>
      </c>
      <c r="C728" s="20">
        <v>18.159999847412109</v>
      </c>
      <c r="D728" s="18">
        <f>SUM(C$3:C728)/A728</f>
        <v>26.827719275286956</v>
      </c>
    </row>
    <row r="729" spans="1:4" x14ac:dyDescent="0.2">
      <c r="A729" s="18">
        <f t="shared" si="4"/>
        <v>727</v>
      </c>
      <c r="B729" s="19" t="s">
        <v>543</v>
      </c>
      <c r="C729" s="20">
        <v>18.040000915527344</v>
      </c>
      <c r="D729" s="18">
        <f>SUM(C$3:C729)/A729</f>
        <v>26.815631629675181</v>
      </c>
    </row>
    <row r="730" spans="1:4" x14ac:dyDescent="0.2">
      <c r="A730" s="18">
        <f t="shared" si="4"/>
        <v>728</v>
      </c>
      <c r="B730" s="19" t="s">
        <v>544</v>
      </c>
      <c r="C730" s="20">
        <v>17.909999847412109</v>
      </c>
      <c r="D730" s="18">
        <f>SUM(C$3:C730)/A730</f>
        <v>26.803398618985259</v>
      </c>
    </row>
    <row r="731" spans="1:4" x14ac:dyDescent="0.2">
      <c r="A731" s="18">
        <f t="shared" si="4"/>
        <v>729</v>
      </c>
      <c r="B731" s="19" t="s">
        <v>545</v>
      </c>
      <c r="C731" s="20">
        <v>17.690000534057617</v>
      </c>
      <c r="D731" s="18">
        <f>SUM(C$3:C731)/A731</f>
        <v>26.790897387044343</v>
      </c>
    </row>
    <row r="732" spans="1:4" x14ac:dyDescent="0.2">
      <c r="A732" s="18">
        <f t="shared" si="4"/>
        <v>730</v>
      </c>
      <c r="B732" s="19" t="s">
        <v>546</v>
      </c>
      <c r="C732" s="20">
        <v>17.780000686645508</v>
      </c>
      <c r="D732" s="18">
        <f>SUM(C$3:C732)/A732</f>
        <v>26.778553692934207</v>
      </c>
    </row>
    <row r="733" spans="1:4" x14ac:dyDescent="0.2">
      <c r="A733" s="18">
        <f t="shared" si="4"/>
        <v>731</v>
      </c>
      <c r="B733" s="19" t="s">
        <v>547</v>
      </c>
      <c r="C733" s="20">
        <v>17.5</v>
      </c>
      <c r="D733" s="18">
        <f>SUM(C$3:C733)/A733</f>
        <v>26.765860733025953</v>
      </c>
    </row>
    <row r="734" spans="1:4" x14ac:dyDescent="0.2">
      <c r="A734" s="18">
        <f t="shared" si="4"/>
        <v>732</v>
      </c>
      <c r="B734" s="19" t="s">
        <v>548</v>
      </c>
      <c r="C734" s="20">
        <v>17.489999771118164</v>
      </c>
      <c r="D734" s="18">
        <f>SUM(C$3:C734)/A734</f>
        <v>26.753188791821159</v>
      </c>
    </row>
    <row r="735" spans="1:4" x14ac:dyDescent="0.2">
      <c r="A735" s="18">
        <f t="shared" si="4"/>
        <v>733</v>
      </c>
      <c r="B735" s="19" t="s">
        <v>549</v>
      </c>
      <c r="C735" s="20">
        <v>17.350000381469727</v>
      </c>
      <c r="D735" s="18">
        <f>SUM(C$3:C735)/A735</f>
        <v>26.740360431097624</v>
      </c>
    </row>
    <row r="736" spans="1:4" x14ac:dyDescent="0.2">
      <c r="A736" s="18">
        <f t="shared" si="4"/>
        <v>734</v>
      </c>
      <c r="B736" s="19" t="s">
        <v>550</v>
      </c>
      <c r="C736" s="20">
        <v>17.719999313354492</v>
      </c>
      <c r="D736" s="18">
        <f>SUM(C$3:C736)/A736</f>
        <v>26.728071110773726</v>
      </c>
    </row>
    <row r="737" spans="1:4" x14ac:dyDescent="0.2">
      <c r="A737" s="18">
        <f t="shared" si="4"/>
        <v>735</v>
      </c>
      <c r="B737" s="19" t="s">
        <v>551</v>
      </c>
      <c r="C737" s="20">
        <v>17.440000534057617</v>
      </c>
      <c r="D737" s="18">
        <f>SUM(C$3:C737)/A737</f>
        <v>26.715434280057103</v>
      </c>
    </row>
    <row r="738" spans="1:4" x14ac:dyDescent="0.2">
      <c r="A738" s="18">
        <f t="shared" si="4"/>
        <v>736</v>
      </c>
      <c r="B738" s="19" t="s">
        <v>552</v>
      </c>
      <c r="C738" s="20">
        <v>17.780000686645508</v>
      </c>
      <c r="D738" s="18">
        <f>SUM(C$3:C738)/A738</f>
        <v>26.703293745283446</v>
      </c>
    </row>
    <row r="739" spans="1:4" x14ac:dyDescent="0.2">
      <c r="A739" s="18">
        <f t="shared" si="4"/>
        <v>737</v>
      </c>
      <c r="B739" s="19" t="s">
        <v>553</v>
      </c>
      <c r="C739" s="20">
        <v>17.75</v>
      </c>
      <c r="D739" s="18">
        <f>SUM(C$3:C739)/A739</f>
        <v>26.6911454498353</v>
      </c>
    </row>
    <row r="740" spans="1:4" x14ac:dyDescent="0.2">
      <c r="A740" s="18">
        <f t="shared" si="4"/>
        <v>738</v>
      </c>
      <c r="B740" s="19" t="s">
        <v>554</v>
      </c>
      <c r="C740" s="20">
        <v>17.5</v>
      </c>
      <c r="D740" s="18">
        <f>SUM(C$3:C740)/A740</f>
        <v>26.67869132320951</v>
      </c>
    </row>
    <row r="741" spans="1:4" x14ac:dyDescent="0.2">
      <c r="A741" s="18">
        <f t="shared" si="4"/>
        <v>739</v>
      </c>
      <c r="B741" s="19" t="s">
        <v>555</v>
      </c>
      <c r="C741" s="20">
        <v>17.459999084472656</v>
      </c>
      <c r="D741" s="18">
        <f>SUM(C$3:C741)/A741</f>
        <v>26.666216773495385</v>
      </c>
    </row>
    <row r="742" spans="1:4" x14ac:dyDescent="0.2">
      <c r="A742" s="18">
        <f t="shared" si="4"/>
        <v>740</v>
      </c>
      <c r="B742" s="19" t="s">
        <v>556</v>
      </c>
      <c r="C742" s="20">
        <v>17.340000152587891</v>
      </c>
      <c r="D742" s="18">
        <f>SUM(C$3:C742)/A742</f>
        <v>26.653613778061725</v>
      </c>
    </row>
    <row r="743" spans="1:4" x14ac:dyDescent="0.2">
      <c r="A743" s="18">
        <f t="shared" si="4"/>
        <v>741</v>
      </c>
      <c r="B743" s="19" t="s">
        <v>557</v>
      </c>
      <c r="C743" s="20">
        <v>17.399999618530273</v>
      </c>
      <c r="D743" s="18">
        <f>SUM(C$3:C743)/A743</f>
        <v>26.641125769749269</v>
      </c>
    </row>
    <row r="744" spans="1:4" x14ac:dyDescent="0.2">
      <c r="A744" s="18">
        <f t="shared" si="4"/>
        <v>742</v>
      </c>
      <c r="B744" s="19" t="s">
        <v>558</v>
      </c>
      <c r="C744" s="20">
        <v>17.459999084472656</v>
      </c>
      <c r="D744" s="18">
        <f>SUM(C$3:C744)/A744</f>
        <v>26.628752283650513</v>
      </c>
    </row>
    <row r="745" spans="1:4" x14ac:dyDescent="0.2">
      <c r="A745" s="18">
        <f t="shared" si="4"/>
        <v>743</v>
      </c>
      <c r="B745" s="19" t="s">
        <v>559</v>
      </c>
      <c r="C745" s="20">
        <v>17.829999923706055</v>
      </c>
      <c r="D745" s="18">
        <f>SUM(C$3:C745)/A745</f>
        <v>26.616910086665392</v>
      </c>
    </row>
    <row r="746" spans="1:4" x14ac:dyDescent="0.2">
      <c r="A746" s="18">
        <f t="shared" si="4"/>
        <v>744</v>
      </c>
      <c r="B746" s="19">
        <v>45411</v>
      </c>
      <c r="C746" s="20">
        <v>18.290000915527344</v>
      </c>
      <c r="D746" s="18">
        <f>SUM(C$3:C746)/A746</f>
        <v>26.605718004446121</v>
      </c>
    </row>
    <row r="747" spans="1:4" x14ac:dyDescent="0.2">
      <c r="A747" s="18">
        <f t="shared" si="4"/>
        <v>745</v>
      </c>
      <c r="B747" s="19">
        <v>45412</v>
      </c>
      <c r="C747" s="20">
        <v>18.110000610351563</v>
      </c>
      <c r="D747" s="18">
        <f>SUM(C$3:C747)/A747</f>
        <v>26.594314356937268</v>
      </c>
    </row>
    <row r="748" spans="1:4" x14ac:dyDescent="0.2">
      <c r="A748" s="18">
        <f t="shared" si="4"/>
        <v>746</v>
      </c>
      <c r="B748" s="19" t="s">
        <v>560</v>
      </c>
      <c r="C748" s="20">
        <v>19.219999313354492</v>
      </c>
      <c r="D748" s="18">
        <f>SUM(C$3:C748)/A748</f>
        <v>26.584429216128179</v>
      </c>
    </row>
    <row r="749" spans="1:4" x14ac:dyDescent="0.2">
      <c r="A749" s="18">
        <f t="shared" si="4"/>
        <v>747</v>
      </c>
      <c r="B749" s="19" t="s">
        <v>561</v>
      </c>
      <c r="C749" s="20">
        <v>19.200000762939453</v>
      </c>
      <c r="D749" s="18">
        <f>SUM(C$3:C749)/A749</f>
        <v>26.574543769738366</v>
      </c>
    </row>
    <row r="750" spans="1:4" x14ac:dyDescent="0.2">
      <c r="A750" s="18">
        <f t="shared" si="4"/>
        <v>748</v>
      </c>
      <c r="B750" s="19" t="s">
        <v>562</v>
      </c>
      <c r="C750" s="20">
        <v>18.899999618530273</v>
      </c>
      <c r="D750" s="18">
        <f>SUM(C$3:C750)/A750</f>
        <v>26.564283683974718</v>
      </c>
    </row>
    <row r="751" spans="1:4" x14ac:dyDescent="0.2">
      <c r="A751" s="18">
        <f t="shared" si="4"/>
        <v>749</v>
      </c>
      <c r="B751" s="19" t="s">
        <v>563</v>
      </c>
      <c r="C751" s="20">
        <v>19.190000534057617</v>
      </c>
      <c r="D751" s="18">
        <f>SUM(C$3:C751)/A751</f>
        <v>26.554438179101666</v>
      </c>
    </row>
    <row r="752" spans="1:4" x14ac:dyDescent="0.2">
      <c r="A752" s="18">
        <f t="shared" si="4"/>
        <v>750</v>
      </c>
      <c r="B752" s="19" t="s">
        <v>564</v>
      </c>
      <c r="C752" s="20">
        <v>19.010000228881836</v>
      </c>
      <c r="D752" s="18">
        <f>SUM(C$3:C752)/A752</f>
        <v>26.544378928501374</v>
      </c>
    </row>
    <row r="753" spans="1:4" x14ac:dyDescent="0.2">
      <c r="A753" s="18">
        <f t="shared" si="4"/>
        <v>751</v>
      </c>
      <c r="B753" s="19" t="s">
        <v>565</v>
      </c>
      <c r="C753" s="20">
        <v>18.930000305175781</v>
      </c>
      <c r="D753" s="18">
        <f>SUM(C$3:C753)/A753</f>
        <v>26.534239942318514</v>
      </c>
    </row>
    <row r="754" spans="1:4" x14ac:dyDescent="0.2">
      <c r="A754" s="18">
        <f t="shared" si="4"/>
        <v>752</v>
      </c>
      <c r="B754" s="19" t="s">
        <v>566</v>
      </c>
      <c r="C754" s="20">
        <v>18.889999389648438</v>
      </c>
      <c r="D754" s="18">
        <f>SUM(C$3:C754)/A754</f>
        <v>26.524074728817624</v>
      </c>
    </row>
    <row r="755" spans="1:4" x14ac:dyDescent="0.2">
      <c r="A755" s="18">
        <f t="shared" si="4"/>
        <v>753</v>
      </c>
      <c r="B755" s="19" t="s">
        <v>567</v>
      </c>
      <c r="C755" s="20">
        <v>18.729999542236328</v>
      </c>
      <c r="D755" s="18">
        <f>SUM(C$3:C755)/A755</f>
        <v>26.513724031358684</v>
      </c>
    </row>
    <row r="756" spans="1:4" x14ac:dyDescent="0.2">
      <c r="A756" s="18">
        <f t="shared" si="4"/>
        <v>754</v>
      </c>
      <c r="B756" s="19" t="s">
        <v>568</v>
      </c>
      <c r="C756" s="20">
        <v>18.770000457763672</v>
      </c>
      <c r="D756" s="18">
        <f>SUM(C$3:C756)/A756</f>
        <v>26.503453840942775</v>
      </c>
    </row>
    <row r="757" spans="1:4" x14ac:dyDescent="0.2">
      <c r="A757" s="18">
        <f t="shared" si="4"/>
        <v>755</v>
      </c>
      <c r="B757" s="19" t="s">
        <v>569</v>
      </c>
      <c r="C757" s="20">
        <v>18.889999389648438</v>
      </c>
      <c r="D757" s="18">
        <f>SUM(C$3:C757)/A757</f>
        <v>26.493369795311924</v>
      </c>
    </row>
    <row r="758" spans="1:4" x14ac:dyDescent="0.2">
      <c r="A758" s="18">
        <f t="shared" si="4"/>
        <v>756</v>
      </c>
      <c r="B758" s="19" t="s">
        <v>570</v>
      </c>
      <c r="C758" s="20">
        <v>18.909999847412109</v>
      </c>
      <c r="D758" s="18">
        <f>SUM(C$3:C758)/A758</f>
        <v>26.483338882682425</v>
      </c>
    </row>
    <row r="759" spans="1:4" x14ac:dyDescent="0.2">
      <c r="A759" s="18">
        <f t="shared" si="4"/>
        <v>757</v>
      </c>
      <c r="B759" s="19" t="s">
        <v>571</v>
      </c>
      <c r="C759" s="20">
        <v>18.790000915527344</v>
      </c>
      <c r="D759" s="18">
        <f>SUM(C$3:C759)/A759</f>
        <v>26.473175952739023</v>
      </c>
    </row>
    <row r="760" spans="1:4" x14ac:dyDescent="0.2">
      <c r="A760" s="18">
        <f t="shared" si="4"/>
        <v>758</v>
      </c>
      <c r="B760" s="19" t="s">
        <v>572</v>
      </c>
      <c r="C760" s="20">
        <v>18.879999160766602</v>
      </c>
      <c r="D760" s="18">
        <f>SUM(C$3:C760)/A760</f>
        <v>26.463158569108455</v>
      </c>
    </row>
    <row r="761" spans="1:4" x14ac:dyDescent="0.2">
      <c r="A761" s="18">
        <f t="shared" si="4"/>
        <v>759</v>
      </c>
      <c r="B761" s="19" t="s">
        <v>573</v>
      </c>
      <c r="C761" s="20">
        <v>18.680000305175781</v>
      </c>
      <c r="D761" s="18">
        <f>SUM(C$3:C761)/A761</f>
        <v>26.452904078642138</v>
      </c>
    </row>
    <row r="762" spans="1:4" x14ac:dyDescent="0.2">
      <c r="A762" s="18">
        <f t="shared" si="4"/>
        <v>760</v>
      </c>
      <c r="B762" s="19" t="s">
        <v>574</v>
      </c>
      <c r="C762" s="20">
        <v>18.399999618530273</v>
      </c>
      <c r="D762" s="18">
        <f>SUM(C$3:C762)/A762</f>
        <v>26.44230815172094</v>
      </c>
    </row>
    <row r="763" spans="1:4" x14ac:dyDescent="0.2">
      <c r="A763" s="18">
        <f t="shared" si="4"/>
        <v>761</v>
      </c>
      <c r="B763" s="19" t="s">
        <v>575</v>
      </c>
      <c r="C763" s="20">
        <v>18.540000915527344</v>
      </c>
      <c r="D763" s="18">
        <f>SUM(C$3:C763)/A763</f>
        <v>26.43192404234355</v>
      </c>
    </row>
    <row r="764" spans="1:4" x14ac:dyDescent="0.2">
      <c r="A764" s="18">
        <f t="shared" si="4"/>
        <v>762</v>
      </c>
      <c r="B764" s="19" t="s">
        <v>576</v>
      </c>
      <c r="C764" s="20">
        <v>18.309999465942383</v>
      </c>
      <c r="D764" s="18">
        <f>SUM(C$3:C764)/A764</f>
        <v>26.421265348673732</v>
      </c>
    </row>
    <row r="765" spans="1:4" x14ac:dyDescent="0.2">
      <c r="A765" s="18">
        <f t="shared" si="4"/>
        <v>763</v>
      </c>
      <c r="B765" s="19" t="s">
        <v>577</v>
      </c>
      <c r="C765" s="20">
        <v>18.389999389648438</v>
      </c>
      <c r="D765" s="18">
        <f>SUM(C$3:C765)/A765</f>
        <v>26.410739443091785</v>
      </c>
    </row>
    <row r="766" spans="1:4" x14ac:dyDescent="0.2">
      <c r="A766" s="18">
        <f t="shared" si="4"/>
        <v>764</v>
      </c>
      <c r="B766" s="19">
        <v>45442</v>
      </c>
      <c r="C766" s="20">
        <v>18.409999847412109</v>
      </c>
      <c r="D766" s="18">
        <f>SUM(C$3:C766)/A766</f>
        <v>26.400267270846133</v>
      </c>
    </row>
    <row r="767" spans="1:4" x14ac:dyDescent="0.2">
      <c r="A767" s="18">
        <f t="shared" si="4"/>
        <v>765</v>
      </c>
      <c r="B767" s="19">
        <v>45443</v>
      </c>
      <c r="C767" s="20">
        <v>18.329999919999999</v>
      </c>
      <c r="D767" s="18">
        <f>SUM(C$3:C767)/A767</f>
        <v>26.389717901760058</v>
      </c>
    </row>
    <row r="768" spans="1:4" x14ac:dyDescent="0.2">
      <c r="A768" s="18">
        <f t="shared" si="4"/>
        <v>766</v>
      </c>
      <c r="B768" s="19" t="s">
        <v>578</v>
      </c>
      <c r="C768" s="20">
        <v>18.489999770000001</v>
      </c>
      <c r="D768" s="18">
        <f>SUM(C$3:C768)/A768</f>
        <v>26.37940495380737</v>
      </c>
    </row>
    <row r="769" spans="1:4" x14ac:dyDescent="0.2">
      <c r="A769" s="18">
        <f t="shared" si="4"/>
        <v>767</v>
      </c>
      <c r="B769" s="19" t="s">
        <v>579</v>
      </c>
      <c r="C769" s="20">
        <v>18.670000080000001</v>
      </c>
      <c r="D769" s="18">
        <f>SUM(C$3:C769)/A769</f>
        <v>26.369353578482979</v>
      </c>
    </row>
    <row r="770" spans="1:4" x14ac:dyDescent="0.2">
      <c r="A770" s="18">
        <f t="shared" si="4"/>
        <v>768</v>
      </c>
      <c r="B770" s="19" t="s">
        <v>580</v>
      </c>
      <c r="C770" s="20">
        <v>18.63999939</v>
      </c>
      <c r="D770" s="18">
        <f>SUM(C$3:C770)/A770</f>
        <v>26.359289315216728</v>
      </c>
    </row>
    <row r="771" spans="1:4" x14ac:dyDescent="0.2">
      <c r="A771" s="18">
        <f t="shared" si="4"/>
        <v>769</v>
      </c>
      <c r="B771" s="19" t="s">
        <v>581</v>
      </c>
      <c r="C771" s="20">
        <v>18.61000061</v>
      </c>
      <c r="D771" s="18">
        <f>SUM(C$3:C771)/A771</f>
        <v>26.349212216770411</v>
      </c>
    </row>
    <row r="772" spans="1:4" x14ac:dyDescent="0.2">
      <c r="A772" s="18">
        <f t="shared" si="4"/>
        <v>770</v>
      </c>
      <c r="B772" s="19" t="s">
        <v>582</v>
      </c>
      <c r="C772" s="20">
        <v>18.31999969</v>
      </c>
      <c r="D772" s="18">
        <f>SUM(C$3:C772)/A772</f>
        <v>26.338784668034346</v>
      </c>
    </row>
    <row r="773" spans="1:4" x14ac:dyDescent="0.2">
      <c r="A773" s="18">
        <f t="shared" si="4"/>
        <v>771</v>
      </c>
      <c r="B773" s="19" t="s">
        <v>583</v>
      </c>
      <c r="C773" s="20">
        <v>18.36000061</v>
      </c>
      <c r="D773" s="18">
        <f>SUM(C$3:C773)/A773</f>
        <v>26.328436050579047</v>
      </c>
    </row>
    <row r="774" spans="1:4" x14ac:dyDescent="0.2">
      <c r="A774" s="18">
        <f t="shared" si="4"/>
        <v>772</v>
      </c>
      <c r="B774" s="19" t="s">
        <v>584</v>
      </c>
      <c r="C774" s="20">
        <v>18.350000380000001</v>
      </c>
      <c r="D774" s="18">
        <f>SUM(C$3:C774)/A774</f>
        <v>26.318101289347727</v>
      </c>
    </row>
    <row r="775" spans="1:4" x14ac:dyDescent="0.2">
      <c r="A775" s="18">
        <f t="shared" si="4"/>
        <v>773</v>
      </c>
      <c r="B775" s="19" t="s">
        <v>585</v>
      </c>
      <c r="C775" s="20">
        <v>18.309999470000001</v>
      </c>
      <c r="D775" s="18">
        <f>SUM(C$3:C775)/A775</f>
        <v>26.307741519853096</v>
      </c>
    </row>
    <row r="776" spans="1:4" x14ac:dyDescent="0.2">
      <c r="A776" s="18">
        <f t="shared" si="4"/>
        <v>774</v>
      </c>
      <c r="B776" s="19" t="s">
        <v>586</v>
      </c>
      <c r="C776" s="20">
        <v>18.399999619999999</v>
      </c>
      <c r="D776" s="18">
        <f>SUM(C$3:C776)/A776</f>
        <v>26.297524799052251</v>
      </c>
    </row>
    <row r="777" spans="1:4" x14ac:dyDescent="0.2">
      <c r="A777" s="18">
        <f t="shared" si="4"/>
        <v>775</v>
      </c>
      <c r="B777" s="19" t="s">
        <v>587</v>
      </c>
      <c r="C777" s="20">
        <v>18.559999470000001</v>
      </c>
      <c r="D777" s="18">
        <f>SUM(C$3:C777)/A777</f>
        <v>26.287540895401861</v>
      </c>
    </row>
    <row r="778" spans="1:4" x14ac:dyDescent="0.2">
      <c r="A778" s="18">
        <f t="shared" si="4"/>
        <v>776</v>
      </c>
      <c r="B778" s="19" t="s">
        <v>588</v>
      </c>
      <c r="C778" s="20">
        <v>18.659999849999998</v>
      </c>
      <c r="D778" s="18">
        <f>SUM(C$3:C778)/A778</f>
        <v>26.277711589930981</v>
      </c>
    </row>
    <row r="779" spans="1:4" x14ac:dyDescent="0.2">
      <c r="A779" s="18">
        <f t="shared" si="4"/>
        <v>777</v>
      </c>
      <c r="B779" s="19" t="s">
        <v>589</v>
      </c>
      <c r="C779" s="20">
        <v>18.459999079999999</v>
      </c>
      <c r="D779" s="18">
        <f>SUM(C$3:C779)/A779</f>
        <v>26.267650183869296</v>
      </c>
    </row>
    <row r="780" spans="1:4" x14ac:dyDescent="0.2">
      <c r="A780" s="18">
        <f t="shared" si="4"/>
        <v>778</v>
      </c>
      <c r="B780" s="19" t="s">
        <v>590</v>
      </c>
      <c r="C780" s="20">
        <v>18.209999079999999</v>
      </c>
      <c r="D780" s="18">
        <f>SUM(C$3:C780)/A780</f>
        <v>26.25729330584376</v>
      </c>
    </row>
    <row r="781" spans="1:4" x14ac:dyDescent="0.2">
      <c r="A781" s="18">
        <f t="shared" si="4"/>
        <v>779</v>
      </c>
      <c r="B781" s="19" t="s">
        <v>591</v>
      </c>
      <c r="C781" s="20">
        <v>18.18000031</v>
      </c>
      <c r="D781" s="18">
        <f>SUM(C$3:C781)/A781</f>
        <v>26.246924508673228</v>
      </c>
    </row>
    <row r="782" spans="1:4" x14ac:dyDescent="0.2">
      <c r="A782" s="18">
        <f t="shared" si="4"/>
        <v>780</v>
      </c>
      <c r="B782" s="19" t="s">
        <v>592</v>
      </c>
      <c r="C782" s="20">
        <v>18</v>
      </c>
      <c r="D782" s="18">
        <f>SUM(C$3:C782)/A782</f>
        <v>26.236351528533902</v>
      </c>
    </row>
    <row r="783" spans="1:4" x14ac:dyDescent="0.2">
      <c r="A783" s="18">
        <f t="shared" si="4"/>
        <v>781</v>
      </c>
      <c r="B783" s="19" t="s">
        <v>593</v>
      </c>
      <c r="C783" s="20">
        <v>17.840000150000002</v>
      </c>
      <c r="D783" s="18">
        <f>SUM(C$3:C783)/A783</f>
        <v>26.225600758522976</v>
      </c>
    </row>
    <row r="784" spans="1:4" x14ac:dyDescent="0.2">
      <c r="A784" s="18">
        <f t="shared" si="4"/>
        <v>782</v>
      </c>
      <c r="B784" s="19" t="s">
        <v>594</v>
      </c>
      <c r="C784" s="20">
        <v>18.06999969</v>
      </c>
      <c r="D784" s="18">
        <f>SUM(C$3:C784)/A784</f>
        <v>26.215171601146348</v>
      </c>
    </row>
    <row r="785" spans="1:4" x14ac:dyDescent="0.2">
      <c r="A785" s="18">
        <f t="shared" si="4"/>
        <v>783</v>
      </c>
      <c r="B785" s="19">
        <v>45470</v>
      </c>
      <c r="C785" s="20">
        <v>17.870000839999999</v>
      </c>
      <c r="D785" s="18">
        <f>SUM(C$3:C785)/A785</f>
        <v>26.204513656368388</v>
      </c>
    </row>
    <row r="786" spans="1:4" x14ac:dyDescent="0.2">
      <c r="A786" s="18">
        <f t="shared" si="4"/>
        <v>784</v>
      </c>
      <c r="B786" s="19">
        <v>45471</v>
      </c>
      <c r="C786" s="20">
        <v>17.86000061</v>
      </c>
      <c r="D786" s="18">
        <f>SUM(C$3:C786)/A786</f>
        <v>26.193870144829649</v>
      </c>
    </row>
    <row r="787" spans="1:4" x14ac:dyDescent="0.2">
      <c r="A787" s="18">
        <f t="shared" si="4"/>
        <v>785</v>
      </c>
      <c r="B787" s="19" t="s">
        <v>595</v>
      </c>
      <c r="C787" s="20">
        <v>17.799999239999998</v>
      </c>
      <c r="D787" s="18">
        <f>SUM(C$3:C787)/A787</f>
        <v>26.183177315651523</v>
      </c>
    </row>
    <row r="788" spans="1:4" x14ac:dyDescent="0.2">
      <c r="A788" s="18">
        <f t="shared" si="4"/>
        <v>786</v>
      </c>
      <c r="B788" s="19" t="s">
        <v>596</v>
      </c>
      <c r="C788" s="20">
        <v>17.590000150000002</v>
      </c>
      <c r="D788" s="18">
        <f>SUM(C$3:C788)/A788</f>
        <v>26.172244520275378</v>
      </c>
    </row>
    <row r="789" spans="1:4" x14ac:dyDescent="0.2">
      <c r="A789" s="18">
        <f t="shared" si="4"/>
        <v>787</v>
      </c>
      <c r="B789" s="19" t="s">
        <v>597</v>
      </c>
      <c r="C789" s="20">
        <v>17.530000690000001</v>
      </c>
      <c r="D789" s="18">
        <f>SUM(C$3:C789)/A789</f>
        <v>26.161263270173375</v>
      </c>
    </row>
    <row r="790" spans="1:4" x14ac:dyDescent="0.2">
      <c r="A790" s="18">
        <f t="shared" si="4"/>
        <v>788</v>
      </c>
      <c r="B790" s="19" t="s">
        <v>598</v>
      </c>
      <c r="C790" s="20">
        <v>17.459999079999999</v>
      </c>
      <c r="D790" s="18">
        <f>SUM(C$3:C790)/A790</f>
        <v>26.150221056734072</v>
      </c>
    </row>
    <row r="791" spans="1:4" x14ac:dyDescent="0.2">
      <c r="A791" s="18">
        <f t="shared" si="4"/>
        <v>789</v>
      </c>
      <c r="B791" s="19" t="s">
        <v>599</v>
      </c>
      <c r="C791" s="20">
        <v>17.450000760000002</v>
      </c>
      <c r="D791" s="18">
        <f>SUM(C$3:C791)/A791</f>
        <v>26.139194161554432</v>
      </c>
    </row>
    <row r="792" spans="1:4" x14ac:dyDescent="0.2">
      <c r="A792" s="18">
        <f t="shared" si="4"/>
        <v>790</v>
      </c>
      <c r="B792" s="19" t="s">
        <v>600</v>
      </c>
      <c r="C792" s="20">
        <v>17.270000459999999</v>
      </c>
      <c r="D792" s="18">
        <f>SUM(C$3:C792)/A792</f>
        <v>26.127967334084111</v>
      </c>
    </row>
    <row r="793" spans="1:4" x14ac:dyDescent="0.2">
      <c r="A793" s="18">
        <f t="shared" si="4"/>
        <v>791</v>
      </c>
      <c r="B793" s="19" t="s">
        <v>601</v>
      </c>
      <c r="C793" s="20">
        <v>17.579999919999999</v>
      </c>
      <c r="D793" s="18">
        <f>SUM(C$3:C793)/A793</f>
        <v>26.117160801322942</v>
      </c>
    </row>
    <row r="794" spans="1:4" x14ac:dyDescent="0.2">
      <c r="A794" s="18">
        <f t="shared" si="4"/>
        <v>792</v>
      </c>
      <c r="B794" s="19" t="s">
        <v>602</v>
      </c>
      <c r="C794" s="20">
        <v>17.590000150000002</v>
      </c>
      <c r="D794" s="18">
        <f>SUM(C$3:C794)/A794</f>
        <v>26.106394184338949</v>
      </c>
    </row>
    <row r="795" spans="1:4" x14ac:dyDescent="0.2">
      <c r="A795" s="18">
        <f t="shared" si="4"/>
        <v>793</v>
      </c>
      <c r="B795" s="19" t="s">
        <v>603</v>
      </c>
      <c r="C795" s="20">
        <v>17.879999160000001</v>
      </c>
      <c r="D795" s="18">
        <f>SUM(C$3:C795)/A795</f>
        <v>26.096020420121622</v>
      </c>
    </row>
    <row r="796" spans="1:4" x14ac:dyDescent="0.2">
      <c r="A796" s="18">
        <f t="shared" si="4"/>
        <v>794</v>
      </c>
      <c r="B796" s="19" t="s">
        <v>604</v>
      </c>
      <c r="C796" s="20">
        <v>17.93000031</v>
      </c>
      <c r="D796" s="18">
        <f>SUM(C$3:C796)/A796</f>
        <v>26.085735760033309</v>
      </c>
    </row>
    <row r="797" spans="1:4" x14ac:dyDescent="0.2">
      <c r="A797" s="18">
        <f t="shared" si="4"/>
        <v>795</v>
      </c>
      <c r="B797" s="19" t="s">
        <v>605</v>
      </c>
      <c r="C797" s="20">
        <v>17.829999919999999</v>
      </c>
      <c r="D797" s="18">
        <f>SUM(C$3:C797)/A797</f>
        <v>26.07535118664962</v>
      </c>
    </row>
    <row r="798" spans="1:4" x14ac:dyDescent="0.2">
      <c r="A798" s="18">
        <f t="shared" si="4"/>
        <v>796</v>
      </c>
      <c r="B798" s="19" t="s">
        <v>606</v>
      </c>
      <c r="C798" s="20">
        <v>18.040000920000001</v>
      </c>
      <c r="D798" s="18">
        <f>SUM(C$3:C798)/A798</f>
        <v>26.065256525510609</v>
      </c>
    </row>
    <row r="799" spans="1:4" x14ac:dyDescent="0.2">
      <c r="A799" s="18">
        <f t="shared" si="4"/>
        <v>797</v>
      </c>
      <c r="B799" s="19" t="s">
        <v>607</v>
      </c>
      <c r="C799" s="20">
        <v>17.989999770000001</v>
      </c>
      <c r="D799" s="18">
        <f>SUM(C$3:C799)/A799</f>
        <v>26.055124459318002</v>
      </c>
    </row>
    <row r="800" spans="1:4" x14ac:dyDescent="0.2">
      <c r="A800" s="18">
        <f t="shared" si="4"/>
        <v>798</v>
      </c>
      <c r="B800" s="19" t="s">
        <v>608</v>
      </c>
      <c r="C800" s="20">
        <v>18.129999160000001</v>
      </c>
      <c r="D800" s="18">
        <f>SUM(C$3:C800)/A800</f>
        <v>26.045193224607075</v>
      </c>
    </row>
    <row r="801" spans="1:4" x14ac:dyDescent="0.2">
      <c r="A801" s="18">
        <f t="shared" si="4"/>
        <v>799</v>
      </c>
      <c r="B801" s="19" t="s">
        <v>609</v>
      </c>
      <c r="C801" s="20">
        <v>18.190000529999999</v>
      </c>
      <c r="D801" s="18">
        <f>SUM(C$3:C801)/A801</f>
        <v>26.035361944638858</v>
      </c>
    </row>
    <row r="802" spans="1:4" x14ac:dyDescent="0.2">
      <c r="A802" s="18">
        <f t="shared" si="4"/>
        <v>800</v>
      </c>
      <c r="B802" s="19" t="s">
        <v>610</v>
      </c>
      <c r="C802" s="20">
        <v>18.159999849999998</v>
      </c>
      <c r="D802" s="18">
        <f>SUM(C$3:C802)/A802</f>
        <v>26.025517742020558</v>
      </c>
    </row>
    <row r="803" spans="1:4" x14ac:dyDescent="0.2">
      <c r="A803" s="18">
        <f t="shared" si="4"/>
        <v>801</v>
      </c>
      <c r="B803" s="19" t="s">
        <v>611</v>
      </c>
      <c r="C803" s="20">
        <v>17.61000061</v>
      </c>
      <c r="D803" s="18">
        <f>SUM(C$3:C803)/A803</f>
        <v>26.01501147843501</v>
      </c>
    </row>
    <row r="804" spans="1:4" x14ac:dyDescent="0.2">
      <c r="A804" s="18">
        <f t="shared" si="4"/>
        <v>802</v>
      </c>
      <c r="B804" s="19" t="s">
        <v>612</v>
      </c>
      <c r="C804" s="20">
        <v>17.370000839999999</v>
      </c>
      <c r="D804" s="18">
        <f>SUM(C$3:C804)/A804</f>
        <v>26.004232163424494</v>
      </c>
    </row>
    <row r="805" spans="1:4" x14ac:dyDescent="0.2">
      <c r="A805" s="18">
        <f t="shared" si="4"/>
        <v>803</v>
      </c>
      <c r="B805" s="19" t="s">
        <v>613</v>
      </c>
      <c r="C805" s="20">
        <v>17.340000150000002</v>
      </c>
      <c r="D805" s="18">
        <f>SUM(C$3:C805)/A805</f>
        <v>25.993442335263321</v>
      </c>
    </row>
    <row r="806" spans="1:4" x14ac:dyDescent="0.2">
      <c r="A806" s="18">
        <f t="shared" si="4"/>
        <v>804</v>
      </c>
      <c r="B806" s="19" t="s">
        <v>614</v>
      </c>
      <c r="C806" s="20">
        <v>17.61000061</v>
      </c>
      <c r="D806" s="18">
        <f>SUM(C$3:C806)/A806</f>
        <v>25.983015168938365</v>
      </c>
    </row>
    <row r="807" spans="1:4" x14ac:dyDescent="0.2">
      <c r="A807" s="18">
        <f t="shared" si="4"/>
        <v>805</v>
      </c>
      <c r="B807" s="19" t="s">
        <v>615</v>
      </c>
      <c r="C807" s="20">
        <v>17.38999939</v>
      </c>
      <c r="D807" s="18">
        <f>SUM(C$3:C807)/A807</f>
        <v>25.97234061517571</v>
      </c>
    </row>
    <row r="808" spans="1:4" x14ac:dyDescent="0.2">
      <c r="A808" s="18">
        <f t="shared" si="4"/>
        <v>806</v>
      </c>
      <c r="B808" s="19">
        <v>45503</v>
      </c>
      <c r="C808" s="20">
        <v>17.219999309999999</v>
      </c>
      <c r="D808" s="18">
        <f>SUM(C$3:C808)/A808</f>
        <v>25.961481630926112</v>
      </c>
    </row>
    <row r="809" spans="1:4" x14ac:dyDescent="0.2">
      <c r="A809" s="18">
        <f t="shared" si="4"/>
        <v>807</v>
      </c>
      <c r="B809" s="19">
        <v>45504</v>
      </c>
      <c r="C809" s="20">
        <v>17.709999079999999</v>
      </c>
      <c r="D809" s="18">
        <f>SUM(C$3:C809)/A809</f>
        <v>25.951256745485065</v>
      </c>
    </row>
    <row r="810" spans="1:4" x14ac:dyDescent="0.2">
      <c r="A810" s="18">
        <f t="shared" ref="A810:A1064" si="5">A809+1</f>
        <v>808</v>
      </c>
      <c r="B810" s="30" t="s">
        <v>616</v>
      </c>
      <c r="C810" s="31">
        <v>17.520000459999999</v>
      </c>
      <c r="D810" s="18">
        <f>SUM(C$3:C810)/A810</f>
        <v>25.940822022359466</v>
      </c>
    </row>
    <row r="811" spans="1:4" x14ac:dyDescent="0.2">
      <c r="A811" s="18">
        <f t="shared" si="5"/>
        <v>809</v>
      </c>
      <c r="B811" s="30" t="s">
        <v>617</v>
      </c>
      <c r="C811" s="31">
        <v>17.260000229999999</v>
      </c>
      <c r="D811" s="18">
        <f>SUM(C$3:C811)/A811</f>
        <v>25.930091711120454</v>
      </c>
    </row>
    <row r="812" spans="1:4" x14ac:dyDescent="0.2">
      <c r="A812" s="18">
        <f t="shared" si="5"/>
        <v>810</v>
      </c>
      <c r="B812" s="30" t="s">
        <v>618</v>
      </c>
      <c r="C812" s="31">
        <v>16.899999619999999</v>
      </c>
      <c r="D812" s="18">
        <f>SUM(C$3:C812)/A812</f>
        <v>25.918943449279563</v>
      </c>
    </row>
    <row r="813" spans="1:4" x14ac:dyDescent="0.2">
      <c r="A813" s="18">
        <f t="shared" si="5"/>
        <v>811</v>
      </c>
      <c r="B813" s="30" t="s">
        <v>619</v>
      </c>
      <c r="C813" s="31">
        <v>16.979999540000001</v>
      </c>
      <c r="D813" s="18">
        <f>SUM(C$3:C813)/A813</f>
        <v>25.907921323620773</v>
      </c>
    </row>
    <row r="814" spans="1:4" x14ac:dyDescent="0.2">
      <c r="A814" s="18">
        <f t="shared" si="5"/>
        <v>812</v>
      </c>
      <c r="B814" s="30" t="s">
        <v>620</v>
      </c>
      <c r="C814" s="31">
        <v>16.950000760000002</v>
      </c>
      <c r="D814" s="18">
        <f>SUM(C$3:C814)/A814</f>
        <v>25.896889401744392</v>
      </c>
    </row>
    <row r="815" spans="1:4" x14ac:dyDescent="0.2">
      <c r="A815" s="18">
        <f t="shared" si="5"/>
        <v>813</v>
      </c>
      <c r="B815" s="30" t="s">
        <v>621</v>
      </c>
      <c r="C815" s="31">
        <v>16.920000080000001</v>
      </c>
      <c r="D815" s="18">
        <f>SUM(C$3:C815)/A815</f>
        <v>25.885847717461804</v>
      </c>
    </row>
    <row r="816" spans="1:4" x14ac:dyDescent="0.2">
      <c r="A816" s="18">
        <f t="shared" si="5"/>
        <v>814</v>
      </c>
      <c r="B816" s="30" t="s">
        <v>622</v>
      </c>
      <c r="C816" s="31">
        <v>16.829999919999999</v>
      </c>
      <c r="D816" s="18">
        <f>SUM(C$3:C816)/A816</f>
        <v>25.874722597317501</v>
      </c>
    </row>
    <row r="817" spans="1:4" x14ac:dyDescent="0.2">
      <c r="A817" s="18">
        <f t="shared" si="5"/>
        <v>815</v>
      </c>
      <c r="B817" s="30" t="s">
        <v>623</v>
      </c>
      <c r="C817" s="31">
        <v>16.809999470000001</v>
      </c>
      <c r="D817" s="18">
        <f>SUM(C$3:C817)/A817</f>
        <v>25.863600237652079</v>
      </c>
    </row>
    <row r="818" spans="1:4" x14ac:dyDescent="0.2">
      <c r="A818" s="18">
        <f t="shared" si="5"/>
        <v>816</v>
      </c>
      <c r="B818" s="30" t="s">
        <v>624</v>
      </c>
      <c r="C818" s="31">
        <v>16.879999160000001</v>
      </c>
      <c r="D818" s="18">
        <f>SUM(C$3:C818)/A818</f>
        <v>25.852590922605938</v>
      </c>
    </row>
    <row r="819" spans="1:4" x14ac:dyDescent="0.2">
      <c r="A819" s="18">
        <f t="shared" si="5"/>
        <v>817</v>
      </c>
      <c r="B819" s="30" t="s">
        <v>625</v>
      </c>
      <c r="C819" s="31">
        <v>16.690000529999999</v>
      </c>
      <c r="D819" s="18">
        <f>SUM(C$3:C819)/A819</f>
        <v>25.841376001684758</v>
      </c>
    </row>
    <row r="820" spans="1:4" x14ac:dyDescent="0.2">
      <c r="A820" s="18">
        <f t="shared" si="5"/>
        <v>818</v>
      </c>
      <c r="B820" s="30" t="s">
        <v>626</v>
      </c>
      <c r="C820" s="31">
        <v>16.780000690000001</v>
      </c>
      <c r="D820" s="18">
        <f>SUM(C$3:C820)/A820</f>
        <v>25.830298525753602</v>
      </c>
    </row>
    <row r="821" spans="1:4" x14ac:dyDescent="0.2">
      <c r="A821" s="18">
        <f t="shared" si="5"/>
        <v>819</v>
      </c>
      <c r="B821" s="30" t="s">
        <v>627</v>
      </c>
      <c r="C821" s="31">
        <v>16.81999969</v>
      </c>
      <c r="D821" s="18">
        <f>SUM(C$3:C821)/A821</f>
        <v>25.81929693987356</v>
      </c>
    </row>
    <row r="822" spans="1:4" x14ac:dyDescent="0.2">
      <c r="A822" s="18">
        <f t="shared" si="5"/>
        <v>820</v>
      </c>
      <c r="B822" s="30" t="s">
        <v>628</v>
      </c>
      <c r="C822" s="31">
        <v>16.739999999999998</v>
      </c>
      <c r="D822" s="18">
        <f>SUM(C$3:C822)/A822</f>
        <v>25.808224626532251</v>
      </c>
    </row>
    <row r="823" spans="1:4" x14ac:dyDescent="0.2">
      <c r="A823" s="18">
        <f t="shared" si="5"/>
        <v>821</v>
      </c>
      <c r="B823" s="30" t="s">
        <v>629</v>
      </c>
      <c r="C823" s="31">
        <v>16.659999849999998</v>
      </c>
      <c r="D823" s="18">
        <f>SUM(C$3:C823)/A823</f>
        <v>25.79708184361321</v>
      </c>
    </row>
    <row r="824" spans="1:4" x14ac:dyDescent="0.2">
      <c r="A824" s="18">
        <f t="shared" si="5"/>
        <v>822</v>
      </c>
      <c r="B824" s="30" t="s">
        <v>630</v>
      </c>
      <c r="C824" s="31">
        <v>16.670000080000001</v>
      </c>
      <c r="D824" s="18">
        <f>SUM(C$3:C824)/A824</f>
        <v>25.785978337818062</v>
      </c>
    </row>
    <row r="825" spans="1:4" x14ac:dyDescent="0.2">
      <c r="A825" s="18">
        <f t="shared" si="5"/>
        <v>823</v>
      </c>
      <c r="B825" s="30" t="s">
        <v>631</v>
      </c>
      <c r="C825" s="31">
        <v>16.600000380000001</v>
      </c>
      <c r="D825" s="18">
        <f>SUM(C$3:C825)/A825</f>
        <v>25.774816760712572</v>
      </c>
    </row>
    <row r="826" spans="1:4" x14ac:dyDescent="0.2">
      <c r="A826" s="18">
        <f t="shared" si="5"/>
        <v>824</v>
      </c>
      <c r="B826" s="30" t="s">
        <v>632</v>
      </c>
      <c r="C826" s="31">
        <v>16.690000529999999</v>
      </c>
      <c r="D826" s="18">
        <f>SUM(C$3:C826)/A826</f>
        <v>25.763791498296662</v>
      </c>
    </row>
    <row r="827" spans="1:4" x14ac:dyDescent="0.2">
      <c r="A827" s="18">
        <f t="shared" si="5"/>
        <v>825</v>
      </c>
      <c r="B827" s="30" t="s">
        <v>633</v>
      </c>
      <c r="C827" s="31">
        <v>20.13999939</v>
      </c>
      <c r="D827" s="18">
        <f>SUM(C$3:C827)/A827</f>
        <v>25.756974780589637</v>
      </c>
    </row>
    <row r="828" spans="1:4" x14ac:dyDescent="0.2">
      <c r="A828" s="18">
        <f t="shared" si="5"/>
        <v>826</v>
      </c>
      <c r="B828" s="30" t="s">
        <v>634</v>
      </c>
      <c r="C828" s="31">
        <v>19.969999309999999</v>
      </c>
      <c r="D828" s="18">
        <f>SUM(C$3:C828)/A828</f>
        <v>25.749968757017495</v>
      </c>
    </row>
    <row r="829" spans="1:4" x14ac:dyDescent="0.2">
      <c r="A829" s="18">
        <f t="shared" si="5"/>
        <v>827</v>
      </c>
      <c r="B829" s="30" t="s">
        <v>635</v>
      </c>
      <c r="C829" s="31">
        <v>19.909999849999998</v>
      </c>
      <c r="D829" s="18">
        <f>SUM(C$3:C829)/A829</f>
        <v>25.742907125932827</v>
      </c>
    </row>
    <row r="830" spans="1:4" x14ac:dyDescent="0.2">
      <c r="A830" s="18">
        <f t="shared" si="5"/>
        <v>828</v>
      </c>
      <c r="B830" s="30">
        <v>45533</v>
      </c>
      <c r="C830" s="31">
        <v>19.979999540000001</v>
      </c>
      <c r="D830" s="18">
        <f>SUM(C$3:C830)/A830</f>
        <v>25.735947092616481</v>
      </c>
    </row>
    <row r="831" spans="1:4" x14ac:dyDescent="0.2">
      <c r="A831" s="18">
        <f t="shared" si="5"/>
        <v>829</v>
      </c>
      <c r="B831" s="30">
        <v>45534</v>
      </c>
      <c r="C831" s="31">
        <v>20.56999969</v>
      </c>
      <c r="D831" s="18">
        <f>SUM(C$3:C831)/A831</f>
        <v>25.729715551720684</v>
      </c>
    </row>
    <row r="832" spans="1:4" x14ac:dyDescent="0.2">
      <c r="A832" s="18">
        <f t="shared" si="5"/>
        <v>830</v>
      </c>
      <c r="B832" s="30" t="s">
        <v>636</v>
      </c>
      <c r="C832" s="31">
        <v>19.579999919999999</v>
      </c>
      <c r="D832" s="18">
        <f>SUM(C$3:C832)/A832</f>
        <v>25.72230625577885</v>
      </c>
    </row>
    <row r="833" spans="1:4" x14ac:dyDescent="0.2">
      <c r="A833" s="18">
        <f t="shared" si="5"/>
        <v>831</v>
      </c>
      <c r="B833" s="30" t="s">
        <v>637</v>
      </c>
      <c r="C833" s="31">
        <v>19.870000839999999</v>
      </c>
      <c r="D833" s="18">
        <f>SUM(C$3:C833)/A833</f>
        <v>25.715263770320636</v>
      </c>
    </row>
    <row r="834" spans="1:4" x14ac:dyDescent="0.2">
      <c r="A834" s="18">
        <f t="shared" si="5"/>
        <v>832</v>
      </c>
      <c r="B834" s="30" t="s">
        <v>638</v>
      </c>
      <c r="C834" s="31">
        <v>19.879999160000001</v>
      </c>
      <c r="D834" s="18">
        <f>SUM(C$3:C834)/A834</f>
        <v>25.708250231125536</v>
      </c>
    </row>
    <row r="835" spans="1:4" x14ac:dyDescent="0.2">
      <c r="A835" s="18">
        <f t="shared" si="5"/>
        <v>833</v>
      </c>
      <c r="B835" s="30" t="s">
        <v>639</v>
      </c>
      <c r="C835" s="31">
        <v>19.899999619999999</v>
      </c>
      <c r="D835" s="18">
        <f>SUM(C$3:C835)/A835</f>
        <v>25.701277541316262</v>
      </c>
    </row>
    <row r="836" spans="1:4" x14ac:dyDescent="0.2">
      <c r="A836" s="18">
        <f t="shared" si="5"/>
        <v>834</v>
      </c>
      <c r="B836" s="30" t="s">
        <v>640</v>
      </c>
      <c r="C836" s="31">
        <v>19.61000061</v>
      </c>
      <c r="D836" s="18">
        <f>SUM(C$3:C836)/A836</f>
        <v>25.693973851950176</v>
      </c>
    </row>
    <row r="837" spans="1:4" x14ac:dyDescent="0.2">
      <c r="A837" s="18">
        <f t="shared" si="5"/>
        <v>835</v>
      </c>
      <c r="B837" s="30" t="s">
        <v>641</v>
      </c>
      <c r="C837" s="31">
        <v>19.450000760000002</v>
      </c>
      <c r="D837" s="18">
        <f>SUM(C$3:C837)/A837</f>
        <v>25.686496039864007</v>
      </c>
    </row>
    <row r="838" spans="1:4" x14ac:dyDescent="0.2">
      <c r="A838" s="18">
        <f t="shared" si="5"/>
        <v>836</v>
      </c>
      <c r="B838" s="30" t="s">
        <v>642</v>
      </c>
      <c r="C838" s="31">
        <v>19.510000229999999</v>
      </c>
      <c r="D838" s="18">
        <f>SUM(C$3:C838)/A838</f>
        <v>25.679107886981392</v>
      </c>
    </row>
    <row r="839" spans="1:4" x14ac:dyDescent="0.2">
      <c r="A839" s="18">
        <f t="shared" si="5"/>
        <v>837</v>
      </c>
      <c r="B839" s="30" t="s">
        <v>643</v>
      </c>
      <c r="C839" s="31">
        <v>19.75</v>
      </c>
      <c r="D839" s="18">
        <f>SUM(C$3:C839)/A839</f>
        <v>25.672024126065047</v>
      </c>
    </row>
    <row r="840" spans="1:4" x14ac:dyDescent="0.2">
      <c r="A840" s="18">
        <f t="shared" si="5"/>
        <v>838</v>
      </c>
      <c r="B840" s="30" t="s">
        <v>644</v>
      </c>
      <c r="C840" s="31">
        <v>19.649999619999999</v>
      </c>
      <c r="D840" s="18">
        <f>SUM(C$3:C840)/A840</f>
        <v>25.664837939303634</v>
      </c>
    </row>
    <row r="841" spans="1:4" x14ac:dyDescent="0.2">
      <c r="A841" s="18">
        <f t="shared" si="5"/>
        <v>839</v>
      </c>
      <c r="B841" s="30" t="s">
        <v>645</v>
      </c>
      <c r="C841" s="31">
        <v>19.489999770000001</v>
      </c>
      <c r="D841" s="18">
        <f>SUM(C$3:C841)/A841</f>
        <v>25.657478179864654</v>
      </c>
    </row>
    <row r="842" spans="1:4" x14ac:dyDescent="0.2">
      <c r="A842" s="18">
        <f t="shared" si="5"/>
        <v>840</v>
      </c>
      <c r="B842" s="30" t="s">
        <v>646</v>
      </c>
      <c r="C842" s="31">
        <v>19.629999160000001</v>
      </c>
      <c r="D842" s="18">
        <f>SUM(C$3:C842)/A842</f>
        <v>25.65030260960291</v>
      </c>
    </row>
    <row r="843" spans="1:4" x14ac:dyDescent="0.2">
      <c r="A843" s="18">
        <f t="shared" si="5"/>
        <v>841</v>
      </c>
      <c r="B843" s="30" t="s">
        <v>647</v>
      </c>
      <c r="C843" s="31">
        <v>19.670000080000001</v>
      </c>
      <c r="D843" s="18">
        <f>SUM(C$3:C843)/A843</f>
        <v>25.643191667237154</v>
      </c>
    </row>
    <row r="844" spans="1:4" x14ac:dyDescent="0.2">
      <c r="A844" s="18">
        <f t="shared" si="5"/>
        <v>842</v>
      </c>
      <c r="B844" s="30" t="s">
        <v>648</v>
      </c>
      <c r="C844" s="31">
        <v>19.649999619999999</v>
      </c>
      <c r="D844" s="18">
        <f>SUM(C$3:C844)/A844</f>
        <v>25.636073861955399</v>
      </c>
    </row>
    <row r="845" spans="1:4" x14ac:dyDescent="0.2">
      <c r="A845" s="18">
        <f t="shared" si="5"/>
        <v>843</v>
      </c>
      <c r="B845" s="30" t="s">
        <v>649</v>
      </c>
      <c r="C845" s="31">
        <v>19.620000839999999</v>
      </c>
      <c r="D845" s="18">
        <f>SUM(C$3:C845)/A845</f>
        <v>25.628937357777517</v>
      </c>
    </row>
    <row r="846" spans="1:4" x14ac:dyDescent="0.2">
      <c r="A846" s="18">
        <f t="shared" si="5"/>
        <v>844</v>
      </c>
      <c r="B846" s="30" t="s">
        <v>650</v>
      </c>
      <c r="C846" s="31">
        <v>20.299999239999998</v>
      </c>
      <c r="D846" s="18">
        <f>SUM(C$3:C846)/A846</f>
        <v>25.622623450055031</v>
      </c>
    </row>
    <row r="847" spans="1:4" x14ac:dyDescent="0.2">
      <c r="A847" s="18">
        <f t="shared" si="5"/>
        <v>845</v>
      </c>
      <c r="B847" s="30" t="s">
        <v>651</v>
      </c>
      <c r="C847" s="31">
        <v>20.670000080000001</v>
      </c>
      <c r="D847" s="18">
        <f>SUM(C$3:C847)/A847</f>
        <v>25.616762357309405</v>
      </c>
    </row>
    <row r="848" spans="1:4" x14ac:dyDescent="0.2">
      <c r="A848" s="18">
        <f t="shared" si="5"/>
        <v>846</v>
      </c>
      <c r="B848" s="30" t="s">
        <v>652</v>
      </c>
      <c r="C848" s="31">
        <v>21.299999239999998</v>
      </c>
      <c r="D848" s="18">
        <f>SUM(C$3:C848)/A848</f>
        <v>25.611659800433152</v>
      </c>
    </row>
    <row r="849" spans="1:4" x14ac:dyDescent="0.2">
      <c r="A849" s="18">
        <f t="shared" si="5"/>
        <v>847</v>
      </c>
      <c r="B849" s="30">
        <v>45562</v>
      </c>
      <c r="C849" s="31">
        <v>22.780000690000001</v>
      </c>
      <c r="D849" s="18">
        <f>SUM(C$3:C849)/A849</f>
        <v>25.608316637374791</v>
      </c>
    </row>
    <row r="850" spans="1:4" x14ac:dyDescent="0.2">
      <c r="A850" s="18">
        <f t="shared" si="5"/>
        <v>848</v>
      </c>
      <c r="B850" s="30">
        <v>45565</v>
      </c>
      <c r="C850" s="31">
        <v>25.239999770000001</v>
      </c>
      <c r="D850" s="18">
        <f>SUM(C$3:C850)/A850</f>
        <v>25.607882301446285</v>
      </c>
    </row>
    <row r="851" spans="1:4" x14ac:dyDescent="0.2">
      <c r="A851" s="18">
        <f t="shared" si="5"/>
        <v>849</v>
      </c>
      <c r="B851" s="30" t="s">
        <v>653</v>
      </c>
      <c r="C851" s="31">
        <v>28.299999239999998</v>
      </c>
      <c r="D851" s="18">
        <f>SUM(C$3:C851)/A851</f>
        <v>25.611053228346819</v>
      </c>
    </row>
    <row r="852" spans="1:4" x14ac:dyDescent="0.2">
      <c r="A852" s="18">
        <f t="shared" si="5"/>
        <v>850</v>
      </c>
      <c r="B852" s="30" t="s">
        <v>654</v>
      </c>
      <c r="C852" s="31">
        <v>25.780000690000001</v>
      </c>
      <c r="D852" s="18">
        <f>SUM(C$3:C852)/A852</f>
        <v>25.61125199006641</v>
      </c>
    </row>
    <row r="853" spans="1:4" x14ac:dyDescent="0.2">
      <c r="A853" s="18">
        <f t="shared" si="5"/>
        <v>851</v>
      </c>
      <c r="B853" s="30" t="s">
        <v>655</v>
      </c>
      <c r="C853" s="31">
        <v>25.760000229999999</v>
      </c>
      <c r="D853" s="18">
        <f>SUM(C$3:C853)/A853</f>
        <v>25.611426782357753</v>
      </c>
    </row>
    <row r="854" spans="1:4" x14ac:dyDescent="0.2">
      <c r="A854" s="18">
        <f t="shared" si="5"/>
        <v>852</v>
      </c>
      <c r="B854" s="30" t="s">
        <v>656</v>
      </c>
      <c r="C854" s="31">
        <v>24.489999770000001</v>
      </c>
      <c r="D854" s="18">
        <f>SUM(C$3:C854)/A854</f>
        <v>25.610110553470008</v>
      </c>
    </row>
    <row r="855" spans="1:4" x14ac:dyDescent="0.2">
      <c r="A855" s="18">
        <f t="shared" si="5"/>
        <v>853</v>
      </c>
      <c r="B855" s="30" t="s">
        <v>657</v>
      </c>
      <c r="C855" s="31">
        <v>25.090000150000002</v>
      </c>
      <c r="D855" s="18">
        <f>SUM(C$3:C855)/A855</f>
        <v>25.609500810910259</v>
      </c>
    </row>
    <row r="856" spans="1:4" x14ac:dyDescent="0.2">
      <c r="A856" s="18">
        <f t="shared" si="5"/>
        <v>854</v>
      </c>
      <c r="B856" s="30" t="s">
        <v>658</v>
      </c>
      <c r="C856" s="31">
        <v>24.43000031</v>
      </c>
      <c r="D856" s="18">
        <f>SUM(C$3:C856)/A856</f>
        <v>25.608119662782727</v>
      </c>
    </row>
    <row r="857" spans="1:4" x14ac:dyDescent="0.2">
      <c r="A857" s="18">
        <f t="shared" si="5"/>
        <v>855</v>
      </c>
      <c r="B857" s="30" t="s">
        <v>659</v>
      </c>
      <c r="C857" s="31">
        <v>23.850000380000001</v>
      </c>
      <c r="D857" s="18">
        <f>SUM(C$3:C857)/A857</f>
        <v>25.606063382919825</v>
      </c>
    </row>
    <row r="858" spans="1:4" x14ac:dyDescent="0.2">
      <c r="A858" s="18">
        <f t="shared" si="5"/>
        <v>856</v>
      </c>
      <c r="B858" s="30" t="s">
        <v>660</v>
      </c>
      <c r="C858" s="31">
        <v>23.75</v>
      </c>
      <c r="D858" s="18">
        <f>SUM(C$3:C858)/A858</f>
        <v>25.603895084575292</v>
      </c>
    </row>
    <row r="859" spans="1:4" x14ac:dyDescent="0.2">
      <c r="A859" s="18">
        <f t="shared" si="5"/>
        <v>857</v>
      </c>
      <c r="B859" s="30" t="s">
        <v>661</v>
      </c>
      <c r="C859" s="31">
        <v>25.129999160000001</v>
      </c>
      <c r="D859" s="18">
        <f>SUM(C$3:C859)/A859</f>
        <v>25.603342113834827</v>
      </c>
    </row>
    <row r="860" spans="1:4" x14ac:dyDescent="0.2">
      <c r="A860" s="18">
        <f t="shared" si="5"/>
        <v>858</v>
      </c>
      <c r="B860" s="30" t="s">
        <v>662</v>
      </c>
      <c r="C860" s="31">
        <v>25.510000229999999</v>
      </c>
      <c r="D860" s="18">
        <f>SUM(C$3:C860)/A860</f>
        <v>25.603233323760428</v>
      </c>
    </row>
    <row r="861" spans="1:4" x14ac:dyDescent="0.2">
      <c r="A861" s="18">
        <f t="shared" si="5"/>
        <v>859</v>
      </c>
      <c r="B861" s="30" t="s">
        <v>663</v>
      </c>
      <c r="C861" s="31">
        <v>25.530000690000001</v>
      </c>
      <c r="D861" s="18">
        <f>SUM(C$3:C861)/A861</f>
        <v>25.603148070403314</v>
      </c>
    </row>
    <row r="862" spans="1:4" x14ac:dyDescent="0.2">
      <c r="A862" s="18">
        <f t="shared" si="5"/>
        <v>860</v>
      </c>
      <c r="B862" s="30" t="s">
        <v>664</v>
      </c>
      <c r="C862" s="31">
        <v>25.520000459999999</v>
      </c>
      <c r="D862" s="18">
        <f>SUM(C$3:C862)/A862</f>
        <v>25.603051387135405</v>
      </c>
    </row>
    <row r="863" spans="1:4" x14ac:dyDescent="0.2">
      <c r="A863" s="18">
        <f t="shared" si="5"/>
        <v>861</v>
      </c>
      <c r="B863" s="30" t="s">
        <v>665</v>
      </c>
      <c r="C863" s="31">
        <v>25.190000529999999</v>
      </c>
      <c r="D863" s="18">
        <f>SUM(C$3:C863)/A863</f>
        <v>25.602571653271138</v>
      </c>
    </row>
    <row r="864" spans="1:4" x14ac:dyDescent="0.2">
      <c r="A864" s="18">
        <f t="shared" si="5"/>
        <v>862</v>
      </c>
      <c r="B864" s="30" t="s">
        <v>666</v>
      </c>
      <c r="C864" s="31">
        <v>25.670000080000001</v>
      </c>
      <c r="D864" s="18">
        <f>SUM(C$3:C864)/A864</f>
        <v>25.602649876504003</v>
      </c>
    </row>
    <row r="865" spans="1:4" x14ac:dyDescent="0.2">
      <c r="A865" s="18">
        <f t="shared" si="5"/>
        <v>863</v>
      </c>
      <c r="B865" s="30" t="s">
        <v>667</v>
      </c>
      <c r="C865" s="31">
        <v>25.579999919999999</v>
      </c>
      <c r="D865" s="18">
        <f>SUM(C$3:C865)/A865</f>
        <v>25.602623630899711</v>
      </c>
    </row>
    <row r="866" spans="1:4" x14ac:dyDescent="0.2">
      <c r="A866" s="18">
        <f t="shared" si="5"/>
        <v>864</v>
      </c>
      <c r="B866" s="30" t="s">
        <v>668</v>
      </c>
      <c r="C866" s="31">
        <v>25.260000229999999</v>
      </c>
      <c r="D866" s="18">
        <f>SUM(C$3:C866)/A866</f>
        <v>25.602227076037554</v>
      </c>
    </row>
    <row r="867" spans="1:4" x14ac:dyDescent="0.2">
      <c r="A867" s="18">
        <f t="shared" si="5"/>
        <v>865</v>
      </c>
      <c r="B867" s="30">
        <v>45595</v>
      </c>
      <c r="C867" s="31">
        <v>25.049999239999998</v>
      </c>
      <c r="D867" s="18">
        <f>SUM(C$3:C867)/A867</f>
        <v>25.601588662354274</v>
      </c>
    </row>
    <row r="868" spans="1:4" x14ac:dyDescent="0.2">
      <c r="A868" s="18">
        <f t="shared" si="5"/>
        <v>866</v>
      </c>
      <c r="B868" s="30">
        <v>45596</v>
      </c>
      <c r="C868" s="31">
        <v>24.940000529999999</v>
      </c>
      <c r="D868" s="18">
        <f>SUM(C$3:C868)/A868</f>
        <v>25.600824703771881</v>
      </c>
    </row>
    <row r="869" spans="1:4" x14ac:dyDescent="0.2">
      <c r="A869" s="18">
        <f t="shared" si="5"/>
        <v>867</v>
      </c>
      <c r="B869" s="30" t="s">
        <v>669</v>
      </c>
      <c r="C869" s="31">
        <v>24.25</v>
      </c>
      <c r="D869" s="18">
        <f>SUM(C$3:C869)/A869</f>
        <v>25.599266659130851</v>
      </c>
    </row>
    <row r="870" spans="1:4" x14ac:dyDescent="0.2">
      <c r="A870" s="18">
        <f t="shared" si="5"/>
        <v>868</v>
      </c>
      <c r="B870" s="30" t="s">
        <v>670</v>
      </c>
      <c r="C870" s="31">
        <v>24.879999160000001</v>
      </c>
      <c r="D870" s="18">
        <f>SUM(C$3:C870)/A870</f>
        <v>25.598438009938306</v>
      </c>
    </row>
    <row r="871" spans="1:4" x14ac:dyDescent="0.2">
      <c r="A871" s="18">
        <f t="shared" si="5"/>
        <v>869</v>
      </c>
      <c r="B871" s="30" t="s">
        <v>671</v>
      </c>
      <c r="C871" s="31">
        <v>25.620000839999999</v>
      </c>
      <c r="D871" s="18">
        <f>SUM(C$3:C871)/A871</f>
        <v>25.598462823321576</v>
      </c>
    </row>
    <row r="872" spans="1:4" x14ac:dyDescent="0.2">
      <c r="A872" s="18">
        <f t="shared" si="5"/>
        <v>870</v>
      </c>
      <c r="B872" s="30" t="s">
        <v>672</v>
      </c>
      <c r="C872" s="31">
        <v>25.409999849999998</v>
      </c>
      <c r="D872" s="18">
        <f>SUM(C$3:C872)/A872</f>
        <v>25.598246199214309</v>
      </c>
    </row>
    <row r="873" spans="1:4" x14ac:dyDescent="0.2">
      <c r="A873" s="18">
        <f t="shared" si="5"/>
        <v>871</v>
      </c>
      <c r="B873" s="30" t="s">
        <v>673</v>
      </c>
      <c r="C873" s="31">
        <v>25.780000690000001</v>
      </c>
      <c r="D873" s="18">
        <f>SUM(C$3:C873)/A873</f>
        <v>25.598454872567679</v>
      </c>
    </row>
    <row r="874" spans="1:4" x14ac:dyDescent="0.2">
      <c r="A874" s="18">
        <f t="shared" si="5"/>
        <v>872</v>
      </c>
      <c r="B874" s="30" t="s">
        <v>674</v>
      </c>
      <c r="C874" s="31">
        <v>25.780000690000001</v>
      </c>
      <c r="D874" s="18">
        <f>SUM(C$3:C874)/A874</f>
        <v>25.59866306731244</v>
      </c>
    </row>
    <row r="875" spans="1:4" x14ac:dyDescent="0.2">
      <c r="A875" s="18">
        <f t="shared" si="5"/>
        <v>873</v>
      </c>
      <c r="B875" s="30" t="s">
        <v>675</v>
      </c>
      <c r="C875" s="31">
        <v>26.629999160000001</v>
      </c>
      <c r="D875" s="18">
        <f>SUM(C$3:C875)/A875</f>
        <v>25.599844437407153</v>
      </c>
    </row>
    <row r="876" spans="1:4" x14ac:dyDescent="0.2">
      <c r="A876" s="18">
        <f t="shared" si="5"/>
        <v>874</v>
      </c>
      <c r="B876" s="30" t="s">
        <v>676</v>
      </c>
      <c r="C876" s="31">
        <v>26.540000920000001</v>
      </c>
      <c r="D876" s="18">
        <f>SUM(C$3:C876)/A876</f>
        <v>25.600920131323164</v>
      </c>
    </row>
    <row r="877" spans="1:4" x14ac:dyDescent="0.2">
      <c r="A877" s="18">
        <f t="shared" si="5"/>
        <v>875</v>
      </c>
      <c r="B877" s="30" t="s">
        <v>677</v>
      </c>
      <c r="C877" s="31">
        <v>26.81999969</v>
      </c>
      <c r="D877" s="18">
        <f>SUM(C$3:C877)/A877</f>
        <v>25.602313365104507</v>
      </c>
    </row>
    <row r="878" spans="1:4" x14ac:dyDescent="0.2">
      <c r="A878" s="18">
        <f t="shared" si="5"/>
        <v>876</v>
      </c>
      <c r="B878" s="30" t="s">
        <v>678</v>
      </c>
      <c r="C878" s="31">
        <v>26.090000150000002</v>
      </c>
      <c r="D878" s="18">
        <f>SUM(C$3:C878)/A878</f>
        <v>25.602870085178591</v>
      </c>
    </row>
    <row r="879" spans="1:4" x14ac:dyDescent="0.2">
      <c r="A879" s="18">
        <f t="shared" si="5"/>
        <v>877</v>
      </c>
      <c r="B879" s="30" t="s">
        <v>679</v>
      </c>
      <c r="C879" s="31">
        <v>25.340000150000002</v>
      </c>
      <c r="D879" s="18">
        <f>SUM(C$3:C879)/A879</f>
        <v>25.602570347510202</v>
      </c>
    </row>
    <row r="880" spans="1:4" x14ac:dyDescent="0.2">
      <c r="A880" s="18">
        <f t="shared" si="5"/>
        <v>878</v>
      </c>
      <c r="B880" s="30" t="s">
        <v>680</v>
      </c>
      <c r="C880" s="31">
        <v>24.780000690000001</v>
      </c>
      <c r="D880" s="18">
        <f>SUM(C$3:C880)/A880</f>
        <v>25.601633480018734</v>
      </c>
    </row>
    <row r="881" spans="1:4" x14ac:dyDescent="0.2">
      <c r="A881" s="18">
        <f t="shared" si="5"/>
        <v>879</v>
      </c>
      <c r="B881" s="30" t="s">
        <v>681</v>
      </c>
      <c r="C881" s="31">
        <v>25.270000459999999</v>
      </c>
      <c r="D881" s="18">
        <f>SUM(C$3:C881)/A881</f>
        <v>25.601256195581854</v>
      </c>
    </row>
    <row r="882" spans="1:4" x14ac:dyDescent="0.2">
      <c r="A882" s="18">
        <f t="shared" si="5"/>
        <v>880</v>
      </c>
      <c r="B882" s="30" t="s">
        <v>682</v>
      </c>
      <c r="C882" s="31">
        <v>25.43000031</v>
      </c>
      <c r="D882" s="18">
        <f>SUM(C$3:C882)/A882</f>
        <v>25.601061586620965</v>
      </c>
    </row>
    <row r="883" spans="1:4" x14ac:dyDescent="0.2">
      <c r="A883" s="18">
        <f t="shared" si="5"/>
        <v>881</v>
      </c>
      <c r="B883" s="30" t="s">
        <v>683</v>
      </c>
      <c r="C883" s="31">
        <v>25.31999969</v>
      </c>
      <c r="D883" s="18">
        <f>SUM(C$3:C883)/A883</f>
        <v>25.600742560631609</v>
      </c>
    </row>
    <row r="884" spans="1:4" x14ac:dyDescent="0.2">
      <c r="A884" s="18">
        <f t="shared" si="5"/>
        <v>882</v>
      </c>
      <c r="B884" s="30" t="s">
        <v>684</v>
      </c>
      <c r="C884" s="31">
        <v>24.540000920000001</v>
      </c>
      <c r="D884" s="18">
        <f>SUM(C$3:C884)/A884</f>
        <v>25.599539905710255</v>
      </c>
    </row>
    <row r="885" spans="1:4" x14ac:dyDescent="0.2">
      <c r="A885" s="18">
        <f t="shared" si="5"/>
        <v>883</v>
      </c>
      <c r="B885" s="30" t="s">
        <v>685</v>
      </c>
      <c r="C885" s="31">
        <v>24.520000459999999</v>
      </c>
      <c r="D885" s="18">
        <f>SUM(C$3:C885)/A885</f>
        <v>25.598317324231537</v>
      </c>
    </row>
    <row r="886" spans="1:4" x14ac:dyDescent="0.2">
      <c r="A886" s="18">
        <f t="shared" si="5"/>
        <v>884</v>
      </c>
      <c r="B886" s="30" t="s">
        <v>686</v>
      </c>
      <c r="C886" s="31">
        <v>24.229999540000001</v>
      </c>
      <c r="D886" s="18">
        <f>SUM(C$3:C886)/A886</f>
        <v>25.596769453434895</v>
      </c>
    </row>
    <row r="887" spans="1:4" x14ac:dyDescent="0.2">
      <c r="A887" s="18">
        <f t="shared" si="5"/>
        <v>885</v>
      </c>
      <c r="B887" s="30" t="s">
        <v>687</v>
      </c>
      <c r="C887" s="31">
        <v>24.690000529999999</v>
      </c>
      <c r="D887" s="18">
        <f>SUM(C$3:C887)/A887</f>
        <v>25.595744855781298</v>
      </c>
    </row>
    <row r="888" spans="1:4" x14ac:dyDescent="0.2">
      <c r="A888" s="18">
        <f t="shared" si="5"/>
        <v>886</v>
      </c>
      <c r="B888" s="30">
        <v>45624</v>
      </c>
      <c r="C888" s="31">
        <v>24.31999969</v>
      </c>
      <c r="D888" s="18">
        <f>SUM(C$3:C888)/A888</f>
        <v>25.594304962817663</v>
      </c>
    </row>
    <row r="889" spans="1:4" x14ac:dyDescent="0.2">
      <c r="A889" s="18">
        <f t="shared" si="5"/>
        <v>887</v>
      </c>
      <c r="B889" s="30">
        <v>45625</v>
      </c>
      <c r="C889" s="31">
        <v>24.719999309999999</v>
      </c>
      <c r="D889" s="18">
        <f>SUM(C$3:C889)/A889</f>
        <v>25.593319274370291</v>
      </c>
    </row>
    <row r="890" spans="1:4" x14ac:dyDescent="0.2">
      <c r="A890" s="18">
        <f t="shared" si="5"/>
        <v>888</v>
      </c>
      <c r="B890" s="30" t="s">
        <v>688</v>
      </c>
      <c r="C890" s="31">
        <v>25.049999239999998</v>
      </c>
      <c r="D890" s="18">
        <f>SUM(C$3:C890)/A890</f>
        <v>25.59270742748474</v>
      </c>
    </row>
    <row r="891" spans="1:4" x14ac:dyDescent="0.2">
      <c r="A891" s="18">
        <f t="shared" si="5"/>
        <v>889</v>
      </c>
      <c r="B891" s="30" t="s">
        <v>689</v>
      </c>
      <c r="C891" s="31">
        <v>24.870000839999999</v>
      </c>
      <c r="D891" s="18">
        <f>SUM(C$3:C891)/A891</f>
        <v>25.59189448419173</v>
      </c>
    </row>
    <row r="892" spans="1:4" x14ac:dyDescent="0.2">
      <c r="A892" s="18">
        <f t="shared" si="5"/>
        <v>890</v>
      </c>
      <c r="B892" s="30" t="s">
        <v>690</v>
      </c>
      <c r="C892" s="31">
        <v>24.709999079999999</v>
      </c>
      <c r="D892" s="18">
        <f>SUM(C$3:C892)/A892</f>
        <v>25.590903590479158</v>
      </c>
    </row>
    <row r="893" spans="1:4" x14ac:dyDescent="0.2">
      <c r="A893" s="18">
        <f t="shared" si="5"/>
        <v>891</v>
      </c>
      <c r="B893" s="30" t="s">
        <v>691</v>
      </c>
      <c r="C893" s="31">
        <v>24.659999849999998</v>
      </c>
      <c r="D893" s="18">
        <f>SUM(C$3:C893)/A893</f>
        <v>25.589858805136306</v>
      </c>
    </row>
    <row r="894" spans="1:4" x14ac:dyDescent="0.2">
      <c r="A894" s="18">
        <f t="shared" si="5"/>
        <v>892</v>
      </c>
      <c r="B894" s="30" t="s">
        <v>692</v>
      </c>
      <c r="C894" s="31">
        <v>25.200000760000002</v>
      </c>
      <c r="D894" s="18">
        <f>SUM(C$3:C894)/A894</f>
        <v>25.58942174454759</v>
      </c>
    </row>
    <row r="895" spans="1:4" x14ac:dyDescent="0.2">
      <c r="A895" s="18">
        <f t="shared" si="5"/>
        <v>893</v>
      </c>
      <c r="B895" s="30" t="s">
        <v>693</v>
      </c>
      <c r="C895" s="31">
        <v>25.18000031</v>
      </c>
      <c r="D895" s="18">
        <f>SUM(C$3:C895)/A895</f>
        <v>25.58896326589748</v>
      </c>
    </row>
    <row r="896" spans="1:4" x14ac:dyDescent="0.2">
      <c r="A896" s="18">
        <f t="shared" si="5"/>
        <v>894</v>
      </c>
      <c r="B896" s="30" t="s">
        <v>694</v>
      </c>
      <c r="C896" s="31">
        <v>25.340000150000002</v>
      </c>
      <c r="D896" s="18">
        <f>SUM(C$3:C896)/A896</f>
        <v>25.588684783664934</v>
      </c>
    </row>
    <row r="897" spans="1:4" x14ac:dyDescent="0.2">
      <c r="A897" s="18">
        <f t="shared" si="5"/>
        <v>895</v>
      </c>
      <c r="B897" s="30" t="s">
        <v>695</v>
      </c>
      <c r="C897" s="31">
        <v>25.280000690000001</v>
      </c>
      <c r="D897" s="18">
        <f>SUM(C$3:C897)/A897</f>
        <v>25.588339885236259</v>
      </c>
    </row>
    <row r="898" spans="1:4" x14ac:dyDescent="0.2">
      <c r="A898" s="18">
        <f t="shared" si="5"/>
        <v>896</v>
      </c>
      <c r="B898" s="30" t="s">
        <v>696</v>
      </c>
      <c r="C898" s="31">
        <v>25.549999239999998</v>
      </c>
      <c r="D898" s="18">
        <f>SUM(C$3:C898)/A898</f>
        <v>25.588297094337555</v>
      </c>
    </row>
    <row r="899" spans="1:4" x14ac:dyDescent="0.2">
      <c r="A899" s="18">
        <f t="shared" si="5"/>
        <v>897</v>
      </c>
      <c r="B899" s="30" t="s">
        <v>697</v>
      </c>
      <c r="C899" s="31">
        <v>24.950000760000002</v>
      </c>
      <c r="D899" s="18">
        <f>SUM(C$3:C899)/A899</f>
        <v>25.587585504221238</v>
      </c>
    </row>
    <row r="900" spans="1:4" x14ac:dyDescent="0.2">
      <c r="A900" s="18">
        <f t="shared" si="5"/>
        <v>898</v>
      </c>
      <c r="B900" s="30" t="s">
        <v>698</v>
      </c>
      <c r="C900" s="31">
        <v>24.469999309999999</v>
      </c>
      <c r="D900" s="18">
        <f>SUM(C$3:C900)/A900</f>
        <v>25.586340976165314</v>
      </c>
    </row>
    <row r="901" spans="1:4" x14ac:dyDescent="0.2">
      <c r="A901" s="18">
        <f t="shared" si="5"/>
        <v>899</v>
      </c>
      <c r="B901" s="30" t="s">
        <v>699</v>
      </c>
      <c r="C901" s="31">
        <v>24.649999619999999</v>
      </c>
      <c r="D901" s="18">
        <f>SUM(C$3:C901)/A901</f>
        <v>25.585299439617852</v>
      </c>
    </row>
    <row r="902" spans="1:4" x14ac:dyDescent="0.2">
      <c r="A902" s="18">
        <f t="shared" si="5"/>
        <v>900</v>
      </c>
      <c r="B902" s="30" t="s">
        <v>700</v>
      </c>
      <c r="C902" s="31">
        <v>24.760000229999999</v>
      </c>
      <c r="D902" s="18">
        <f>SUM(C$3:C902)/A902</f>
        <v>25.584382440496054</v>
      </c>
    </row>
    <row r="903" spans="1:4" x14ac:dyDescent="0.2">
      <c r="A903" s="18">
        <f t="shared" si="5"/>
        <v>901</v>
      </c>
      <c r="B903" s="30" t="s">
        <v>701</v>
      </c>
      <c r="C903" s="31">
        <v>25.010000229999999</v>
      </c>
      <c r="D903" s="18">
        <f>SUM(C$3:C903)/A903</f>
        <v>25.583744946366757</v>
      </c>
    </row>
    <row r="904" spans="1:4" x14ac:dyDescent="0.2">
      <c r="A904" s="18">
        <f t="shared" si="5"/>
        <v>902</v>
      </c>
      <c r="B904" s="30" t="s">
        <v>702</v>
      </c>
      <c r="C904" s="31">
        <v>24.93000031</v>
      </c>
      <c r="D904" s="18">
        <f>SUM(C$3:C904)/A904</f>
        <v>25.583020174042627</v>
      </c>
    </row>
    <row r="905" spans="1:4" x14ac:dyDescent="0.2">
      <c r="A905" s="18">
        <f t="shared" si="5"/>
        <v>903</v>
      </c>
      <c r="B905" s="30" t="s">
        <v>703</v>
      </c>
      <c r="C905" s="31">
        <v>24.809999470000001</v>
      </c>
      <c r="D905" s="18">
        <f>SUM(C$3:C905)/A905</f>
        <v>25.582164115677127</v>
      </c>
    </row>
    <row r="906" spans="1:4" x14ac:dyDescent="0.2">
      <c r="A906" s="18">
        <f t="shared" si="5"/>
        <v>904</v>
      </c>
      <c r="B906" s="30" t="s">
        <v>704</v>
      </c>
      <c r="C906" s="31">
        <v>25.200000760000002</v>
      </c>
      <c r="D906" s="18">
        <f>SUM(C$3:C906)/A906</f>
        <v>25.581741368602263</v>
      </c>
    </row>
    <row r="907" spans="1:4" x14ac:dyDescent="0.2">
      <c r="A907" s="18">
        <f t="shared" si="5"/>
        <v>905</v>
      </c>
      <c r="B907" s="30" t="s">
        <v>705</v>
      </c>
      <c r="C907" s="31">
        <v>25.129999160000001</v>
      </c>
      <c r="D907" s="18">
        <f>SUM(C$3:C907)/A907</f>
        <v>25.581242205940825</v>
      </c>
    </row>
    <row r="908" spans="1:4" x14ac:dyDescent="0.2">
      <c r="A908" s="18">
        <f t="shared" si="5"/>
        <v>906</v>
      </c>
      <c r="B908" s="30" t="s">
        <v>706</v>
      </c>
      <c r="C908" s="31">
        <v>25.329999919999999</v>
      </c>
      <c r="D908" s="18">
        <f>SUM(C$3:C908)/A908</f>
        <v>25.580964896574443</v>
      </c>
    </row>
    <row r="909" spans="1:4" x14ac:dyDescent="0.2">
      <c r="A909" s="18">
        <f t="shared" si="5"/>
        <v>907</v>
      </c>
      <c r="B909" s="30" t="s">
        <v>707</v>
      </c>
      <c r="C909" s="31">
        <v>25.209999079999999</v>
      </c>
      <c r="D909" s="18">
        <f>SUM(C$3:C909)/A909</f>
        <v>25.580555893469068</v>
      </c>
    </row>
    <row r="910" spans="1:4" x14ac:dyDescent="0.2">
      <c r="A910" s="18">
        <f t="shared" si="5"/>
        <v>908</v>
      </c>
      <c r="B910" s="30">
        <v>45656</v>
      </c>
      <c r="C910" s="31">
        <v>25.270000459999999</v>
      </c>
      <c r="D910" s="18">
        <f>SUM(C$3:C910)/A910</f>
        <v>25.580213872066572</v>
      </c>
    </row>
    <row r="911" spans="1:4" x14ac:dyDescent="0.2">
      <c r="A911" s="18">
        <f t="shared" si="5"/>
        <v>909</v>
      </c>
      <c r="B911" s="30">
        <v>45657</v>
      </c>
      <c r="C911" s="31">
        <v>24.799999239999998</v>
      </c>
      <c r="D911" s="18">
        <f>SUM(C$3:C911)/A911</f>
        <v>25.579355550139105</v>
      </c>
    </row>
    <row r="912" spans="1:4" x14ac:dyDescent="0.2">
      <c r="A912" s="18">
        <f t="shared" si="5"/>
        <v>910</v>
      </c>
      <c r="B912" s="30" t="s">
        <v>708</v>
      </c>
      <c r="C912" s="31">
        <v>23.979999540000001</v>
      </c>
      <c r="D912" s="18">
        <f>SUM(C$3:C912)/A912</f>
        <v>25.57759801606203</v>
      </c>
    </row>
    <row r="913" spans="1:4" x14ac:dyDescent="0.2">
      <c r="A913" s="18">
        <f t="shared" si="5"/>
        <v>911</v>
      </c>
      <c r="B913" s="30" t="s">
        <v>709</v>
      </c>
      <c r="C913" s="31">
        <v>23.56999969</v>
      </c>
      <c r="D913" s="18">
        <f>SUM(C$3:C913)/A913</f>
        <v>25.575394285737044</v>
      </c>
    </row>
    <row r="914" spans="1:4" x14ac:dyDescent="0.2">
      <c r="A914" s="18">
        <f t="shared" si="5"/>
        <v>912</v>
      </c>
      <c r="B914" s="30" t="s">
        <v>710</v>
      </c>
      <c r="C914" s="31">
        <v>23.549999239999998</v>
      </c>
      <c r="D914" s="18">
        <f>SUM(C$3:C914)/A914</f>
        <v>25.573173457836017</v>
      </c>
    </row>
    <row r="915" spans="1:4" x14ac:dyDescent="0.2">
      <c r="A915" s="18">
        <f t="shared" si="5"/>
        <v>913</v>
      </c>
      <c r="B915" s="30" t="s">
        <v>711</v>
      </c>
      <c r="C915" s="31">
        <v>23.729999540000001</v>
      </c>
      <c r="D915" s="18">
        <f>SUM(C$3:C915)/A915</f>
        <v>25.571154647411223</v>
      </c>
    </row>
    <row r="916" spans="1:4" x14ac:dyDescent="0.2">
      <c r="A916" s="18">
        <f t="shared" si="5"/>
        <v>914</v>
      </c>
      <c r="B916" s="30" t="s">
        <v>712</v>
      </c>
      <c r="C916" s="31">
        <v>23.61000061</v>
      </c>
      <c r="D916" s="18">
        <f>SUM(C$3:C916)/A916</f>
        <v>25.569008964656941</v>
      </c>
    </row>
    <row r="917" spans="1:4" x14ac:dyDescent="0.2">
      <c r="A917" s="18">
        <f t="shared" si="5"/>
        <v>915</v>
      </c>
      <c r="B917" s="30" t="s">
        <v>713</v>
      </c>
      <c r="C917" s="31">
        <v>23.799999239999998</v>
      </c>
      <c r="D917" s="18">
        <f>SUM(C$3:C917)/A917</f>
        <v>25.567075620695569</v>
      </c>
    </row>
    <row r="918" spans="1:4" x14ac:dyDescent="0.2">
      <c r="A918" s="18">
        <f t="shared" si="5"/>
        <v>916</v>
      </c>
      <c r="B918" s="30" t="s">
        <v>714</v>
      </c>
      <c r="C918" s="31">
        <v>23.5</v>
      </c>
      <c r="D918" s="18">
        <f>SUM(C$3:C918)/A918</f>
        <v>25.564818987921882</v>
      </c>
    </row>
    <row r="919" spans="1:4" x14ac:dyDescent="0.2">
      <c r="A919" s="18">
        <f t="shared" si="5"/>
        <v>917</v>
      </c>
      <c r="B919" s="30" t="s">
        <v>715</v>
      </c>
      <c r="C919" s="31">
        <v>23.38999939</v>
      </c>
      <c r="D919" s="18">
        <f>SUM(C$3:C919)/A919</f>
        <v>25.562447319876167</v>
      </c>
    </row>
    <row r="920" spans="1:4" x14ac:dyDescent="0.2">
      <c r="A920" s="18">
        <f t="shared" si="5"/>
        <v>918</v>
      </c>
      <c r="B920" s="30" t="s">
        <v>716</v>
      </c>
      <c r="C920" s="31">
        <v>24.309999470000001</v>
      </c>
      <c r="D920" s="18">
        <f>SUM(C$3:C920)/A920</f>
        <v>25.561082997599613</v>
      </c>
    </row>
    <row r="921" spans="1:4" x14ac:dyDescent="0.2">
      <c r="A921" s="18">
        <f t="shared" si="5"/>
        <v>919</v>
      </c>
      <c r="B921" s="30" t="s">
        <v>717</v>
      </c>
      <c r="C921" s="31">
        <v>23.93000031</v>
      </c>
      <c r="D921" s="18">
        <f>SUM(C$3:C921)/A921</f>
        <v>25.559308152455326</v>
      </c>
    </row>
    <row r="922" spans="1:4" x14ac:dyDescent="0.2">
      <c r="A922" s="18">
        <f t="shared" si="5"/>
        <v>920</v>
      </c>
      <c r="B922" s="30" t="s">
        <v>718</v>
      </c>
      <c r="C922" s="31">
        <v>23.979999540000001</v>
      </c>
      <c r="D922" s="18">
        <f>SUM(C$3:C922)/A922</f>
        <v>25.557591512659176</v>
      </c>
    </row>
    <row r="923" spans="1:4" x14ac:dyDescent="0.2">
      <c r="A923" s="18">
        <f t="shared" si="5"/>
        <v>921</v>
      </c>
      <c r="B923" s="30" t="s">
        <v>719</v>
      </c>
      <c r="C923" s="31">
        <v>24.18000031</v>
      </c>
      <c r="D923" s="18">
        <f>SUM(C$3:C923)/A923</f>
        <v>25.556095756738809</v>
      </c>
    </row>
    <row r="924" spans="1:4" x14ac:dyDescent="0.2">
      <c r="A924" s="18">
        <f t="shared" si="5"/>
        <v>922</v>
      </c>
      <c r="B924" s="30" t="s">
        <v>720</v>
      </c>
      <c r="C924" s="31">
        <v>24.68000031</v>
      </c>
      <c r="D924" s="18">
        <f>SUM(C$3:C924)/A924</f>
        <v>25.555145544757529</v>
      </c>
    </row>
    <row r="925" spans="1:4" x14ac:dyDescent="0.2">
      <c r="A925" s="18">
        <f t="shared" si="5"/>
        <v>923</v>
      </c>
      <c r="B925" s="30" t="s">
        <v>721</v>
      </c>
      <c r="C925" s="31">
        <v>24.879999160000001</v>
      </c>
      <c r="D925" s="18">
        <f>SUM(C$3:C925)/A925</f>
        <v>25.554414075218247</v>
      </c>
    </row>
    <row r="926" spans="1:4" x14ac:dyDescent="0.2">
      <c r="A926" s="18">
        <f t="shared" si="5"/>
        <v>924</v>
      </c>
      <c r="B926" s="30" t="s">
        <v>722</v>
      </c>
      <c r="C926" s="31">
        <v>24.659999849999998</v>
      </c>
      <c r="D926" s="18">
        <f>SUM(C$3:C926)/A926</f>
        <v>25.553446094455023</v>
      </c>
    </row>
    <row r="927" spans="1:4" x14ac:dyDescent="0.2">
      <c r="A927" s="18">
        <f t="shared" si="5"/>
        <v>925</v>
      </c>
      <c r="B927" s="30" t="s">
        <v>723</v>
      </c>
      <c r="C927" s="31">
        <v>24.479999540000001</v>
      </c>
      <c r="D927" s="18">
        <f>SUM(C$3:C927)/A927</f>
        <v>25.552285611693449</v>
      </c>
    </row>
    <row r="928" spans="1:4" x14ac:dyDescent="0.2">
      <c r="A928" s="18">
        <f t="shared" si="5"/>
        <v>926</v>
      </c>
      <c r="B928" s="30">
        <v>45681</v>
      </c>
      <c r="C928" s="31">
        <v>24.850000380000001</v>
      </c>
      <c r="D928" s="18">
        <f>SUM(C$3:C928)/A928</f>
        <v>25.551527204315811</v>
      </c>
    </row>
    <row r="929" spans="1:4" x14ac:dyDescent="0.2">
      <c r="A929" s="18">
        <f t="shared" si="5"/>
        <v>927</v>
      </c>
      <c r="B929" s="30">
        <v>45684</v>
      </c>
      <c r="C929" s="31">
        <v>24.409999849999998</v>
      </c>
      <c r="D929" s="18">
        <f>SUM(C$3:C929)/A929</f>
        <v>25.550295783221614</v>
      </c>
    </row>
    <row r="930" spans="1:4" x14ac:dyDescent="0.2">
      <c r="A930" s="18">
        <f t="shared" si="5"/>
        <v>928</v>
      </c>
      <c r="B930" s="30" t="s">
        <v>724</v>
      </c>
      <c r="C930" s="31">
        <v>24.469999309999999</v>
      </c>
      <c r="D930" s="18">
        <f>SUM(C$3:C930)/A930</f>
        <v>25.549131670642712</v>
      </c>
    </row>
    <row r="931" spans="1:4" x14ac:dyDescent="0.2">
      <c r="A931" s="18">
        <f t="shared" si="5"/>
        <v>929</v>
      </c>
      <c r="B931" s="30" t="s">
        <v>725</v>
      </c>
      <c r="C931" s="31">
        <v>25.270000459999999</v>
      </c>
      <c r="D931" s="18">
        <f>SUM(C$3:C931)/A931</f>
        <v>25.548831206476255</v>
      </c>
    </row>
    <row r="932" spans="1:4" x14ac:dyDescent="0.2">
      <c r="A932" s="18">
        <f t="shared" si="5"/>
        <v>930</v>
      </c>
      <c r="B932" s="30" t="s">
        <v>726</v>
      </c>
      <c r="C932" s="31">
        <v>25.809999470000001</v>
      </c>
      <c r="D932" s="18">
        <f>SUM(C$3:C932)/A932</f>
        <v>25.549112032566061</v>
      </c>
    </row>
    <row r="933" spans="1:4" x14ac:dyDescent="0.2">
      <c r="A933" s="18">
        <f t="shared" si="5"/>
        <v>931</v>
      </c>
      <c r="B933" s="30" t="s">
        <v>727</v>
      </c>
      <c r="C933" s="31">
        <v>25.829999919999999</v>
      </c>
      <c r="D933" s="18">
        <f>SUM(C$3:C933)/A933</f>
        <v>25.549413738137957</v>
      </c>
    </row>
    <row r="934" spans="1:4" x14ac:dyDescent="0.2">
      <c r="A934" s="18">
        <f t="shared" si="5"/>
        <v>932</v>
      </c>
      <c r="B934" s="30" t="s">
        <v>728</v>
      </c>
      <c r="C934" s="31">
        <v>25.68000031</v>
      </c>
      <c r="D934" s="18">
        <f>SUM(C$3:C934)/A934</f>
        <v>25.549553852485445</v>
      </c>
    </row>
    <row r="935" spans="1:4" x14ac:dyDescent="0.2">
      <c r="A935" s="18">
        <f t="shared" si="5"/>
        <v>933</v>
      </c>
      <c r="B935" s="30" t="s">
        <v>729</v>
      </c>
      <c r="C935" s="31">
        <v>26.059999470000001</v>
      </c>
      <c r="D935" s="18">
        <f>SUM(C$3:C935)/A935</f>
        <v>25.550100953897573</v>
      </c>
    </row>
    <row r="936" spans="1:4" x14ac:dyDescent="0.2">
      <c r="A936" s="18">
        <f t="shared" si="5"/>
        <v>934</v>
      </c>
      <c r="B936" s="30" t="s">
        <v>730</v>
      </c>
      <c r="C936" s="31">
        <v>25.719999309999999</v>
      </c>
      <c r="D936" s="18">
        <f>SUM(C$3:C936)/A936</f>
        <v>25.550282857919097</v>
      </c>
    </row>
    <row r="937" spans="1:4" x14ac:dyDescent="0.2">
      <c r="A937" s="18">
        <f t="shared" si="5"/>
        <v>935</v>
      </c>
      <c r="B937" s="30" t="s">
        <v>731</v>
      </c>
      <c r="C937" s="31">
        <v>26.209999079999999</v>
      </c>
      <c r="D937" s="18">
        <f>SUM(C$3:C937)/A937</f>
        <v>25.550988436766243</v>
      </c>
    </row>
    <row r="938" spans="1:4" x14ac:dyDescent="0.2">
      <c r="A938" s="18">
        <f t="shared" si="5"/>
        <v>936</v>
      </c>
      <c r="B938" s="30" t="s">
        <v>732</v>
      </c>
      <c r="C938" s="31">
        <v>26.340000150000002</v>
      </c>
      <c r="D938" s="18">
        <f>SUM(C$3:C938)/A938</f>
        <v>25.551831397998331</v>
      </c>
    </row>
    <row r="939" spans="1:4" x14ac:dyDescent="0.2">
      <c r="A939" s="18">
        <f t="shared" si="5"/>
        <v>937</v>
      </c>
      <c r="B939" s="30" t="s">
        <v>733</v>
      </c>
      <c r="C939" s="31">
        <v>26.170000080000001</v>
      </c>
      <c r="D939" s="18">
        <f>SUM(C$3:C939)/A939</f>
        <v>25.552491129782751</v>
      </c>
    </row>
    <row r="940" spans="1:4" x14ac:dyDescent="0.2">
      <c r="A940" s="18">
        <f t="shared" si="5"/>
        <v>938</v>
      </c>
      <c r="B940" s="30" t="s">
        <v>734</v>
      </c>
      <c r="C940" s="31">
        <v>26.620000839999999</v>
      </c>
      <c r="D940" s="18">
        <f>SUM(C$3:C940)/A940</f>
        <v>25.553629199836291</v>
      </c>
    </row>
    <row r="941" spans="1:4" x14ac:dyDescent="0.2">
      <c r="A941" s="18">
        <f t="shared" si="5"/>
        <v>939</v>
      </c>
      <c r="B941" s="30" t="s">
        <v>735</v>
      </c>
      <c r="C941" s="31">
        <v>26.63999939</v>
      </c>
      <c r="D941" s="18">
        <f>SUM(C$3:C941)/A941</f>
        <v>25.554786143595784</v>
      </c>
    </row>
    <row r="942" spans="1:4" x14ac:dyDescent="0.2">
      <c r="A942" s="18">
        <f t="shared" si="5"/>
        <v>940</v>
      </c>
      <c r="B942" s="30" t="s">
        <v>736</v>
      </c>
      <c r="C942" s="31">
        <v>27.309999470000001</v>
      </c>
      <c r="D942" s="18">
        <f>SUM(C$3:C942)/A942</f>
        <v>25.556653391815363</v>
      </c>
    </row>
    <row r="943" spans="1:4" x14ac:dyDescent="0.2">
      <c r="A943" s="18">
        <f t="shared" si="5"/>
        <v>941</v>
      </c>
      <c r="B943" s="30" t="s">
        <v>737</v>
      </c>
      <c r="C943" s="31">
        <v>27.149999619999999</v>
      </c>
      <c r="D943" s="18">
        <f>SUM(C$3:C943)/A943</f>
        <v>25.55834663966678</v>
      </c>
    </row>
    <row r="944" spans="1:4" x14ac:dyDescent="0.2">
      <c r="A944" s="18">
        <f t="shared" si="5"/>
        <v>942</v>
      </c>
      <c r="B944" s="30" t="s">
        <v>738</v>
      </c>
      <c r="C944" s="31">
        <v>26.829999919999999</v>
      </c>
      <c r="D944" s="18">
        <f>SUM(C$3:C944)/A944</f>
        <v>25.55969659007053</v>
      </c>
    </row>
    <row r="945" spans="1:4" x14ac:dyDescent="0.2">
      <c r="A945" s="18">
        <f t="shared" si="5"/>
        <v>943</v>
      </c>
      <c r="B945" s="30" t="s">
        <v>739</v>
      </c>
      <c r="C945" s="31">
        <v>27.049999239999998</v>
      </c>
      <c r="D945" s="18">
        <f>SUM(C$3:C945)/A945</f>
        <v>25.561276974640975</v>
      </c>
    </row>
    <row r="946" spans="1:4" x14ac:dyDescent="0.2">
      <c r="A946" s="18">
        <f t="shared" si="5"/>
        <v>944</v>
      </c>
      <c r="B946" s="30">
        <v>45715</v>
      </c>
      <c r="C946" s="31">
        <v>26.959999079999999</v>
      </c>
      <c r="D946" s="18">
        <f>SUM(C$3:C946)/A946</f>
        <v>25.562758671786483</v>
      </c>
    </row>
    <row r="947" spans="1:4" x14ac:dyDescent="0.2">
      <c r="A947" s="18">
        <f t="shared" si="5"/>
        <v>945</v>
      </c>
      <c r="B947" s="30">
        <v>45716</v>
      </c>
      <c r="C947" s="31">
        <v>26.079999923706055</v>
      </c>
      <c r="D947" s="18">
        <f>SUM(C$3:C947)/A947</f>
        <v>25.563306017026612</v>
      </c>
    </row>
    <row r="948" spans="1:4" x14ac:dyDescent="0.2">
      <c r="A948" s="18">
        <f t="shared" si="5"/>
        <v>946</v>
      </c>
      <c r="B948" s="30" t="s">
        <v>740</v>
      </c>
      <c r="C948" s="31">
        <v>26.13999939</v>
      </c>
      <c r="D948" s="18">
        <f>SUM(C$3:C948)/A948</f>
        <v>25.563915629471616</v>
      </c>
    </row>
    <row r="949" spans="1:4" x14ac:dyDescent="0.2">
      <c r="A949" s="18">
        <f t="shared" si="5"/>
        <v>947</v>
      </c>
      <c r="B949" s="30" t="s">
        <v>741</v>
      </c>
      <c r="C949" s="31">
        <v>25.989999770000001</v>
      </c>
      <c r="D949" s="18">
        <f>SUM(C$3:C949)/A949</f>
        <v>25.564365559926241</v>
      </c>
    </row>
    <row r="950" spans="1:4" x14ac:dyDescent="0.2">
      <c r="A950" s="18">
        <f t="shared" si="5"/>
        <v>948</v>
      </c>
      <c r="B950" s="30" t="s">
        <v>742</v>
      </c>
      <c r="C950" s="31">
        <v>26.079999919999999</v>
      </c>
      <c r="D950" s="18">
        <f>SUM(C$3:C950)/A950</f>
        <v>25.564909478027584</v>
      </c>
    </row>
    <row r="951" spans="1:4" x14ac:dyDescent="0.2">
      <c r="A951" s="18">
        <f t="shared" si="5"/>
        <v>949</v>
      </c>
      <c r="B951" s="30" t="s">
        <v>743</v>
      </c>
      <c r="C951" s="31">
        <v>26.629999160000001</v>
      </c>
      <c r="D951" s="18">
        <f>SUM(C$3:C951)/A951</f>
        <v>25.566031806459588</v>
      </c>
    </row>
    <row r="952" spans="1:4" x14ac:dyDescent="0.2">
      <c r="A952" s="18">
        <f t="shared" si="5"/>
        <v>950</v>
      </c>
      <c r="B952" s="30" t="s">
        <v>744</v>
      </c>
      <c r="C952" s="31">
        <v>26.469999309999999</v>
      </c>
      <c r="D952" s="18">
        <f>SUM(C$3:C952)/A952</f>
        <v>25.566983351200157</v>
      </c>
    </row>
    <row r="953" spans="1:4" x14ac:dyDescent="0.2">
      <c r="A953" s="18">
        <f t="shared" si="5"/>
        <v>951</v>
      </c>
      <c r="B953" s="30" t="s">
        <v>745</v>
      </c>
      <c r="C953" s="31">
        <v>26.340000150000002</v>
      </c>
      <c r="D953" s="18">
        <f>SUM(C$3:C953)/A953</f>
        <v>25.567796197465981</v>
      </c>
    </row>
    <row r="954" spans="1:4" x14ac:dyDescent="0.2">
      <c r="A954" s="18">
        <f t="shared" si="5"/>
        <v>952</v>
      </c>
      <c r="B954" s="30" t="s">
        <v>746</v>
      </c>
      <c r="C954" s="31">
        <v>26.239999770000001</v>
      </c>
      <c r="D954" s="18">
        <f>SUM(C$3:C954)/A954</f>
        <v>25.568502293655619</v>
      </c>
    </row>
    <row r="955" spans="1:4" x14ac:dyDescent="0.2">
      <c r="A955" s="18">
        <f t="shared" si="5"/>
        <v>953</v>
      </c>
      <c r="B955" s="30" t="s">
        <v>747</v>
      </c>
      <c r="C955" s="31">
        <v>26.200000760000002</v>
      </c>
      <c r="D955" s="18">
        <f>SUM(C$3:C955)/A955</f>
        <v>25.569164936327546</v>
      </c>
    </row>
    <row r="956" spans="1:4" x14ac:dyDescent="0.2">
      <c r="A956" s="18">
        <f t="shared" si="5"/>
        <v>954</v>
      </c>
      <c r="B956" s="30" t="s">
        <v>748</v>
      </c>
      <c r="C956" s="31">
        <v>25.909999849999998</v>
      </c>
      <c r="D956" s="18">
        <f>SUM(C$3:C956)/A956</f>
        <v>25.569522205629088</v>
      </c>
    </row>
    <row r="957" spans="1:4" x14ac:dyDescent="0.2">
      <c r="A957" s="18">
        <f t="shared" si="5"/>
        <v>955</v>
      </c>
      <c r="B957" s="30" t="s">
        <v>749</v>
      </c>
      <c r="C957" s="31">
        <v>26.56999969</v>
      </c>
      <c r="D957" s="18">
        <f>SUM(C$3:C957)/A957</f>
        <v>25.570569826031569</v>
      </c>
    </row>
    <row r="958" spans="1:4" x14ac:dyDescent="0.2">
      <c r="A958" s="18">
        <f t="shared" si="5"/>
        <v>956</v>
      </c>
      <c r="B958" s="30" t="s">
        <v>750</v>
      </c>
      <c r="C958" s="31">
        <v>26.440000529999999</v>
      </c>
      <c r="D958" s="18">
        <f>SUM(C$3:C958)/A958</f>
        <v>25.571479272374635</v>
      </c>
    </row>
    <row r="959" spans="1:4" x14ac:dyDescent="0.2">
      <c r="A959" s="18">
        <f t="shared" si="5"/>
        <v>957</v>
      </c>
      <c r="B959" s="30" t="s">
        <v>751</v>
      </c>
      <c r="C959" s="31">
        <v>26.68000031</v>
      </c>
      <c r="D959" s="18">
        <f>SUM(C$3:C959)/A959</f>
        <v>25.572637601567557</v>
      </c>
    </row>
    <row r="960" spans="1:4" x14ac:dyDescent="0.2">
      <c r="A960" s="18">
        <f t="shared" si="5"/>
        <v>958</v>
      </c>
      <c r="B960" s="30" t="s">
        <v>752</v>
      </c>
      <c r="C960" s="31">
        <v>26.799999239999998</v>
      </c>
      <c r="D960" s="18">
        <f>SUM(C$3:C960)/A960</f>
        <v>25.573918772380114</v>
      </c>
    </row>
    <row r="961" spans="1:4" x14ac:dyDescent="0.2">
      <c r="A961" s="18">
        <f t="shared" si="5"/>
        <v>959</v>
      </c>
      <c r="B961" s="30" t="s">
        <v>753</v>
      </c>
      <c r="C961" s="31">
        <v>26.56999969</v>
      </c>
      <c r="D961" s="18">
        <f>SUM(C$3:C961)/A961</f>
        <v>25.574957438613296</v>
      </c>
    </row>
    <row r="962" spans="1:4" x14ac:dyDescent="0.2">
      <c r="A962" s="18">
        <f t="shared" si="5"/>
        <v>960</v>
      </c>
      <c r="B962" s="30" t="s">
        <v>754</v>
      </c>
      <c r="C962" s="31">
        <v>25.870000839999999</v>
      </c>
      <c r="D962" s="18">
        <f>SUM(C$3:C962)/A962</f>
        <v>25.575264775489742</v>
      </c>
    </row>
    <row r="963" spans="1:4" x14ac:dyDescent="0.2">
      <c r="A963" s="18">
        <f t="shared" si="5"/>
        <v>961</v>
      </c>
      <c r="B963" s="30" t="s">
        <v>755</v>
      </c>
      <c r="C963" s="31">
        <v>25.959999079999999</v>
      </c>
      <c r="D963" s="18">
        <f>SUM(C$3:C963)/A963</f>
        <v>25.57566512336124</v>
      </c>
    </row>
    <row r="964" spans="1:4" x14ac:dyDescent="0.2">
      <c r="A964" s="18">
        <f t="shared" si="5"/>
        <v>962</v>
      </c>
      <c r="B964" s="30" t="s">
        <v>756</v>
      </c>
      <c r="C964" s="31">
        <v>25.88999939</v>
      </c>
      <c r="D964" s="18">
        <f>SUM(C$3:C964)/A964</f>
        <v>25.575991874158166</v>
      </c>
    </row>
    <row r="965" spans="1:4" x14ac:dyDescent="0.2">
      <c r="A965" s="18">
        <f t="shared" si="5"/>
        <v>963</v>
      </c>
      <c r="B965" s="30" t="s">
        <v>757</v>
      </c>
      <c r="C965" s="31">
        <v>25.870000839999999</v>
      </c>
      <c r="D965" s="18">
        <f>SUM(C$3:C965)/A965</f>
        <v>25.576297179418646</v>
      </c>
    </row>
    <row r="966" spans="1:4" x14ac:dyDescent="0.2">
      <c r="A966" s="18">
        <f t="shared" si="5"/>
        <v>964</v>
      </c>
      <c r="B966" s="30" t="s">
        <v>758</v>
      </c>
      <c r="C966" s="31">
        <v>26.030000690000001</v>
      </c>
      <c r="D966" s="18">
        <f>SUM(C$3:C966)/A966</f>
        <v>25.576767826213853</v>
      </c>
    </row>
    <row r="967" spans="1:4" x14ac:dyDescent="0.2">
      <c r="A967" s="18">
        <f t="shared" si="5"/>
        <v>965</v>
      </c>
      <c r="B967" s="30">
        <v>45744</v>
      </c>
      <c r="C967" s="31">
        <v>25.850000380000001</v>
      </c>
      <c r="D967" s="18">
        <f>SUM(C$3:C967)/A967</f>
        <v>25.577050968756637</v>
      </c>
    </row>
    <row r="968" spans="1:4" x14ac:dyDescent="0.2">
      <c r="A968" s="18">
        <f t="shared" si="5"/>
        <v>966</v>
      </c>
      <c r="B968" s="30">
        <v>45747</v>
      </c>
      <c r="C968" s="31">
        <v>25.629999160000001</v>
      </c>
      <c r="D968" s="18">
        <f>SUM(C$3:C968)/A968</f>
        <v>25.577105780548813</v>
      </c>
    </row>
    <row r="969" spans="1:4" x14ac:dyDescent="0.2">
      <c r="A969" s="18">
        <f t="shared" si="5"/>
        <v>967</v>
      </c>
      <c r="B969" s="30" t="s">
        <v>759</v>
      </c>
      <c r="C969" s="31">
        <v>25.440000529999999</v>
      </c>
      <c r="D969" s="18">
        <f>SUM(C$3:C969)/A969</f>
        <v>25.576963996422084</v>
      </c>
    </row>
    <row r="970" spans="1:4" x14ac:dyDescent="0.2">
      <c r="A970" s="18">
        <f t="shared" si="5"/>
        <v>968</v>
      </c>
      <c r="B970" s="30" t="s">
        <v>760</v>
      </c>
      <c r="C970" s="31">
        <v>25.450000760000002</v>
      </c>
      <c r="D970" s="18">
        <f>SUM(C$3:C970)/A970</f>
        <v>25.576832836053878</v>
      </c>
    </row>
    <row r="971" spans="1:4" x14ac:dyDescent="0.2">
      <c r="A971" s="18">
        <f t="shared" si="5"/>
        <v>969</v>
      </c>
      <c r="B971" s="30" t="s">
        <v>761</v>
      </c>
      <c r="C971" s="31">
        <v>24.920000080000001</v>
      </c>
      <c r="D971" s="18">
        <f>SUM(C$3:C971)/A971</f>
        <v>25.5761549900724</v>
      </c>
    </row>
    <row r="972" spans="1:4" x14ac:dyDescent="0.2">
      <c r="A972" s="18">
        <f t="shared" si="5"/>
        <v>970</v>
      </c>
      <c r="B972" s="30" t="s">
        <v>762</v>
      </c>
      <c r="C972" s="31">
        <v>22.459999079999999</v>
      </c>
      <c r="D972" s="18">
        <f>SUM(C$3:C972)/A972</f>
        <v>25.572942458206349</v>
      </c>
    </row>
    <row r="973" spans="1:4" x14ac:dyDescent="0.2">
      <c r="A973" s="18">
        <f t="shared" si="5"/>
        <v>971</v>
      </c>
      <c r="B973" s="30" t="s">
        <v>763</v>
      </c>
      <c r="C973" s="31">
        <v>22.510000229999999</v>
      </c>
      <c r="D973" s="18">
        <f>SUM(C$3:C973)/A973</f>
        <v>25.569788037785951</v>
      </c>
    </row>
    <row r="974" spans="1:4" x14ac:dyDescent="0.2">
      <c r="A974" s="18">
        <f t="shared" si="5"/>
        <v>972</v>
      </c>
      <c r="B974" s="30" t="s">
        <v>764</v>
      </c>
      <c r="C974" s="31">
        <v>22.510000229999999</v>
      </c>
      <c r="D974" s="18">
        <f>SUM(C$3:C974)/A974</f>
        <v>25.566640107942547</v>
      </c>
    </row>
    <row r="975" spans="1:4" x14ac:dyDescent="0.2">
      <c r="A975" s="18">
        <f t="shared" si="5"/>
        <v>973</v>
      </c>
      <c r="B975" s="30" t="s">
        <v>765</v>
      </c>
      <c r="C975" s="31">
        <v>23.209999079999999</v>
      </c>
      <c r="D975" s="18">
        <f>SUM(C$3:C975)/A975</f>
        <v>25.564218071942609</v>
      </c>
    </row>
    <row r="976" spans="1:4" x14ac:dyDescent="0.2">
      <c r="A976" s="18">
        <f t="shared" si="5"/>
        <v>974</v>
      </c>
      <c r="B976" s="30" t="s">
        <v>766</v>
      </c>
      <c r="C976" s="31">
        <v>23.68000031</v>
      </c>
      <c r="D976" s="18">
        <f>SUM(C$3:C976)/A976</f>
        <v>25.56228355678661</v>
      </c>
    </row>
    <row r="977" spans="1:4" x14ac:dyDescent="0.2">
      <c r="A977" s="18">
        <f t="shared" si="5"/>
        <v>975</v>
      </c>
      <c r="B977" s="30" t="s">
        <v>767</v>
      </c>
      <c r="C977" s="31">
        <v>23.739999770000001</v>
      </c>
      <c r="D977" s="18">
        <f>SUM(C$3:C977)/A977</f>
        <v>25.560414547774521</v>
      </c>
    </row>
    <row r="978" spans="1:4" x14ac:dyDescent="0.2">
      <c r="A978" s="18">
        <f t="shared" si="5"/>
        <v>976</v>
      </c>
      <c r="B978" s="30" t="s">
        <v>768</v>
      </c>
      <c r="C978" s="31">
        <v>23.739999770000001</v>
      </c>
      <c r="D978" s="18">
        <f>SUM(C$3:C978)/A978</f>
        <v>25.558549368698934</v>
      </c>
    </row>
    <row r="979" spans="1:4" x14ac:dyDescent="0.2">
      <c r="A979" s="18">
        <f t="shared" si="5"/>
        <v>977</v>
      </c>
      <c r="B979" s="30" t="s">
        <v>769</v>
      </c>
      <c r="C979" s="31">
        <v>23.739999770000001</v>
      </c>
      <c r="D979" s="18">
        <f>SUM(C$3:C979)/A979</f>
        <v>25.556688007799551</v>
      </c>
    </row>
    <row r="980" spans="1:4" x14ac:dyDescent="0.2">
      <c r="A980" s="18">
        <f t="shared" si="5"/>
        <v>978</v>
      </c>
      <c r="B980" s="30" t="s">
        <v>770</v>
      </c>
      <c r="C980" s="31">
        <v>23.469999309999999</v>
      </c>
      <c r="D980" s="18">
        <f>SUM(C$3:C980)/A980</f>
        <v>25.554554379274194</v>
      </c>
    </row>
    <row r="981" spans="1:4" x14ac:dyDescent="0.2">
      <c r="A981" s="18">
        <f t="shared" si="5"/>
        <v>979</v>
      </c>
      <c r="B981" s="30" t="s">
        <v>771</v>
      </c>
      <c r="C981" s="31">
        <v>23.459999079999999</v>
      </c>
      <c r="D981" s="18">
        <f>SUM(C$3:C981)/A981</f>
        <v>25.552414894800982</v>
      </c>
    </row>
    <row r="982" spans="1:4" x14ac:dyDescent="0.2">
      <c r="A982" s="18">
        <f t="shared" si="5"/>
        <v>980</v>
      </c>
      <c r="B982" s="30" t="s">
        <v>772</v>
      </c>
      <c r="C982" s="31">
        <v>23.81999969</v>
      </c>
      <c r="D982" s="18">
        <f>SUM(C$3:C982)/A982</f>
        <v>25.55064712418384</v>
      </c>
    </row>
    <row r="983" spans="1:4" x14ac:dyDescent="0.2">
      <c r="A983" s="18">
        <f t="shared" si="5"/>
        <v>981</v>
      </c>
      <c r="B983" s="30" t="s">
        <v>773</v>
      </c>
      <c r="C983" s="31">
        <v>23.760000229999999</v>
      </c>
      <c r="D983" s="18">
        <f>SUM(C$3:C983)/A983</f>
        <v>25.548821796055211</v>
      </c>
    </row>
    <row r="984" spans="1:4" x14ac:dyDescent="0.2">
      <c r="A984" s="18">
        <f t="shared" si="5"/>
        <v>982</v>
      </c>
      <c r="B984" s="30" t="s">
        <v>774</v>
      </c>
      <c r="C984" s="31">
        <v>24.049999239999998</v>
      </c>
      <c r="D984" s="18">
        <f>SUM(C$3:C984)/A984</f>
        <v>25.547295500173281</v>
      </c>
    </row>
    <row r="985" spans="1:4" x14ac:dyDescent="0.2">
      <c r="A985" s="18">
        <f t="shared" si="5"/>
        <v>983</v>
      </c>
      <c r="B985" s="30" t="s">
        <v>775</v>
      </c>
      <c r="C985" s="31">
        <v>24.049999239999998</v>
      </c>
      <c r="D985" s="18">
        <f>SUM(C$3:C985)/A985</f>
        <v>25.545772309674632</v>
      </c>
    </row>
    <row r="986" spans="1:4" x14ac:dyDescent="0.2">
      <c r="A986" s="18">
        <f t="shared" si="5"/>
        <v>984</v>
      </c>
      <c r="B986" s="30" t="s">
        <v>776</v>
      </c>
      <c r="C986" s="31">
        <v>24.06999969</v>
      </c>
      <c r="D986" s="18">
        <f>SUM(C$3:C986)/A986</f>
        <v>25.544272540752196</v>
      </c>
    </row>
    <row r="987" spans="1:4" x14ac:dyDescent="0.2">
      <c r="A987" s="18">
        <f t="shared" si="5"/>
        <v>985</v>
      </c>
      <c r="B987" s="30" t="s">
        <v>777</v>
      </c>
      <c r="C987" s="31">
        <v>23.909999849999998</v>
      </c>
      <c r="D987" s="18">
        <f>SUM(C$3:C987)/A987</f>
        <v>25.542613380660061</v>
      </c>
    </row>
    <row r="988" spans="1:4" x14ac:dyDescent="0.2">
      <c r="A988" s="18">
        <f t="shared" si="5"/>
        <v>986</v>
      </c>
      <c r="B988" s="30">
        <v>45776</v>
      </c>
      <c r="C988" s="31">
        <v>23.88999939</v>
      </c>
      <c r="D988" s="18">
        <f>SUM(C$3:C988)/A988</f>
        <v>25.540937301562032</v>
      </c>
    </row>
    <row r="989" spans="1:4" x14ac:dyDescent="0.2">
      <c r="A989" s="18">
        <f t="shared" si="5"/>
        <v>987</v>
      </c>
      <c r="B989" s="30">
        <v>45777</v>
      </c>
      <c r="C989" s="31">
        <v>24.010000229999999</v>
      </c>
      <c r="D989" s="18">
        <f>SUM(C$3:C989)/A989</f>
        <v>25.539386200172402</v>
      </c>
    </row>
    <row r="990" spans="1:4" x14ac:dyDescent="0.2">
      <c r="A990" s="18">
        <f t="shared" si="5"/>
        <v>988</v>
      </c>
      <c r="B990" s="30" t="s">
        <v>778</v>
      </c>
      <c r="C990" s="31">
        <v>23.280000690000001</v>
      </c>
      <c r="D990" s="18">
        <f>SUM(C$3:C990)/A990</f>
        <v>25.537099372732957</v>
      </c>
    </row>
    <row r="991" spans="1:4" x14ac:dyDescent="0.2">
      <c r="A991" s="18">
        <f t="shared" si="5"/>
        <v>989</v>
      </c>
      <c r="B991" s="30" t="s">
        <v>779</v>
      </c>
      <c r="C991" s="31">
        <v>23.340000150000002</v>
      </c>
      <c r="D991" s="18">
        <f>SUM(C$3:C991)/A991</f>
        <v>25.534877836612903</v>
      </c>
    </row>
    <row r="992" spans="1:4" x14ac:dyDescent="0.2">
      <c r="A992" s="18">
        <f t="shared" si="5"/>
        <v>990</v>
      </c>
      <c r="B992" s="30" t="s">
        <v>780</v>
      </c>
      <c r="C992" s="31">
        <v>23.649999619999999</v>
      </c>
      <c r="D992" s="18">
        <f>SUM(C$3:C992)/A992</f>
        <v>25.532973919222385</v>
      </c>
    </row>
    <row r="993" spans="1:4" x14ac:dyDescent="0.2">
      <c r="A993" s="18">
        <f t="shared" si="5"/>
        <v>991</v>
      </c>
      <c r="B993" s="30" t="s">
        <v>781</v>
      </c>
      <c r="C993" s="31">
        <v>23.559999470000001</v>
      </c>
      <c r="D993" s="18">
        <f>SUM(C$3:C993)/A993</f>
        <v>25.530983026740827</v>
      </c>
    </row>
    <row r="994" spans="1:4" x14ac:dyDescent="0.2">
      <c r="A994" s="18">
        <f t="shared" si="5"/>
        <v>992</v>
      </c>
      <c r="B994" s="30" t="s">
        <v>782</v>
      </c>
      <c r="C994" s="31">
        <v>24.079999919999999</v>
      </c>
      <c r="D994" s="18">
        <f>SUM(C$3:C994)/A994</f>
        <v>25.529520342157419</v>
      </c>
    </row>
    <row r="995" spans="1:4" x14ac:dyDescent="0.2">
      <c r="A995" s="18">
        <f t="shared" si="5"/>
        <v>993</v>
      </c>
      <c r="B995" s="30" t="s">
        <v>783</v>
      </c>
      <c r="C995" s="31">
        <v>24.030000690000001</v>
      </c>
      <c r="D995" s="18">
        <f>SUM(C$3:C995)/A995</f>
        <v>25.528010251873273</v>
      </c>
    </row>
    <row r="996" spans="1:4" x14ac:dyDescent="0.2">
      <c r="A996" s="18">
        <f t="shared" si="5"/>
        <v>994</v>
      </c>
      <c r="B996" s="30" t="s">
        <v>784</v>
      </c>
      <c r="C996" s="31">
        <v>24.129999160000001</v>
      </c>
      <c r="D996" s="18">
        <f>SUM(C$3:C996)/A996</f>
        <v>25.526603802082654</v>
      </c>
    </row>
    <row r="997" spans="1:4" x14ac:dyDescent="0.2">
      <c r="A997" s="18">
        <f t="shared" si="5"/>
        <v>995</v>
      </c>
      <c r="B997" s="30" t="s">
        <v>785</v>
      </c>
      <c r="C997" s="31">
        <v>23.799999239999998</v>
      </c>
      <c r="D997" s="18">
        <f>SUM(C$3:C997)/A997</f>
        <v>25.524868521115739</v>
      </c>
    </row>
    <row r="998" spans="1:4" x14ac:dyDescent="0.2">
      <c r="A998" s="18">
        <f t="shared" si="5"/>
        <v>996</v>
      </c>
      <c r="B998" s="30" t="s">
        <v>786</v>
      </c>
      <c r="C998" s="31">
        <v>23.909999849999998</v>
      </c>
      <c r="D998" s="18">
        <f>SUM(C$3:C998)/A998</f>
        <v>25.52324716702827</v>
      </c>
    </row>
    <row r="999" spans="1:4" x14ac:dyDescent="0.2">
      <c r="A999" s="18">
        <f t="shared" si="5"/>
        <v>997</v>
      </c>
      <c r="B999" s="30" t="s">
        <v>787</v>
      </c>
      <c r="C999" s="31">
        <v>23.88999939</v>
      </c>
      <c r="D999" s="18">
        <f>SUM(C$3:C999)/A999</f>
        <v>25.52160900476445</v>
      </c>
    </row>
    <row r="1000" spans="1:4" x14ac:dyDescent="0.2">
      <c r="A1000" s="18">
        <f t="shared" si="5"/>
        <v>998</v>
      </c>
      <c r="B1000" s="30" t="s">
        <v>788</v>
      </c>
      <c r="C1000" s="31">
        <v>24.06999969</v>
      </c>
      <c r="D1000" s="18">
        <f>SUM(C$3:C1000)/A1000</f>
        <v>25.520154486412984</v>
      </c>
    </row>
    <row r="1001" spans="1:4" x14ac:dyDescent="0.2">
      <c r="A1001" s="18">
        <f t="shared" si="5"/>
        <v>999</v>
      </c>
      <c r="B1001" s="30" t="s">
        <v>789</v>
      </c>
      <c r="C1001" s="31">
        <v>24.340000150000002</v>
      </c>
      <c r="D1001" s="18">
        <f>SUM(C$3:C1001)/A1001</f>
        <v>25.518973150740901</v>
      </c>
    </row>
    <row r="1002" spans="1:4" x14ac:dyDescent="0.2">
      <c r="A1002" s="18">
        <f t="shared" si="5"/>
        <v>1000</v>
      </c>
      <c r="B1002" s="30" t="s">
        <v>790</v>
      </c>
      <c r="C1002" s="31">
        <v>24.170000080000001</v>
      </c>
      <c r="D1002" s="18">
        <f>SUM(C$3:C1002)/A1002</f>
        <v>25.517624177670161</v>
      </c>
    </row>
    <row r="1003" spans="1:4" x14ac:dyDescent="0.2">
      <c r="A1003" s="18">
        <f t="shared" si="5"/>
        <v>1001</v>
      </c>
      <c r="B1003" s="30" t="s">
        <v>791</v>
      </c>
      <c r="C1003" s="31">
        <v>24.059999470000001</v>
      </c>
      <c r="D1003" s="18">
        <f>SUM(C$3:C1003)/A1003</f>
        <v>25.516168009131029</v>
      </c>
    </row>
    <row r="1004" spans="1:4" x14ac:dyDescent="0.2">
      <c r="A1004" s="18">
        <f t="shared" si="5"/>
        <v>1002</v>
      </c>
      <c r="B1004" s="30" t="s">
        <v>792</v>
      </c>
      <c r="C1004" s="31">
        <v>23.68000031</v>
      </c>
      <c r="D1004" s="18">
        <f>SUM(C$3:C1004)/A1004</f>
        <v>25.514335506437284</v>
      </c>
    </row>
    <row r="1005" spans="1:4" x14ac:dyDescent="0.2">
      <c r="A1005" s="18">
        <f t="shared" si="5"/>
        <v>1003</v>
      </c>
      <c r="B1005" s="30" t="s">
        <v>793</v>
      </c>
      <c r="C1005" s="31">
        <v>23.68000031</v>
      </c>
      <c r="D1005" s="18">
        <f>SUM(C$3:C1005)/A1005</f>
        <v>25.512506657786798</v>
      </c>
    </row>
    <row r="1006" spans="1:4" x14ac:dyDescent="0.2">
      <c r="A1006" s="18">
        <f t="shared" si="5"/>
        <v>1004</v>
      </c>
      <c r="B1006" s="30" t="s">
        <v>794</v>
      </c>
      <c r="C1006" s="31">
        <v>23.36000061</v>
      </c>
      <c r="D1006" s="18">
        <f>SUM(C$3:C1006)/A1006</f>
        <v>25.510362727460315</v>
      </c>
    </row>
    <row r="1007" spans="1:4" x14ac:dyDescent="0.2">
      <c r="A1007" s="18">
        <f t="shared" si="5"/>
        <v>1005</v>
      </c>
      <c r="B1007" s="30">
        <v>45806</v>
      </c>
      <c r="C1007" s="31">
        <v>23.600000380000001</v>
      </c>
      <c r="D1007" s="18">
        <f>SUM(C$3:C1007)/A1007</f>
        <v>25.508461869403142</v>
      </c>
    </row>
    <row r="1008" spans="1:4" x14ac:dyDescent="0.2">
      <c r="A1008" s="18">
        <f t="shared" si="5"/>
        <v>1006</v>
      </c>
      <c r="B1008" s="30">
        <v>45807</v>
      </c>
      <c r="C1008" s="31">
        <v>23.299999239999998</v>
      </c>
      <c r="D1008" s="18">
        <f>SUM(C$3:C1008)/A1008</f>
        <v>25.506266578519043</v>
      </c>
    </row>
    <row r="1009" spans="1:4" x14ac:dyDescent="0.2">
      <c r="A1009" s="18">
        <f t="shared" si="5"/>
        <v>1007</v>
      </c>
      <c r="B1009" s="30" t="s">
        <v>795</v>
      </c>
      <c r="C1009" s="31">
        <v>23.299999239999998</v>
      </c>
      <c r="D1009" s="18">
        <f>SUM(C$3:C1009)/A1009</f>
        <v>25.504075647696283</v>
      </c>
    </row>
    <row r="1010" spans="1:4" x14ac:dyDescent="0.2">
      <c r="A1010" s="18">
        <f t="shared" si="5"/>
        <v>1008</v>
      </c>
      <c r="B1010" s="30" t="s">
        <v>796</v>
      </c>
      <c r="C1010" s="31">
        <v>23.440000529999999</v>
      </c>
      <c r="D1010" s="18">
        <f>SUM(C$3:C1010)/A1010</f>
        <v>25.502027954127144</v>
      </c>
    </row>
    <row r="1011" spans="1:4" x14ac:dyDescent="0.2">
      <c r="A1011" s="18">
        <f t="shared" si="5"/>
        <v>1009</v>
      </c>
      <c r="B1011" s="30" t="s">
        <v>797</v>
      </c>
      <c r="C1011" s="31">
        <v>23.649999619999999</v>
      </c>
      <c r="D1011" s="18">
        <f>SUM(C$3:C1011)/A1011</f>
        <v>25.500192445371813</v>
      </c>
    </row>
    <row r="1012" spans="1:4" x14ac:dyDescent="0.2">
      <c r="A1012" s="18">
        <f t="shared" si="5"/>
        <v>1010</v>
      </c>
      <c r="B1012" s="30" t="s">
        <v>798</v>
      </c>
      <c r="C1012" s="31">
        <v>23.559999470000001</v>
      </c>
      <c r="D1012" s="18">
        <f>SUM(C$3:C1012)/A1012</f>
        <v>25.49827146222788</v>
      </c>
    </row>
    <row r="1013" spans="1:4" x14ac:dyDescent="0.2">
      <c r="A1013" s="18">
        <f t="shared" si="5"/>
        <v>1011</v>
      </c>
      <c r="B1013" s="30" t="s">
        <v>799</v>
      </c>
      <c r="C1013" s="31">
        <v>23.540000920000001</v>
      </c>
      <c r="D1013" s="18">
        <f>SUM(C$3:C1013)/A1013</f>
        <v>25.496334498288977</v>
      </c>
    </row>
    <row r="1014" spans="1:4" x14ac:dyDescent="0.2">
      <c r="A1014" s="18">
        <f t="shared" si="5"/>
        <v>1012</v>
      </c>
      <c r="B1014" s="30" t="s">
        <v>800</v>
      </c>
      <c r="C1014" s="31">
        <v>23.350000380000001</v>
      </c>
      <c r="D1014" s="18">
        <f>SUM(C$3:C1014)/A1014</f>
        <v>25.494213614772882</v>
      </c>
    </row>
    <row r="1015" spans="1:4" x14ac:dyDescent="0.2">
      <c r="A1015" s="18">
        <f t="shared" si="5"/>
        <v>1013</v>
      </c>
      <c r="B1015" s="30" t="s">
        <v>801</v>
      </c>
      <c r="C1015" s="31">
        <v>23.600000380000001</v>
      </c>
      <c r="D1015" s="18">
        <f>SUM(C$3:C1015)/A1015</f>
        <v>25.492343710296304</v>
      </c>
    </row>
    <row r="1016" spans="1:4" x14ac:dyDescent="0.2">
      <c r="A1016" s="18">
        <f t="shared" si="5"/>
        <v>1014</v>
      </c>
      <c r="B1016" s="30" t="s">
        <v>802</v>
      </c>
      <c r="C1016" s="31">
        <v>23.450000760000002</v>
      </c>
      <c r="D1016" s="18">
        <f>SUM(C$3:C1016)/A1016</f>
        <v>25.490329565374907</v>
      </c>
    </row>
    <row r="1017" spans="1:4" x14ac:dyDescent="0.2">
      <c r="A1017" s="18">
        <f t="shared" si="5"/>
        <v>1015</v>
      </c>
      <c r="B1017" s="30" t="s">
        <v>803</v>
      </c>
      <c r="C1017" s="31">
        <v>23.229999540000001</v>
      </c>
      <c r="D1017" s="18">
        <f>SUM(C$3:C1017)/A1017</f>
        <v>25.488102639241532</v>
      </c>
    </row>
    <row r="1018" spans="1:4" x14ac:dyDescent="0.2">
      <c r="A1018" s="18">
        <f t="shared" si="5"/>
        <v>1016</v>
      </c>
      <c r="B1018" s="30" t="s">
        <v>804</v>
      </c>
      <c r="C1018" s="31">
        <v>23.600000380000001</v>
      </c>
      <c r="D1018" s="18">
        <f>SUM(C$3:C1018)/A1018</f>
        <v>25.486244270876139</v>
      </c>
    </row>
    <row r="1019" spans="1:4" x14ac:dyDescent="0.2">
      <c r="A1019" s="18">
        <f t="shared" si="5"/>
        <v>1017</v>
      </c>
      <c r="B1019" s="30" t="s">
        <v>805</v>
      </c>
      <c r="C1019" s="31">
        <v>23.520000459999999</v>
      </c>
      <c r="D1019" s="18">
        <f>SUM(C$3:C1019)/A1019</f>
        <v>25.484310894464265</v>
      </c>
    </row>
    <row r="1020" spans="1:4" x14ac:dyDescent="0.2">
      <c r="A1020" s="18">
        <f t="shared" si="5"/>
        <v>1018</v>
      </c>
      <c r="B1020" s="30" t="s">
        <v>806</v>
      </c>
      <c r="C1020" s="31">
        <v>23.629999160000001</v>
      </c>
      <c r="D1020" s="18">
        <f>SUM(C$3:C1020)/A1020</f>
        <v>25.482489370167148</v>
      </c>
    </row>
    <row r="1021" spans="1:4" x14ac:dyDescent="0.2">
      <c r="A1021" s="18">
        <f t="shared" si="5"/>
        <v>1019</v>
      </c>
      <c r="B1021" s="30" t="s">
        <v>807</v>
      </c>
      <c r="C1021" s="31">
        <v>23.370000839999999</v>
      </c>
      <c r="D1021" s="18">
        <f>SUM(C$3:C1021)/A1021</f>
        <v>25.480416270530085</v>
      </c>
    </row>
    <row r="1022" spans="1:4" x14ac:dyDescent="0.2">
      <c r="A1022" s="18">
        <f t="shared" si="5"/>
        <v>1020</v>
      </c>
      <c r="B1022" s="30" t="s">
        <v>808</v>
      </c>
      <c r="C1022" s="31">
        <v>23.260000229999999</v>
      </c>
      <c r="D1022" s="18">
        <f>SUM(C$3:C1022)/A1022</f>
        <v>25.478239392058974</v>
      </c>
    </row>
    <row r="1023" spans="1:4" x14ac:dyDescent="0.2">
      <c r="A1023" s="18">
        <f t="shared" si="5"/>
        <v>1021</v>
      </c>
      <c r="B1023" s="30" t="s">
        <v>809</v>
      </c>
      <c r="C1023" s="31">
        <v>23.329999919999999</v>
      </c>
      <c r="D1023" s="18">
        <f>SUM(C$3:C1023)/A1023</f>
        <v>25.476135337727868</v>
      </c>
    </row>
    <row r="1024" spans="1:4" x14ac:dyDescent="0.2">
      <c r="A1024" s="18">
        <f t="shared" si="5"/>
        <v>1022</v>
      </c>
      <c r="B1024" s="30" t="s">
        <v>810</v>
      </c>
      <c r="C1024" s="31">
        <v>23.790000920000001</v>
      </c>
      <c r="D1024" s="18">
        <f>SUM(C$3:C1024)/A1024</f>
        <v>25.474485499745747</v>
      </c>
    </row>
    <row r="1025" spans="1:4" x14ac:dyDescent="0.2">
      <c r="A1025" s="18">
        <f t="shared" si="5"/>
        <v>1023</v>
      </c>
      <c r="B1025" s="30" t="s">
        <v>811</v>
      </c>
      <c r="C1025" s="31">
        <v>24.350000380000001</v>
      </c>
      <c r="D1025" s="18">
        <f>SUM(C$3:C1025)/A1025</f>
        <v>25.473386296305133</v>
      </c>
    </row>
    <row r="1026" spans="1:4" x14ac:dyDescent="0.2">
      <c r="A1026" s="18">
        <f t="shared" si="5"/>
        <v>1024</v>
      </c>
      <c r="B1026" s="30" t="s">
        <v>812</v>
      </c>
      <c r="C1026" s="31">
        <v>24.090000150000002</v>
      </c>
      <c r="D1026" s="18">
        <f>SUM(C$3:C1026)/A1026</f>
        <v>25.472035333271634</v>
      </c>
    </row>
    <row r="1027" spans="1:4" x14ac:dyDescent="0.2">
      <c r="A1027" s="18">
        <f t="shared" si="5"/>
        <v>1025</v>
      </c>
      <c r="B1027" s="30">
        <v>45835</v>
      </c>
      <c r="C1027" s="31">
        <v>24.100000380000001</v>
      </c>
      <c r="D1027" s="18">
        <f>SUM(C$3:C1027)/A1027</f>
        <v>25.470696762585515</v>
      </c>
    </row>
    <row r="1028" spans="1:4" x14ac:dyDescent="0.2">
      <c r="A1028" s="18">
        <f t="shared" si="5"/>
        <v>1026</v>
      </c>
      <c r="B1028" s="30">
        <v>45838</v>
      </c>
      <c r="C1028" s="31">
        <v>24.299999239999998</v>
      </c>
      <c r="D1028" s="18">
        <f>SUM(C$3:C1028)/A1028</f>
        <v>25.46955573186175</v>
      </c>
    </row>
    <row r="1029" spans="1:4" x14ac:dyDescent="0.2">
      <c r="A1029" s="18">
        <f t="shared" si="5"/>
        <v>1027</v>
      </c>
      <c r="B1029" s="30" t="s">
        <v>813</v>
      </c>
      <c r="C1029" s="31">
        <v>24.280000690000001</v>
      </c>
      <c r="D1029" s="18">
        <f>SUM(C$3:C1029)/A1029</f>
        <v>25.468397450418845</v>
      </c>
    </row>
    <row r="1030" spans="1:4" x14ac:dyDescent="0.2">
      <c r="A1030" s="18">
        <f t="shared" si="5"/>
        <v>1028</v>
      </c>
      <c r="B1030" s="30" t="s">
        <v>814</v>
      </c>
      <c r="C1030" s="31">
        <v>24.030000690000001</v>
      </c>
      <c r="D1030" s="18">
        <f>SUM(C$3:C1030)/A1030</f>
        <v>25.466998231780305</v>
      </c>
    </row>
    <row r="1031" spans="1:4" x14ac:dyDescent="0.2">
      <c r="A1031" s="18">
        <f t="shared" si="5"/>
        <v>1029</v>
      </c>
      <c r="B1031" s="30" t="s">
        <v>815</v>
      </c>
      <c r="C1031" s="31">
        <v>24.450000760000002</v>
      </c>
      <c r="D1031" s="18">
        <f>SUM(C$3:C1031)/A1031</f>
        <v>25.466009896044852</v>
      </c>
    </row>
    <row r="1032" spans="1:4" x14ac:dyDescent="0.2">
      <c r="A1032" s="18">
        <f t="shared" si="5"/>
        <v>1030</v>
      </c>
      <c r="B1032" s="30" t="s">
        <v>816</v>
      </c>
      <c r="C1032" s="31">
        <v>24.409999849999998</v>
      </c>
      <c r="D1032" s="18">
        <f>SUM(C$3:C1032)/A1032</f>
        <v>25.464984643572961</v>
      </c>
    </row>
    <row r="1033" spans="1:4" x14ac:dyDescent="0.2">
      <c r="A1033" s="18">
        <f t="shared" si="5"/>
        <v>1031</v>
      </c>
      <c r="B1033" s="30" t="s">
        <v>817</v>
      </c>
      <c r="C1033" s="31">
        <v>24.100000380000001</v>
      </c>
      <c r="D1033" s="18">
        <f>SUM(C$3:C1033)/A1033</f>
        <v>25.463660701513241</v>
      </c>
    </row>
    <row r="1034" spans="1:4" x14ac:dyDescent="0.2">
      <c r="A1034" s="18">
        <f t="shared" si="5"/>
        <v>1032</v>
      </c>
      <c r="B1034" s="30" t="s">
        <v>818</v>
      </c>
      <c r="C1034" s="31">
        <v>24.440000529999999</v>
      </c>
      <c r="D1034" s="18">
        <f>SUM(C$3:C1034)/A1034</f>
        <v>25.462668782742398</v>
      </c>
    </row>
    <row r="1035" spans="1:4" x14ac:dyDescent="0.2">
      <c r="A1035" s="18">
        <f t="shared" si="5"/>
        <v>1033</v>
      </c>
      <c r="B1035" s="30" t="s">
        <v>819</v>
      </c>
      <c r="C1035" s="31">
        <v>24.450000760000002</v>
      </c>
      <c r="D1035" s="18">
        <f>SUM(C$3:C1035)/A1035</f>
        <v>25.461688465198598</v>
      </c>
    </row>
    <row r="1036" spans="1:4" x14ac:dyDescent="0.2">
      <c r="A1036" s="18">
        <f t="shared" si="5"/>
        <v>1034</v>
      </c>
      <c r="B1036" s="30" t="s">
        <v>820</v>
      </c>
      <c r="C1036" s="31">
        <v>24.5</v>
      </c>
      <c r="D1036" s="18">
        <f>SUM(C$3:C1036)/A1036</f>
        <v>25.460758398984673</v>
      </c>
    </row>
    <row r="1037" spans="1:4" x14ac:dyDescent="0.2">
      <c r="A1037" s="18">
        <f t="shared" si="5"/>
        <v>1035</v>
      </c>
      <c r="B1037" s="30" t="s">
        <v>821</v>
      </c>
      <c r="C1037" s="31">
        <v>24.670000080000001</v>
      </c>
      <c r="D1037" s="18">
        <f>SUM(C$3:C1037)/A1037</f>
        <v>25.459994381285174</v>
      </c>
    </row>
    <row r="1038" spans="1:4" x14ac:dyDescent="0.2">
      <c r="A1038" s="18">
        <f t="shared" si="5"/>
        <v>1036</v>
      </c>
      <c r="B1038" s="30" t="s">
        <v>822</v>
      </c>
      <c r="C1038" s="31">
        <v>24.61000061</v>
      </c>
      <c r="D1038" s="18">
        <f>SUM(C$3:C1038)/A1038</f>
        <v>25.45917392397698</v>
      </c>
    </row>
    <row r="1039" spans="1:4" x14ac:dyDescent="0.2">
      <c r="A1039" s="18">
        <f t="shared" si="5"/>
        <v>1037</v>
      </c>
      <c r="B1039" s="30" t="s">
        <v>823</v>
      </c>
      <c r="C1039" s="31">
        <v>24.61000061</v>
      </c>
      <c r="D1039" s="18">
        <f>SUM(C$3:C1039)/A1039</f>
        <v>25.458355049035827</v>
      </c>
    </row>
    <row r="1040" spans="1:4" x14ac:dyDescent="0.2">
      <c r="A1040" s="18">
        <f t="shared" si="5"/>
        <v>1038</v>
      </c>
      <c r="B1040" s="30" t="s">
        <v>824</v>
      </c>
      <c r="C1040" s="31">
        <v>24.75</v>
      </c>
      <c r="D1040" s="18">
        <f>SUM(C$3:C1040)/A1040</f>
        <v>25.457672626059875</v>
      </c>
    </row>
    <row r="1041" spans="1:4" x14ac:dyDescent="0.2">
      <c r="A1041" s="18">
        <f t="shared" si="5"/>
        <v>1039</v>
      </c>
      <c r="B1041" s="30" t="s">
        <v>825</v>
      </c>
      <c r="C1041" s="31">
        <v>25.040000920000001</v>
      </c>
      <c r="D1041" s="18">
        <f>SUM(C$3:C1041)/A1041</f>
        <v>25.457270632117563</v>
      </c>
    </row>
    <row r="1042" spans="1:4" x14ac:dyDescent="0.2">
      <c r="A1042" s="18">
        <f t="shared" si="5"/>
        <v>1040</v>
      </c>
      <c r="B1042" s="30" t="s">
        <v>826</v>
      </c>
      <c r="C1042" s="31">
        <v>25.219999309999999</v>
      </c>
      <c r="D1042" s="18">
        <f>SUM(C$3:C1042)/A1042</f>
        <v>25.457042486615528</v>
      </c>
    </row>
    <row r="1043" spans="1:4" x14ac:dyDescent="0.2">
      <c r="A1043" s="18">
        <f t="shared" si="5"/>
        <v>1041</v>
      </c>
      <c r="B1043" s="30" t="s">
        <v>827</v>
      </c>
      <c r="C1043" s="31">
        <v>25.469999309999999</v>
      </c>
      <c r="D1043" s="18">
        <f>SUM(C$3:C1043)/A1043</f>
        <v>25.457054933131747</v>
      </c>
    </row>
    <row r="1044" spans="1:4" x14ac:dyDescent="0.2">
      <c r="A1044" s="18">
        <f t="shared" si="5"/>
        <v>1042</v>
      </c>
      <c r="B1044" s="30" t="s">
        <v>828</v>
      </c>
      <c r="C1044" s="31">
        <v>25.659999849999998</v>
      </c>
      <c r="D1044" s="18">
        <f>SUM(C$3:C1044)/A1044</f>
        <v>25.457249697927207</v>
      </c>
    </row>
    <row r="1045" spans="1:4" x14ac:dyDescent="0.2">
      <c r="A1045" s="18">
        <f t="shared" si="5"/>
        <v>1043</v>
      </c>
      <c r="B1045" s="30" t="s">
        <v>829</v>
      </c>
      <c r="C1045" s="31">
        <v>25.63999939</v>
      </c>
      <c r="D1045" s="18">
        <f>SUM(C$3:C1045)/A1045</f>
        <v>25.457424913355847</v>
      </c>
    </row>
    <row r="1046" spans="1:4" x14ac:dyDescent="0.2">
      <c r="A1046" s="18">
        <f t="shared" si="5"/>
        <v>1044</v>
      </c>
      <c r="B1046" s="30" t="s">
        <v>830</v>
      </c>
      <c r="C1046" s="31">
        <v>25.88999939</v>
      </c>
      <c r="D1046" s="18">
        <f>SUM(C$3:C1046)/A1046</f>
        <v>25.457839256724284</v>
      </c>
    </row>
    <row r="1047" spans="1:4" x14ac:dyDescent="0.2">
      <c r="A1047" s="18">
        <f t="shared" si="5"/>
        <v>1045</v>
      </c>
      <c r="B1047" s="30" t="s">
        <v>831</v>
      </c>
      <c r="C1047" s="31">
        <v>25.88999939</v>
      </c>
      <c r="D1047" s="18">
        <f>SUM(C$3:C1047)/A1047</f>
        <v>25.458252807091057</v>
      </c>
    </row>
    <row r="1048" spans="1:4" x14ac:dyDescent="0.2">
      <c r="A1048" s="18">
        <f t="shared" si="5"/>
        <v>1046</v>
      </c>
      <c r="B1048" s="30" t="s">
        <v>832</v>
      </c>
      <c r="C1048" s="31">
        <v>25.969999309999999</v>
      </c>
      <c r="D1048" s="18">
        <f>SUM(C$3:C1048)/A1048</f>
        <v>25.458742048489629</v>
      </c>
    </row>
    <row r="1049" spans="1:4" x14ac:dyDescent="0.2">
      <c r="A1049" s="18">
        <f t="shared" si="5"/>
        <v>1047</v>
      </c>
      <c r="B1049" s="30" t="s">
        <v>833</v>
      </c>
      <c r="C1049" s="31">
        <v>26.170000080000001</v>
      </c>
      <c r="D1049" s="18">
        <f>SUM(C$3:C1049)/A1049</f>
        <v>25.459421378032619</v>
      </c>
    </row>
    <row r="1050" spans="1:4" x14ac:dyDescent="0.2">
      <c r="A1050" s="18">
        <f t="shared" si="5"/>
        <v>1048</v>
      </c>
      <c r="B1050" s="30">
        <v>45868</v>
      </c>
      <c r="C1050" s="31">
        <v>25.760000229999999</v>
      </c>
      <c r="D1050" s="18">
        <f>SUM(C$3:C1050)/A1050</f>
        <v>25.459708189914267</v>
      </c>
    </row>
    <row r="1051" spans="1:4" x14ac:dyDescent="0.2">
      <c r="A1051" s="18">
        <f t="shared" si="5"/>
        <v>1049</v>
      </c>
      <c r="B1051" s="30">
        <v>45869</v>
      </c>
      <c r="C1051" s="31">
        <v>25.25</v>
      </c>
      <c r="D1051" s="18">
        <f>SUM(C$3:C1051)/A1051</f>
        <v>25.459508277435798</v>
      </c>
    </row>
    <row r="1052" spans="1:4" x14ac:dyDescent="0.2">
      <c r="A1052" s="18">
        <f t="shared" si="5"/>
        <v>1050</v>
      </c>
      <c r="B1052" s="30" t="s">
        <v>834</v>
      </c>
      <c r="C1052" s="31">
        <v>25.229999540000001</v>
      </c>
      <c r="D1052" s="18">
        <f>SUM(C$3:C1052)/A1052</f>
        <v>25.459289697685858</v>
      </c>
    </row>
    <row r="1053" spans="1:4" x14ac:dyDescent="0.2">
      <c r="A1053" s="18">
        <f t="shared" si="5"/>
        <v>1051</v>
      </c>
      <c r="B1053" s="30" t="s">
        <v>835</v>
      </c>
      <c r="C1053" s="31">
        <v>25.350000380000001</v>
      </c>
      <c r="D1053" s="18">
        <f>SUM(C$3:C1053)/A1053</f>
        <v>25.45918571165571</v>
      </c>
    </row>
    <row r="1054" spans="1:4" x14ac:dyDescent="0.2">
      <c r="A1054" s="18">
        <f t="shared" si="5"/>
        <v>1052</v>
      </c>
      <c r="B1054" s="30" t="s">
        <v>836</v>
      </c>
      <c r="C1054" s="31">
        <v>25.479999540000001</v>
      </c>
      <c r="D1054" s="18">
        <f>SUM(C$3:C1054)/A1054</f>
        <v>25.459205496663643</v>
      </c>
    </row>
    <row r="1055" spans="1:4" x14ac:dyDescent="0.2">
      <c r="A1055" s="18">
        <f t="shared" si="5"/>
        <v>1053</v>
      </c>
      <c r="B1055" s="30" t="s">
        <v>837</v>
      </c>
      <c r="C1055" s="31">
        <v>25.600000380000001</v>
      </c>
      <c r="D1055" s="18">
        <f>SUM(C$3:C1055)/A1055</f>
        <v>25.459339205004891</v>
      </c>
    </row>
    <row r="1056" spans="1:4" x14ac:dyDescent="0.2">
      <c r="A1056" s="18">
        <f t="shared" si="5"/>
        <v>1054</v>
      </c>
      <c r="B1056" s="30" t="s">
        <v>838</v>
      </c>
      <c r="C1056" s="31">
        <v>25.520000459999999</v>
      </c>
      <c r="D1056" s="18">
        <f>SUM(C$3:C1056)/A1056</f>
        <v>25.459396758377753</v>
      </c>
    </row>
    <row r="1057" spans="1:4" x14ac:dyDescent="0.2">
      <c r="A1057" s="18">
        <f t="shared" si="5"/>
        <v>1055</v>
      </c>
      <c r="B1057" s="30" t="s">
        <v>839</v>
      </c>
      <c r="C1057" s="31">
        <v>25.440000529999999</v>
      </c>
      <c r="D1057" s="18">
        <f>SUM(C$3:C1057)/A1057</f>
        <v>25.459378373327159</v>
      </c>
    </row>
    <row r="1058" spans="1:4" x14ac:dyDescent="0.2">
      <c r="A1058" s="18">
        <f t="shared" si="5"/>
        <v>1056</v>
      </c>
      <c r="B1058" s="30" t="s">
        <v>840</v>
      </c>
      <c r="C1058" s="31">
        <v>25.790000920000001</v>
      </c>
      <c r="D1058" s="18">
        <f>SUM(C$3:C1058)/A1058</f>
        <v>25.459691462859993</v>
      </c>
    </row>
    <row r="1059" spans="1:4" x14ac:dyDescent="0.2">
      <c r="A1059" s="18">
        <f t="shared" si="5"/>
        <v>1057</v>
      </c>
      <c r="B1059" s="30" t="s">
        <v>841</v>
      </c>
      <c r="C1059" s="31">
        <v>25.790000920000001</v>
      </c>
      <c r="D1059" s="18">
        <f>SUM(C$3:C1059)/A1059</f>
        <v>25.460003959981222</v>
      </c>
    </row>
    <row r="1060" spans="1:4" x14ac:dyDescent="0.2">
      <c r="A1060" s="18">
        <f t="shared" si="5"/>
        <v>1058</v>
      </c>
      <c r="B1060" s="30" t="s">
        <v>842</v>
      </c>
      <c r="C1060" s="31">
        <v>26.020000459999999</v>
      </c>
      <c r="D1060" s="18">
        <f>SUM(C$3:C1060)/A1060</f>
        <v>25.460533257240218</v>
      </c>
    </row>
    <row r="1061" spans="1:4" x14ac:dyDescent="0.2">
      <c r="A1061" s="18">
        <f t="shared" si="5"/>
        <v>1059</v>
      </c>
      <c r="B1061" s="30" t="s">
        <v>843</v>
      </c>
      <c r="C1061" s="31">
        <v>26.579999919999999</v>
      </c>
      <c r="D1061" s="18">
        <f>SUM(C$3:C1061)/A1061</f>
        <v>25.461590355127619</v>
      </c>
    </row>
    <row r="1062" spans="1:4" x14ac:dyDescent="0.2">
      <c r="A1062" s="18">
        <f t="shared" si="5"/>
        <v>1060</v>
      </c>
      <c r="B1062" s="30" t="s">
        <v>844</v>
      </c>
      <c r="C1062" s="31">
        <v>27.010000229999999</v>
      </c>
      <c r="D1062" s="18">
        <f>SUM(C$3:C1062)/A1062</f>
        <v>25.463051119160518</v>
      </c>
    </row>
    <row r="1063" spans="1:4" x14ac:dyDescent="0.2">
      <c r="A1063" s="18">
        <f t="shared" si="5"/>
        <v>1061</v>
      </c>
      <c r="B1063" s="30" t="s">
        <v>845</v>
      </c>
      <c r="C1063" s="31">
        <v>27.649999619999999</v>
      </c>
      <c r="D1063" s="18">
        <f>SUM(C$3:C1063)/A1063</f>
        <v>25.465112333581668</v>
      </c>
    </row>
    <row r="1064" spans="1:4" x14ac:dyDescent="0.2">
      <c r="A1064" s="18">
        <f t="shared" si="5"/>
        <v>1062</v>
      </c>
      <c r="B1064" s="30" t="s">
        <v>846</v>
      </c>
      <c r="C1064" s="31">
        <v>27.520000459999999</v>
      </c>
      <c r="D1064" s="18">
        <f>SUM(C$3:C1064)/A1064</f>
        <v>25.467047256487898</v>
      </c>
    </row>
    <row r="1065" spans="1:4" x14ac:dyDescent="0.2">
      <c r="A1065" s="18">
        <f t="shared" ref="A1065:A1131" si="6">A1064+1</f>
        <v>1063</v>
      </c>
      <c r="B1065" s="30" t="s">
        <v>847</v>
      </c>
      <c r="C1065" s="31">
        <v>27.780000690000001</v>
      </c>
      <c r="D1065" s="18">
        <f>SUM(C$3:C1065)/A1065</f>
        <v>25.469223129896658</v>
      </c>
    </row>
    <row r="1066" spans="1:4" x14ac:dyDescent="0.2">
      <c r="A1066" s="18">
        <f t="shared" si="6"/>
        <v>1064</v>
      </c>
      <c r="B1066" s="30" t="s">
        <v>848</v>
      </c>
      <c r="C1066" s="31">
        <v>27.780000690000001</v>
      </c>
      <c r="D1066" s="18">
        <f>SUM(C$3:C1066)/A1066</f>
        <v>25.471394913317809</v>
      </c>
    </row>
    <row r="1067" spans="1:4" x14ac:dyDescent="0.2">
      <c r="A1067" s="18">
        <f t="shared" si="6"/>
        <v>1065</v>
      </c>
      <c r="B1067" s="30" t="s">
        <v>849</v>
      </c>
      <c r="C1067" s="31">
        <v>28.579999919999999</v>
      </c>
      <c r="D1067" s="18">
        <f>SUM(C$3:C1067)/A1067</f>
        <v>25.474313791258353</v>
      </c>
    </row>
    <row r="1068" spans="1:4" x14ac:dyDescent="0.2">
      <c r="A1068" s="18">
        <f t="shared" si="6"/>
        <v>1066</v>
      </c>
      <c r="B1068" s="30" t="s">
        <v>850</v>
      </c>
      <c r="C1068" s="31">
        <v>29.129999160000001</v>
      </c>
      <c r="D1068" s="18">
        <f>SUM(C$3:C1068)/A1068</f>
        <v>25.477743139634285</v>
      </c>
    </row>
    <row r="1069" spans="1:4" x14ac:dyDescent="0.2">
      <c r="A1069" s="18">
        <f t="shared" si="6"/>
        <v>1067</v>
      </c>
      <c r="B1069" s="30" t="s">
        <v>851</v>
      </c>
      <c r="C1069" s="31">
        <v>29.090000150000002</v>
      </c>
      <c r="D1069" s="18">
        <f>SUM(C$3:C1069)/A1069</f>
        <v>25.48112857263369</v>
      </c>
    </row>
    <row r="1070" spans="1:4" x14ac:dyDescent="0.2">
      <c r="A1070" s="18">
        <f t="shared" si="6"/>
        <v>1068</v>
      </c>
      <c r="B1070" s="30" t="s">
        <v>852</v>
      </c>
      <c r="C1070" s="31">
        <v>29.090000150000002</v>
      </c>
      <c r="D1070" s="18">
        <f>SUM(C$3:C1070)/A1070</f>
        <v>25.484507665870925</v>
      </c>
    </row>
    <row r="1071" spans="1:4" x14ac:dyDescent="0.2">
      <c r="A1071" s="18">
        <f t="shared" si="6"/>
        <v>1069</v>
      </c>
      <c r="B1071" s="30">
        <v>45897</v>
      </c>
      <c r="C1071" s="31">
        <v>29.409999849999998</v>
      </c>
      <c r="D1071" s="18">
        <f>SUM(C$3:C1071)/A1071</f>
        <v>25.488179782039428</v>
      </c>
    </row>
    <row r="1072" spans="1:4" x14ac:dyDescent="0.2">
      <c r="A1072" s="18">
        <f t="shared" si="6"/>
        <v>1070</v>
      </c>
      <c r="B1072" s="30">
        <v>45898</v>
      </c>
      <c r="C1072" s="31">
        <v>30.020000459999999</v>
      </c>
      <c r="D1072" s="18">
        <f>SUM(C$3:C1072)/A1072</f>
        <v>25.492415128467428</v>
      </c>
    </row>
    <row r="1073" spans="1:4" x14ac:dyDescent="0.2">
      <c r="A1073" s="18">
        <f t="shared" si="6"/>
        <v>1071</v>
      </c>
      <c r="B1073" s="30" t="s">
        <v>853</v>
      </c>
      <c r="C1073" s="31">
        <v>29.75</v>
      </c>
      <c r="D1073" s="18">
        <f>SUM(C$3:C1073)/A1073</f>
        <v>25.496390464481934</v>
      </c>
    </row>
    <row r="1074" spans="1:4" x14ac:dyDescent="0.2">
      <c r="A1074" s="18">
        <f t="shared" si="6"/>
        <v>1072</v>
      </c>
      <c r="B1074" s="30" t="s">
        <v>854</v>
      </c>
      <c r="C1074" s="31">
        <v>29.120000839999999</v>
      </c>
      <c r="D1074" s="18">
        <f>SUM(C$3:C1074)/A1074</f>
        <v>25.499770698041186</v>
      </c>
    </row>
    <row r="1075" spans="1:4" x14ac:dyDescent="0.2">
      <c r="A1075" s="18">
        <f t="shared" si="6"/>
        <v>1073</v>
      </c>
      <c r="B1075" s="30" t="s">
        <v>855</v>
      </c>
      <c r="C1075" s="31">
        <v>29.170000080000001</v>
      </c>
      <c r="D1075" s="18">
        <f>SUM(C$3:C1075)/A1075</f>
        <v>25.503191228686067</v>
      </c>
    </row>
    <row r="1076" spans="1:4" x14ac:dyDescent="0.2">
      <c r="A1076" s="18">
        <f t="shared" si="6"/>
        <v>1074</v>
      </c>
      <c r="B1076" s="30" t="s">
        <v>856</v>
      </c>
      <c r="C1076" s="31">
        <v>28.18000031</v>
      </c>
      <c r="D1076" s="18">
        <f>SUM(C$3:C1076)/A1076</f>
        <v>25.505683602132358</v>
      </c>
    </row>
    <row r="1077" spans="1:4" x14ac:dyDescent="0.2">
      <c r="A1077" s="18">
        <f t="shared" si="6"/>
        <v>1075</v>
      </c>
      <c r="B1077" s="30" t="s">
        <v>857</v>
      </c>
      <c r="C1077" s="31">
        <v>28.18000031</v>
      </c>
      <c r="D1077" s="18">
        <f>SUM(C$3:C1077)/A1077</f>
        <v>25.508171338604793</v>
      </c>
    </row>
    <row r="1078" spans="1:4" x14ac:dyDescent="0.2">
      <c r="A1078" s="18">
        <f t="shared" si="6"/>
        <v>1076</v>
      </c>
      <c r="B1078" s="30" t="s">
        <v>858</v>
      </c>
      <c r="C1078" s="31">
        <v>29.68000031</v>
      </c>
      <c r="D1078" s="18">
        <f>SUM(C$3:C1078)/A1078</f>
        <v>25.512048503076347</v>
      </c>
    </row>
    <row r="1079" spans="1:4" x14ac:dyDescent="0.2">
      <c r="A1079" s="18">
        <f t="shared" si="6"/>
        <v>1077</v>
      </c>
      <c r="B1079" s="30" t="s">
        <v>859</v>
      </c>
      <c r="C1079" s="31">
        <v>29.090000150000002</v>
      </c>
      <c r="D1079" s="18">
        <f>SUM(C$3:C1079)/A1079</f>
        <v>25.515370649452322</v>
      </c>
    </row>
    <row r="1080" spans="1:4" x14ac:dyDescent="0.2">
      <c r="A1080" s="18">
        <f t="shared" si="6"/>
        <v>1078</v>
      </c>
      <c r="B1080" s="30" t="s">
        <v>860</v>
      </c>
      <c r="C1080" s="31">
        <v>29.219999309999999</v>
      </c>
      <c r="D1080" s="18">
        <f>SUM(C$3:C1080)/A1080</f>
        <v>25.518807225204224</v>
      </c>
    </row>
    <row r="1081" spans="1:4" x14ac:dyDescent="0.2">
      <c r="A1081" s="18">
        <f t="shared" si="6"/>
        <v>1079</v>
      </c>
      <c r="B1081" s="30" t="s">
        <v>861</v>
      </c>
      <c r="C1081" s="31">
        <v>30.219999309999999</v>
      </c>
      <c r="D1081" s="18">
        <f>SUM(C$3:C1081)/A1081</f>
        <v>25.523164215088187</v>
      </c>
    </row>
    <row r="1082" spans="1:4" x14ac:dyDescent="0.2">
      <c r="A1082" s="18">
        <f t="shared" si="6"/>
        <v>1080</v>
      </c>
      <c r="B1082" s="30" t="s">
        <v>862</v>
      </c>
      <c r="C1082" s="31">
        <v>30</v>
      </c>
      <c r="D1082" s="18">
        <f>SUM(C$3:C1082)/A1082</f>
        <v>25.527309433407549</v>
      </c>
    </row>
    <row r="1083" spans="1:4" x14ac:dyDescent="0.2">
      <c r="A1083" s="18">
        <f t="shared" si="6"/>
        <v>1081</v>
      </c>
      <c r="B1083" s="30" t="s">
        <v>863</v>
      </c>
      <c r="C1083" s="31">
        <v>30.559999470000001</v>
      </c>
      <c r="D1083" s="18">
        <f>SUM(C$3:C1083)/A1083</f>
        <v>25.531965020860454</v>
      </c>
    </row>
    <row r="1084" spans="1:4" x14ac:dyDescent="0.2">
      <c r="A1084" s="18">
        <f t="shared" si="6"/>
        <v>1082</v>
      </c>
      <c r="B1084" s="30" t="s">
        <v>864</v>
      </c>
      <c r="C1084" s="31">
        <v>30.760000229999999</v>
      </c>
      <c r="D1084" s="18">
        <f>SUM(C$3:C1084)/A1084</f>
        <v>25.536796846377218</v>
      </c>
    </row>
    <row r="1085" spans="1:4" x14ac:dyDescent="0.2">
      <c r="A1085" s="18">
        <f t="shared" si="6"/>
        <v>1083</v>
      </c>
      <c r="B1085" s="30" t="s">
        <v>865</v>
      </c>
      <c r="C1085" s="31">
        <v>31.459999079999999</v>
      </c>
      <c r="D1085" s="18">
        <f>SUM(C$3:C1085)/A1085</f>
        <v>25.542266100517221</v>
      </c>
    </row>
    <row r="1086" spans="1:4" x14ac:dyDescent="0.2">
      <c r="A1086" s="18">
        <f t="shared" si="6"/>
        <v>1084</v>
      </c>
      <c r="B1086" s="30" t="s">
        <v>866</v>
      </c>
      <c r="C1086" s="31">
        <v>31.329999919999999</v>
      </c>
      <c r="D1086" s="18">
        <f>SUM(C$3:C1086)/A1086</f>
        <v>25.547605338358071</v>
      </c>
    </row>
    <row r="1087" spans="1:4" x14ac:dyDescent="0.2">
      <c r="A1087" s="18">
        <f t="shared" si="6"/>
        <v>1085</v>
      </c>
      <c r="B1087" s="30" t="s">
        <v>867</v>
      </c>
      <c r="C1087" s="31">
        <v>31.159999849999998</v>
      </c>
      <c r="D1087" s="18">
        <f>SUM(C$3:C1087)/A1087</f>
        <v>25.552778052193688</v>
      </c>
    </row>
    <row r="1088" spans="1:4" x14ac:dyDescent="0.2">
      <c r="A1088" s="18">
        <f t="shared" si="6"/>
        <v>1086</v>
      </c>
      <c r="B1088" s="30" t="s">
        <v>868</v>
      </c>
      <c r="C1088" s="31">
        <v>31.489999770000001</v>
      </c>
      <c r="D1088" s="18">
        <f>SUM(C$3:C1088)/A1088</f>
        <v>25.558245107182458</v>
      </c>
    </row>
    <row r="1089" spans="1:4" x14ac:dyDescent="0.2">
      <c r="A1089" s="18">
        <f t="shared" si="6"/>
        <v>1087</v>
      </c>
      <c r="B1089" s="30" t="s">
        <v>869</v>
      </c>
      <c r="C1089" s="31">
        <v>31.520000459999999</v>
      </c>
      <c r="D1089" s="18">
        <f>SUM(C$3:C1089)/A1089</f>
        <v>25.563729702723229</v>
      </c>
    </row>
    <row r="1090" spans="1:4" x14ac:dyDescent="0.2">
      <c r="A1090" s="18">
        <f t="shared" si="6"/>
        <v>1088</v>
      </c>
      <c r="B1090" s="30" t="s">
        <v>870</v>
      </c>
      <c r="C1090" s="31">
        <v>32.240001679999999</v>
      </c>
      <c r="D1090" s="18">
        <f>SUM(C$3:C1090)/A1090</f>
        <v>25.569865982114109</v>
      </c>
    </row>
    <row r="1091" spans="1:4" x14ac:dyDescent="0.2">
      <c r="A1091" s="18">
        <f t="shared" si="6"/>
        <v>1089</v>
      </c>
      <c r="B1091" s="30" t="s">
        <v>871</v>
      </c>
      <c r="C1091" s="31">
        <v>32.72000122</v>
      </c>
      <c r="D1091" s="18">
        <f>SUM(C$3:C1091)/A1091</f>
        <v>25.576431762865152</v>
      </c>
    </row>
    <row r="1092" spans="1:4" x14ac:dyDescent="0.2">
      <c r="A1092" s="18">
        <f t="shared" si="6"/>
        <v>1090</v>
      </c>
      <c r="B1092" s="30" t="s">
        <v>872</v>
      </c>
      <c r="C1092" s="31">
        <v>32.009998320000001</v>
      </c>
      <c r="D1092" s="18">
        <f>SUM(C$3:C1092)/A1092</f>
        <v>25.582334117504725</v>
      </c>
    </row>
    <row r="1093" spans="1:4" x14ac:dyDescent="0.2">
      <c r="A1093" s="18">
        <f t="shared" si="6"/>
        <v>1091</v>
      </c>
      <c r="B1093" s="30">
        <v>45929</v>
      </c>
      <c r="C1093" s="31">
        <v>32.75</v>
      </c>
      <c r="D1093" s="18">
        <f>SUM(C$3:C1093)/A1093</f>
        <v>25.588903930412606</v>
      </c>
    </row>
    <row r="1094" spans="1:4" x14ac:dyDescent="0.2">
      <c r="A1094" s="18">
        <f t="shared" si="6"/>
        <v>1092</v>
      </c>
      <c r="B1094" s="30">
        <v>45930</v>
      </c>
      <c r="C1094" s="31">
        <v>32.849998470000003</v>
      </c>
      <c r="D1094" s="18">
        <f>SUM(C$3:C1094)/A1094</f>
        <v>25.595553284386586</v>
      </c>
    </row>
    <row r="1095" spans="1:4" x14ac:dyDescent="0.2">
      <c r="A1095" s="18">
        <f t="shared" si="6"/>
        <v>1093</v>
      </c>
      <c r="B1095" s="30" t="s">
        <v>873</v>
      </c>
      <c r="C1095" s="31">
        <v>33.430000309999997</v>
      </c>
      <c r="D1095" s="18">
        <f>SUM(C$3:C1095)/A1095</f>
        <v>25.602721122470403</v>
      </c>
    </row>
    <row r="1096" spans="1:4" x14ac:dyDescent="0.2">
      <c r="A1096" s="18">
        <f t="shared" si="6"/>
        <v>1094</v>
      </c>
      <c r="B1096" s="30" t="s">
        <v>874</v>
      </c>
      <c r="C1096" s="31">
        <v>32.08000183</v>
      </c>
      <c r="D1096" s="18">
        <f>SUM(C$3:C1096)/A1096</f>
        <v>25.608641854378565</v>
      </c>
    </row>
    <row r="1097" spans="1:4" x14ac:dyDescent="0.2">
      <c r="A1097" s="18">
        <f t="shared" si="6"/>
        <v>1095</v>
      </c>
      <c r="B1097" s="30" t="s">
        <v>875</v>
      </c>
      <c r="C1097" s="31">
        <v>31.590000150000002</v>
      </c>
      <c r="D1097" s="18">
        <f>SUM(C$3:C1097)/A1097</f>
        <v>25.614104282045801</v>
      </c>
    </row>
    <row r="1098" spans="1:4" x14ac:dyDescent="0.2">
      <c r="A1098" s="18">
        <f t="shared" si="6"/>
        <v>1096</v>
      </c>
      <c r="B1098" s="30" t="s">
        <v>876</v>
      </c>
      <c r="C1098" s="31">
        <v>30.540000920000001</v>
      </c>
      <c r="D1098" s="18">
        <f>SUM(C$3:C1098)/A1098</f>
        <v>25.618598713284808</v>
      </c>
    </row>
    <row r="1099" spans="1:4" x14ac:dyDescent="0.2">
      <c r="A1099" s="18">
        <f t="shared" si="6"/>
        <v>1097</v>
      </c>
      <c r="B1099" s="30" t="s">
        <v>877</v>
      </c>
      <c r="C1099" s="31">
        <v>31.200000760000002</v>
      </c>
      <c r="D1099" s="18">
        <f>SUM(C$3:C1099)/A1099</f>
        <v>25.623686591176071</v>
      </c>
    </row>
    <row r="1100" spans="1:4" x14ac:dyDescent="0.2">
      <c r="A1100" s="18">
        <f t="shared" si="6"/>
        <v>1098</v>
      </c>
      <c r="B1100" s="30" t="s">
        <v>878</v>
      </c>
      <c r="C1100" s="31">
        <v>31.309999470000001</v>
      </c>
      <c r="D1100" s="18">
        <f>SUM(C$3:C1100)/A1100</f>
        <v>25.628865382504689</v>
      </c>
    </row>
    <row r="1101" spans="1:4" x14ac:dyDescent="0.2">
      <c r="A1101" s="18">
        <f t="shared" si="6"/>
        <v>1099</v>
      </c>
      <c r="B1101" s="30" t="s">
        <v>879</v>
      </c>
      <c r="C1101" s="31">
        <v>30.270000459999999</v>
      </c>
      <c r="D1101" s="18">
        <f>SUM(C$3:C1101)/A1101</f>
        <v>25.633088435350455</v>
      </c>
    </row>
    <row r="1102" spans="1:4" x14ac:dyDescent="0.2">
      <c r="A1102" s="18">
        <f t="shared" si="6"/>
        <v>1100</v>
      </c>
      <c r="B1102" s="30" t="s">
        <v>880</v>
      </c>
      <c r="C1102" s="31">
        <v>30.709999079999999</v>
      </c>
      <c r="D1102" s="18">
        <f>SUM(C$3:C1102)/A1102</f>
        <v>25.637703808663776</v>
      </c>
    </row>
    <row r="1103" spans="1:4" x14ac:dyDescent="0.2">
      <c r="A1103" s="18">
        <f t="shared" si="6"/>
        <v>1101</v>
      </c>
      <c r="B1103" s="30" t="s">
        <v>881</v>
      </c>
      <c r="C1103" s="31">
        <v>31.43000031</v>
      </c>
      <c r="D1103" s="18">
        <f>SUM(C$3:C1103)/A1103</f>
        <v>25.64296475008188</v>
      </c>
    </row>
    <row r="1104" spans="1:4" x14ac:dyDescent="0.2">
      <c r="A1104" s="18">
        <f t="shared" si="6"/>
        <v>1102</v>
      </c>
      <c r="B1104" s="30" t="s">
        <v>882</v>
      </c>
      <c r="C1104" s="31">
        <v>31.239999770000001</v>
      </c>
      <c r="D1104" s="18">
        <f>SUM(C$3:C1104)/A1104</f>
        <v>25.648043729228814</v>
      </c>
    </row>
    <row r="1105" spans="1:4" x14ac:dyDescent="0.2">
      <c r="A1105" s="18">
        <f t="shared" si="6"/>
        <v>1103</v>
      </c>
      <c r="B1105" s="30" t="s">
        <v>883</v>
      </c>
      <c r="C1105" s="31">
        <v>31.25</v>
      </c>
      <c r="D1105" s="18">
        <f>SUM(C$3:C1105)/A1105</f>
        <v>25.653122565376385</v>
      </c>
    </row>
    <row r="1106" spans="1:4" x14ac:dyDescent="0.2">
      <c r="A1106" s="18">
        <f t="shared" si="6"/>
        <v>1104</v>
      </c>
      <c r="B1106" s="30" t="s">
        <v>884</v>
      </c>
      <c r="C1106" s="31">
        <v>32.119998930000001</v>
      </c>
      <c r="D1106" s="18">
        <f>SUM(C$3:C1106)/A1106</f>
        <v>25.658980243242894</v>
      </c>
    </row>
    <row r="1107" spans="1:4" x14ac:dyDescent="0.2">
      <c r="A1107" s="18">
        <f t="shared" si="6"/>
        <v>1105</v>
      </c>
      <c r="B1107" s="30" t="s">
        <v>885</v>
      </c>
      <c r="C1107" s="31">
        <v>32.509998320000001</v>
      </c>
      <c r="D1107" s="18">
        <f>SUM(C$3:C1107)/A1107</f>
        <v>25.66518025960195</v>
      </c>
    </row>
    <row r="1108" spans="1:4" x14ac:dyDescent="0.2">
      <c r="A1108" s="18">
        <f t="shared" si="6"/>
        <v>1106</v>
      </c>
      <c r="B1108" s="30" t="s">
        <v>886</v>
      </c>
      <c r="C1108" s="31">
        <v>32.439998629999998</v>
      </c>
      <c r="D1108" s="18">
        <f>SUM(C$3:C1108)/A1108</f>
        <v>25.671305773499238</v>
      </c>
    </row>
    <row r="1109" spans="1:4" x14ac:dyDescent="0.2">
      <c r="A1109" s="18">
        <f t="shared" si="6"/>
        <v>1107</v>
      </c>
      <c r="B1109" s="30" t="s">
        <v>887</v>
      </c>
      <c r="C1109" s="31">
        <v>33.189998629999998</v>
      </c>
      <c r="D1109" s="18">
        <f>SUM(C$3:C1109)/A1109</f>
        <v>25.67809772729915</v>
      </c>
    </row>
    <row r="1110" spans="1:4" x14ac:dyDescent="0.2">
      <c r="A1110" s="18">
        <f t="shared" si="6"/>
        <v>1108</v>
      </c>
      <c r="B1110" s="30">
        <v>45960</v>
      </c>
      <c r="C1110" s="31">
        <v>32.790000919999997</v>
      </c>
      <c r="D1110" s="18">
        <f>SUM(C$3:C1110)/A1110</f>
        <v>25.684516412491117</v>
      </c>
    </row>
    <row r="1111" spans="1:4" x14ac:dyDescent="0.2">
      <c r="A1111" s="18">
        <f t="shared" si="6"/>
        <v>1109</v>
      </c>
      <c r="B1111" s="30">
        <v>45961</v>
      </c>
      <c r="C1111" s="31">
        <v>32.159999849999998</v>
      </c>
      <c r="D1111" s="18">
        <f>SUM(C$3:C1111)/A1111</f>
        <v>25.690355441740447</v>
      </c>
    </row>
    <row r="1112" spans="1:4" x14ac:dyDescent="0.2">
      <c r="A1112" s="18">
        <f t="shared" si="6"/>
        <v>1110</v>
      </c>
      <c r="B1112" s="30" t="s">
        <v>888</v>
      </c>
      <c r="C1112" s="31">
        <v>30.829999919999999</v>
      </c>
      <c r="D1112" s="18">
        <f>SUM(C$3:C1112)/A1112</f>
        <v>25.694985752081219</v>
      </c>
    </row>
    <row r="1113" spans="1:4" x14ac:dyDescent="0.2">
      <c r="A1113" s="18">
        <f t="shared" si="6"/>
        <v>1111</v>
      </c>
      <c r="B1113" s="30" t="s">
        <v>889</v>
      </c>
      <c r="C1113" s="31">
        <v>30.270000459999999</v>
      </c>
      <c r="D1113" s="18">
        <f>SUM(C$3:C1113)/A1113</f>
        <v>25.699103677110852</v>
      </c>
    </row>
    <row r="1114" spans="1:4" x14ac:dyDescent="0.2">
      <c r="A1114" s="18">
        <f t="shared" si="6"/>
        <v>1112</v>
      </c>
      <c r="B1114" s="30" t="s">
        <v>890</v>
      </c>
      <c r="C1114" s="31">
        <v>30.450000760000002</v>
      </c>
      <c r="D1114" s="18">
        <f>SUM(C$3:C1114)/A1114</f>
        <v>25.703376066573881</v>
      </c>
    </row>
    <row r="1115" spans="1:4" x14ac:dyDescent="0.2">
      <c r="A1115" s="18">
        <f t="shared" si="6"/>
        <v>1113</v>
      </c>
      <c r="B1115" s="30" t="s">
        <v>891</v>
      </c>
      <c r="C1115" s="31">
        <v>31.159999849999998</v>
      </c>
      <c r="D1115" s="18">
        <f>SUM(C$3:C1115)/A1115</f>
        <v>25.708278693513165</v>
      </c>
    </row>
    <row r="1116" spans="1:4" x14ac:dyDescent="0.2">
      <c r="A1116" s="18">
        <f t="shared" si="6"/>
        <v>1114</v>
      </c>
      <c r="B1116" s="30" t="s">
        <v>892</v>
      </c>
      <c r="C1116" s="31">
        <v>30.909999849999998</v>
      </c>
      <c r="D1116" s="18">
        <f>SUM(C$3:C1116)/A1116</f>
        <v>25.712948102091698</v>
      </c>
    </row>
    <row r="1117" spans="1:4" x14ac:dyDescent="0.2">
      <c r="A1117" s="18">
        <f t="shared" si="6"/>
        <v>1115</v>
      </c>
      <c r="B1117" s="30" t="s">
        <v>893</v>
      </c>
      <c r="C1117" s="31">
        <v>30.659999849999998</v>
      </c>
      <c r="D1117" s="18">
        <f>SUM(C$3:C1117)/A1117</f>
        <v>25.717384919802825</v>
      </c>
    </row>
    <row r="1118" spans="1:4" x14ac:dyDescent="0.2">
      <c r="A1118" s="18">
        <f t="shared" si="6"/>
        <v>1116</v>
      </c>
      <c r="B1118" s="30" t="s">
        <v>894</v>
      </c>
      <c r="C1118" s="31">
        <v>30.31999969</v>
      </c>
      <c r="D1118" s="18">
        <f>SUM(C$3:C1118)/A1118</f>
        <v>25.721509126586156</v>
      </c>
    </row>
    <row r="1119" spans="1:4" x14ac:dyDescent="0.2">
      <c r="A1119" s="18">
        <f t="shared" si="6"/>
        <v>1117</v>
      </c>
      <c r="B1119" s="30" t="s">
        <v>895</v>
      </c>
      <c r="C1119" s="31">
        <v>30.270000459999999</v>
      </c>
      <c r="D1119" s="18">
        <f>SUM(C$3:C1119)/A1119</f>
        <v>25.725581186866744</v>
      </c>
    </row>
    <row r="1120" spans="1:4" x14ac:dyDescent="0.2">
      <c r="A1120" s="18">
        <f t="shared" si="6"/>
        <v>1118</v>
      </c>
      <c r="B1120" s="30" t="s">
        <v>896</v>
      </c>
      <c r="C1120" s="31">
        <v>31.010000229999999</v>
      </c>
      <c r="D1120" s="18">
        <f>SUM(C$3:C1120)/A1120</f>
        <v>25.730307858640565</v>
      </c>
    </row>
    <row r="1121" spans="1:4" x14ac:dyDescent="0.2">
      <c r="A1121" s="18">
        <f t="shared" si="6"/>
        <v>1119</v>
      </c>
      <c r="B1121" s="30" t="s">
        <v>897</v>
      </c>
      <c r="C1121" s="31">
        <v>30.340000150000002</v>
      </c>
      <c r="D1121" s="18">
        <f>SUM(C$3:C1121)/A1121</f>
        <v>25.734427333431771</v>
      </c>
    </row>
    <row r="1122" spans="1:4" x14ac:dyDescent="0.2">
      <c r="A1122" s="18">
        <f t="shared" si="6"/>
        <v>1120</v>
      </c>
      <c r="B1122" s="30" t="s">
        <v>898</v>
      </c>
      <c r="C1122" s="31">
        <v>30.079999919999999</v>
      </c>
      <c r="D1122" s="18">
        <f>SUM(C$3:C1122)/A1122</f>
        <v>25.738307308955491</v>
      </c>
    </row>
    <row r="1123" spans="1:4" x14ac:dyDescent="0.2">
      <c r="A1123" s="18">
        <f t="shared" si="6"/>
        <v>1121</v>
      </c>
      <c r="B1123" s="30" t="s">
        <v>899</v>
      </c>
      <c r="C1123" s="31">
        <v>29.850000380000001</v>
      </c>
      <c r="D1123" s="18">
        <f>SUM(C$3:C1123)/A1123</f>
        <v>25.741975188590679</v>
      </c>
    </row>
    <row r="1124" spans="1:4" x14ac:dyDescent="0.2">
      <c r="A1124" s="18">
        <f t="shared" si="6"/>
        <v>1122</v>
      </c>
      <c r="B1124" s="30" t="s">
        <v>900</v>
      </c>
      <c r="C1124" s="31">
        <v>29.840000150000002</v>
      </c>
      <c r="D1124" s="18">
        <f>SUM(C$3:C1124)/A1124</f>
        <v>25.745627617255039</v>
      </c>
    </row>
    <row r="1125" spans="1:4" x14ac:dyDescent="0.2">
      <c r="A1125" s="18">
        <f t="shared" si="6"/>
        <v>1123</v>
      </c>
      <c r="B1125" s="30" t="s">
        <v>901</v>
      </c>
      <c r="C1125" s="31">
        <v>29.5</v>
      </c>
      <c r="D1125" s="18">
        <f>SUM(C$3:C1125)/A1125</f>
        <v>25.748970780552227</v>
      </c>
    </row>
    <row r="1126" spans="1:4" x14ac:dyDescent="0.2">
      <c r="A1126" s="18">
        <f t="shared" si="6"/>
        <v>1124</v>
      </c>
      <c r="B1126" s="30" t="s">
        <v>902</v>
      </c>
      <c r="C1126" s="31">
        <v>28.670000080000001</v>
      </c>
      <c r="D1126" s="18">
        <f>SUM(C$3:C1126)/A1126</f>
        <v>25.751569561067754</v>
      </c>
    </row>
    <row r="1127" spans="1:4" x14ac:dyDescent="0.2">
      <c r="A1127" s="18">
        <f t="shared" si="6"/>
        <v>1125</v>
      </c>
      <c r="B1127" s="30" t="s">
        <v>903</v>
      </c>
      <c r="C1127" s="31">
        <v>28.850000380000001</v>
      </c>
      <c r="D1127" s="18">
        <f>SUM(C$3:C1127)/A1127</f>
        <v>25.754323721795693</v>
      </c>
    </row>
    <row r="1128" spans="1:4" x14ac:dyDescent="0.2">
      <c r="A1128" s="18">
        <f t="shared" si="6"/>
        <v>1126</v>
      </c>
      <c r="B1128" s="30" t="s">
        <v>904</v>
      </c>
      <c r="C1128" s="31">
        <v>29.270000459999999</v>
      </c>
      <c r="D1128" s="18">
        <f>SUM(C$3:C1128)/A1128</f>
        <v>25.757445992433532</v>
      </c>
    </row>
    <row r="1129" spans="1:4" x14ac:dyDescent="0.2">
      <c r="A1129" s="18">
        <f t="shared" si="6"/>
        <v>1127</v>
      </c>
      <c r="B1129" s="30" t="s">
        <v>905</v>
      </c>
      <c r="C1129" s="31">
        <v>29.719999309999999</v>
      </c>
      <c r="D1129" s="18">
        <f>SUM(C$3:C1129)/A1129</f>
        <v>25.760962011348852</v>
      </c>
    </row>
    <row r="1130" spans="1:4" x14ac:dyDescent="0.2">
      <c r="A1130" s="18">
        <f t="shared" si="6"/>
        <v>1128</v>
      </c>
      <c r="B1130" s="30">
        <v>45988</v>
      </c>
      <c r="C1130" s="31">
        <v>29.559999470000001</v>
      </c>
      <c r="D1130" s="18">
        <f>SUM(C$3:C1130)/A1130</f>
        <v>25.764329952358292</v>
      </c>
    </row>
    <row r="1131" spans="1:4" x14ac:dyDescent="0.2">
      <c r="A1131" s="18">
        <f t="shared" si="6"/>
        <v>1129</v>
      </c>
      <c r="B1131" s="30">
        <v>45989</v>
      </c>
      <c r="C1131" s="31">
        <v>29.780000690000001</v>
      </c>
      <c r="D1131" s="18">
        <f>SUM(C$3:C1131)/A1131</f>
        <v>25.767886790921306</v>
      </c>
    </row>
    <row r="1132" spans="1:4" x14ac:dyDescent="0.2">
      <c r="A1132" s="18">
        <f t="shared" ref="A1132:A1173" si="7">A1131+1</f>
        <v>1130</v>
      </c>
      <c r="B1132" s="30">
        <v>45992</v>
      </c>
      <c r="C1132" s="31">
        <v>30.299999237060547</v>
      </c>
      <c r="D1132" s="18">
        <f>SUM(C$3:C1132)/A1132</f>
        <v>25.771897509900189</v>
      </c>
    </row>
    <row r="1133" spans="1:4" x14ac:dyDescent="0.2">
      <c r="A1133" s="18">
        <f t="shared" si="7"/>
        <v>1131</v>
      </c>
      <c r="B1133" s="30">
        <v>45993</v>
      </c>
      <c r="C1133" s="31">
        <v>30.129999160766602</v>
      </c>
      <c r="D1133" s="18">
        <f>SUM(C$3:C1133)/A1133</f>
        <v>25.775750827009709</v>
      </c>
    </row>
    <row r="1134" spans="1:4" x14ac:dyDescent="0.2">
      <c r="A1134" s="18">
        <f t="shared" si="7"/>
        <v>1132</v>
      </c>
      <c r="B1134" s="30">
        <v>45994</v>
      </c>
      <c r="C1134" s="31">
        <v>29.819999694824219</v>
      </c>
      <c r="D1134" s="18">
        <f>SUM(C$3:C1134)/A1134</f>
        <v>25.779323485020146</v>
      </c>
    </row>
    <row r="1135" spans="1:4" x14ac:dyDescent="0.2">
      <c r="A1135" s="18">
        <f t="shared" si="7"/>
        <v>1133</v>
      </c>
      <c r="B1135" s="30">
        <v>45995</v>
      </c>
      <c r="C1135" s="31">
        <v>30.149999618530273</v>
      </c>
      <c r="D1135" s="18">
        <f>SUM(C$3:C1135)/A1135</f>
        <v>25.783181098553694</v>
      </c>
    </row>
    <row r="1136" spans="1:4" x14ac:dyDescent="0.2">
      <c r="A1136" s="18">
        <f t="shared" si="7"/>
        <v>1134</v>
      </c>
      <c r="B1136" s="30">
        <v>45996</v>
      </c>
      <c r="C1136" s="31">
        <v>30.459999084472656</v>
      </c>
      <c r="D1136" s="18">
        <f>SUM(C$3:C1136)/A1136</f>
        <v>25.787305276671788</v>
      </c>
    </row>
    <row r="1137" spans="1:4" x14ac:dyDescent="0.2">
      <c r="A1137" s="18">
        <f t="shared" si="7"/>
        <v>1135</v>
      </c>
      <c r="B1137" s="30">
        <v>45999</v>
      </c>
      <c r="C1137" s="31">
        <v>30.950000762939453</v>
      </c>
      <c r="D1137" s="18">
        <f>SUM(C$3:C1137)/A1137</f>
        <v>25.791853907056165</v>
      </c>
    </row>
    <row r="1138" spans="1:4" x14ac:dyDescent="0.2">
      <c r="A1138" s="18">
        <f t="shared" si="7"/>
        <v>1136</v>
      </c>
      <c r="B1138" s="30">
        <v>46000</v>
      </c>
      <c r="C1138" s="31">
        <v>30.909999847412109</v>
      </c>
      <c r="D1138" s="18">
        <f>SUM(C$3:C1138)/A1138</f>
        <v>25.796359317214929</v>
      </c>
    </row>
    <row r="1139" spans="1:4" x14ac:dyDescent="0.2">
      <c r="A1139" s="18">
        <f t="shared" si="7"/>
        <v>1137</v>
      </c>
      <c r="B1139" s="30">
        <v>46001</v>
      </c>
      <c r="C1139" s="31">
        <v>30.860000610351562</v>
      </c>
      <c r="D1139" s="18">
        <f>SUM(C$3:C1139)/A1139</f>
        <v>25.80081282758708</v>
      </c>
    </row>
    <row r="1140" spans="1:4" x14ac:dyDescent="0.2">
      <c r="A1140" s="18">
        <f t="shared" si="7"/>
        <v>1138</v>
      </c>
      <c r="B1140" s="30">
        <v>46002</v>
      </c>
      <c r="C1140" s="31">
        <v>30.540000915527344</v>
      </c>
      <c r="D1140" s="18">
        <f>SUM(C$3:C1140)/A1140</f>
        <v>25.804977316240805</v>
      </c>
    </row>
    <row r="1141" spans="1:4" x14ac:dyDescent="0.2">
      <c r="A1141" s="18">
        <f t="shared" si="7"/>
        <v>1139</v>
      </c>
      <c r="B1141" s="30">
        <v>46003</v>
      </c>
      <c r="C1141" s="31">
        <v>30.75</v>
      </c>
      <c r="D1141" s="18">
        <f>SUM(C$3:C1141)/A1141</f>
        <v>25.809318863812148</v>
      </c>
    </row>
    <row r="1142" spans="1:4" x14ac:dyDescent="0.2">
      <c r="A1142" s="18">
        <f t="shared" si="7"/>
        <v>1140</v>
      </c>
      <c r="B1142" s="30">
        <v>46006</v>
      </c>
      <c r="C1142" s="31">
        <v>30.479999542236328</v>
      </c>
      <c r="D1142" s="18">
        <f>SUM(C$3:C1142)/A1142</f>
        <v>25.813415952126558</v>
      </c>
    </row>
    <row r="1143" spans="1:4" x14ac:dyDescent="0.2">
      <c r="A1143" s="18">
        <f t="shared" si="7"/>
        <v>1141</v>
      </c>
      <c r="B1143" s="30">
        <v>46007</v>
      </c>
      <c r="C1143" s="31">
        <v>29.969999313354492</v>
      </c>
      <c r="D1143" s="18">
        <f>SUM(C$3:C1143)/A1143</f>
        <v>25.81705888232921</v>
      </c>
    </row>
    <row r="1144" spans="1:4" x14ac:dyDescent="0.2">
      <c r="A1144" s="18">
        <f t="shared" si="7"/>
        <v>1142</v>
      </c>
      <c r="B1144" s="30">
        <v>46008</v>
      </c>
      <c r="C1144" s="31">
        <v>30.709999084472656</v>
      </c>
      <c r="D1144" s="18">
        <f>SUM(C$3:C1144)/A1144</f>
        <v>25.821343418408144</v>
      </c>
    </row>
    <row r="1145" spans="1:4" x14ac:dyDescent="0.2">
      <c r="A1145" s="18">
        <f t="shared" si="7"/>
        <v>1143</v>
      </c>
      <c r="B1145" s="30">
        <v>46009</v>
      </c>
      <c r="C1145" s="31">
        <v>30.180000305175781</v>
      </c>
      <c r="D1145" s="18">
        <f>SUM(C$3:C1145)/A1145</f>
        <v>25.825156766515555</v>
      </c>
    </row>
    <row r="1146" spans="1:4" x14ac:dyDescent="0.2">
      <c r="A1146" s="18">
        <f t="shared" si="7"/>
        <v>1144</v>
      </c>
      <c r="B1146" s="30">
        <v>46010</v>
      </c>
      <c r="C1146" s="31">
        <v>30.360000610351563</v>
      </c>
      <c r="D1146" s="18">
        <f>SUM(C$3:C1146)/A1146</f>
        <v>25.829120790854571</v>
      </c>
    </row>
    <row r="1147" spans="1:4" x14ac:dyDescent="0.2">
      <c r="A1147" s="18">
        <f t="shared" si="7"/>
        <v>1145</v>
      </c>
      <c r="B1147" s="30">
        <v>46013</v>
      </c>
      <c r="C1147" s="31">
        <v>30.860000610351562</v>
      </c>
      <c r="D1147" s="18">
        <f>SUM(C$3:C1147)/A1147</f>
        <v>25.833514572356314</v>
      </c>
    </row>
    <row r="1148" spans="1:4" x14ac:dyDescent="0.2">
      <c r="A1148" s="18">
        <f t="shared" si="7"/>
        <v>1146</v>
      </c>
      <c r="B1148" s="30">
        <v>46014</v>
      </c>
      <c r="C1148" s="31">
        <v>31.059999465942383</v>
      </c>
      <c r="D1148" s="18">
        <f>SUM(C$3:C1148)/A1148</f>
        <v>25.838075204898711</v>
      </c>
    </row>
    <row r="1149" spans="1:4" x14ac:dyDescent="0.2">
      <c r="A1149" s="18">
        <f t="shared" si="7"/>
        <v>1147</v>
      </c>
      <c r="B1149" s="30">
        <v>46015</v>
      </c>
      <c r="C1149" s="31">
        <v>31.219999313354492</v>
      </c>
      <c r="D1149" s="18">
        <f>SUM(C$3:C1149)/A1149</f>
        <v>25.842767379361185</v>
      </c>
    </row>
    <row r="1150" spans="1:4" x14ac:dyDescent="0.2">
      <c r="A1150" s="18">
        <f t="shared" si="7"/>
        <v>1148</v>
      </c>
      <c r="B1150" s="30">
        <v>46016</v>
      </c>
      <c r="C1150" s="31">
        <v>31.329999923706055</v>
      </c>
      <c r="D1150" s="18">
        <f>SUM(C$3:C1150)/A1150</f>
        <v>25.847547198650684</v>
      </c>
    </row>
    <row r="1151" spans="1:4" x14ac:dyDescent="0.2">
      <c r="A1151" s="18">
        <f t="shared" si="7"/>
        <v>1149</v>
      </c>
      <c r="B1151" s="30">
        <v>46017</v>
      </c>
      <c r="C1151" s="31">
        <v>31.469999313354492</v>
      </c>
      <c r="D1151" s="18">
        <f>SUM(C$3:C1151)/A1151</f>
        <v>25.85244054252771</v>
      </c>
    </row>
    <row r="1152" spans="1:4" x14ac:dyDescent="0.2">
      <c r="A1152" s="18">
        <f t="shared" si="7"/>
        <v>1150</v>
      </c>
      <c r="B1152" s="30">
        <v>46020</v>
      </c>
      <c r="C1152" s="31">
        <v>31.229999542236328</v>
      </c>
      <c r="D1152" s="18">
        <f>SUM(C$3:C1152)/A1152</f>
        <v>25.857116680788327</v>
      </c>
    </row>
    <row r="1153" spans="1:4" x14ac:dyDescent="0.2">
      <c r="A1153" s="18">
        <f t="shared" si="7"/>
        <v>1151</v>
      </c>
      <c r="B1153" s="30">
        <v>46021</v>
      </c>
      <c r="C1153" s="31">
        <v>31.450000762939453</v>
      </c>
      <c r="D1153" s="18">
        <f>SUM(C$3:C1153)/A1153</f>
        <v>25.8619758329014</v>
      </c>
    </row>
    <row r="1154" spans="1:4" x14ac:dyDescent="0.2">
      <c r="A1154" s="18">
        <f t="shared" si="7"/>
        <v>1152</v>
      </c>
      <c r="B1154" s="30">
        <v>46022</v>
      </c>
      <c r="C1154" s="31">
        <v>31.129999160000001</v>
      </c>
      <c r="D1154" s="18">
        <f>SUM(C$3:C1154)/A1154</f>
        <v>25.866548769817285</v>
      </c>
    </row>
    <row r="1155" spans="1:4" x14ac:dyDescent="0.2">
      <c r="A1155" s="18">
        <f t="shared" si="7"/>
        <v>1153</v>
      </c>
      <c r="B1155" s="30" t="s">
        <v>906</v>
      </c>
      <c r="C1155" s="31">
        <v>31.879999160766602</v>
      </c>
      <c r="D1155" s="18">
        <f>SUM(C$3:C1155)/A1155</f>
        <v>25.871764251509347</v>
      </c>
    </row>
    <row r="1156" spans="1:4" x14ac:dyDescent="0.2">
      <c r="A1156" s="18">
        <f t="shared" si="7"/>
        <v>1154</v>
      </c>
      <c r="B1156" s="30" t="s">
        <v>907</v>
      </c>
      <c r="C1156" s="31">
        <v>32.090000152587891</v>
      </c>
      <c r="D1156" s="18">
        <f>SUM(C$3:C1156)/A1156</f>
        <v>25.877152670834374</v>
      </c>
    </row>
    <row r="1157" spans="1:4" x14ac:dyDescent="0.2">
      <c r="A1157" s="18">
        <f t="shared" si="7"/>
        <v>1155</v>
      </c>
      <c r="B1157" s="30" t="s">
        <v>908</v>
      </c>
      <c r="C1157" s="31">
        <v>32.189998626708984</v>
      </c>
      <c r="D1157" s="18">
        <f>SUM(C$3:C1157)/A1157</f>
        <v>25.882618338328637</v>
      </c>
    </row>
    <row r="1158" spans="1:4" x14ac:dyDescent="0.2">
      <c r="A1158" s="18">
        <f t="shared" si="7"/>
        <v>1156</v>
      </c>
      <c r="B1158" s="30" t="s">
        <v>909</v>
      </c>
      <c r="C1158" s="31">
        <v>31.979999542236328</v>
      </c>
      <c r="D1158" s="18">
        <f>SUM(C$3:C1158)/A1158</f>
        <v>25.887892889543089</v>
      </c>
    </row>
    <row r="1159" spans="1:4" x14ac:dyDescent="0.2">
      <c r="A1159" s="18">
        <f t="shared" si="7"/>
        <v>1157</v>
      </c>
      <c r="B1159" s="30" t="s">
        <v>910</v>
      </c>
      <c r="C1159" s="31">
        <v>32.330001831054687</v>
      </c>
      <c r="D1159" s="18">
        <f>SUM(C$3:C1159)/A1159</f>
        <v>25.893460831584154</v>
      </c>
    </row>
    <row r="1160" spans="1:4" x14ac:dyDescent="0.2">
      <c r="A1160" s="18">
        <f t="shared" si="7"/>
        <v>1158</v>
      </c>
      <c r="B1160" s="30" t="s">
        <v>911</v>
      </c>
      <c r="C1160" s="31">
        <v>32.669998168945313</v>
      </c>
      <c r="D1160" s="18">
        <f>SUM(C$3:C1160)/A1160</f>
        <v>25.899312763654414</v>
      </c>
    </row>
    <row r="1161" spans="1:4" x14ac:dyDescent="0.2">
      <c r="A1161" s="18">
        <f t="shared" si="7"/>
        <v>1159</v>
      </c>
      <c r="B1161" s="30" t="s">
        <v>912</v>
      </c>
      <c r="C1161" s="31">
        <v>32.029998779296875</v>
      </c>
      <c r="D1161" s="18">
        <f>SUM(C$3:C1161)/A1161</f>
        <v>25.904602397835298</v>
      </c>
    </row>
    <row r="1162" spans="1:4" x14ac:dyDescent="0.2">
      <c r="A1162" s="18">
        <f t="shared" si="7"/>
        <v>1160</v>
      </c>
      <c r="B1162" s="30" t="s">
        <v>913</v>
      </c>
      <c r="C1162" s="31">
        <v>32.090000152587891</v>
      </c>
      <c r="D1162" s="18">
        <f>SUM(C$3:C1162)/A1162</f>
        <v>25.909934637279051</v>
      </c>
    </row>
    <row r="1163" spans="1:4" x14ac:dyDescent="0.2">
      <c r="A1163" s="18">
        <f t="shared" si="7"/>
        <v>1161</v>
      </c>
      <c r="B1163" s="30" t="s">
        <v>914</v>
      </c>
      <c r="C1163" s="31">
        <v>32.299999237060547</v>
      </c>
      <c r="D1163" s="18">
        <f>SUM(C$3:C1163)/A1163</f>
        <v>25.915438568889542</v>
      </c>
    </row>
    <row r="1164" spans="1:4" x14ac:dyDescent="0.2">
      <c r="A1164" s="18">
        <f t="shared" si="7"/>
        <v>1162</v>
      </c>
      <c r="B1164" s="30" t="s">
        <v>915</v>
      </c>
      <c r="C1164" s="31">
        <v>32.520000457763672</v>
      </c>
      <c r="D1164" s="18">
        <f>SUM(C$3:C1164)/A1164</f>
        <v>25.921122357089949</v>
      </c>
    </row>
    <row r="1165" spans="1:4" x14ac:dyDescent="0.2">
      <c r="A1165" s="18">
        <f t="shared" si="7"/>
        <v>1163</v>
      </c>
      <c r="B1165" s="30" t="s">
        <v>916</v>
      </c>
      <c r="C1165" s="31">
        <v>32.470001220703125</v>
      </c>
      <c r="D1165" s="18">
        <f>SUM(C$3:C1165)/A1165</f>
        <v>25.926753379328655</v>
      </c>
    </row>
    <row r="1166" spans="1:4" x14ac:dyDescent="0.2">
      <c r="A1166" s="18">
        <f t="shared" si="7"/>
        <v>1164</v>
      </c>
      <c r="B1166" s="30" t="s">
        <v>917</v>
      </c>
      <c r="C1166" s="31">
        <v>31.969999313354492</v>
      </c>
      <c r="D1166" s="18">
        <f>SUM(C$3:C1166)/A1166</f>
        <v>25.931945171368195</v>
      </c>
    </row>
    <row r="1167" spans="1:4" x14ac:dyDescent="0.2">
      <c r="A1167" s="18">
        <f t="shared" si="7"/>
        <v>1165</v>
      </c>
      <c r="B1167" s="30" t="s">
        <v>918</v>
      </c>
      <c r="C1167" s="31">
        <v>32.180000305175781</v>
      </c>
      <c r="D1167" s="18">
        <f>SUM(C$3:C1167)/A1167</f>
        <v>25.937308308822107</v>
      </c>
    </row>
    <row r="1168" spans="1:4" x14ac:dyDescent="0.2">
      <c r="A1168" s="18">
        <f t="shared" si="7"/>
        <v>1166</v>
      </c>
      <c r="B1168" s="30" t="s">
        <v>919</v>
      </c>
      <c r="C1168" s="31">
        <v>32.25</v>
      </c>
      <c r="D1168" s="18">
        <f>SUM(C$3:C1168)/A1168</f>
        <v>25.942722281112996</v>
      </c>
    </row>
    <row r="1169" spans="1:4" x14ac:dyDescent="0.2">
      <c r="A1169" s="18">
        <f t="shared" si="7"/>
        <v>1167</v>
      </c>
      <c r="B1169" s="30" t="s">
        <v>920</v>
      </c>
      <c r="C1169" s="31">
        <v>32.389999389648438</v>
      </c>
      <c r="D1169" s="18">
        <f>SUM(C$3:C1169)/A1169</f>
        <v>25.948246940160587</v>
      </c>
    </row>
    <row r="1170" spans="1:4" x14ac:dyDescent="0.2">
      <c r="A1170" s="18">
        <f t="shared" si="7"/>
        <v>1168</v>
      </c>
      <c r="B1170" s="30" t="s">
        <v>921</v>
      </c>
      <c r="C1170" s="31">
        <v>31.930000305175781</v>
      </c>
      <c r="D1170" s="18">
        <f>SUM(C$3:C1170)/A1170</f>
        <v>25.953368304342963</v>
      </c>
    </row>
    <row r="1171" spans="1:4" x14ac:dyDescent="0.2">
      <c r="A1171" s="18">
        <f t="shared" si="7"/>
        <v>1169</v>
      </c>
      <c r="B1171" s="30" t="s">
        <v>922</v>
      </c>
      <c r="C1171" s="31">
        <v>32.029998779296875</v>
      </c>
      <c r="D1171" s="18">
        <f>SUM(C$3:C1171)/A1171</f>
        <v>25.958566448461827</v>
      </c>
    </row>
    <row r="1172" spans="1:4" x14ac:dyDescent="0.2">
      <c r="A1172" s="18">
        <f t="shared" si="7"/>
        <v>1170</v>
      </c>
      <c r="B1172" s="30" t="s">
        <v>923</v>
      </c>
      <c r="C1172" s="31">
        <v>31.959999084472656</v>
      </c>
      <c r="D1172" s="18">
        <f>SUM(C$3:C1172)/A1172</f>
        <v>25.963695878065256</v>
      </c>
    </row>
    <row r="1173" spans="1:4" x14ac:dyDescent="0.2">
      <c r="A1173" s="18">
        <f t="shared" si="7"/>
        <v>1171</v>
      </c>
      <c r="B1173" s="30">
        <v>46051</v>
      </c>
      <c r="C1173" s="31">
        <v>31.540000915527344</v>
      </c>
      <c r="D1173" s="18">
        <f>SUM(C$3:C1173)/A1173</f>
        <v>25.968457880659159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model1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xb21cn</cp:lastModifiedBy>
  <dcterms:created xsi:type="dcterms:W3CDTF">2019-01-05T08:06:42Z</dcterms:created>
  <dcterms:modified xsi:type="dcterms:W3CDTF">2026-02-01T04:30:18Z</dcterms:modified>
</cp:coreProperties>
</file>