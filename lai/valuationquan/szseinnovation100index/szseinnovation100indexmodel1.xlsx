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5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75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5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75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  <pt idx="73">
                  <v>191259.8068093738</v>
                </pt>
                <pt idx="74">
                  <v>219124.9999926644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5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75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  <pt idx="73">
                  <v>43259.80680937381</v>
                </pt>
                <pt idx="74">
                  <v>69124.99999266435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66710144"/>
        <axId val="79589760"/>
      </lineChart>
      <dateAx>
        <axId val="66710144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79589760"/>
        <crosses val="autoZero"/>
        <lblOffset val="100"/>
        <baseTimeUnit val="days"/>
      </dateAx>
      <valAx>
        <axId val="795897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66710144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date</t>
        </is>
      </c>
      <c r="B1" s="24" t="inlineStr">
        <is>
          <t>szse innovation100</t>
        </is>
      </c>
      <c r="C1" s="34" t="inlineStr">
        <is>
          <t>sales amount</t>
        </is>
      </c>
      <c r="D1" s="34" t="inlineStr">
        <is>
          <t>sales shares</t>
        </is>
      </c>
      <c r="E1" s="34" t="inlineStr">
        <is>
          <t>shares held</t>
        </is>
      </c>
      <c r="F1" s="34" t="inlineStr">
        <is>
          <t>market value</t>
        </is>
      </c>
      <c r="G1" s="35" t="inlineStr">
        <is>
          <t>accumulated investment</t>
        </is>
      </c>
      <c r="H1" s="12" t="inlineStr">
        <is>
          <t>total assets</t>
        </is>
      </c>
      <c r="I1" s="24" t="inlineStr">
        <is>
          <t>profit amount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unit:yuan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date</t>
        </is>
      </c>
      <c r="M3" s="27" t="inlineStr">
        <is>
          <t>investment per year</t>
        </is>
      </c>
      <c r="N3" s="27" t="inlineStr">
        <is>
          <t>accumulated investment</t>
        </is>
      </c>
      <c r="O3" s="27" t="inlineStr">
        <is>
          <t>total assets</t>
        </is>
      </c>
      <c r="P3" s="27" t="inlineStr">
        <is>
          <t>profit amount</t>
        </is>
      </c>
      <c r="Q3" s="27" t="inlineStr">
        <is>
          <t>absolute RR</t>
        </is>
      </c>
      <c r="R3" s="27" t="inlineStr">
        <is>
          <t>annualized RR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  <row r="76" ht="12.75" customHeight="1" s="36">
      <c r="A76" s="39" t="n">
        <v>46112</v>
      </c>
      <c r="B76" s="15" t="n">
        <v>4.8851591796875</v>
      </c>
      <c r="C76" s="40" t="n">
        <v>2000</v>
      </c>
      <c r="D76" s="41" t="n">
        <v>409.4032408024703</v>
      </c>
      <c r="E76" s="41" t="n">
        <v>39151.19237150601</v>
      </c>
      <c r="F76" s="41" t="n">
        <v>191259.8068093738</v>
      </c>
      <c r="G76" s="41" t="n">
        <v>148000</v>
      </c>
      <c r="H76" s="41" t="n">
        <v>191259.8068093738</v>
      </c>
      <c r="I76" s="41" t="n">
        <v>43259.80680937381</v>
      </c>
    </row>
    <row r="77" ht="12.75" customHeight="1" s="36">
      <c r="A77" s="39" t="n">
        <v>46142</v>
      </c>
      <c r="B77" s="15" t="n">
        <v>5.54580810546875</v>
      </c>
      <c r="C77" s="40" t="n">
        <v>2000</v>
      </c>
      <c r="D77" s="41" t="n">
        <v>360.6327449425792</v>
      </c>
      <c r="E77" s="41" t="n">
        <v>39511.82511644859</v>
      </c>
      <c r="F77" s="41" t="n">
        <v>219124.9999926644</v>
      </c>
      <c r="G77" s="41" t="n">
        <v>150000</v>
      </c>
      <c r="H77" s="41" t="n">
        <v>219124.9999926644</v>
      </c>
      <c r="I77" s="41" t="n">
        <v>69124.99999266435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31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  <row r="1189">
      <c r="A1189" s="18">
        <f>A1188+1</f>
        <v/>
      </c>
      <c r="B1189" s="46" t="inlineStr">
        <is>
          <t xml:space="preserve">2026/3/2
</t>
        </is>
      </c>
      <c r="C1189" s="45" t="n">
        <v>31.69000053</v>
      </c>
      <c r="D1189" s="18">
        <f>SUM(C$3:C1189)/A1189</f>
        <v/>
      </c>
    </row>
    <row r="1190">
      <c r="A1190" s="18">
        <f>A1189+1</f>
        <v/>
      </c>
      <c r="B1190" s="46" t="inlineStr">
        <is>
          <t xml:space="preserve">2026/3/3
</t>
        </is>
      </c>
      <c r="C1190" s="45" t="n">
        <v>30.89999962</v>
      </c>
      <c r="D1190" s="18">
        <f>SUM(C$3:C1190)/A1190</f>
        <v/>
      </c>
    </row>
    <row r="1191">
      <c r="A1191" s="18">
        <f>A1190+1</f>
        <v/>
      </c>
      <c r="B1191" s="46" t="inlineStr">
        <is>
          <t xml:space="preserve">2026/3/4
</t>
        </is>
      </c>
      <c r="C1191" s="45" t="n">
        <v>30.62999916</v>
      </c>
      <c r="D1191" s="18">
        <f>SUM(C$3:C1191)/A1191</f>
        <v/>
      </c>
    </row>
    <row r="1192">
      <c r="A1192" s="18">
        <f>A1191+1</f>
        <v/>
      </c>
      <c r="B1192" s="46" t="inlineStr">
        <is>
          <t xml:space="preserve">2026/3/5
</t>
        </is>
      </c>
      <c r="C1192" s="45" t="n">
        <v>31.05999947</v>
      </c>
      <c r="D1192" s="18">
        <f>SUM(C$3:C1192)/A1192</f>
        <v/>
      </c>
    </row>
    <row r="1193">
      <c r="A1193" s="18">
        <f>A1192+1</f>
        <v/>
      </c>
      <c r="B1193" s="46" t="inlineStr">
        <is>
          <t xml:space="preserve">2026/3/6
</t>
        </is>
      </c>
      <c r="C1193" s="45" t="n">
        <v>31.17000008</v>
      </c>
      <c r="D1193" s="18">
        <f>SUM(C$3:C1193)/A1193</f>
        <v/>
      </c>
    </row>
    <row r="1194">
      <c r="A1194" s="18">
        <f>A1193+1</f>
        <v/>
      </c>
      <c r="B1194" s="46" t="inlineStr">
        <is>
          <t xml:space="preserve">2026/3/9
</t>
        </is>
      </c>
      <c r="C1194" s="45" t="n">
        <v>30.95000076</v>
      </c>
      <c r="D1194" s="18">
        <f>SUM(C$3:C1194)/A1194</f>
        <v/>
      </c>
    </row>
    <row r="1195">
      <c r="A1195" s="18">
        <f>A1194+1</f>
        <v/>
      </c>
      <c r="B1195" s="46" t="inlineStr">
        <is>
          <t xml:space="preserve">2026/3/10
</t>
        </is>
      </c>
      <c r="C1195" s="45" t="n">
        <v>30.95000076</v>
      </c>
      <c r="D1195" s="18">
        <f>SUM(C$3:C1195)/A1195</f>
        <v/>
      </c>
    </row>
    <row r="1196">
      <c r="A1196" s="18">
        <f>A1195+1</f>
        <v/>
      </c>
      <c r="B1196" s="46" t="inlineStr">
        <is>
          <t xml:space="preserve">2026/3/11
</t>
        </is>
      </c>
      <c r="C1196" s="45" t="n">
        <v>32.36000061</v>
      </c>
      <c r="D1196" s="18">
        <f>SUM(C$3:C1196)/A1196</f>
        <v/>
      </c>
    </row>
    <row r="1197">
      <c r="A1197" s="18">
        <f>A1196+1</f>
        <v/>
      </c>
      <c r="B1197" s="46" t="inlineStr">
        <is>
          <t xml:space="preserve">2026/3/12
</t>
        </is>
      </c>
      <c r="C1197" s="45" t="n">
        <v>32.15000153</v>
      </c>
      <c r="D1197" s="18">
        <f>SUM(C$3:C1197)/A1197</f>
        <v/>
      </c>
    </row>
    <row r="1198">
      <c r="A1198" s="18">
        <f>A1197+1</f>
        <v/>
      </c>
      <c r="B1198" s="46" t="inlineStr">
        <is>
          <t xml:space="preserve">2026/3/13
</t>
        </is>
      </c>
      <c r="C1198" s="45" t="n">
        <v>31.95000076</v>
      </c>
      <c r="D1198" s="18">
        <f>SUM(C$3:C1198)/A1198</f>
        <v/>
      </c>
    </row>
    <row r="1199">
      <c r="A1199" s="18">
        <f>A1198+1</f>
        <v/>
      </c>
      <c r="B1199" s="46" t="inlineStr">
        <is>
          <t xml:space="preserve">2026/3/16
</t>
        </is>
      </c>
      <c r="C1199" s="45" t="n">
        <v>32.25</v>
      </c>
      <c r="D1199" s="18">
        <f>SUM(C$3:C1199)/A1199</f>
        <v/>
      </c>
    </row>
    <row r="1200">
      <c r="A1200" s="18">
        <f>A1199+1</f>
        <v/>
      </c>
      <c r="B1200" s="46" t="inlineStr">
        <is>
          <t xml:space="preserve">2026/3/17
</t>
        </is>
      </c>
      <c r="C1200" s="45" t="n">
        <v>31.71999931</v>
      </c>
      <c r="D1200" s="18">
        <f>SUM(C$3:C1200)/A1200</f>
        <v/>
      </c>
    </row>
    <row r="1201">
      <c r="A1201" s="18">
        <f>A1200+1</f>
        <v/>
      </c>
      <c r="B1201" s="46" t="inlineStr">
        <is>
          <t xml:space="preserve">2026/3/18
</t>
        </is>
      </c>
      <c r="C1201" s="45" t="n">
        <v>32.06000137</v>
      </c>
      <c r="D1201" s="18">
        <f>SUM(C$3:C1201)/A1201</f>
        <v/>
      </c>
    </row>
    <row r="1202">
      <c r="A1202" s="18">
        <f>A1201+1</f>
        <v/>
      </c>
      <c r="B1202" s="46" t="inlineStr">
        <is>
          <t xml:space="preserve">2026/3/19
</t>
        </is>
      </c>
      <c r="C1202" s="45" t="n">
        <v>31.54999924</v>
      </c>
      <c r="D1202" s="18">
        <f>SUM(C$3:C1202)/A1202</f>
        <v/>
      </c>
    </row>
    <row r="1203">
      <c r="A1203" s="18">
        <f>A1202+1</f>
        <v/>
      </c>
      <c r="B1203" s="46" t="inlineStr">
        <is>
          <t xml:space="preserve">2026/3/20
</t>
        </is>
      </c>
      <c r="C1203" s="45" t="n">
        <v>31.72999954</v>
      </c>
      <c r="D1203" s="18">
        <f>SUM(C$3:C1203)/A1203</f>
        <v/>
      </c>
    </row>
    <row r="1204">
      <c r="A1204" s="18">
        <f>A1203+1</f>
        <v/>
      </c>
      <c r="B1204" s="46" t="inlineStr">
        <is>
          <t xml:space="preserve">2026/3/23
</t>
        </is>
      </c>
      <c r="C1204" s="45" t="n">
        <v>30.75</v>
      </c>
      <c r="D1204" s="18">
        <f>SUM(C$3:C1204)/A1204</f>
        <v/>
      </c>
    </row>
    <row r="1205">
      <c r="A1205" s="18">
        <f>A1204+1</f>
        <v/>
      </c>
      <c r="B1205" s="46" t="inlineStr">
        <is>
          <t xml:space="preserve">2026/3/24
</t>
        </is>
      </c>
      <c r="C1205" s="45" t="n">
        <v>30.87000084</v>
      </c>
      <c r="D1205" s="18">
        <f>SUM(C$3:C1205)/A1205</f>
        <v/>
      </c>
    </row>
    <row r="1206">
      <c r="A1206" s="18">
        <f>A1205+1</f>
        <v/>
      </c>
      <c r="B1206" s="46" t="inlineStr">
        <is>
          <t xml:space="preserve">2026/3/25
</t>
        </is>
      </c>
      <c r="C1206" s="45" t="n">
        <v>31.38999939</v>
      </c>
      <c r="D1206" s="18">
        <f>SUM(C$3:C1206)/A1206</f>
        <v/>
      </c>
    </row>
    <row r="1207">
      <c r="A1207" s="18">
        <f>A1206+1</f>
        <v/>
      </c>
      <c r="B1207" s="46" t="inlineStr">
        <is>
          <t xml:space="preserve">2026/3/26
</t>
        </is>
      </c>
      <c r="C1207" s="45" t="n">
        <v>30.96999931</v>
      </c>
      <c r="D1207" s="18">
        <f>SUM(C$3:C1207)/A1207</f>
        <v/>
      </c>
    </row>
    <row r="1208">
      <c r="A1208" s="18">
        <f>A1207+1</f>
        <v/>
      </c>
      <c r="B1208" s="46" t="inlineStr">
        <is>
          <t xml:space="preserve">2026/3/27
</t>
        </is>
      </c>
      <c r="C1208" s="45" t="n">
        <v>31.29999924</v>
      </c>
      <c r="D1208" s="18">
        <f>SUM(C$3:C1208)/A1208</f>
        <v/>
      </c>
    </row>
    <row r="1209">
      <c r="A1209" s="18">
        <f>A1208+1</f>
        <v/>
      </c>
      <c r="B1209" s="46" t="n">
        <v>46111</v>
      </c>
      <c r="C1209" s="45" t="n">
        <v>31.29999924</v>
      </c>
      <c r="D1209" s="18">
        <f>SUM(C$3:C1209)/A1209</f>
        <v/>
      </c>
    </row>
    <row r="1210">
      <c r="A1210" s="18">
        <f>A1209+1</f>
        <v/>
      </c>
      <c r="B1210" s="46" t="n">
        <v>46112</v>
      </c>
      <c r="C1210" s="45" t="n">
        <v>30.54999924</v>
      </c>
      <c r="D1210" s="18">
        <f>SUM(C$3:C1210)/A1210</f>
        <v/>
      </c>
    </row>
    <row r="1211">
      <c r="A1211" s="18">
        <f>A1210+1</f>
        <v/>
      </c>
      <c r="B1211" s="46" t="inlineStr">
        <is>
          <t xml:space="preserve">2026/4/1
</t>
        </is>
      </c>
      <c r="C1211" s="45" t="n">
        <v>30.54999924</v>
      </c>
      <c r="D1211" s="18">
        <f>SUM(C$3:C1211)/A1211</f>
        <v/>
      </c>
    </row>
    <row r="1212">
      <c r="A1212" s="18">
        <f>A1211+1</f>
        <v/>
      </c>
      <c r="B1212" s="46" t="inlineStr">
        <is>
          <t xml:space="preserve">2026/4/2
</t>
        </is>
      </c>
      <c r="C1212" s="45" t="n">
        <v>30.34000015</v>
      </c>
      <c r="D1212" s="18">
        <f>SUM(C$3:C1212)/A1212</f>
        <v/>
      </c>
    </row>
    <row r="1213">
      <c r="A1213" s="18">
        <f>A1212+1</f>
        <v/>
      </c>
      <c r="B1213" s="46" t="inlineStr">
        <is>
          <t xml:space="preserve">2026/4/3
</t>
        </is>
      </c>
      <c r="C1213" s="45" t="n">
        <v>29.94000053</v>
      </c>
      <c r="D1213" s="18">
        <f>SUM(C$3:C1213)/A1213</f>
        <v/>
      </c>
    </row>
    <row r="1214">
      <c r="A1214" s="18">
        <f>A1213+1</f>
        <v/>
      </c>
      <c r="B1214" s="46" t="inlineStr">
        <is>
          <t xml:space="preserve">2026/4/7
</t>
        </is>
      </c>
      <c r="C1214" s="45" t="n">
        <v>29.97999954</v>
      </c>
      <c r="D1214" s="18">
        <f>SUM(C$3:C1214)/A1214</f>
        <v/>
      </c>
    </row>
    <row r="1215">
      <c r="A1215" s="18">
        <f>A1214+1</f>
        <v/>
      </c>
      <c r="B1215" s="46" t="inlineStr">
        <is>
          <t xml:space="preserve">2026/4/8
</t>
        </is>
      </c>
      <c r="C1215" s="45" t="n">
        <v>31.37999916</v>
      </c>
      <c r="D1215" s="18">
        <f>SUM(C$3:C1215)/A1215</f>
        <v/>
      </c>
    </row>
    <row r="1216">
      <c r="A1216" s="18">
        <f>A1215+1</f>
        <v/>
      </c>
      <c r="B1216" s="46" t="inlineStr">
        <is>
          <t xml:space="preserve">2026/4/9
</t>
        </is>
      </c>
      <c r="C1216" s="45" t="n">
        <v>31.29999924</v>
      </c>
      <c r="D1216" s="18">
        <f>SUM(C$3:C1216)/A1216</f>
        <v/>
      </c>
    </row>
    <row r="1217">
      <c r="A1217" s="18">
        <f>A1216+1</f>
        <v/>
      </c>
      <c r="B1217" s="46" t="inlineStr">
        <is>
          <t xml:space="preserve">2026/4/10
</t>
        </is>
      </c>
      <c r="C1217" s="45" t="n">
        <v>32.38999939</v>
      </c>
      <c r="D1217" s="18">
        <f>SUM(C$3:C1217)/A1217</f>
        <v/>
      </c>
    </row>
    <row r="1218">
      <c r="A1218" s="18">
        <f>A1217+1</f>
        <v/>
      </c>
      <c r="B1218" s="46" t="inlineStr">
        <is>
          <t xml:space="preserve">2026/4/13
</t>
        </is>
      </c>
      <c r="C1218" s="45" t="n">
        <v>32.72000122</v>
      </c>
      <c r="D1218" s="18">
        <f>SUM(C$3:C1218)/A1218</f>
        <v/>
      </c>
    </row>
    <row r="1219">
      <c r="A1219" s="18">
        <f>A1218+1</f>
        <v/>
      </c>
      <c r="B1219" s="46" t="inlineStr">
        <is>
          <t xml:space="preserve">2026/4/14
</t>
        </is>
      </c>
      <c r="C1219" s="45" t="n">
        <v>33.34999847</v>
      </c>
      <c r="D1219" s="18">
        <f>SUM(C$3:C1219)/A1219</f>
        <v/>
      </c>
    </row>
    <row r="1220">
      <c r="A1220" s="18">
        <f>A1219+1</f>
        <v/>
      </c>
      <c r="B1220" s="46" t="inlineStr">
        <is>
          <t xml:space="preserve">2026/4/15
</t>
        </is>
      </c>
      <c r="C1220" s="45" t="n">
        <v>33.06000137</v>
      </c>
      <c r="D1220" s="18">
        <f>SUM(C$3:C1220)/A1220</f>
        <v/>
      </c>
    </row>
    <row r="1221">
      <c r="A1221" s="18">
        <f>A1220+1</f>
        <v/>
      </c>
      <c r="B1221" s="46" t="inlineStr">
        <is>
          <t xml:space="preserve">2026/4/16
</t>
        </is>
      </c>
      <c r="C1221" s="45" t="n">
        <v>33.79999924</v>
      </c>
      <c r="D1221" s="18">
        <f>SUM(C$3:C1221)/A1221</f>
        <v/>
      </c>
    </row>
    <row r="1222">
      <c r="A1222" s="18">
        <f>A1221+1</f>
        <v/>
      </c>
      <c r="B1222" s="46" t="inlineStr">
        <is>
          <t xml:space="preserve">2026/4/17
</t>
        </is>
      </c>
      <c r="C1222" s="45" t="n">
        <v>33.91999817</v>
      </c>
      <c r="D1222" s="18">
        <f>SUM(C$3:C1222)/A1222</f>
        <v/>
      </c>
    </row>
    <row r="1223">
      <c r="A1223" s="18">
        <f>A1222+1</f>
        <v/>
      </c>
      <c r="B1223" s="46" t="inlineStr">
        <is>
          <t xml:space="preserve">2026/4/20
</t>
        </is>
      </c>
      <c r="C1223" s="45" t="n">
        <v>34.04000092</v>
      </c>
      <c r="D1223" s="18">
        <f>SUM(C$3:C1223)/A1223</f>
        <v/>
      </c>
    </row>
    <row r="1224">
      <c r="A1224" s="18">
        <f>A1223+1</f>
        <v/>
      </c>
      <c r="B1224" s="46" t="inlineStr">
        <is>
          <t xml:space="preserve">2026/4/21
</t>
        </is>
      </c>
      <c r="C1224" s="45" t="n">
        <v>34.15999985</v>
      </c>
      <c r="D1224" s="18">
        <f>SUM(C$3:C1224)/A1224</f>
        <v/>
      </c>
    </row>
    <row r="1225">
      <c r="A1225" s="18">
        <f>A1224+1</f>
        <v/>
      </c>
      <c r="B1225" s="46" t="inlineStr">
        <is>
          <t xml:space="preserve">2026/4/22
</t>
        </is>
      </c>
      <c r="C1225" s="45" t="n">
        <v>34.38000107</v>
      </c>
      <c r="D1225" s="18">
        <f>SUM(C$3:C1225)/A1225</f>
        <v/>
      </c>
    </row>
    <row r="1226">
      <c r="A1226" s="18">
        <f>A1225+1</f>
        <v/>
      </c>
      <c r="B1226" s="46" t="inlineStr">
        <is>
          <t xml:space="preserve">2026/4/23
</t>
        </is>
      </c>
      <c r="C1226" s="45" t="n">
        <v>34.32</v>
      </c>
      <c r="D1226" s="18">
        <f>SUM(C$3:C1226)/A1226</f>
        <v/>
      </c>
    </row>
    <row r="1227">
      <c r="A1227" s="18">
        <f>A1226+1</f>
        <v/>
      </c>
      <c r="B1227" s="46" t="inlineStr">
        <is>
          <t xml:space="preserve">2026/4/24
</t>
        </is>
      </c>
      <c r="C1227" s="45" t="n">
        <v>34.25</v>
      </c>
      <c r="D1227" s="18">
        <f>SUM(C$3:C1227)/A1227</f>
        <v/>
      </c>
    </row>
    <row r="1228">
      <c r="A1228" s="18">
        <f>A1227+1</f>
        <v/>
      </c>
      <c r="B1228" s="46" t="inlineStr">
        <is>
          <t xml:space="preserve">2026/4/27
</t>
        </is>
      </c>
      <c r="C1228" s="45" t="n">
        <v>34.27000046</v>
      </c>
      <c r="D1228" s="18">
        <f>SUM(C$3:C1228)/A1228</f>
        <v/>
      </c>
    </row>
    <row r="1229">
      <c r="A1229" s="18">
        <f>A1228+1</f>
        <v/>
      </c>
      <c r="B1229" s="46" t="inlineStr">
        <is>
          <t xml:space="preserve">2026/4/28
</t>
        </is>
      </c>
      <c r="C1229" s="45" t="n">
        <v>33.75</v>
      </c>
      <c r="D1229" s="18">
        <f>SUM(C$3:C1229)/A1229</f>
        <v/>
      </c>
    </row>
    <row r="1230">
      <c r="A1230" s="18">
        <f>A1229+1</f>
        <v/>
      </c>
      <c r="B1230" s="46" t="n">
        <v>46141</v>
      </c>
      <c r="C1230" s="45" t="n">
        <v>34.45999908</v>
      </c>
      <c r="D1230" s="18">
        <f>SUM(C$3:C1230)/A1230</f>
        <v/>
      </c>
    </row>
    <row r="1231">
      <c r="A1231" s="18">
        <f>A1230+1</f>
        <v/>
      </c>
      <c r="B1231" s="46" t="n">
        <v>46142</v>
      </c>
      <c r="C1231" s="45" t="n">
        <v>34.54999924</v>
      </c>
      <c r="D1231" s="18">
        <f>SUM(C$3:C1231)/A1231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2026-05-30T07:28:26Z</dcterms:modified>
  <cp:lastModifiedBy>Administrator</cp:lastModifiedBy>
</cp:coreProperties>
</file>