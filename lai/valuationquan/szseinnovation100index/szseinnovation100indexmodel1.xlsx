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model1!$L$1:$L$33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154" i="6" l="1"/>
  <c r="A1154" i="6"/>
  <c r="D1132" i="6" l="1"/>
  <c r="A1132" i="6"/>
  <c r="A1133" i="6" s="1"/>
  <c r="D1133" i="6" l="1"/>
  <c r="A1134" i="6"/>
  <c r="D1134" i="6" l="1"/>
  <c r="A1135" i="6"/>
  <c r="D1131" i="6"/>
  <c r="A1131" i="6"/>
  <c r="D1135" i="6" l="1"/>
  <c r="A1136" i="6"/>
  <c r="D1130" i="6"/>
  <c r="A1130" i="6"/>
  <c r="A1137" i="6" l="1"/>
  <c r="D1136" i="6"/>
  <c r="D1129" i="6"/>
  <c r="A1129" i="6"/>
  <c r="D1137" i="6" l="1"/>
  <c r="A1138" i="6"/>
  <c r="D1128" i="6"/>
  <c r="A1128" i="6"/>
  <c r="A1139" i="6" l="1"/>
  <c r="D1138" i="6"/>
  <c r="D1127" i="6"/>
  <c r="A1127" i="6"/>
  <c r="D1139" i="6" l="1"/>
  <c r="A1140" i="6"/>
  <c r="D1126" i="6"/>
  <c r="A1126" i="6"/>
  <c r="A1141" i="6" l="1"/>
  <c r="D1140" i="6"/>
  <c r="D1125" i="6"/>
  <c r="A1125" i="6"/>
  <c r="D1141" i="6" l="1"/>
  <c r="A1142" i="6"/>
  <c r="D1124" i="6"/>
  <c r="A1124" i="6"/>
  <c r="A1143" i="6" l="1"/>
  <c r="D1142" i="6"/>
  <c r="D1123" i="6"/>
  <c r="A1123" i="6"/>
  <c r="D1143" i="6" l="1"/>
  <c r="A1144" i="6"/>
  <c r="D1122" i="6"/>
  <c r="A1122" i="6"/>
  <c r="A1145" i="6" l="1"/>
  <c r="D1144" i="6"/>
  <c r="D1121" i="6"/>
  <c r="A1121" i="6"/>
  <c r="D1145" i="6" l="1"/>
  <c r="A1146" i="6"/>
  <c r="D1120" i="6"/>
  <c r="A1120" i="6"/>
  <c r="A1147" i="6" l="1"/>
  <c r="D1146" i="6"/>
  <c r="D1119" i="6"/>
  <c r="A1119" i="6"/>
  <c r="D1147" i="6" l="1"/>
  <c r="A1148" i="6"/>
  <c r="D1118" i="6"/>
  <c r="A1118" i="6"/>
  <c r="A1149" i="6" l="1"/>
  <c r="D1148" i="6"/>
  <c r="D1117" i="6"/>
  <c r="A1117" i="6"/>
  <c r="D1149" i="6" l="1"/>
  <c r="A1150" i="6"/>
  <c r="D1116" i="6"/>
  <c r="A1116" i="6"/>
  <c r="A1151" i="6" l="1"/>
  <c r="D1150" i="6"/>
  <c r="D1115" i="6"/>
  <c r="A1115" i="6"/>
  <c r="D1151" i="6" l="1"/>
  <c r="A1152" i="6"/>
  <c r="D1114" i="6"/>
  <c r="A1114" i="6"/>
  <c r="A1153" i="6" l="1"/>
  <c r="D1153" i="6" s="1"/>
  <c r="D1152" i="6"/>
  <c r="D1113" i="6"/>
  <c r="A1113" i="6"/>
  <c r="D1112" i="6" l="1"/>
  <c r="A1112" i="6"/>
  <c r="D1111" i="6" l="1"/>
  <c r="A1111" i="6"/>
  <c r="D1110" i="6" l="1"/>
  <c r="A1110" i="6"/>
  <c r="D1109" i="6" l="1"/>
  <c r="A1109" i="6"/>
  <c r="D1108" i="6" l="1"/>
  <c r="A1108" i="6"/>
  <c r="D1107" i="6" l="1"/>
  <c r="A1107" i="6"/>
  <c r="D1106" i="6" l="1"/>
  <c r="A1106" i="6"/>
  <c r="D1105" i="6" l="1"/>
  <c r="A1105" i="6"/>
  <c r="D1104" i="6" l="1"/>
  <c r="A1104" i="6"/>
  <c r="D1103" i="6" l="1"/>
  <c r="A1103" i="6"/>
  <c r="D1102" i="6" l="1"/>
  <c r="A1102" i="6"/>
  <c r="D1101" i="6" l="1"/>
  <c r="A1101" i="6"/>
  <c r="D1100" i="6" l="1"/>
  <c r="A1100" i="6"/>
  <c r="D1099" i="6" l="1"/>
  <c r="A1099" i="6"/>
  <c r="D1098" i="6" l="1"/>
  <c r="A1098" i="6"/>
  <c r="D1097" i="6" l="1"/>
  <c r="A1097" i="6"/>
  <c r="D1096" i="6" l="1"/>
  <c r="A1096" i="6"/>
  <c r="D1095" i="6" l="1"/>
  <c r="A1095" i="6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4" i="6" s="1"/>
  <c r="D1093" i="6"/>
</calcChain>
</file>

<file path=xl/sharedStrings.xml><?xml version="1.0" encoding="utf-8"?>
<sst xmlns="http://schemas.openxmlformats.org/spreadsheetml/2006/main" count="910" uniqueCount="906">
  <si>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</si>
  <si>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</si>
  <si>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</si>
  <si>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</si>
  <si>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</si>
  <si>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</si>
  <si>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</si>
  <si>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</si>
  <si>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</si>
  <si>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</si>
  <si>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</si>
  <si>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</si>
  <si>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</si>
  <si>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</si>
  <si>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</si>
  <si>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</si>
  <si>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</si>
  <si>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</si>
  <si>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</si>
  <si>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</si>
  <si>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</si>
  <si>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</si>
  <si>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</si>
  <si>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</si>
  <si>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</si>
  <si>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</si>
  <si>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</si>
  <si>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</si>
  <si>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</si>
  <si>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</si>
  <si>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</si>
  <si>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</si>
  <si>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</si>
  <si>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</si>
  <si>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</si>
  <si>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</si>
  <si>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</si>
  <si>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</si>
  <si>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</si>
  <si>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</si>
  <si>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</si>
  <si>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</si>
  <si>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</si>
  <si>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</si>
  <si>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</si>
  <si>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</si>
  <si>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</si>
  <si>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</si>
  <si>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</si>
  <si>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</si>
  <si>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</si>
  <si>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</si>
  <si>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</si>
  <si>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</si>
  <si>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</si>
  <si>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</si>
  <si>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</si>
  <si>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</si>
  <si>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</si>
  <si>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</si>
  <si>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</si>
  <si>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</si>
  <si>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</si>
  <si>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</si>
  <si>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</si>
  <si>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</si>
  <si>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</si>
  <si>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</si>
  <si>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</si>
  <si>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</si>
  <si>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</si>
  <si>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</si>
  <si>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</si>
  <si>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</si>
  <si>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</si>
  <si>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</si>
  <si>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</si>
  <si>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</si>
  <si>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</si>
  <si>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</si>
  <si>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</si>
  <si>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</si>
  <si>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</si>
  <si>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</si>
  <si>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</si>
  <si>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</si>
  <si>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</si>
  <si>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</si>
  <si>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</si>
  <si>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</si>
  <si>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</si>
  <si>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</si>
  <si>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</si>
  <si>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</si>
  <si>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</si>
  <si>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</si>
  <si>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</si>
  <si>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</si>
  <si>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</si>
  <si>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</si>
  <si>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</si>
  <si>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</si>
  <si>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</si>
  <si>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</si>
  <si>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</si>
  <si>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</si>
  <si>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</si>
  <si>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</si>
  <si>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</si>
  <si>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</si>
  <si>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</si>
  <si>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</si>
  <si>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</si>
  <si>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</si>
  <si>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</si>
  <si>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</si>
  <si>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</si>
  <si>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</si>
  <si>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</si>
  <si>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</si>
  <si>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</si>
  <si>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</si>
  <si>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</si>
  <si>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</si>
  <si>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</si>
  <si>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</si>
  <si>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</si>
  <si>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</si>
  <si>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</si>
  <si>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</si>
  <si>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</si>
  <si>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</si>
  <si>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</si>
  <si>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</si>
  <si>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</si>
  <si>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</si>
  <si>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</si>
  <si>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</si>
  <si>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</si>
  <si>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</si>
  <si>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</si>
  <si>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</si>
  <si>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</si>
  <si>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</si>
  <si>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</si>
  <si>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</si>
  <si>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</si>
  <si>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</si>
  <si>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</si>
  <si>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</si>
  <si>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</si>
  <si>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</si>
  <si>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</si>
  <si>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</si>
  <si>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</si>
  <si>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</si>
  <si>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</si>
  <si>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</si>
  <si>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</si>
  <si>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</si>
  <si>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</si>
  <si>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</si>
  <si>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</si>
  <si>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</si>
  <si>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</si>
  <si>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</si>
  <si>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</si>
  <si>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</si>
  <si>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</si>
  <si>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</si>
  <si>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</si>
  <si>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</si>
  <si>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</si>
  <si>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</si>
  <si>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</si>
  <si>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</si>
  <si>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</si>
  <si>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</si>
  <si>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</si>
  <si>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</si>
  <si>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</si>
  <si>
    <t>szse innovation100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</si>
  <si>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</si>
  <si>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</si>
  <si>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</si>
  <si>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</si>
  <si>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</si>
  <si>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</si>
  <si>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</si>
  <si>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</si>
  <si>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</si>
  <si>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</si>
  <si>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unit:yuan</t>
    <phoneticPr fontId="1" type="noConversion"/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</si>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</sst>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1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71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1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71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  <c:pt idx="70">
                  <c:v>191635.63229330175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1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71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  <c:pt idx="70">
                  <c:v>49635.632293301751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677504"/>
        <c:axId val="78679424"/>
      </c:lineChart>
      <c:dateAx>
        <c:axId val="7867750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8679424"/>
        <c:crosses val="autoZero"/>
        <c:auto val="1"/>
        <c:lblOffset val="100"/>
        <c:baseTimeUnit val="days"/>
      </c:dateAx>
      <c:valAx>
        <c:axId val="78679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8677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3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180</v>
      </c>
      <c r="B1" s="24" t="s">
        <v>181</v>
      </c>
      <c r="C1" s="13" t="s">
        <v>182</v>
      </c>
      <c r="D1" s="13" t="s">
        <v>183</v>
      </c>
      <c r="E1" s="13" t="s">
        <v>184</v>
      </c>
      <c r="F1" s="13" t="s">
        <v>185</v>
      </c>
      <c r="G1" s="25" t="s">
        <v>186</v>
      </c>
      <c r="H1" s="12" t="s">
        <v>187</v>
      </c>
      <c r="I1" s="24" t="s">
        <v>188</v>
      </c>
      <c r="K1" s="11"/>
    </row>
    <row r="2" spans="1:28" ht="14.1" customHeight="1">
      <c r="A2" s="5"/>
      <c r="B2" s="5"/>
      <c r="C2" s="4">
        <v>2000</v>
      </c>
      <c r="D2" s="21" t="s">
        <v>192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180</v>
      </c>
      <c r="M3" s="27" t="s">
        <v>189</v>
      </c>
      <c r="N3" s="27" t="s">
        <v>186</v>
      </c>
      <c r="O3" s="27" t="s">
        <v>187</v>
      </c>
      <c r="P3" s="27" t="s">
        <v>188</v>
      </c>
      <c r="Q3" s="27" t="s">
        <v>190</v>
      </c>
      <c r="R3" s="27" t="s">
        <v>191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  <row r="72" spans="1:9" ht="12.75">
      <c r="A72" s="14">
        <v>45989</v>
      </c>
      <c r="B72" s="15">
        <v>4.8240952148437497</v>
      </c>
      <c r="C72" s="16">
        <v>2000</v>
      </c>
      <c r="D72" s="17">
        <v>414.58551519588508</v>
      </c>
      <c r="E72" s="17">
        <v>37568.414141833826</v>
      </c>
      <c r="F72" s="17">
        <v>181233.60689088883</v>
      </c>
      <c r="G72" s="17">
        <v>140000</v>
      </c>
      <c r="H72" s="17">
        <v>181233.60689088883</v>
      </c>
      <c r="I72" s="17">
        <v>41233.606890888826</v>
      </c>
    </row>
    <row r="73" spans="1:9" ht="12.75">
      <c r="A73" s="14">
        <v>46022</v>
      </c>
      <c r="B73" s="15">
        <v>5.0477412109374997</v>
      </c>
      <c r="C73" s="16">
        <v>2000</v>
      </c>
      <c r="D73" s="17">
        <v>396.21682578860788</v>
      </c>
      <c r="E73" s="17">
        <v>37964.630967622434</v>
      </c>
      <c r="F73" s="17">
        <v>191635.63229330175</v>
      </c>
      <c r="G73" s="17">
        <v>142000</v>
      </c>
      <c r="H73" s="17">
        <v>191635.63229330175</v>
      </c>
      <c r="I73" s="17">
        <v>49635.632293301751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154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194</v>
      </c>
      <c r="C1" s="22">
        <v>399088</v>
      </c>
    </row>
    <row r="2" spans="1:4" ht="12.75" customHeight="1">
      <c r="B2" s="32"/>
      <c r="C2" s="28" t="s">
        <v>0</v>
      </c>
      <c r="D2" s="29" t="s">
        <v>193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195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196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197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198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199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200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201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202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203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204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205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206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207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208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209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210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211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212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213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214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215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216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217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218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219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220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221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222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223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224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225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226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227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228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229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230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231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232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233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234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235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236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237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238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239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240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241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242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243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244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245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246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247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248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249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250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251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252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253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254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255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256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257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258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259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260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261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262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263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264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265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266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267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268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269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270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271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272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273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274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275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276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277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278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279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280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281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282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283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284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285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286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287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288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289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290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291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292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293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294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295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296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297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298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299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300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301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302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303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304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305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306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307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308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309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310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311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312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313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314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315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316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317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318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319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320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321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322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323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324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325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326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327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328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329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330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331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332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333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334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335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336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337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338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339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340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341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342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343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344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345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346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347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348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349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350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351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352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353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354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355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356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357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358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359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360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361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362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363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364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365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366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367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368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369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370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371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372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373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374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375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376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377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378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379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380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381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382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383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384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385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386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387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388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389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390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391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392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393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394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395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396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397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398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399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400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401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402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403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404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405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406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407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408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409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410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411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412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413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414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415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416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417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418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419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420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421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422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423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424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425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426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427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428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429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430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431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432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433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434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435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436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437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438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439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440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441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442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443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444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445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446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447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448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449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450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451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452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453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454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455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456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457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458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459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460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461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462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463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464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465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466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467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468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469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470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471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472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473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474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475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476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477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478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479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480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481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482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483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484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485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486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487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488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489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490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491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492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493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494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495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496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497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498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499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500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501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502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503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504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505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506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507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508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509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510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511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512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513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514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515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516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517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518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519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520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521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522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523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524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525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526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527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528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529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530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531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532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533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534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535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536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537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538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539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540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541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542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543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544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545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546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547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548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549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550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551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552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553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554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555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556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557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558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559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560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561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562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563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564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565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566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567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568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569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570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571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572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573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574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575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576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577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578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579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580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581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582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583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584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585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586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587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588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589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590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591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592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593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594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595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596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597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598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599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600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601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602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603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604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605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606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607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608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609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610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611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612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613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614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615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616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617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618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619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620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621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622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623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624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625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626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627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628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629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630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631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632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633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634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635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636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637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638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639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640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641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642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643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644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645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646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647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648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649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650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651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652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653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654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655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656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657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658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659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660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661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662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663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664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665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666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667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668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669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670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671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672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673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674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675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676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677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678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679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680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681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682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683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684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685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686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687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688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689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690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691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692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693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694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695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696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697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698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699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700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701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702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703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704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705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706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707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708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709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710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711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712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713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714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715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716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717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718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719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720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721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722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723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724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725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726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727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728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729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730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731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732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733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734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735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736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737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738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739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740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741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742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743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744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745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746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747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748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749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750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751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752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753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754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755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756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757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758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759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760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761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762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763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764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765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766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767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768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769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770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771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772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773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774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775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776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777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778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779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780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781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782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783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784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785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786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787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788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789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790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791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792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793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794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795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796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797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798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799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800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801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802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803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804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805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806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807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808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809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810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811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812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813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814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815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816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817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818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819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820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821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822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823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824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825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826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827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828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829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830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831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832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833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834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835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836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837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838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839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840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841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842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843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844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845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846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31" si="6">A1064+1</f>
        <v>1063</v>
      </c>
      <c r="B1065" s="30" t="s">
        <v>847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848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849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850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851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852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853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854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855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856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857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858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859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860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861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862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863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864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865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866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867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868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869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870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871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872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873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874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875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876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877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878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879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880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881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882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883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884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885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886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887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>
      <c r="A1112" s="18">
        <f t="shared" si="6"/>
        <v>1110</v>
      </c>
      <c r="B1112" s="30" t="s">
        <v>888</v>
      </c>
      <c r="C1112" s="31">
        <v>30.829999919999999</v>
      </c>
      <c r="D1112" s="18">
        <f>SUM(C$3:C1112)/A1112</f>
        <v>25.694985752081219</v>
      </c>
    </row>
    <row r="1113" spans="1:4">
      <c r="A1113" s="18">
        <f t="shared" si="6"/>
        <v>1111</v>
      </c>
      <c r="B1113" s="30" t="s">
        <v>889</v>
      </c>
      <c r="C1113" s="31">
        <v>30.270000459999999</v>
      </c>
      <c r="D1113" s="18">
        <f>SUM(C$3:C1113)/A1113</f>
        <v>25.699103677110852</v>
      </c>
    </row>
    <row r="1114" spans="1:4">
      <c r="A1114" s="18">
        <f t="shared" si="6"/>
        <v>1112</v>
      </c>
      <c r="B1114" s="30" t="s">
        <v>890</v>
      </c>
      <c r="C1114" s="31">
        <v>30.450000760000002</v>
      </c>
      <c r="D1114" s="18">
        <f>SUM(C$3:C1114)/A1114</f>
        <v>25.703376066573881</v>
      </c>
    </row>
    <row r="1115" spans="1:4">
      <c r="A1115" s="18">
        <f t="shared" si="6"/>
        <v>1113</v>
      </c>
      <c r="B1115" s="30" t="s">
        <v>891</v>
      </c>
      <c r="C1115" s="31">
        <v>31.159999849999998</v>
      </c>
      <c r="D1115" s="18">
        <f>SUM(C$3:C1115)/A1115</f>
        <v>25.708278693513165</v>
      </c>
    </row>
    <row r="1116" spans="1:4">
      <c r="A1116" s="18">
        <f t="shared" si="6"/>
        <v>1114</v>
      </c>
      <c r="B1116" s="30" t="s">
        <v>892</v>
      </c>
      <c r="C1116" s="31">
        <v>30.909999849999998</v>
      </c>
      <c r="D1116" s="18">
        <f>SUM(C$3:C1116)/A1116</f>
        <v>25.712948102091698</v>
      </c>
    </row>
    <row r="1117" spans="1:4">
      <c r="A1117" s="18">
        <f t="shared" si="6"/>
        <v>1115</v>
      </c>
      <c r="B1117" s="30" t="s">
        <v>893</v>
      </c>
      <c r="C1117" s="31">
        <v>30.659999849999998</v>
      </c>
      <c r="D1117" s="18">
        <f>SUM(C$3:C1117)/A1117</f>
        <v>25.717384919802825</v>
      </c>
    </row>
    <row r="1118" spans="1:4">
      <c r="A1118" s="18">
        <f t="shared" si="6"/>
        <v>1116</v>
      </c>
      <c r="B1118" s="30" t="s">
        <v>894</v>
      </c>
      <c r="C1118" s="31">
        <v>30.31999969</v>
      </c>
      <c r="D1118" s="18">
        <f>SUM(C$3:C1118)/A1118</f>
        <v>25.721509126586156</v>
      </c>
    </row>
    <row r="1119" spans="1:4">
      <c r="A1119" s="18">
        <f t="shared" si="6"/>
        <v>1117</v>
      </c>
      <c r="B1119" s="30" t="s">
        <v>895</v>
      </c>
      <c r="C1119" s="31">
        <v>30.270000459999999</v>
      </c>
      <c r="D1119" s="18">
        <f>SUM(C$3:C1119)/A1119</f>
        <v>25.725581186866744</v>
      </c>
    </row>
    <row r="1120" spans="1:4">
      <c r="A1120" s="18">
        <f t="shared" si="6"/>
        <v>1118</v>
      </c>
      <c r="B1120" s="30" t="s">
        <v>896</v>
      </c>
      <c r="C1120" s="31">
        <v>31.010000229999999</v>
      </c>
      <c r="D1120" s="18">
        <f>SUM(C$3:C1120)/A1120</f>
        <v>25.730307858640565</v>
      </c>
    </row>
    <row r="1121" spans="1:4">
      <c r="A1121" s="18">
        <f t="shared" si="6"/>
        <v>1119</v>
      </c>
      <c r="B1121" s="30" t="s">
        <v>897</v>
      </c>
      <c r="C1121" s="31">
        <v>30.340000150000002</v>
      </c>
      <c r="D1121" s="18">
        <f>SUM(C$3:C1121)/A1121</f>
        <v>25.734427333431771</v>
      </c>
    </row>
    <row r="1122" spans="1:4">
      <c r="A1122" s="18">
        <f t="shared" si="6"/>
        <v>1120</v>
      </c>
      <c r="B1122" s="30" t="s">
        <v>898</v>
      </c>
      <c r="C1122" s="31">
        <v>30.079999919999999</v>
      </c>
      <c r="D1122" s="18">
        <f>SUM(C$3:C1122)/A1122</f>
        <v>25.738307308955491</v>
      </c>
    </row>
    <row r="1123" spans="1:4">
      <c r="A1123" s="18">
        <f t="shared" si="6"/>
        <v>1121</v>
      </c>
      <c r="B1123" s="30" t="s">
        <v>899</v>
      </c>
      <c r="C1123" s="31">
        <v>29.850000380000001</v>
      </c>
      <c r="D1123" s="18">
        <f>SUM(C$3:C1123)/A1123</f>
        <v>25.741975188590679</v>
      </c>
    </row>
    <row r="1124" spans="1:4">
      <c r="A1124" s="18">
        <f t="shared" si="6"/>
        <v>1122</v>
      </c>
      <c r="B1124" s="30" t="s">
        <v>900</v>
      </c>
      <c r="C1124" s="31">
        <v>29.840000150000002</v>
      </c>
      <c r="D1124" s="18">
        <f>SUM(C$3:C1124)/A1124</f>
        <v>25.745627617255039</v>
      </c>
    </row>
    <row r="1125" spans="1:4">
      <c r="A1125" s="18">
        <f t="shared" si="6"/>
        <v>1123</v>
      </c>
      <c r="B1125" s="30" t="s">
        <v>901</v>
      </c>
      <c r="C1125" s="31">
        <v>29.5</v>
      </c>
      <c r="D1125" s="18">
        <f>SUM(C$3:C1125)/A1125</f>
        <v>25.748970780552227</v>
      </c>
    </row>
    <row r="1126" spans="1:4">
      <c r="A1126" s="18">
        <f t="shared" si="6"/>
        <v>1124</v>
      </c>
      <c r="B1126" s="30" t="s">
        <v>902</v>
      </c>
      <c r="C1126" s="31">
        <v>28.670000080000001</v>
      </c>
      <c r="D1126" s="18">
        <f>SUM(C$3:C1126)/A1126</f>
        <v>25.751569561067754</v>
      </c>
    </row>
    <row r="1127" spans="1:4">
      <c r="A1127" s="18">
        <f t="shared" si="6"/>
        <v>1125</v>
      </c>
      <c r="B1127" s="30" t="s">
        <v>903</v>
      </c>
      <c r="C1127" s="31">
        <v>28.850000380000001</v>
      </c>
      <c r="D1127" s="18">
        <f>SUM(C$3:C1127)/A1127</f>
        <v>25.754323721795693</v>
      </c>
    </row>
    <row r="1128" spans="1:4">
      <c r="A1128" s="18">
        <f t="shared" si="6"/>
        <v>1126</v>
      </c>
      <c r="B1128" s="30" t="s">
        <v>904</v>
      </c>
      <c r="C1128" s="31">
        <v>29.270000459999999</v>
      </c>
      <c r="D1128" s="18">
        <f>SUM(C$3:C1128)/A1128</f>
        <v>25.757445992433532</v>
      </c>
    </row>
    <row r="1129" spans="1:4">
      <c r="A1129" s="18">
        <f t="shared" si="6"/>
        <v>1127</v>
      </c>
      <c r="B1129" s="30" t="s">
        <v>905</v>
      </c>
      <c r="C1129" s="31">
        <v>29.719999309999999</v>
      </c>
      <c r="D1129" s="18">
        <f>SUM(C$3:C1129)/A1129</f>
        <v>25.760962011348852</v>
      </c>
    </row>
    <row r="1130" spans="1:4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  <row r="1132" spans="1:4">
      <c r="A1132" s="18">
        <f t="shared" ref="A1132:A1154" si="7">A1131+1</f>
        <v>1130</v>
      </c>
      <c r="B1132" s="30">
        <v>45992</v>
      </c>
      <c r="C1132" s="31">
        <v>30.299999237060547</v>
      </c>
      <c r="D1132" s="18">
        <f>SUM(C$3:C1132)/A1132</f>
        <v>25.771897509900189</v>
      </c>
    </row>
    <row r="1133" spans="1:4">
      <c r="A1133" s="18">
        <f t="shared" si="7"/>
        <v>1131</v>
      </c>
      <c r="B1133" s="30">
        <v>45993</v>
      </c>
      <c r="C1133" s="31">
        <v>30.129999160766602</v>
      </c>
      <c r="D1133" s="18">
        <f>SUM(C$3:C1133)/A1133</f>
        <v>25.775750827009709</v>
      </c>
    </row>
    <row r="1134" spans="1:4">
      <c r="A1134" s="18">
        <f t="shared" si="7"/>
        <v>1132</v>
      </c>
      <c r="B1134" s="30">
        <v>45994</v>
      </c>
      <c r="C1134" s="31">
        <v>29.819999694824219</v>
      </c>
      <c r="D1134" s="18">
        <f>SUM(C$3:C1134)/A1134</f>
        <v>25.779323485020146</v>
      </c>
    </row>
    <row r="1135" spans="1:4">
      <c r="A1135" s="18">
        <f t="shared" si="7"/>
        <v>1133</v>
      </c>
      <c r="B1135" s="30">
        <v>45995</v>
      </c>
      <c r="C1135" s="31">
        <v>30.149999618530273</v>
      </c>
      <c r="D1135" s="18">
        <f>SUM(C$3:C1135)/A1135</f>
        <v>25.783181098553694</v>
      </c>
    </row>
    <row r="1136" spans="1:4">
      <c r="A1136" s="18">
        <f t="shared" si="7"/>
        <v>1134</v>
      </c>
      <c r="B1136" s="30">
        <v>45996</v>
      </c>
      <c r="C1136" s="31">
        <v>30.459999084472656</v>
      </c>
      <c r="D1136" s="18">
        <f>SUM(C$3:C1136)/A1136</f>
        <v>25.787305276671788</v>
      </c>
    </row>
    <row r="1137" spans="1:4">
      <c r="A1137" s="18">
        <f t="shared" si="7"/>
        <v>1135</v>
      </c>
      <c r="B1137" s="30">
        <v>45999</v>
      </c>
      <c r="C1137" s="31">
        <v>30.950000762939453</v>
      </c>
      <c r="D1137" s="18">
        <f>SUM(C$3:C1137)/A1137</f>
        <v>25.791853907056165</v>
      </c>
    </row>
    <row r="1138" spans="1:4">
      <c r="A1138" s="18">
        <f t="shared" si="7"/>
        <v>1136</v>
      </c>
      <c r="B1138" s="30">
        <v>46000</v>
      </c>
      <c r="C1138" s="31">
        <v>30.909999847412109</v>
      </c>
      <c r="D1138" s="18">
        <f>SUM(C$3:C1138)/A1138</f>
        <v>25.796359317214929</v>
      </c>
    </row>
    <row r="1139" spans="1:4">
      <c r="A1139" s="18">
        <f t="shared" si="7"/>
        <v>1137</v>
      </c>
      <c r="B1139" s="30">
        <v>46001</v>
      </c>
      <c r="C1139" s="31">
        <v>30.860000610351562</v>
      </c>
      <c r="D1139" s="18">
        <f>SUM(C$3:C1139)/A1139</f>
        <v>25.80081282758708</v>
      </c>
    </row>
    <row r="1140" spans="1:4">
      <c r="A1140" s="18">
        <f t="shared" si="7"/>
        <v>1138</v>
      </c>
      <c r="B1140" s="30">
        <v>46002</v>
      </c>
      <c r="C1140" s="31">
        <v>30.540000915527344</v>
      </c>
      <c r="D1140" s="18">
        <f>SUM(C$3:C1140)/A1140</f>
        <v>25.804977316240805</v>
      </c>
    </row>
    <row r="1141" spans="1:4">
      <c r="A1141" s="18">
        <f t="shared" si="7"/>
        <v>1139</v>
      </c>
      <c r="B1141" s="30">
        <v>46003</v>
      </c>
      <c r="C1141" s="31">
        <v>30.75</v>
      </c>
      <c r="D1141" s="18">
        <f>SUM(C$3:C1141)/A1141</f>
        <v>25.809318863812148</v>
      </c>
    </row>
    <row r="1142" spans="1:4">
      <c r="A1142" s="18">
        <f t="shared" si="7"/>
        <v>1140</v>
      </c>
      <c r="B1142" s="30">
        <v>46006</v>
      </c>
      <c r="C1142" s="31">
        <v>30.479999542236328</v>
      </c>
      <c r="D1142" s="18">
        <f>SUM(C$3:C1142)/A1142</f>
        <v>25.813415952126558</v>
      </c>
    </row>
    <row r="1143" spans="1:4">
      <c r="A1143" s="18">
        <f t="shared" si="7"/>
        <v>1141</v>
      </c>
      <c r="B1143" s="30">
        <v>46007</v>
      </c>
      <c r="C1143" s="31">
        <v>29.969999313354492</v>
      </c>
      <c r="D1143" s="18">
        <f>SUM(C$3:C1143)/A1143</f>
        <v>25.81705888232921</v>
      </c>
    </row>
    <row r="1144" spans="1:4">
      <c r="A1144" s="18">
        <f t="shared" si="7"/>
        <v>1142</v>
      </c>
      <c r="B1144" s="30">
        <v>46008</v>
      </c>
      <c r="C1144" s="31">
        <v>30.709999084472656</v>
      </c>
      <c r="D1144" s="18">
        <f>SUM(C$3:C1144)/A1144</f>
        <v>25.821343418408144</v>
      </c>
    </row>
    <row r="1145" spans="1:4">
      <c r="A1145" s="18">
        <f t="shared" si="7"/>
        <v>1143</v>
      </c>
      <c r="B1145" s="30">
        <v>46009</v>
      </c>
      <c r="C1145" s="31">
        <v>30.180000305175781</v>
      </c>
      <c r="D1145" s="18">
        <f>SUM(C$3:C1145)/A1145</f>
        <v>25.825156766515555</v>
      </c>
    </row>
    <row r="1146" spans="1:4">
      <c r="A1146" s="18">
        <f t="shared" si="7"/>
        <v>1144</v>
      </c>
      <c r="B1146" s="30">
        <v>46010</v>
      </c>
      <c r="C1146" s="31">
        <v>30.360000610351563</v>
      </c>
      <c r="D1146" s="18">
        <f>SUM(C$3:C1146)/A1146</f>
        <v>25.829120790854571</v>
      </c>
    </row>
    <row r="1147" spans="1:4">
      <c r="A1147" s="18">
        <f t="shared" si="7"/>
        <v>1145</v>
      </c>
      <c r="B1147" s="30">
        <v>46013</v>
      </c>
      <c r="C1147" s="31">
        <v>30.860000610351562</v>
      </c>
      <c r="D1147" s="18">
        <f>SUM(C$3:C1147)/A1147</f>
        <v>25.833514572356314</v>
      </c>
    </row>
    <row r="1148" spans="1:4">
      <c r="A1148" s="18">
        <f t="shared" si="7"/>
        <v>1146</v>
      </c>
      <c r="B1148" s="30">
        <v>46014</v>
      </c>
      <c r="C1148" s="31">
        <v>31.059999465942383</v>
      </c>
      <c r="D1148" s="18">
        <f>SUM(C$3:C1148)/A1148</f>
        <v>25.838075204898711</v>
      </c>
    </row>
    <row r="1149" spans="1:4">
      <c r="A1149" s="18">
        <f t="shared" si="7"/>
        <v>1147</v>
      </c>
      <c r="B1149" s="30">
        <v>46015</v>
      </c>
      <c r="C1149" s="31">
        <v>31.219999313354492</v>
      </c>
      <c r="D1149" s="18">
        <f>SUM(C$3:C1149)/A1149</f>
        <v>25.842767379361185</v>
      </c>
    </row>
    <row r="1150" spans="1:4">
      <c r="A1150" s="18">
        <f t="shared" si="7"/>
        <v>1148</v>
      </c>
      <c r="B1150" s="30">
        <v>46016</v>
      </c>
      <c r="C1150" s="31">
        <v>31.329999923706055</v>
      </c>
      <c r="D1150" s="18">
        <f>SUM(C$3:C1150)/A1150</f>
        <v>25.847547198650684</v>
      </c>
    </row>
    <row r="1151" spans="1:4">
      <c r="A1151" s="18">
        <f t="shared" si="7"/>
        <v>1149</v>
      </c>
      <c r="B1151" s="30">
        <v>46017</v>
      </c>
      <c r="C1151" s="31">
        <v>31.469999313354492</v>
      </c>
      <c r="D1151" s="18">
        <f>SUM(C$3:C1151)/A1151</f>
        <v>25.85244054252771</v>
      </c>
    </row>
    <row r="1152" spans="1:4">
      <c r="A1152" s="18">
        <f t="shared" si="7"/>
        <v>1150</v>
      </c>
      <c r="B1152" s="30">
        <v>46020</v>
      </c>
      <c r="C1152" s="31">
        <v>31.229999542236328</v>
      </c>
      <c r="D1152" s="18">
        <f>SUM(C$3:C1152)/A1152</f>
        <v>25.857116680788327</v>
      </c>
    </row>
    <row r="1153" spans="1:4">
      <c r="A1153" s="18">
        <f t="shared" si="7"/>
        <v>1151</v>
      </c>
      <c r="B1153" s="30">
        <v>46021</v>
      </c>
      <c r="C1153" s="31">
        <v>31.450000762939453</v>
      </c>
      <c r="D1153" s="18">
        <f>SUM(C$3:C1153)/A1153</f>
        <v>25.8619758329014</v>
      </c>
    </row>
    <row r="1154" spans="1:4">
      <c r="A1154" s="18">
        <f t="shared" si="7"/>
        <v>1152</v>
      </c>
      <c r="B1154" s="30">
        <v>46022</v>
      </c>
      <c r="C1154" s="31">
        <v>31.129999160000001</v>
      </c>
      <c r="D1154" s="18">
        <f>SUM(C$3:C1154)/A1154</f>
        <v>25.866548769817285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2026-02-01T02:49:55Z</dcterms:modified>
</cp:coreProperties>
</file>