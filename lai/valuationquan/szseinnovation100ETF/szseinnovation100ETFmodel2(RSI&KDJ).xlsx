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-105" yWindow="-105" windowWidth="15600" windowHeight="11760" tabRatio="530" firstSheet="2" activeTab="4"/>
  </bookViews>
  <sheets>
    <sheet name="model2(1)" sheetId="14" r:id="rId1"/>
    <sheet name="model2(1)&amp;RSI" sheetId="11" r:id="rId2"/>
    <sheet name="model2(2)&amp;RSI" sheetId="15" r:id="rId3"/>
    <sheet name="model2(2)vol&amp;RSI" sheetId="13" r:id="rId4"/>
    <sheet name="model2(1)&amp;KDJ" sheetId="10" r:id="rId5"/>
    <sheet name="model2(2)vol" sheetId="9" r:id="rId6"/>
    <sheet name="model2(2)" sheetId="8" r:id="rId7"/>
  </sheets>
  <externalReferences>
    <externalReference r:id="rId8"/>
    <externalReference r:id="rId9"/>
    <externalReference r:id="rId10"/>
  </externalReferences>
  <definedNames>
    <definedName name="_xlnm._FilterDatabase" localSheetId="0" hidden="1">'model2(1)'!$P$1:$P$23</definedName>
    <definedName name="_xlnm._FilterDatabase" localSheetId="4" hidden="1">'model2(1)&amp;KDJ'!$S$1:$S$23</definedName>
    <definedName name="_xlnm._FilterDatabase" localSheetId="1" hidden="1">'model2(1)&amp;RSI'!$Q$1:$Q$24</definedName>
    <definedName name="_xlnm._FilterDatabase" localSheetId="6" hidden="1">'model2(2)'!$P$1:$P$24</definedName>
    <definedName name="_xlnm._FilterDatabase" localSheetId="2" hidden="1">'model2(2)&amp;RSI'!$Q$1:$Q$24</definedName>
    <definedName name="_xlnm._FilterDatabase" localSheetId="5" hidden="1">'model2(2)vol'!$S$1:$S$24</definedName>
    <definedName name="_xlnm._FilterDatabase" localSheetId="3" hidden="1">'model2(2)vol&amp;RSI'!$S$1:$S$23</definedName>
    <definedName name="金额" localSheetId="0">OFFSET('model2(1)'!K1,0,0,COUNTA('model2(1)'!K:K)-1)</definedName>
    <definedName name="金额" localSheetId="4">OFFSET('model2(1)&amp;KDJ'!K1,0,0,COUNTA('model2(1)&amp;KDJ'!K:K)-1)</definedName>
    <definedName name="金额" localSheetId="1">OFFSET('model2(1)&amp;RSI'!K1,0,0,COUNTA('model2(1)&amp;RSI'!K:K)-1)</definedName>
    <definedName name="金额" localSheetId="6">OFFSET('model2(2)'!K1,0,0,COUNTA('model2(2)'!K:K)-1)</definedName>
    <definedName name="金额" localSheetId="2">OFFSET('model2(2)&amp;RSI'!K1,0,0,COUNTA('model2(2)&amp;RSI'!K:K)-1)</definedName>
    <definedName name="金额" localSheetId="5">OFFSET('model2(2)vol'!M1,0,0,COUNTA('model2(2)vol'!M:M)-1)</definedName>
    <definedName name="金额" localSheetId="3">OFFSET('model2(2)vol&amp;RSI'!M1,0,0,COUNTA('model2(2)vol&amp;RSI'!M:M)-1)</definedName>
    <definedName name="买卖" localSheetId="0">OFFSET('model2(1)'!E1,0,0,COUNTA('model2(1)'!E:E)-2)</definedName>
    <definedName name="买卖" localSheetId="4">OFFSET('model2(1)&amp;KDJ'!E1,0,0,COUNTA('model2(1)&amp;KDJ'!E:E)-2)</definedName>
    <definedName name="买卖" localSheetId="1">OFFSET('model2(1)&amp;RSI'!E1,0,0,COUNTA('model2(1)&amp;RSI'!E:E)-2)</definedName>
    <definedName name="买卖" localSheetId="6">OFFSET('model2(2)'!E1,0,0,COUNTA('model2(2)'!E:E)-2)</definedName>
    <definedName name="买卖" localSheetId="2">OFFSET('model2(2)&amp;RSI'!E1,0,0,COUNTA('model2(2)&amp;RSI'!E:E)-2)</definedName>
    <definedName name="买卖" localSheetId="5">OFFSET('model2(2)vol'!G1,0,0,COUNTA('model2(2)vol'!G:G)-2)</definedName>
    <definedName name="买卖" localSheetId="3">OFFSET('model2(2)vol&amp;RSI'!G1,0,0,COUNTA('model2(2)vol&amp;RSI'!G:G)-2)</definedName>
    <definedName name="时间" localSheetId="0">OFFSET('model2(1)'!A1,0,0,COUNTA('model2(1)'!A:A)-1)</definedName>
    <definedName name="时间" localSheetId="4">OFFSET('model2(1)&amp;KDJ'!A1,0,0,COUNTA('model2(1)&amp;KDJ'!A:A)-1)</definedName>
    <definedName name="时间" localSheetId="1">OFFSET('model2(1)&amp;RSI'!A1,0,0,COUNTA('model2(1)&amp;RSI'!A:A)-1)</definedName>
    <definedName name="时间" localSheetId="6">OFFSET('model2(2)'!A1,0,0,COUNTA('model2(2)'!A:A)-1)</definedName>
    <definedName name="时间" localSheetId="2">OFFSET('model2(2)&amp;RSI'!A1,0,0,COUNTA('model2(2)&amp;RSI'!A:A)-1)</definedName>
    <definedName name="时间" localSheetId="5">OFFSET('model2(2)vol'!A1,0,0,COUNTA('model2(2)vol'!A:A)-1)</definedName>
    <definedName name="时间" localSheetId="3">OFFSET('model2(2)vol&amp;RSI'!A1,0,0,COUNTA('model2(2)vol&amp;RSI'!A:A)-1)</definedName>
    <definedName name="指数" localSheetId="0">OFFSET('model2(1)'!B1,0,0,COUNTA('model2(1)'!B:B)-1)</definedName>
    <definedName name="指数" localSheetId="4">OFFSET('model2(1)&amp;KDJ'!B1,0,0,COUNTA('model2(1)&amp;KDJ'!B:B)-1)</definedName>
    <definedName name="指数" localSheetId="1">OFFSET('model2(1)&amp;RSI'!B1,0,0,COUNTA('model2(1)&amp;RSI'!B:B)-1)</definedName>
    <definedName name="指数" localSheetId="6">OFFSET('model2(2)'!B1,0,0,COUNTA('model2(2)'!B:B)-1)</definedName>
    <definedName name="指数" localSheetId="2">OFFSET('model2(2)&amp;RSI'!B1,0,0,COUNTA('model2(2)&amp;RSI'!B:B)-1)</definedName>
    <definedName name="指数" localSheetId="5">OFFSET('model2(2)vol'!B1,0,0,COUNTA('model2(2)vol'!B:B)-1)</definedName>
    <definedName name="指数" localSheetId="3">OFFSET('model2(2)vol&amp;RSI'!B1,0,0,COUNTA('model2(2)vol&amp;RSI'!B:B)-1)</definedName>
    <definedName name="资产" localSheetId="0">OFFSET('model2(1)'!J1,0,0,COUNTA('model2(1)'!J:J)-1)</definedName>
    <definedName name="资产" localSheetId="4">OFFSET('model2(1)&amp;KDJ'!J1,0,0,COUNTA('model2(1)&amp;KDJ'!J:J)-1)</definedName>
    <definedName name="资产" localSheetId="1">OFFSET('model2(1)&amp;RSI'!J1,0,0,COUNTA('model2(1)&amp;RSI'!J:J)-1)</definedName>
    <definedName name="资产" localSheetId="6">OFFSET('model2(2)'!J1,0,0,COUNTA('model2(2)'!J:J)-1)</definedName>
    <definedName name="资产" localSheetId="2">OFFSET('model2(2)&amp;RSI'!J1,0,0,COUNTA('model2(2)&amp;RSI'!J:J)-1)</definedName>
    <definedName name="资产" localSheetId="5">OFFSET('model2(2)vol'!L1,0,0,COUNTA('model2(2)vol'!L:L)-1)</definedName>
    <definedName name="资产" localSheetId="3">OFFSET('model2(2)vol&amp;RSI'!L1,0,0,COUNTA('model2(2)vol&amp;RSI'!L:L)-1)</definedName>
    <definedName name="资金" localSheetId="0">OFFSET('model2(1)'!I1,0,0,COUNTA('model2(1)'!I:I)-1)</definedName>
    <definedName name="资金" localSheetId="4">OFFSET('model2(1)&amp;KDJ'!I1,0,0,COUNTA('model2(1)&amp;KDJ'!I:I)-1)</definedName>
    <definedName name="资金" localSheetId="1">OFFSET('model2(1)&amp;RSI'!I1,0,0,COUNTA('model2(1)&amp;RSI'!I:I)-1)</definedName>
    <definedName name="资金" localSheetId="6">OFFSET('model2(2)'!I1,0,0,COUNTA('model2(2)'!I:I)-1)</definedName>
    <definedName name="资金" localSheetId="2">OFFSET('model2(2)&amp;RSI'!I1,0,0,COUNTA('model2(2)&amp;RSI'!I:I)-1)</definedName>
    <definedName name="资金" localSheetId="5">OFFSET('model2(2)vol'!K1,0,0,COUNTA('model2(2)vol'!K:K)-1)</definedName>
    <definedName name="资金" localSheetId="3">OFFSET('model2(2)vol&amp;RSI'!K1,0,0,COUNTA('model2(2)vol&amp;RSI'!K:K)-1)</definedName>
  </definedNames>
  <calcPr calcId="145621"/>
</workbook>
</file>

<file path=xl/calcChain.xml><?xml version="1.0" encoding="utf-8"?>
<calcChain xmlns="http://schemas.openxmlformats.org/spreadsheetml/2006/main">
  <c r="Q63" i="13" l="1"/>
  <c r="P63" i="13"/>
  <c r="O63" i="13"/>
  <c r="F63" i="13"/>
  <c r="E63" i="13"/>
  <c r="D63" i="13"/>
  <c r="C63" i="13"/>
  <c r="B63" i="13"/>
  <c r="F63" i="9"/>
  <c r="E63" i="9"/>
  <c r="D63" i="9"/>
  <c r="C63" i="9"/>
  <c r="G63" i="9" s="1"/>
  <c r="B63" i="9"/>
  <c r="O63" i="15"/>
  <c r="N63" i="15"/>
  <c r="M63" i="15"/>
  <c r="D63" i="15"/>
  <c r="C63" i="15"/>
  <c r="B63" i="15"/>
  <c r="O63" i="11"/>
  <c r="N63" i="11"/>
  <c r="M63" i="11"/>
  <c r="D63" i="11"/>
  <c r="C63" i="11"/>
  <c r="B63" i="11"/>
  <c r="P63" i="10"/>
  <c r="Q63" i="10" s="1"/>
  <c r="E63" i="10" s="1"/>
  <c r="O63" i="10"/>
  <c r="N63" i="10"/>
  <c r="M63" i="10"/>
  <c r="D63" i="10"/>
  <c r="C63" i="10"/>
  <c r="B63" i="10"/>
  <c r="L63" i="8"/>
  <c r="I63" i="8"/>
  <c r="E63" i="8"/>
  <c r="D63" i="8"/>
  <c r="C63" i="8"/>
  <c r="B63" i="8"/>
  <c r="F63" i="8" s="1"/>
  <c r="L63" i="14"/>
  <c r="I63" i="14"/>
  <c r="E63" i="14"/>
  <c r="D63" i="14"/>
  <c r="C63" i="14"/>
  <c r="B63" i="14"/>
  <c r="F63" i="14" s="1"/>
  <c r="H63" i="9" l="1"/>
  <c r="F63" i="10"/>
  <c r="Q62" i="13"/>
  <c r="R63" i="13" s="1"/>
  <c r="G63" i="13" s="1"/>
  <c r="H63" i="13" s="1"/>
  <c r="P62" i="13"/>
  <c r="O62" i="13"/>
  <c r="F62" i="13"/>
  <c r="E62" i="13"/>
  <c r="D62" i="13"/>
  <c r="C62" i="13"/>
  <c r="B62" i="13"/>
  <c r="F62" i="9"/>
  <c r="E62" i="9"/>
  <c r="D62" i="9"/>
  <c r="C62" i="9"/>
  <c r="B62" i="9"/>
  <c r="O62" i="15"/>
  <c r="P63" i="15" s="1"/>
  <c r="E63" i="15" s="1"/>
  <c r="F63" i="15" s="1"/>
  <c r="N62" i="15"/>
  <c r="M62" i="15"/>
  <c r="D62" i="15"/>
  <c r="C62" i="15"/>
  <c r="B62" i="15"/>
  <c r="O62" i="11"/>
  <c r="P63" i="11" s="1"/>
  <c r="E63" i="11" s="1"/>
  <c r="N62" i="11"/>
  <c r="M62" i="11"/>
  <c r="D62" i="11"/>
  <c r="C62" i="11"/>
  <c r="B62" i="11"/>
  <c r="D62" i="10"/>
  <c r="C62" i="10"/>
  <c r="B62" i="10"/>
  <c r="L62" i="8"/>
  <c r="I62" i="8"/>
  <c r="E62" i="8"/>
  <c r="D62" i="8"/>
  <c r="C62" i="8"/>
  <c r="B62" i="8"/>
  <c r="F62" i="8" s="1"/>
  <c r="L62" i="14"/>
  <c r="I62" i="14"/>
  <c r="E62" i="14"/>
  <c r="D62" i="14"/>
  <c r="C62" i="14"/>
  <c r="B62" i="14"/>
  <c r="F62" i="14" s="1"/>
  <c r="F63" i="11" l="1"/>
  <c r="G62" i="9"/>
  <c r="H62" i="9" s="1"/>
  <c r="Q61" i="13"/>
  <c r="R62" i="13" s="1"/>
  <c r="G62" i="13" s="1"/>
  <c r="P61" i="13"/>
  <c r="O61" i="13"/>
  <c r="F61" i="13"/>
  <c r="E61" i="13"/>
  <c r="D61" i="13"/>
  <c r="C61" i="13"/>
  <c r="B61" i="13"/>
  <c r="F61" i="9"/>
  <c r="E61" i="9"/>
  <c r="D61" i="9"/>
  <c r="C61" i="9"/>
  <c r="B61" i="9"/>
  <c r="O61" i="15"/>
  <c r="P62" i="15" s="1"/>
  <c r="E62" i="15" s="1"/>
  <c r="N61" i="15"/>
  <c r="M61" i="15"/>
  <c r="D61" i="15"/>
  <c r="C61" i="15"/>
  <c r="B61" i="15"/>
  <c r="O61" i="11"/>
  <c r="P62" i="11" s="1"/>
  <c r="E62" i="11" s="1"/>
  <c r="N61" i="11"/>
  <c r="M61" i="11"/>
  <c r="D61" i="11"/>
  <c r="C61" i="11"/>
  <c r="B61" i="11"/>
  <c r="D61" i="10"/>
  <c r="C61" i="10"/>
  <c r="B61" i="10"/>
  <c r="L61" i="8"/>
  <c r="I61" i="8"/>
  <c r="E61" i="8"/>
  <c r="D61" i="8"/>
  <c r="C61" i="8"/>
  <c r="B61" i="8"/>
  <c r="F61" i="8" s="1"/>
  <c r="L61" i="14"/>
  <c r="I61" i="14"/>
  <c r="E61" i="14"/>
  <c r="D61" i="14"/>
  <c r="C61" i="14"/>
  <c r="B61" i="14"/>
  <c r="F61" i="14" s="1"/>
  <c r="H62" i="13" l="1"/>
  <c r="F62" i="15"/>
  <c r="F62" i="11"/>
  <c r="G61" i="9"/>
  <c r="H61" i="9" s="1"/>
  <c r="Q60" i="13"/>
  <c r="R61" i="13" s="1"/>
  <c r="G61" i="13" s="1"/>
  <c r="P60" i="13"/>
  <c r="O60" i="13"/>
  <c r="F60" i="13"/>
  <c r="E60" i="13"/>
  <c r="D60" i="13"/>
  <c r="C60" i="13"/>
  <c r="B60" i="13"/>
  <c r="F60" i="9"/>
  <c r="E60" i="9"/>
  <c r="D60" i="9"/>
  <c r="C60" i="9"/>
  <c r="B60" i="9"/>
  <c r="O60" i="15"/>
  <c r="P61" i="15" s="1"/>
  <c r="E61" i="15" s="1"/>
  <c r="F61" i="15" s="1"/>
  <c r="N60" i="15"/>
  <c r="M60" i="15"/>
  <c r="D60" i="15"/>
  <c r="C60" i="15"/>
  <c r="B60" i="15"/>
  <c r="O60" i="11"/>
  <c r="P61" i="11" s="1"/>
  <c r="E61" i="11" s="1"/>
  <c r="F61" i="11" s="1"/>
  <c r="N60" i="11"/>
  <c r="M60" i="11"/>
  <c r="D60" i="11"/>
  <c r="C60" i="11"/>
  <c r="B60" i="11"/>
  <c r="D60" i="10"/>
  <c r="C60" i="10"/>
  <c r="B60" i="10"/>
  <c r="L60" i="8"/>
  <c r="I60" i="8"/>
  <c r="E60" i="8"/>
  <c r="D60" i="8"/>
  <c r="C60" i="8"/>
  <c r="B60" i="8"/>
  <c r="F60" i="8" s="1"/>
  <c r="L60" i="14"/>
  <c r="I60" i="14"/>
  <c r="E60" i="14"/>
  <c r="D60" i="14"/>
  <c r="C60" i="14"/>
  <c r="B60" i="14"/>
  <c r="F60" i="14" s="1"/>
  <c r="H61" i="13" l="1"/>
  <c r="G60" i="9"/>
  <c r="H60" i="9" s="1"/>
  <c r="Q59" i="13"/>
  <c r="R60" i="13" s="1"/>
  <c r="G60" i="13" s="1"/>
  <c r="P59" i="13"/>
  <c r="O59" i="13"/>
  <c r="F59" i="13"/>
  <c r="E59" i="13"/>
  <c r="D59" i="13"/>
  <c r="C59" i="13"/>
  <c r="B59" i="13"/>
  <c r="F59" i="9"/>
  <c r="E59" i="9"/>
  <c r="D59" i="9"/>
  <c r="C59" i="9"/>
  <c r="B59" i="9"/>
  <c r="O59" i="15"/>
  <c r="P60" i="15" s="1"/>
  <c r="E60" i="15" s="1"/>
  <c r="F60" i="15" s="1"/>
  <c r="N59" i="15"/>
  <c r="M59" i="15"/>
  <c r="D59" i="15"/>
  <c r="C59" i="15"/>
  <c r="B59" i="15"/>
  <c r="O59" i="11"/>
  <c r="P60" i="11" s="1"/>
  <c r="E60" i="11" s="1"/>
  <c r="F60" i="11" s="1"/>
  <c r="N59" i="11"/>
  <c r="M59" i="11"/>
  <c r="D59" i="11"/>
  <c r="C59" i="11"/>
  <c r="B59" i="11"/>
  <c r="D59" i="10"/>
  <c r="C59" i="10"/>
  <c r="B59" i="10"/>
  <c r="L59" i="8"/>
  <c r="I59" i="8"/>
  <c r="E59" i="8"/>
  <c r="D59" i="8"/>
  <c r="C59" i="8"/>
  <c r="B59" i="8"/>
  <c r="F59" i="8" s="1"/>
  <c r="L59" i="14"/>
  <c r="I59" i="14"/>
  <c r="E59" i="14"/>
  <c r="D59" i="14"/>
  <c r="C59" i="14"/>
  <c r="B59" i="14"/>
  <c r="F59" i="14" s="1"/>
  <c r="G59" i="9" l="1"/>
  <c r="H60" i="13"/>
  <c r="H59" i="9"/>
  <c r="Q58" i="13"/>
  <c r="R59" i="13" s="1"/>
  <c r="G59" i="13" s="1"/>
  <c r="P58" i="13"/>
  <c r="O58" i="13"/>
  <c r="F58" i="13"/>
  <c r="E58" i="13"/>
  <c r="D58" i="13"/>
  <c r="C58" i="13"/>
  <c r="B58" i="13"/>
  <c r="F58" i="9"/>
  <c r="E58" i="9"/>
  <c r="D58" i="9"/>
  <c r="C58" i="9"/>
  <c r="B58" i="9"/>
  <c r="O58" i="15"/>
  <c r="P59" i="15" s="1"/>
  <c r="E59" i="15" s="1"/>
  <c r="F59" i="15" s="1"/>
  <c r="N58" i="15"/>
  <c r="M58" i="15"/>
  <c r="D58" i="15"/>
  <c r="C58" i="15"/>
  <c r="B58" i="15"/>
  <c r="O58" i="11"/>
  <c r="P59" i="11" s="1"/>
  <c r="E59" i="11" s="1"/>
  <c r="N58" i="11"/>
  <c r="M58" i="11"/>
  <c r="D58" i="11"/>
  <c r="C58" i="11"/>
  <c r="B58" i="11"/>
  <c r="D58" i="10"/>
  <c r="C58" i="10"/>
  <c r="B58" i="10"/>
  <c r="L58" i="8"/>
  <c r="I58" i="8"/>
  <c r="E58" i="8"/>
  <c r="D58" i="8"/>
  <c r="C58" i="8"/>
  <c r="B58" i="8"/>
  <c r="F58" i="8" s="1"/>
  <c r="L58" i="14"/>
  <c r="I58" i="14"/>
  <c r="E58" i="14"/>
  <c r="D58" i="14"/>
  <c r="C58" i="14"/>
  <c r="B58" i="14"/>
  <c r="F58" i="14" s="1"/>
  <c r="G58" i="9" l="1"/>
  <c r="H58" i="9" s="1"/>
  <c r="F59" i="11"/>
  <c r="H59" i="13"/>
  <c r="Q57" i="13"/>
  <c r="R58" i="13" s="1"/>
  <c r="G58" i="13" s="1"/>
  <c r="H58" i="13" s="1"/>
  <c r="P57" i="13"/>
  <c r="O57" i="13"/>
  <c r="F57" i="13"/>
  <c r="E57" i="13"/>
  <c r="D57" i="13"/>
  <c r="C57" i="13"/>
  <c r="B57" i="13"/>
  <c r="F57" i="9"/>
  <c r="E57" i="9"/>
  <c r="D57" i="9"/>
  <c r="C57" i="9"/>
  <c r="B57" i="9"/>
  <c r="O57" i="15"/>
  <c r="P58" i="15" s="1"/>
  <c r="E58" i="15" s="1"/>
  <c r="F58" i="15" s="1"/>
  <c r="N57" i="15"/>
  <c r="M57" i="15"/>
  <c r="D57" i="15"/>
  <c r="C57" i="15"/>
  <c r="B57" i="15"/>
  <c r="O57" i="11"/>
  <c r="P58" i="11" s="1"/>
  <c r="E58" i="11" s="1"/>
  <c r="N57" i="11"/>
  <c r="M57" i="11"/>
  <c r="D57" i="11"/>
  <c r="C57" i="11"/>
  <c r="B57" i="11"/>
  <c r="D57" i="10"/>
  <c r="C57" i="10"/>
  <c r="B57" i="10"/>
  <c r="D57" i="8"/>
  <c r="C57" i="8"/>
  <c r="E57" i="8" s="1"/>
  <c r="B57" i="8"/>
  <c r="D57" i="14"/>
  <c r="C57" i="14"/>
  <c r="E57" i="14" s="1"/>
  <c r="B57" i="14"/>
  <c r="F58" i="11" l="1"/>
  <c r="G57" i="9"/>
  <c r="H57" i="9" s="1"/>
  <c r="F57" i="14"/>
  <c r="F57" i="8"/>
  <c r="F56" i="13"/>
  <c r="E56" i="13"/>
  <c r="D56" i="13"/>
  <c r="C56" i="13"/>
  <c r="B56" i="13"/>
  <c r="F56" i="9"/>
  <c r="E56" i="9"/>
  <c r="D56" i="9"/>
  <c r="C56" i="9"/>
  <c r="B56" i="9"/>
  <c r="D56" i="15"/>
  <c r="C56" i="15"/>
  <c r="B56" i="15"/>
  <c r="D56" i="11"/>
  <c r="C56" i="11"/>
  <c r="B56" i="11"/>
  <c r="D56" i="10"/>
  <c r="C56" i="10"/>
  <c r="B56" i="10"/>
  <c r="D56" i="8"/>
  <c r="C56" i="8"/>
  <c r="E56" i="8" s="1"/>
  <c r="B56" i="8"/>
  <c r="D56" i="14"/>
  <c r="C56" i="14"/>
  <c r="E56" i="14" s="1"/>
  <c r="B56" i="14"/>
  <c r="F56" i="14" l="1"/>
  <c r="G56" i="9"/>
  <c r="H56" i="9" s="1"/>
  <c r="F56" i="8"/>
  <c r="F55" i="13"/>
  <c r="E55" i="13"/>
  <c r="D55" i="13"/>
  <c r="C55" i="13"/>
  <c r="B55" i="13"/>
  <c r="F55" i="9"/>
  <c r="E55" i="9"/>
  <c r="D55" i="9"/>
  <c r="C55" i="9"/>
  <c r="B55" i="9"/>
  <c r="D55" i="15"/>
  <c r="C55" i="15"/>
  <c r="B55" i="15"/>
  <c r="D55" i="11"/>
  <c r="C55" i="11"/>
  <c r="B55" i="11"/>
  <c r="D55" i="10"/>
  <c r="C55" i="10"/>
  <c r="B55" i="10"/>
  <c r="D55" i="8"/>
  <c r="C55" i="8"/>
  <c r="E55" i="8" s="1"/>
  <c r="B55" i="8"/>
  <c r="D55" i="14"/>
  <c r="C55" i="14"/>
  <c r="E55" i="14" s="1"/>
  <c r="B55" i="14"/>
  <c r="F55" i="14" l="1"/>
  <c r="F55" i="8"/>
  <c r="G55" i="9"/>
  <c r="H55" i="9" s="1"/>
  <c r="F54" i="13"/>
  <c r="E54" i="13"/>
  <c r="D54" i="13"/>
  <c r="C54" i="13"/>
  <c r="B54" i="13"/>
  <c r="F54" i="9"/>
  <c r="E54" i="9"/>
  <c r="D54" i="9"/>
  <c r="C54" i="9"/>
  <c r="B54" i="9"/>
  <c r="D54" i="15"/>
  <c r="C54" i="15"/>
  <c r="B54" i="15"/>
  <c r="D54" i="11"/>
  <c r="C54" i="11"/>
  <c r="B54" i="11"/>
  <c r="D54" i="10"/>
  <c r="C54" i="10"/>
  <c r="B54" i="10"/>
  <c r="D54" i="8"/>
  <c r="C54" i="8"/>
  <c r="E54" i="8" s="1"/>
  <c r="B54" i="8"/>
  <c r="D54" i="14"/>
  <c r="C54" i="14"/>
  <c r="E54" i="14" s="1"/>
  <c r="B54" i="14"/>
  <c r="F54" i="14" l="1"/>
  <c r="F54" i="8"/>
  <c r="G54" i="9"/>
  <c r="H54" i="9" s="1"/>
  <c r="F53" i="13"/>
  <c r="E53" i="13"/>
  <c r="D53" i="13"/>
  <c r="C53" i="13"/>
  <c r="B53" i="13"/>
  <c r="F53" i="9"/>
  <c r="E53" i="9"/>
  <c r="D53" i="9"/>
  <c r="C53" i="9"/>
  <c r="B53" i="9"/>
  <c r="D53" i="15"/>
  <c r="C53" i="15"/>
  <c r="B53" i="15"/>
  <c r="D53" i="11"/>
  <c r="C53" i="11"/>
  <c r="B53" i="11"/>
  <c r="D53" i="10"/>
  <c r="C53" i="10"/>
  <c r="B53" i="10"/>
  <c r="D53" i="8"/>
  <c r="C53" i="8"/>
  <c r="B53" i="8"/>
  <c r="D53" i="14"/>
  <c r="C53" i="14"/>
  <c r="E53" i="14" s="1"/>
  <c r="B53" i="14"/>
  <c r="E53" i="8" l="1"/>
  <c r="F53" i="14"/>
  <c r="F53" i="8"/>
  <c r="G53" i="9"/>
  <c r="H53" i="9" s="1"/>
  <c r="F52" i="13"/>
  <c r="E52" i="13"/>
  <c r="D52" i="13"/>
  <c r="C52" i="13"/>
  <c r="B52" i="13"/>
  <c r="F52" i="9"/>
  <c r="E52" i="9"/>
  <c r="D52" i="9"/>
  <c r="C52" i="9"/>
  <c r="B52" i="9"/>
  <c r="D52" i="15"/>
  <c r="C52" i="15"/>
  <c r="B52" i="15"/>
  <c r="D52" i="11"/>
  <c r="C52" i="11"/>
  <c r="B52" i="11"/>
  <c r="D52" i="10"/>
  <c r="C52" i="10"/>
  <c r="B52" i="10"/>
  <c r="D52" i="8"/>
  <c r="C52" i="8"/>
  <c r="E52" i="8" s="1"/>
  <c r="B52" i="8"/>
  <c r="D52" i="14"/>
  <c r="C52" i="14"/>
  <c r="B52" i="14"/>
  <c r="E52" i="14" l="1"/>
  <c r="F52" i="14" s="1"/>
  <c r="F52" i="8"/>
  <c r="G52" i="9"/>
  <c r="H52" i="9" s="1"/>
  <c r="F51" i="13"/>
  <c r="E51" i="13"/>
  <c r="D51" i="13"/>
  <c r="C51" i="13"/>
  <c r="B51" i="13"/>
  <c r="F51" i="9"/>
  <c r="E51" i="9"/>
  <c r="D51" i="9"/>
  <c r="C51" i="9"/>
  <c r="B51" i="9"/>
  <c r="D51" i="15"/>
  <c r="C51" i="15"/>
  <c r="B51" i="15"/>
  <c r="D51" i="11"/>
  <c r="C51" i="11"/>
  <c r="B51" i="11"/>
  <c r="D51" i="10"/>
  <c r="C51" i="10"/>
  <c r="B51" i="10"/>
  <c r="D51" i="8"/>
  <c r="C51" i="8"/>
  <c r="E51" i="8" s="1"/>
  <c r="B51" i="8"/>
  <c r="D51" i="14"/>
  <c r="C51" i="14"/>
  <c r="B51" i="14"/>
  <c r="E51" i="14" l="1"/>
  <c r="F51" i="14" s="1"/>
  <c r="F51" i="8"/>
  <c r="G51" i="9"/>
  <c r="H51" i="9" s="1"/>
  <c r="F50" i="13"/>
  <c r="E50" i="13"/>
  <c r="D50" i="13"/>
  <c r="C50" i="13"/>
  <c r="B50" i="13"/>
  <c r="F50" i="9"/>
  <c r="E50" i="9"/>
  <c r="D50" i="9"/>
  <c r="C50" i="9"/>
  <c r="B50" i="9"/>
  <c r="D50" i="15"/>
  <c r="C50" i="15"/>
  <c r="B50" i="15"/>
  <c r="D50" i="11"/>
  <c r="C50" i="11"/>
  <c r="B50" i="11"/>
  <c r="D50" i="10"/>
  <c r="C50" i="10"/>
  <c r="B50" i="10"/>
  <c r="D50" i="8"/>
  <c r="C50" i="8"/>
  <c r="B50" i="8"/>
  <c r="D50" i="14"/>
  <c r="C50" i="14"/>
  <c r="B50" i="14"/>
  <c r="E50" i="14" l="1"/>
  <c r="E50" i="8"/>
  <c r="F50" i="14"/>
  <c r="F50" i="8"/>
  <c r="G50" i="9"/>
  <c r="H50" i="9" s="1"/>
  <c r="F49" i="13"/>
  <c r="E49" i="13"/>
  <c r="D49" i="13"/>
  <c r="C49" i="13"/>
  <c r="B49" i="13"/>
  <c r="F49" i="9"/>
  <c r="E49" i="9"/>
  <c r="D49" i="9"/>
  <c r="C49" i="9"/>
  <c r="B49" i="9"/>
  <c r="D49" i="15"/>
  <c r="C49" i="15"/>
  <c r="B49" i="15"/>
  <c r="D49" i="11"/>
  <c r="C49" i="11"/>
  <c r="B49" i="11"/>
  <c r="D49" i="10"/>
  <c r="C49" i="10"/>
  <c r="B49" i="10"/>
  <c r="D49" i="8"/>
  <c r="C49" i="8"/>
  <c r="B49" i="8"/>
  <c r="D49" i="14"/>
  <c r="C49" i="14"/>
  <c r="E49" i="14" s="1"/>
  <c r="B49" i="14"/>
  <c r="E49" i="8" l="1"/>
  <c r="F49" i="14"/>
  <c r="F49" i="8"/>
  <c r="G49" i="9"/>
  <c r="H49" i="9" s="1"/>
  <c r="F48" i="13"/>
  <c r="E48" i="13"/>
  <c r="D48" i="13"/>
  <c r="C48" i="13"/>
  <c r="B48" i="13"/>
  <c r="F48" i="9"/>
  <c r="E48" i="9"/>
  <c r="D48" i="9"/>
  <c r="C48" i="9"/>
  <c r="B48" i="9"/>
  <c r="D48" i="15"/>
  <c r="C48" i="15"/>
  <c r="B48" i="15"/>
  <c r="D48" i="11"/>
  <c r="C48" i="11"/>
  <c r="B48" i="11"/>
  <c r="D48" i="10"/>
  <c r="C48" i="10"/>
  <c r="B48" i="10"/>
  <c r="D48" i="8"/>
  <c r="C48" i="8"/>
  <c r="E48" i="8" s="1"/>
  <c r="B48" i="8"/>
  <c r="D48" i="14"/>
  <c r="C48" i="14"/>
  <c r="B48" i="14"/>
  <c r="E48" i="14" l="1"/>
  <c r="F48" i="14" s="1"/>
  <c r="F48" i="8"/>
  <c r="G48" i="9"/>
  <c r="H48" i="9" s="1"/>
  <c r="F47" i="13"/>
  <c r="E47" i="13"/>
  <c r="D47" i="13"/>
  <c r="C47" i="13"/>
  <c r="B47" i="13"/>
  <c r="F47" i="9"/>
  <c r="E47" i="9"/>
  <c r="D47" i="9"/>
  <c r="C47" i="9"/>
  <c r="B47" i="9"/>
  <c r="D47" i="15"/>
  <c r="C47" i="15"/>
  <c r="B47" i="15"/>
  <c r="D47" i="11"/>
  <c r="C47" i="11"/>
  <c r="B47" i="11"/>
  <c r="D47" i="10"/>
  <c r="C47" i="10"/>
  <c r="B47" i="10"/>
  <c r="D47" i="8"/>
  <c r="C47" i="8"/>
  <c r="E47" i="8" s="1"/>
  <c r="B47" i="8"/>
  <c r="D47" i="14"/>
  <c r="C47" i="14"/>
  <c r="B47" i="14"/>
  <c r="E47" i="14" l="1"/>
  <c r="F47" i="14" s="1"/>
  <c r="F47" i="8"/>
  <c r="G47" i="9"/>
  <c r="H47" i="9" s="1"/>
  <c r="F46" i="13"/>
  <c r="E46" i="13"/>
  <c r="D46" i="13"/>
  <c r="C46" i="13"/>
  <c r="B46" i="13"/>
  <c r="F46" i="9"/>
  <c r="E46" i="9"/>
  <c r="D46" i="9"/>
  <c r="C46" i="9"/>
  <c r="B46" i="9"/>
  <c r="D46" i="15"/>
  <c r="C46" i="15"/>
  <c r="B46" i="15"/>
  <c r="D46" i="11"/>
  <c r="C46" i="11"/>
  <c r="B46" i="11"/>
  <c r="D46" i="10"/>
  <c r="C46" i="10"/>
  <c r="B46" i="10"/>
  <c r="D46" i="8"/>
  <c r="C46" i="8"/>
  <c r="E46" i="8" s="1"/>
  <c r="B46" i="8"/>
  <c r="D46" i="14"/>
  <c r="C46" i="14"/>
  <c r="B46" i="14"/>
  <c r="E46" i="14" l="1"/>
  <c r="F46" i="14" s="1"/>
  <c r="F46" i="8"/>
  <c r="G46" i="9"/>
  <c r="H46" i="9" s="1"/>
  <c r="AJ6" i="13"/>
  <c r="AJ5" i="13"/>
  <c r="AJ4" i="13"/>
  <c r="AJ3" i="13"/>
  <c r="AJ8" i="13" s="1"/>
  <c r="AJ8" i="9"/>
  <c r="AJ6" i="9"/>
  <c r="AJ5" i="9"/>
  <c r="AJ4" i="9"/>
  <c r="AJ3" i="9"/>
  <c r="AH8" i="15"/>
  <c r="AH6" i="15"/>
  <c r="AH5" i="15"/>
  <c r="AH4" i="15"/>
  <c r="AH3" i="15"/>
  <c r="AH6" i="11"/>
  <c r="AH5" i="11"/>
  <c r="AH4" i="11"/>
  <c r="AH3" i="11"/>
  <c r="AH8" i="11" s="1"/>
  <c r="AJ6" i="10"/>
  <c r="AJ5" i="10"/>
  <c r="AJ4" i="10"/>
  <c r="AJ3" i="10"/>
  <c r="AJ8" i="10" s="1"/>
  <c r="AG6" i="8"/>
  <c r="AG5" i="8"/>
  <c r="AG4" i="8"/>
  <c r="AG3" i="8"/>
  <c r="AG8" i="8" s="1"/>
  <c r="AG8" i="14"/>
  <c r="AG6" i="14"/>
  <c r="AG5" i="14"/>
  <c r="AG4" i="14"/>
  <c r="AG3" i="14"/>
  <c r="F45" i="13" l="1"/>
  <c r="E45" i="13"/>
  <c r="D45" i="13"/>
  <c r="C45" i="13"/>
  <c r="B45" i="13"/>
  <c r="F45" i="9"/>
  <c r="E45" i="9"/>
  <c r="D45" i="9"/>
  <c r="C45" i="9"/>
  <c r="B45" i="9"/>
  <c r="D45" i="15"/>
  <c r="C45" i="15"/>
  <c r="B45" i="15"/>
  <c r="D45" i="11"/>
  <c r="C45" i="11"/>
  <c r="B45" i="11"/>
  <c r="D45" i="10"/>
  <c r="C45" i="10"/>
  <c r="B45" i="10"/>
  <c r="D45" i="8"/>
  <c r="C45" i="8"/>
  <c r="E45" i="8" s="1"/>
  <c r="B45" i="8"/>
  <c r="D45" i="14"/>
  <c r="C45" i="14"/>
  <c r="B45" i="14"/>
  <c r="E45" i="14" l="1"/>
  <c r="F45" i="14" s="1"/>
  <c r="F45" i="8"/>
  <c r="G45" i="9"/>
  <c r="H45" i="9" s="1"/>
  <c r="F44" i="13"/>
  <c r="E44" i="13"/>
  <c r="D44" i="13"/>
  <c r="C44" i="13"/>
  <c r="B44" i="13"/>
  <c r="F44" i="9"/>
  <c r="E44" i="9"/>
  <c r="D44" i="9"/>
  <c r="C44" i="9"/>
  <c r="B44" i="9"/>
  <c r="D44" i="15"/>
  <c r="C44" i="15"/>
  <c r="B44" i="15"/>
  <c r="D44" i="11"/>
  <c r="C44" i="11"/>
  <c r="B44" i="11"/>
  <c r="D44" i="10"/>
  <c r="C44" i="10"/>
  <c r="B44" i="10"/>
  <c r="D44" i="8"/>
  <c r="C44" i="8"/>
  <c r="B44" i="8"/>
  <c r="D44" i="14"/>
  <c r="C44" i="14"/>
  <c r="B44" i="14"/>
  <c r="E44" i="8" l="1"/>
  <c r="E44" i="14"/>
  <c r="G44" i="9"/>
  <c r="H44" i="9" s="1"/>
  <c r="F44" i="14"/>
  <c r="F44" i="8"/>
  <c r="F43" i="13"/>
  <c r="E43" i="13"/>
  <c r="D43" i="13"/>
  <c r="C43" i="13"/>
  <c r="B43" i="13"/>
  <c r="F43" i="9"/>
  <c r="E43" i="9"/>
  <c r="D43" i="9"/>
  <c r="C43" i="9"/>
  <c r="B43" i="9"/>
  <c r="D43" i="15"/>
  <c r="C43" i="15"/>
  <c r="B43" i="15"/>
  <c r="D43" i="11"/>
  <c r="C43" i="11"/>
  <c r="B43" i="11"/>
  <c r="D43" i="10"/>
  <c r="C43" i="10"/>
  <c r="B43" i="10"/>
  <c r="D43" i="8"/>
  <c r="C43" i="8"/>
  <c r="B43" i="8"/>
  <c r="D43" i="14"/>
  <c r="C43" i="14"/>
  <c r="B43" i="14"/>
  <c r="E43" i="8" l="1"/>
  <c r="E43" i="14"/>
  <c r="F43" i="14" s="1"/>
  <c r="F43" i="8"/>
  <c r="G43" i="9"/>
  <c r="H43" i="9" s="1"/>
  <c r="F42" i="13"/>
  <c r="E42" i="13"/>
  <c r="D42" i="13"/>
  <c r="C42" i="13"/>
  <c r="B42" i="13"/>
  <c r="F42" i="9"/>
  <c r="E42" i="9"/>
  <c r="D42" i="9"/>
  <c r="C42" i="9"/>
  <c r="B42" i="9"/>
  <c r="D42" i="15"/>
  <c r="C42" i="15"/>
  <c r="B42" i="15"/>
  <c r="D42" i="11"/>
  <c r="C42" i="11"/>
  <c r="B42" i="11"/>
  <c r="D42" i="10"/>
  <c r="C42" i="10"/>
  <c r="B42" i="10"/>
  <c r="D42" i="8"/>
  <c r="C42" i="8"/>
  <c r="B42" i="8"/>
  <c r="D42" i="14"/>
  <c r="C42" i="14"/>
  <c r="B42" i="14"/>
  <c r="E42" i="8" l="1"/>
  <c r="F42" i="8" s="1"/>
  <c r="E42" i="14"/>
  <c r="F42" i="14" s="1"/>
  <c r="G42" i="9"/>
  <c r="H42" i="9" s="1"/>
  <c r="F41" i="13"/>
  <c r="E41" i="13"/>
  <c r="D41" i="13"/>
  <c r="C41" i="13"/>
  <c r="B41" i="13"/>
  <c r="F41" i="9"/>
  <c r="E41" i="9"/>
  <c r="D41" i="9"/>
  <c r="C41" i="9"/>
  <c r="B41" i="9"/>
  <c r="D41" i="15"/>
  <c r="C41" i="15"/>
  <c r="B41" i="15"/>
  <c r="D41" i="11"/>
  <c r="C41" i="11"/>
  <c r="B41" i="11"/>
  <c r="D41" i="10"/>
  <c r="C41" i="10"/>
  <c r="B41" i="10"/>
  <c r="D41" i="8"/>
  <c r="C41" i="8"/>
  <c r="B41" i="8"/>
  <c r="D41" i="14"/>
  <c r="C41" i="14"/>
  <c r="B41" i="14"/>
  <c r="E41" i="14" l="1"/>
  <c r="E41" i="8"/>
  <c r="F41" i="14"/>
  <c r="F41" i="8"/>
  <c r="G41" i="9"/>
  <c r="H41" i="9" s="1"/>
  <c r="F40" i="13"/>
  <c r="E40" i="13"/>
  <c r="D40" i="13"/>
  <c r="C40" i="13"/>
  <c r="B40" i="13"/>
  <c r="F40" i="9"/>
  <c r="E40" i="9"/>
  <c r="D40" i="9"/>
  <c r="C40" i="9"/>
  <c r="B40" i="9"/>
  <c r="D40" i="15"/>
  <c r="C40" i="15"/>
  <c r="B40" i="15"/>
  <c r="D40" i="11"/>
  <c r="C40" i="11"/>
  <c r="B40" i="11"/>
  <c r="D40" i="10"/>
  <c r="C40" i="10"/>
  <c r="B40" i="10"/>
  <c r="D40" i="8"/>
  <c r="C40" i="8"/>
  <c r="B40" i="8"/>
  <c r="D40" i="14"/>
  <c r="C40" i="14"/>
  <c r="B40" i="14"/>
  <c r="E40" i="8" l="1"/>
  <c r="E40" i="14"/>
  <c r="F40" i="8"/>
  <c r="F40" i="14"/>
  <c r="G40" i="9"/>
  <c r="H40" i="9" s="1"/>
  <c r="F39" i="13"/>
  <c r="E39" i="13"/>
  <c r="D39" i="13"/>
  <c r="C39" i="13"/>
  <c r="B39" i="13"/>
  <c r="F39" i="9"/>
  <c r="E39" i="9"/>
  <c r="D39" i="9"/>
  <c r="C39" i="9"/>
  <c r="B39" i="9"/>
  <c r="D39" i="15"/>
  <c r="C39" i="15"/>
  <c r="B39" i="15"/>
  <c r="D39" i="11"/>
  <c r="C39" i="11"/>
  <c r="B39" i="11"/>
  <c r="D39" i="10"/>
  <c r="C39" i="10"/>
  <c r="B39" i="10"/>
  <c r="D39" i="8"/>
  <c r="C39" i="8"/>
  <c r="B39" i="8"/>
  <c r="D39" i="14"/>
  <c r="C39" i="14"/>
  <c r="B39" i="14"/>
  <c r="E39" i="8" l="1"/>
  <c r="E39" i="14"/>
  <c r="F39" i="8"/>
  <c r="F39" i="14"/>
  <c r="G39" i="9"/>
  <c r="H39" i="9" s="1"/>
  <c r="AD5" i="8"/>
  <c r="AD4" i="8"/>
  <c r="AD3" i="8"/>
  <c r="AD7" i="8" s="1"/>
  <c r="AG5" i="9"/>
  <c r="AG4" i="9"/>
  <c r="AG3" i="9"/>
  <c r="AG7" i="9" s="1"/>
  <c r="AG5" i="10"/>
  <c r="AG4" i="10"/>
  <c r="AG3" i="10"/>
  <c r="AG5" i="13"/>
  <c r="AG4" i="13"/>
  <c r="AG7" i="13" s="1"/>
  <c r="AG3" i="13"/>
  <c r="AE5" i="15"/>
  <c r="AE4" i="15"/>
  <c r="AE7" i="15" s="1"/>
  <c r="AE3" i="15"/>
  <c r="AE5" i="11"/>
  <c r="AE4" i="11"/>
  <c r="AE7" i="11" s="1"/>
  <c r="AE3" i="11"/>
  <c r="AD7" i="14"/>
  <c r="AD5" i="14"/>
  <c r="AD4" i="14"/>
  <c r="AD3" i="14"/>
  <c r="AG7" i="10" l="1"/>
  <c r="F38" i="13"/>
  <c r="E38" i="13"/>
  <c r="D38" i="13"/>
  <c r="C38" i="13"/>
  <c r="B38" i="13"/>
  <c r="F38" i="9"/>
  <c r="E38" i="9"/>
  <c r="D38" i="9"/>
  <c r="C38" i="9"/>
  <c r="B38" i="9"/>
  <c r="D38" i="15"/>
  <c r="C38" i="15"/>
  <c r="B38" i="15"/>
  <c r="D38" i="11"/>
  <c r="C38" i="11"/>
  <c r="B38" i="11"/>
  <c r="D38" i="10"/>
  <c r="C38" i="10"/>
  <c r="B38" i="10"/>
  <c r="D38" i="8"/>
  <c r="C38" i="8"/>
  <c r="B38" i="8"/>
  <c r="D38" i="14"/>
  <c r="C38" i="14"/>
  <c r="B38" i="14"/>
  <c r="E38" i="8" l="1"/>
  <c r="E38" i="14"/>
  <c r="F38" i="14" s="1"/>
  <c r="G38" i="9"/>
  <c r="H38" i="9" s="1"/>
  <c r="F38" i="8"/>
  <c r="F37" i="13"/>
  <c r="E37" i="13"/>
  <c r="D37" i="13"/>
  <c r="C37" i="13"/>
  <c r="B37" i="13"/>
  <c r="F37" i="9"/>
  <c r="E37" i="9"/>
  <c r="D37" i="9"/>
  <c r="C37" i="9"/>
  <c r="B37" i="9"/>
  <c r="D37" i="15"/>
  <c r="C37" i="15"/>
  <c r="B37" i="15"/>
  <c r="D37" i="11"/>
  <c r="C37" i="11"/>
  <c r="B37" i="11"/>
  <c r="D37" i="10"/>
  <c r="C37" i="10"/>
  <c r="B37" i="10"/>
  <c r="D37" i="8"/>
  <c r="C37" i="8"/>
  <c r="B37" i="8"/>
  <c r="D37" i="14"/>
  <c r="C37" i="14"/>
  <c r="B37" i="14"/>
  <c r="E37" i="8" l="1"/>
  <c r="E37" i="14"/>
  <c r="F37" i="14" s="1"/>
  <c r="G37" i="9"/>
  <c r="H37" i="9" s="1"/>
  <c r="F37" i="8"/>
  <c r="F36" i="13"/>
  <c r="E36" i="13"/>
  <c r="D36" i="13"/>
  <c r="C36" i="13"/>
  <c r="B36" i="13"/>
  <c r="F36" i="9"/>
  <c r="E36" i="9"/>
  <c r="D36" i="9"/>
  <c r="C36" i="9"/>
  <c r="B36" i="9"/>
  <c r="D36" i="15"/>
  <c r="C36" i="15"/>
  <c r="B36" i="15"/>
  <c r="D36" i="11"/>
  <c r="C36" i="11"/>
  <c r="B36" i="11"/>
  <c r="D36" i="10"/>
  <c r="C36" i="10"/>
  <c r="B36" i="10"/>
  <c r="D36" i="8"/>
  <c r="C36" i="8"/>
  <c r="B36" i="8"/>
  <c r="D36" i="14"/>
  <c r="C36" i="14"/>
  <c r="B36" i="14"/>
  <c r="E36" i="8" l="1"/>
  <c r="G36" i="9"/>
  <c r="H36" i="9" s="1"/>
  <c r="E36" i="14"/>
  <c r="F36" i="14" s="1"/>
  <c r="F36" i="8"/>
  <c r="F35" i="13"/>
  <c r="E35" i="13"/>
  <c r="D35" i="13"/>
  <c r="C35" i="13"/>
  <c r="B35" i="13"/>
  <c r="F35" i="9"/>
  <c r="E35" i="9"/>
  <c r="D35" i="9"/>
  <c r="C35" i="9"/>
  <c r="B35" i="9"/>
  <c r="D35" i="15"/>
  <c r="C35" i="15"/>
  <c r="B35" i="15"/>
  <c r="D35" i="11"/>
  <c r="C35" i="11"/>
  <c r="B35" i="11"/>
  <c r="D35" i="10"/>
  <c r="C35" i="10"/>
  <c r="B35" i="10"/>
  <c r="D35" i="8"/>
  <c r="C35" i="8"/>
  <c r="B35" i="8"/>
  <c r="D35" i="14"/>
  <c r="C35" i="14"/>
  <c r="B35" i="14"/>
  <c r="E35" i="14" l="1"/>
  <c r="E35" i="8"/>
  <c r="F35" i="14"/>
  <c r="F35" i="8"/>
  <c r="G35" i="9"/>
  <c r="H35" i="9" s="1"/>
  <c r="F34" i="13"/>
  <c r="E34" i="13"/>
  <c r="D34" i="13"/>
  <c r="C34" i="13"/>
  <c r="B34" i="13"/>
  <c r="F34" i="9"/>
  <c r="E34" i="9"/>
  <c r="D34" i="9"/>
  <c r="C34" i="9"/>
  <c r="B34" i="9"/>
  <c r="D34" i="15"/>
  <c r="C34" i="15"/>
  <c r="B34" i="15"/>
  <c r="D34" i="11"/>
  <c r="C34" i="11"/>
  <c r="B34" i="11"/>
  <c r="D34" i="10"/>
  <c r="C34" i="10"/>
  <c r="B34" i="10"/>
  <c r="D34" i="8"/>
  <c r="C34" i="8"/>
  <c r="B34" i="8"/>
  <c r="D34" i="14"/>
  <c r="C34" i="14"/>
  <c r="B34" i="14"/>
  <c r="E34" i="14" l="1"/>
  <c r="F34" i="14" s="1"/>
  <c r="E34" i="8"/>
  <c r="F34" i="8" s="1"/>
  <c r="G34" i="9"/>
  <c r="H34" i="9" s="1"/>
  <c r="F33" i="13"/>
  <c r="E33" i="13"/>
  <c r="D33" i="13"/>
  <c r="C33" i="13"/>
  <c r="B33" i="13"/>
  <c r="F33" i="9"/>
  <c r="E33" i="9"/>
  <c r="D33" i="9"/>
  <c r="C33" i="9"/>
  <c r="B33" i="9"/>
  <c r="D33" i="15"/>
  <c r="C33" i="15"/>
  <c r="B33" i="15"/>
  <c r="D33" i="11"/>
  <c r="C33" i="11"/>
  <c r="B33" i="11"/>
  <c r="D33" i="10"/>
  <c r="C33" i="10"/>
  <c r="B33" i="10"/>
  <c r="D33" i="8"/>
  <c r="C33" i="8"/>
  <c r="B33" i="8"/>
  <c r="D33" i="14"/>
  <c r="C33" i="14"/>
  <c r="B33" i="14"/>
  <c r="E33" i="8" l="1"/>
  <c r="E33" i="14"/>
  <c r="F33" i="14" s="1"/>
  <c r="F33" i="8"/>
  <c r="G33" i="9"/>
  <c r="H33" i="9" s="1"/>
  <c r="F32" i="13"/>
  <c r="E32" i="13"/>
  <c r="D32" i="13"/>
  <c r="C32" i="13"/>
  <c r="B32" i="13"/>
  <c r="F32" i="9"/>
  <c r="E32" i="9"/>
  <c r="D32" i="9"/>
  <c r="C32" i="9"/>
  <c r="B32" i="9"/>
  <c r="D32" i="15"/>
  <c r="C32" i="15"/>
  <c r="B32" i="15"/>
  <c r="D32" i="11"/>
  <c r="C32" i="11"/>
  <c r="B32" i="11"/>
  <c r="D32" i="10"/>
  <c r="C32" i="10"/>
  <c r="B32" i="10"/>
  <c r="D32" i="8"/>
  <c r="C32" i="8"/>
  <c r="B32" i="8"/>
  <c r="D32" i="14"/>
  <c r="C32" i="14"/>
  <c r="B32" i="14"/>
  <c r="E32" i="8" l="1"/>
  <c r="F32" i="8" s="1"/>
  <c r="E32" i="14"/>
  <c r="F32" i="14" s="1"/>
  <c r="G32" i="9"/>
  <c r="H32" i="9" s="1"/>
  <c r="F31" i="13"/>
  <c r="E31" i="13"/>
  <c r="D31" i="13"/>
  <c r="C31" i="13"/>
  <c r="B31" i="13"/>
  <c r="F31" i="9"/>
  <c r="E31" i="9"/>
  <c r="D31" i="9"/>
  <c r="C31" i="9"/>
  <c r="B31" i="9"/>
  <c r="D31" i="15"/>
  <c r="C31" i="15"/>
  <c r="B31" i="15"/>
  <c r="D31" i="11"/>
  <c r="C31" i="11"/>
  <c r="B31" i="11"/>
  <c r="D31" i="10"/>
  <c r="C31" i="10"/>
  <c r="B31" i="10"/>
  <c r="D31" i="8"/>
  <c r="C31" i="8"/>
  <c r="B31" i="8"/>
  <c r="D31" i="14"/>
  <c r="C31" i="14"/>
  <c r="B31" i="14"/>
  <c r="E31" i="8" l="1"/>
  <c r="E31" i="14"/>
  <c r="F31" i="14" s="1"/>
  <c r="F31" i="8"/>
  <c r="G31" i="9"/>
  <c r="H31" i="9" s="1"/>
  <c r="F30" i="13"/>
  <c r="E30" i="13"/>
  <c r="D30" i="13"/>
  <c r="C30" i="13"/>
  <c r="B30" i="13"/>
  <c r="F30" i="9"/>
  <c r="E30" i="9"/>
  <c r="D30" i="9"/>
  <c r="C30" i="9"/>
  <c r="B30" i="9"/>
  <c r="D30" i="15"/>
  <c r="C30" i="15"/>
  <c r="B30" i="15"/>
  <c r="D30" i="11"/>
  <c r="C30" i="11"/>
  <c r="B30" i="11"/>
  <c r="D30" i="10"/>
  <c r="C30" i="10"/>
  <c r="B30" i="10"/>
  <c r="D30" i="8"/>
  <c r="C30" i="8"/>
  <c r="B30" i="8"/>
  <c r="D30" i="14"/>
  <c r="C30" i="14"/>
  <c r="B30" i="14"/>
  <c r="E30" i="8" l="1"/>
  <c r="G30" i="9"/>
  <c r="H30" i="9" s="1"/>
  <c r="E30" i="14"/>
  <c r="F30" i="14" s="1"/>
  <c r="F30" i="8"/>
  <c r="F29" i="13"/>
  <c r="E29" i="13"/>
  <c r="D29" i="13"/>
  <c r="C29" i="13"/>
  <c r="B29" i="13"/>
  <c r="F29" i="9"/>
  <c r="E29" i="9"/>
  <c r="D29" i="9"/>
  <c r="C29" i="9"/>
  <c r="B29" i="9"/>
  <c r="D29" i="15"/>
  <c r="C29" i="15"/>
  <c r="B29" i="15"/>
  <c r="D29" i="11"/>
  <c r="C29" i="11"/>
  <c r="B29" i="11"/>
  <c r="D29" i="10"/>
  <c r="C29" i="10"/>
  <c r="B29" i="10"/>
  <c r="D29" i="8"/>
  <c r="C29" i="8"/>
  <c r="B29" i="8"/>
  <c r="D29" i="14"/>
  <c r="C29" i="14"/>
  <c r="B29" i="14"/>
  <c r="E29" i="8" l="1"/>
  <c r="F29" i="8" s="1"/>
  <c r="E29" i="14"/>
  <c r="F29" i="14" s="1"/>
  <c r="G29" i="9"/>
  <c r="H29" i="9" s="1"/>
  <c r="F28" i="13"/>
  <c r="E28" i="13"/>
  <c r="D28" i="13"/>
  <c r="C28" i="13"/>
  <c r="B28" i="13"/>
  <c r="F28" i="9"/>
  <c r="E28" i="9"/>
  <c r="D28" i="9"/>
  <c r="C28" i="9"/>
  <c r="B28" i="9"/>
  <c r="D28" i="15"/>
  <c r="C28" i="15"/>
  <c r="B28" i="15"/>
  <c r="D28" i="11"/>
  <c r="C28" i="11"/>
  <c r="B28" i="11"/>
  <c r="D28" i="10"/>
  <c r="C28" i="10"/>
  <c r="B28" i="10"/>
  <c r="D28" i="8"/>
  <c r="C28" i="8"/>
  <c r="B28" i="8"/>
  <c r="D28" i="14"/>
  <c r="C28" i="14"/>
  <c r="B28" i="14"/>
  <c r="E28" i="8" l="1"/>
  <c r="F28" i="8" s="1"/>
  <c r="E28" i="14"/>
  <c r="F28" i="14" s="1"/>
  <c r="G28" i="9"/>
  <c r="H28" i="9" s="1"/>
  <c r="F27" i="13"/>
  <c r="E27" i="13"/>
  <c r="D27" i="13"/>
  <c r="C27" i="13"/>
  <c r="B27" i="13"/>
  <c r="F27" i="9"/>
  <c r="E27" i="9"/>
  <c r="D27" i="9"/>
  <c r="C27" i="9"/>
  <c r="B27" i="9"/>
  <c r="D27" i="15"/>
  <c r="C27" i="15"/>
  <c r="B27" i="15"/>
  <c r="D27" i="11"/>
  <c r="C27" i="11"/>
  <c r="B27" i="11"/>
  <c r="D27" i="10"/>
  <c r="C27" i="10"/>
  <c r="B27" i="10"/>
  <c r="D27" i="8"/>
  <c r="C27" i="8"/>
  <c r="B27" i="8"/>
  <c r="D27" i="14"/>
  <c r="C27" i="14"/>
  <c r="B27" i="14"/>
  <c r="E27" i="8" l="1"/>
  <c r="F27" i="8" s="1"/>
  <c r="E27" i="14"/>
  <c r="F27" i="14" s="1"/>
  <c r="G27" i="9"/>
  <c r="H27" i="9" s="1"/>
  <c r="F26" i="13"/>
  <c r="E26" i="13"/>
  <c r="D26" i="13"/>
  <c r="C26" i="13"/>
  <c r="B26" i="13"/>
  <c r="F26" i="9"/>
  <c r="E26" i="9"/>
  <c r="D26" i="9"/>
  <c r="C26" i="9"/>
  <c r="B26" i="9"/>
  <c r="D26" i="15"/>
  <c r="C26" i="15"/>
  <c r="B26" i="15"/>
  <c r="D26" i="11"/>
  <c r="C26" i="11"/>
  <c r="B26" i="11"/>
  <c r="D26" i="10"/>
  <c r="C26" i="10"/>
  <c r="B26" i="10"/>
  <c r="D26" i="8"/>
  <c r="C26" i="8"/>
  <c r="B26" i="8"/>
  <c r="D26" i="14"/>
  <c r="C26" i="14"/>
  <c r="B26" i="14"/>
  <c r="E26" i="14" l="1"/>
  <c r="E26" i="8"/>
  <c r="F26" i="14"/>
  <c r="F26" i="8"/>
  <c r="G26" i="9"/>
  <c r="H26" i="9" s="1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F25" i="9"/>
  <c r="E25" i="9"/>
  <c r="B25" i="9"/>
  <c r="F24" i="9"/>
  <c r="E24" i="9"/>
  <c r="B24" i="9"/>
  <c r="F23" i="9"/>
  <c r="E23" i="9"/>
  <c r="B23" i="9"/>
  <c r="F22" i="9"/>
  <c r="E22" i="9"/>
  <c r="B22" i="9"/>
  <c r="F21" i="9"/>
  <c r="E21" i="9"/>
  <c r="B21" i="9"/>
  <c r="F20" i="9"/>
  <c r="E20" i="9"/>
  <c r="B20" i="9"/>
  <c r="F19" i="9"/>
  <c r="E19" i="9"/>
  <c r="B19" i="9"/>
  <c r="F18" i="9"/>
  <c r="E18" i="9"/>
  <c r="B18" i="9"/>
  <c r="F17" i="9"/>
  <c r="E17" i="9"/>
  <c r="B17" i="9"/>
  <c r="F16" i="9"/>
  <c r="E16" i="9"/>
  <c r="B16" i="9"/>
  <c r="F15" i="9"/>
  <c r="E15" i="9"/>
  <c r="B15" i="9"/>
  <c r="F14" i="9"/>
  <c r="E14" i="9"/>
  <c r="B14" i="9"/>
  <c r="F13" i="9"/>
  <c r="E13" i="9"/>
  <c r="B13" i="9"/>
  <c r="F12" i="9"/>
  <c r="E12" i="9"/>
  <c r="B12" i="9"/>
  <c r="F11" i="9"/>
  <c r="E11" i="9"/>
  <c r="B11" i="9"/>
  <c r="F10" i="9"/>
  <c r="E10" i="9"/>
  <c r="B10" i="9"/>
  <c r="F9" i="9"/>
  <c r="E9" i="9"/>
  <c r="B9" i="9"/>
  <c r="F8" i="9"/>
  <c r="E8" i="9"/>
  <c r="B8" i="9"/>
  <c r="F7" i="9"/>
  <c r="E7" i="9"/>
  <c r="B7" i="9"/>
  <c r="F6" i="9"/>
  <c r="E6" i="9"/>
  <c r="B6" i="9"/>
  <c r="F5" i="9"/>
  <c r="E5" i="9"/>
  <c r="B5" i="9"/>
  <c r="F4" i="9"/>
  <c r="E4" i="9"/>
  <c r="B4" i="9"/>
  <c r="F3" i="9"/>
  <c r="E3" i="9"/>
  <c r="B3" i="9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F25" i="13"/>
  <c r="E25" i="13"/>
  <c r="B25" i="13"/>
  <c r="F24" i="13"/>
  <c r="E24" i="13"/>
  <c r="B24" i="13"/>
  <c r="F23" i="13"/>
  <c r="E23" i="13"/>
  <c r="B23" i="13"/>
  <c r="F22" i="13"/>
  <c r="E22" i="13"/>
  <c r="B22" i="13"/>
  <c r="F21" i="13"/>
  <c r="E21" i="13"/>
  <c r="B21" i="13"/>
  <c r="F20" i="13"/>
  <c r="E20" i="13"/>
  <c r="B20" i="13"/>
  <c r="F19" i="13"/>
  <c r="E19" i="13"/>
  <c r="B19" i="13"/>
  <c r="F18" i="13"/>
  <c r="E18" i="13"/>
  <c r="B18" i="13"/>
  <c r="F17" i="13"/>
  <c r="E17" i="13"/>
  <c r="B17" i="13"/>
  <c r="F16" i="13"/>
  <c r="E16" i="13"/>
  <c r="B16" i="13"/>
  <c r="F15" i="13"/>
  <c r="E15" i="13"/>
  <c r="B15" i="13"/>
  <c r="F14" i="13"/>
  <c r="E14" i="13"/>
  <c r="B14" i="13"/>
  <c r="F13" i="13"/>
  <c r="E13" i="13"/>
  <c r="B13" i="13"/>
  <c r="F12" i="13"/>
  <c r="E12" i="13"/>
  <c r="B12" i="13"/>
  <c r="F11" i="13"/>
  <c r="E11" i="13"/>
  <c r="B11" i="13"/>
  <c r="F10" i="13"/>
  <c r="E10" i="13"/>
  <c r="B10" i="13"/>
  <c r="F9" i="13"/>
  <c r="E9" i="13"/>
  <c r="B9" i="13"/>
  <c r="F8" i="13"/>
  <c r="E8" i="13"/>
  <c r="B8" i="13"/>
  <c r="F7" i="13"/>
  <c r="E7" i="13"/>
  <c r="B7" i="13"/>
  <c r="F6" i="13"/>
  <c r="E6" i="13"/>
  <c r="B6" i="13"/>
  <c r="F5" i="13"/>
  <c r="E5" i="13"/>
  <c r="B5" i="13"/>
  <c r="F4" i="13"/>
  <c r="E4" i="13"/>
  <c r="B4" i="13"/>
  <c r="F3" i="13"/>
  <c r="E3" i="13"/>
  <c r="B3" i="13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D25" i="8" l="1"/>
  <c r="C25" i="8"/>
  <c r="D25" i="9"/>
  <c r="C25" i="9"/>
  <c r="D25" i="10"/>
  <c r="C25" i="10"/>
  <c r="D25" i="13"/>
  <c r="C25" i="13"/>
  <c r="D25" i="15"/>
  <c r="C25" i="15"/>
  <c r="D25" i="11"/>
  <c r="C25" i="11"/>
  <c r="D25" i="14"/>
  <c r="C25" i="14"/>
  <c r="E25" i="14" l="1"/>
  <c r="F25" i="14" s="1"/>
  <c r="E25" i="8"/>
  <c r="F25" i="8" s="1"/>
  <c r="G25" i="9"/>
  <c r="H25" i="9" s="1"/>
  <c r="D24" i="8" l="1"/>
  <c r="C24" i="8"/>
  <c r="D24" i="9"/>
  <c r="C24" i="9"/>
  <c r="D24" i="10"/>
  <c r="C24" i="10"/>
  <c r="D24" i="13"/>
  <c r="C24" i="13"/>
  <c r="D24" i="15"/>
  <c r="C24" i="15"/>
  <c r="D24" i="11"/>
  <c r="C24" i="11"/>
  <c r="D24" i="14"/>
  <c r="C24" i="14"/>
  <c r="E24" i="8" l="1"/>
  <c r="E24" i="14"/>
  <c r="F24" i="14" s="1"/>
  <c r="G24" i="9"/>
  <c r="H24" i="9" s="1"/>
  <c r="F24" i="8"/>
  <c r="AD4" i="13"/>
  <c r="AD3" i="13"/>
  <c r="AD6" i="13" s="1"/>
  <c r="Z5" i="13" s="1"/>
  <c r="AA4" i="8" l="1"/>
  <c r="AA3" i="8"/>
  <c r="AD4" i="9"/>
  <c r="AD3" i="9"/>
  <c r="AD6" i="9" s="1"/>
  <c r="Z5" i="9" s="1"/>
  <c r="AD4" i="10"/>
  <c r="AD3" i="10"/>
  <c r="AB4" i="15"/>
  <c r="AB3" i="15"/>
  <c r="AB4" i="11"/>
  <c r="AB3" i="11"/>
  <c r="AA4" i="14"/>
  <c r="AA3" i="14"/>
  <c r="AA6" i="8" l="1"/>
  <c r="W5" i="8" s="1"/>
  <c r="AB6" i="11"/>
  <c r="X5" i="11" s="1"/>
  <c r="AD6" i="10"/>
  <c r="Z5" i="10" s="1"/>
  <c r="AB6" i="15"/>
  <c r="X5" i="15" s="1"/>
  <c r="AA6" i="14"/>
  <c r="W5" i="14" s="1"/>
  <c r="D23" i="8"/>
  <c r="C23" i="8"/>
  <c r="D23" i="9"/>
  <c r="C23" i="9"/>
  <c r="D23" i="10"/>
  <c r="C23" i="10"/>
  <c r="D23" i="13"/>
  <c r="C23" i="13"/>
  <c r="D23" i="15"/>
  <c r="C23" i="15"/>
  <c r="D23" i="11"/>
  <c r="C23" i="11"/>
  <c r="D23" i="14"/>
  <c r="C23" i="14"/>
  <c r="E23" i="14" l="1"/>
  <c r="F23" i="14" s="1"/>
  <c r="E23" i="8"/>
  <c r="F23" i="8" s="1"/>
  <c r="G23" i="9"/>
  <c r="H23" i="9" s="1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D3" i="8"/>
  <c r="C3" i="8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D3" i="9"/>
  <c r="C3" i="9"/>
  <c r="C4" i="10"/>
  <c r="D4" i="10"/>
  <c r="C5" i="10"/>
  <c r="D5" i="10"/>
  <c r="C6" i="10"/>
  <c r="D6" i="10"/>
  <c r="C7" i="10"/>
  <c r="D7" i="10"/>
  <c r="C8" i="10"/>
  <c r="D8" i="10"/>
  <c r="C9" i="10"/>
  <c r="D9" i="10"/>
  <c r="C10" i="10"/>
  <c r="D10" i="10"/>
  <c r="C11" i="10"/>
  <c r="D11" i="10"/>
  <c r="C12" i="10"/>
  <c r="D12" i="10"/>
  <c r="C13" i="10"/>
  <c r="D13" i="10"/>
  <c r="C14" i="10"/>
  <c r="D14" i="10"/>
  <c r="C15" i="10"/>
  <c r="D15" i="10"/>
  <c r="C16" i="10"/>
  <c r="D16" i="10"/>
  <c r="C17" i="10"/>
  <c r="D17" i="10"/>
  <c r="C18" i="10"/>
  <c r="D18" i="10"/>
  <c r="C19" i="10"/>
  <c r="D19" i="10"/>
  <c r="C20" i="10"/>
  <c r="D20" i="10"/>
  <c r="C21" i="10"/>
  <c r="D21" i="10"/>
  <c r="C22" i="10"/>
  <c r="D22" i="10"/>
  <c r="D3" i="10"/>
  <c r="C3" i="10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D3" i="13"/>
  <c r="C3" i="13"/>
  <c r="C4" i="15"/>
  <c r="D4" i="15"/>
  <c r="C5" i="15"/>
  <c r="D5" i="15"/>
  <c r="C6" i="15"/>
  <c r="D6" i="15"/>
  <c r="C7" i="15"/>
  <c r="D7" i="15"/>
  <c r="C8" i="15"/>
  <c r="D8" i="15"/>
  <c r="C9" i="15"/>
  <c r="D9" i="15"/>
  <c r="C10" i="15"/>
  <c r="D10" i="15"/>
  <c r="C11" i="15"/>
  <c r="D11" i="15"/>
  <c r="C12" i="15"/>
  <c r="D12" i="15"/>
  <c r="C13" i="15"/>
  <c r="D13" i="15"/>
  <c r="C14" i="15"/>
  <c r="D14" i="15"/>
  <c r="C15" i="15"/>
  <c r="D15" i="15"/>
  <c r="C16" i="15"/>
  <c r="D16" i="15"/>
  <c r="C17" i="15"/>
  <c r="D17" i="15"/>
  <c r="C18" i="15"/>
  <c r="D18" i="15"/>
  <c r="C19" i="15"/>
  <c r="D19" i="15"/>
  <c r="C20" i="15"/>
  <c r="D20" i="15"/>
  <c r="C21" i="15"/>
  <c r="D21" i="15"/>
  <c r="C22" i="15"/>
  <c r="D22" i="15"/>
  <c r="D3" i="15"/>
  <c r="C3" i="15"/>
  <c r="C4" i="11"/>
  <c r="D4" i="11"/>
  <c r="C5" i="11"/>
  <c r="D5" i="11"/>
  <c r="C6" i="11"/>
  <c r="D6" i="11"/>
  <c r="C7" i="11"/>
  <c r="D7" i="11"/>
  <c r="C8" i="11"/>
  <c r="D8" i="11"/>
  <c r="C9" i="11"/>
  <c r="D9" i="11"/>
  <c r="C10" i="11"/>
  <c r="D10" i="11"/>
  <c r="C11" i="11"/>
  <c r="D11" i="11"/>
  <c r="C12" i="11"/>
  <c r="D12" i="11"/>
  <c r="C13" i="11"/>
  <c r="D13" i="11"/>
  <c r="C14" i="11"/>
  <c r="D14" i="11"/>
  <c r="C15" i="11"/>
  <c r="D15" i="11"/>
  <c r="C16" i="11"/>
  <c r="D16" i="11"/>
  <c r="C17" i="11"/>
  <c r="D17" i="11"/>
  <c r="C18" i="11"/>
  <c r="D18" i="11"/>
  <c r="C19" i="11"/>
  <c r="D19" i="11"/>
  <c r="C20" i="11"/>
  <c r="D20" i="11"/>
  <c r="C21" i="11"/>
  <c r="D21" i="11"/>
  <c r="C22" i="11"/>
  <c r="D22" i="11"/>
  <c r="D3" i="11"/>
  <c r="C3" i="11"/>
  <c r="C4" i="14"/>
  <c r="D4" i="14"/>
  <c r="C5" i="14"/>
  <c r="D5" i="14"/>
  <c r="C6" i="14"/>
  <c r="D6" i="14"/>
  <c r="C7" i="14"/>
  <c r="D7" i="14"/>
  <c r="C8" i="14"/>
  <c r="D8" i="14"/>
  <c r="C9" i="14"/>
  <c r="D9" i="14"/>
  <c r="C10" i="14"/>
  <c r="D10" i="14"/>
  <c r="C11" i="14"/>
  <c r="D11" i="14"/>
  <c r="C12" i="14"/>
  <c r="D12" i="14"/>
  <c r="C13" i="14"/>
  <c r="D13" i="14"/>
  <c r="C14" i="14"/>
  <c r="D14" i="14"/>
  <c r="C15" i="14"/>
  <c r="D15" i="14"/>
  <c r="C16" i="14"/>
  <c r="D16" i="14"/>
  <c r="C17" i="14"/>
  <c r="D17" i="14"/>
  <c r="C18" i="14"/>
  <c r="D18" i="14"/>
  <c r="C19" i="14"/>
  <c r="D19" i="14"/>
  <c r="C20" i="14"/>
  <c r="D20" i="14"/>
  <c r="C21" i="14"/>
  <c r="D21" i="14"/>
  <c r="C22" i="14"/>
  <c r="D22" i="14"/>
  <c r="D3" i="14"/>
  <c r="C3" i="14"/>
  <c r="E22" i="14" l="1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4" i="11"/>
  <c r="E4" i="15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G22" i="9"/>
  <c r="F22" i="8" l="1"/>
  <c r="H22" i="9"/>
  <c r="F22" i="14"/>
  <c r="G21" i="9" l="1"/>
  <c r="H21" i="9" s="1"/>
  <c r="F21" i="8"/>
  <c r="F21" i="14"/>
  <c r="G20" i="9" l="1"/>
  <c r="H20" i="9" s="1"/>
  <c r="F20" i="8"/>
  <c r="F20" i="14"/>
  <c r="G19" i="9" l="1"/>
  <c r="H19" i="9" s="1"/>
  <c r="F19" i="8"/>
  <c r="F19" i="14"/>
  <c r="G18" i="9" l="1"/>
  <c r="H18" i="9" s="1"/>
  <c r="F18" i="14"/>
  <c r="F18" i="8"/>
  <c r="G17" i="9" l="1"/>
  <c r="G13" i="9"/>
  <c r="G9" i="9"/>
  <c r="G5" i="9"/>
  <c r="G6" i="9" l="1"/>
  <c r="G10" i="9"/>
  <c r="G14" i="9"/>
  <c r="G4" i="13"/>
  <c r="G4" i="9"/>
  <c r="G8" i="9"/>
  <c r="G12" i="9"/>
  <c r="G16" i="9"/>
  <c r="G7" i="9"/>
  <c r="G11" i="9"/>
  <c r="G15" i="9"/>
  <c r="F17" i="14" l="1"/>
  <c r="F17" i="8"/>
  <c r="H17" i="9"/>
  <c r="H16" i="9" l="1"/>
  <c r="F16" i="14"/>
  <c r="F16" i="8"/>
  <c r="F15" i="14" l="1"/>
  <c r="F15" i="8"/>
  <c r="H15" i="9"/>
  <c r="F14" i="14" l="1"/>
  <c r="F14" i="8"/>
  <c r="H14" i="9"/>
  <c r="F13" i="14" l="1"/>
  <c r="F13" i="8"/>
  <c r="H13" i="9"/>
  <c r="F12" i="8" l="1"/>
  <c r="H12" i="9"/>
  <c r="F12" i="14"/>
  <c r="F11" i="8" l="1"/>
  <c r="H11" i="9"/>
  <c r="F11" i="14"/>
  <c r="F10" i="8" l="1"/>
  <c r="H10" i="9"/>
  <c r="F10" i="14"/>
  <c r="F9" i="8" l="1"/>
  <c r="F9" i="14"/>
  <c r="H9" i="9"/>
  <c r="F8" i="8" l="1"/>
  <c r="F8" i="14"/>
  <c r="H8" i="9"/>
  <c r="F7" i="8" l="1"/>
  <c r="F7" i="14"/>
  <c r="H7" i="9"/>
  <c r="L3" i="8" l="1"/>
  <c r="I3" i="8"/>
  <c r="N3" i="9"/>
  <c r="K3" i="9"/>
  <c r="L3" i="10" l="1"/>
  <c r="I3" i="10" l="1"/>
  <c r="N3" i="13" l="1"/>
  <c r="K3" i="13"/>
  <c r="L3" i="15"/>
  <c r="I3" i="15"/>
  <c r="F3" i="15"/>
  <c r="G3" i="15" s="1"/>
  <c r="F4" i="15" l="1"/>
  <c r="G4" i="15" s="1"/>
  <c r="H3" i="15"/>
  <c r="J3" i="15" s="1"/>
  <c r="K3" i="15" s="1"/>
  <c r="L4" i="15" l="1"/>
  <c r="I4" i="15"/>
  <c r="H4" i="15"/>
  <c r="J4" i="15" l="1"/>
  <c r="K4" i="15" s="1"/>
  <c r="L3" i="11"/>
  <c r="I3" i="11" l="1"/>
  <c r="F3" i="14"/>
  <c r="G3" i="14" s="1"/>
  <c r="I3" i="14"/>
  <c r="L3" i="14"/>
  <c r="F6" i="14" l="1"/>
  <c r="I4" i="14"/>
  <c r="I5" i="14" s="1"/>
  <c r="F5" i="14"/>
  <c r="H3" i="14"/>
  <c r="J3" i="14" s="1"/>
  <c r="K3" i="14" s="1"/>
  <c r="L4" i="14" l="1"/>
  <c r="L5" i="14" s="1"/>
  <c r="L6" i="14" s="1"/>
  <c r="L7" i="14" s="1"/>
  <c r="L8" i="14" s="1"/>
  <c r="L9" i="14" s="1"/>
  <c r="I6" i="14"/>
  <c r="I7" i="14" s="1"/>
  <c r="I8" i="14" s="1"/>
  <c r="I9" i="14" s="1"/>
  <c r="F4" i="14"/>
  <c r="G4" i="14" s="1"/>
  <c r="G5" i="14" s="1"/>
  <c r="U4" i="14" l="1"/>
  <c r="L10" i="14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I10" i="14"/>
  <c r="I11" i="14" s="1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R4" i="14"/>
  <c r="H4" i="14"/>
  <c r="J4" i="14" s="1"/>
  <c r="K4" i="14" s="1"/>
  <c r="H5" i="14"/>
  <c r="J5" i="14" s="1"/>
  <c r="K5" i="14" s="1"/>
  <c r="G6" i="14"/>
  <c r="G7" i="14" s="1"/>
  <c r="L22" i="14" l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U5" i="14"/>
  <c r="I22" i="14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R5" i="14"/>
  <c r="Q4" i="14"/>
  <c r="G8" i="14"/>
  <c r="H7" i="14"/>
  <c r="J7" i="14" s="1"/>
  <c r="K7" i="14" s="1"/>
  <c r="H6" i="14"/>
  <c r="J6" i="14" s="1"/>
  <c r="K6" i="14" s="1"/>
  <c r="I34" i="14" l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R6" i="14"/>
  <c r="Q6" i="14" s="1"/>
  <c r="L34" i="14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U6" i="14"/>
  <c r="Q5" i="14"/>
  <c r="G9" i="14"/>
  <c r="H8" i="14"/>
  <c r="J8" i="14" s="1"/>
  <c r="K8" i="14" s="1"/>
  <c r="U7" i="14" l="1"/>
  <c r="L46" i="14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R7" i="14"/>
  <c r="Q7" i="14" s="1"/>
  <c r="I46" i="14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H9" i="14"/>
  <c r="J9" i="14" s="1"/>
  <c r="G10" i="14"/>
  <c r="G11" i="14" s="1"/>
  <c r="H6" i="9"/>
  <c r="F6" i="8"/>
  <c r="H11" i="14" l="1"/>
  <c r="J11" i="14" s="1"/>
  <c r="K11" i="14" s="1"/>
  <c r="G12" i="14"/>
  <c r="K9" i="14"/>
  <c r="T4" i="14" s="1"/>
  <c r="S4" i="14"/>
  <c r="H10" i="14"/>
  <c r="J10" i="14" s="1"/>
  <c r="K10" i="14" s="1"/>
  <c r="F5" i="8"/>
  <c r="H5" i="9"/>
  <c r="H12" i="14" l="1"/>
  <c r="J12" i="14" s="1"/>
  <c r="K12" i="14" s="1"/>
  <c r="G13" i="14"/>
  <c r="V4" i="14"/>
  <c r="W4" i="14" s="1"/>
  <c r="F4" i="8"/>
  <c r="H4" i="9"/>
  <c r="H4" i="13"/>
  <c r="F4" i="11"/>
  <c r="G14" i="14" l="1"/>
  <c r="H13" i="14"/>
  <c r="J13" i="14" s="1"/>
  <c r="K13" i="14" s="1"/>
  <c r="F3" i="10"/>
  <c r="G3" i="10" s="1"/>
  <c r="F3" i="8"/>
  <c r="G3" i="8" s="1"/>
  <c r="H3" i="13"/>
  <c r="I3" i="13" s="1"/>
  <c r="H3" i="9"/>
  <c r="I3" i="9" s="1"/>
  <c r="F3" i="11"/>
  <c r="G3" i="11" s="1"/>
  <c r="H14" i="14" l="1"/>
  <c r="J14" i="14" s="1"/>
  <c r="K14" i="14" s="1"/>
  <c r="G15" i="14"/>
  <c r="G16" i="14" l="1"/>
  <c r="H15" i="14"/>
  <c r="J15" i="14" s="1"/>
  <c r="K15" i="14" s="1"/>
  <c r="N4" i="13"/>
  <c r="K4" i="13"/>
  <c r="G17" i="14" l="1"/>
  <c r="G18" i="14" s="1"/>
  <c r="H16" i="14"/>
  <c r="J16" i="14" s="1"/>
  <c r="K16" i="14" s="1"/>
  <c r="H18" i="14" l="1"/>
  <c r="J18" i="14" s="1"/>
  <c r="K18" i="14" s="1"/>
  <c r="G19" i="14"/>
  <c r="H17" i="14"/>
  <c r="J17" i="14" s="1"/>
  <c r="K17" i="14" s="1"/>
  <c r="L4" i="11"/>
  <c r="I4" i="11"/>
  <c r="H19" i="14" l="1"/>
  <c r="J19" i="14" s="1"/>
  <c r="K19" i="14" s="1"/>
  <c r="G20" i="14"/>
  <c r="G21" i="14" s="1"/>
  <c r="H21" i="14" l="1"/>
  <c r="J21" i="14" s="1"/>
  <c r="G22" i="14"/>
  <c r="H20" i="14"/>
  <c r="J20" i="14" s="1"/>
  <c r="K20" i="14" s="1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l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R5" i="8"/>
  <c r="K21" i="14"/>
  <c r="T5" i="14" s="1"/>
  <c r="S5" i="14"/>
  <c r="V5" i="14" s="1"/>
  <c r="H22" i="14"/>
  <c r="J22" i="14" s="1"/>
  <c r="K22" i="14" s="1"/>
  <c r="G23" i="14"/>
  <c r="G24" i="14" s="1"/>
  <c r="R4" i="8"/>
  <c r="L4" i="8"/>
  <c r="L5" i="8" s="1"/>
  <c r="L6" i="8" s="1"/>
  <c r="L7" i="8" s="1"/>
  <c r="L8" i="8" s="1"/>
  <c r="L9" i="8" s="1"/>
  <c r="K4" i="9"/>
  <c r="K5" i="9" s="1"/>
  <c r="K6" i="9" s="1"/>
  <c r="K7" i="9" s="1"/>
  <c r="K8" i="9" s="1"/>
  <c r="K9" i="9" s="1"/>
  <c r="I34" i="8" l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R6" i="8"/>
  <c r="Q6" i="8" s="1"/>
  <c r="H24" i="14"/>
  <c r="J24" i="14" s="1"/>
  <c r="K24" i="14" s="1"/>
  <c r="G25" i="14"/>
  <c r="Q4" i="8"/>
  <c r="Q5" i="8"/>
  <c r="H23" i="14"/>
  <c r="J23" i="14" s="1"/>
  <c r="K23" i="14" s="1"/>
  <c r="L10" i="8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U4" i="8"/>
  <c r="K10" i="9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U4" i="9"/>
  <c r="N4" i="9"/>
  <c r="N5" i="9" s="1"/>
  <c r="N6" i="9" s="1"/>
  <c r="N7" i="9" s="1"/>
  <c r="R7" i="8" l="1"/>
  <c r="Q7" i="8" s="1"/>
  <c r="I46" i="8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H25" i="14"/>
  <c r="J25" i="14" s="1"/>
  <c r="K25" i="14" s="1"/>
  <c r="G26" i="14"/>
  <c r="G27" i="14" s="1"/>
  <c r="L22" i="8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U5" i="8"/>
  <c r="K22" i="9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U5" i="9"/>
  <c r="T5" i="9" s="1"/>
  <c r="N8" i="9"/>
  <c r="N9" i="9" s="1"/>
  <c r="L34" i="8" l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U6" i="8"/>
  <c r="K34" i="9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U6" i="9"/>
  <c r="T6" i="9" s="1"/>
  <c r="H27" i="14"/>
  <c r="J27" i="14" s="1"/>
  <c r="K27" i="14" s="1"/>
  <c r="G28" i="14"/>
  <c r="H26" i="14"/>
  <c r="J26" i="14" s="1"/>
  <c r="K26" i="14" s="1"/>
  <c r="N10" i="9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X4" i="9"/>
  <c r="U7" i="8" l="1"/>
  <c r="L46" i="8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U7" i="9"/>
  <c r="T7" i="9" s="1"/>
  <c r="K46" i="9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H28" i="14"/>
  <c r="J28" i="14" s="1"/>
  <c r="K28" i="14" s="1"/>
  <c r="G29" i="14"/>
  <c r="G30" i="14" s="1"/>
  <c r="G31" i="14" s="1"/>
  <c r="N22" i="9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X5" i="9"/>
  <c r="T4" i="9"/>
  <c r="N34" i="9" l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X6" i="9"/>
  <c r="H31" i="14"/>
  <c r="J31" i="14" s="1"/>
  <c r="K31" i="14" s="1"/>
  <c r="G32" i="14"/>
  <c r="G33" i="14" s="1"/>
  <c r="H30" i="14"/>
  <c r="J30" i="14" s="1"/>
  <c r="K30" i="14" s="1"/>
  <c r="H29" i="14"/>
  <c r="J29" i="14" s="1"/>
  <c r="K29" i="14" s="1"/>
  <c r="J3" i="13"/>
  <c r="L3" i="13" s="1"/>
  <c r="M3" i="13" s="1"/>
  <c r="I4" i="13"/>
  <c r="X7" i="9" l="1"/>
  <c r="N46" i="9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H33" i="14"/>
  <c r="J33" i="14" s="1"/>
  <c r="G34" i="14"/>
  <c r="H32" i="14"/>
  <c r="J32" i="14" s="1"/>
  <c r="K32" i="14" s="1"/>
  <c r="J4" i="13"/>
  <c r="L4" i="13" s="1"/>
  <c r="M4" i="13" s="1"/>
  <c r="K33" i="14" l="1"/>
  <c r="T6" i="14" s="1"/>
  <c r="S6" i="14"/>
  <c r="V6" i="14" s="1"/>
  <c r="H34" i="14"/>
  <c r="J34" i="14" s="1"/>
  <c r="K34" i="14" s="1"/>
  <c r="G35" i="14"/>
  <c r="G4" i="11"/>
  <c r="H35" i="14" l="1"/>
  <c r="J35" i="14" s="1"/>
  <c r="K35" i="14" s="1"/>
  <c r="G36" i="14"/>
  <c r="H4" i="11"/>
  <c r="J4" i="11" s="1"/>
  <c r="K4" i="11" s="1"/>
  <c r="H3" i="11"/>
  <c r="J3" i="11" s="1"/>
  <c r="K3" i="11" s="1"/>
  <c r="H36" i="14" l="1"/>
  <c r="J36" i="14" s="1"/>
  <c r="K36" i="14" s="1"/>
  <c r="G37" i="14"/>
  <c r="H37" i="14" l="1"/>
  <c r="J37" i="14" s="1"/>
  <c r="K37" i="14" s="1"/>
  <c r="G38" i="14"/>
  <c r="H38" i="14" l="1"/>
  <c r="J38" i="14" s="1"/>
  <c r="K38" i="14" s="1"/>
  <c r="G39" i="14"/>
  <c r="G40" i="14" s="1"/>
  <c r="H3" i="8"/>
  <c r="J3" i="8" s="1"/>
  <c r="K3" i="8" s="1"/>
  <c r="G4" i="8"/>
  <c r="J3" i="9"/>
  <c r="L3" i="9" s="1"/>
  <c r="M3" i="9" s="1"/>
  <c r="I4" i="9"/>
  <c r="H40" i="14" l="1"/>
  <c r="J40" i="14" s="1"/>
  <c r="K40" i="14" s="1"/>
  <c r="G41" i="14"/>
  <c r="H39" i="14"/>
  <c r="J39" i="14" s="1"/>
  <c r="K39" i="14" s="1"/>
  <c r="J4" i="9"/>
  <c r="L4" i="9" s="1"/>
  <c r="M4" i="9" s="1"/>
  <c r="I5" i="9"/>
  <c r="I6" i="9" s="1"/>
  <c r="H4" i="8"/>
  <c r="J4" i="8" s="1"/>
  <c r="K4" i="8" s="1"/>
  <c r="G5" i="8"/>
  <c r="G6" i="8" s="1"/>
  <c r="H41" i="14" l="1"/>
  <c r="J41" i="14" s="1"/>
  <c r="K41" i="14" s="1"/>
  <c r="G42" i="14"/>
  <c r="G43" i="14" s="1"/>
  <c r="H6" i="8"/>
  <c r="J6" i="8" s="1"/>
  <c r="K6" i="8" s="1"/>
  <c r="G7" i="8"/>
  <c r="J6" i="9"/>
  <c r="L6" i="9" s="1"/>
  <c r="M6" i="9" s="1"/>
  <c r="I7" i="9"/>
  <c r="H5" i="8"/>
  <c r="J5" i="8" s="1"/>
  <c r="K5" i="8" s="1"/>
  <c r="J5" i="9"/>
  <c r="L5" i="9" s="1"/>
  <c r="M5" i="9" s="1"/>
  <c r="H43" i="14" l="1"/>
  <c r="J43" i="14" s="1"/>
  <c r="K43" i="14" s="1"/>
  <c r="G44" i="14"/>
  <c r="H42" i="14"/>
  <c r="J42" i="14" s="1"/>
  <c r="K42" i="14" s="1"/>
  <c r="I8" i="9"/>
  <c r="J7" i="9"/>
  <c r="L7" i="9" s="1"/>
  <c r="M7" i="9" s="1"/>
  <c r="G8" i="8"/>
  <c r="H7" i="8"/>
  <c r="J7" i="8" s="1"/>
  <c r="K7" i="8" s="1"/>
  <c r="H44" i="14" l="1"/>
  <c r="J44" i="14" s="1"/>
  <c r="K44" i="14" s="1"/>
  <c r="G45" i="14"/>
  <c r="G46" i="14" s="1"/>
  <c r="G9" i="8"/>
  <c r="H8" i="8"/>
  <c r="J8" i="8" s="1"/>
  <c r="K8" i="8" s="1"/>
  <c r="I9" i="9"/>
  <c r="J8" i="9"/>
  <c r="L8" i="9" s="1"/>
  <c r="M8" i="9" s="1"/>
  <c r="H46" i="14" l="1"/>
  <c r="J46" i="14" s="1"/>
  <c r="K46" i="14" s="1"/>
  <c r="G47" i="14"/>
  <c r="H45" i="14"/>
  <c r="J45" i="14" s="1"/>
  <c r="J9" i="9"/>
  <c r="L9" i="9" s="1"/>
  <c r="I10" i="9"/>
  <c r="I11" i="9" s="1"/>
  <c r="H9" i="8"/>
  <c r="J9" i="8" s="1"/>
  <c r="G10" i="8"/>
  <c r="G11" i="8" s="1"/>
  <c r="H47" i="14" l="1"/>
  <c r="J47" i="14" s="1"/>
  <c r="K47" i="14" s="1"/>
  <c r="G48" i="14"/>
  <c r="G49" i="14" s="1"/>
  <c r="K45" i="14"/>
  <c r="T7" i="14" s="1"/>
  <c r="S7" i="14"/>
  <c r="V7" i="14" s="1"/>
  <c r="H11" i="8"/>
  <c r="J11" i="8" s="1"/>
  <c r="K11" i="8" s="1"/>
  <c r="G12" i="8"/>
  <c r="J11" i="9"/>
  <c r="L11" i="9" s="1"/>
  <c r="M11" i="9" s="1"/>
  <c r="I12" i="9"/>
  <c r="K9" i="8"/>
  <c r="T4" i="8" s="1"/>
  <c r="S4" i="8"/>
  <c r="V4" i="8" s="1"/>
  <c r="W4" i="8" s="1"/>
  <c r="M9" i="9"/>
  <c r="W4" i="9" s="1"/>
  <c r="V4" i="9"/>
  <c r="Y4" i="9" s="1"/>
  <c r="Z4" i="9" s="1"/>
  <c r="H10" i="8"/>
  <c r="J10" i="8" s="1"/>
  <c r="K10" i="8" s="1"/>
  <c r="J10" i="9"/>
  <c r="L10" i="9" s="1"/>
  <c r="M10" i="9" s="1"/>
  <c r="H49" i="14" l="1"/>
  <c r="J49" i="14" s="1"/>
  <c r="K49" i="14" s="1"/>
  <c r="G50" i="14"/>
  <c r="H48" i="14"/>
  <c r="J48" i="14" s="1"/>
  <c r="K48" i="14" s="1"/>
  <c r="J12" i="9"/>
  <c r="L12" i="9" s="1"/>
  <c r="M12" i="9" s="1"/>
  <c r="I13" i="9"/>
  <c r="H12" i="8"/>
  <c r="J12" i="8" s="1"/>
  <c r="K12" i="8" s="1"/>
  <c r="G13" i="8"/>
  <c r="H3" i="10"/>
  <c r="J3" i="10" s="1"/>
  <c r="K3" i="10" s="1"/>
  <c r="H50" i="14" l="1"/>
  <c r="J50" i="14" s="1"/>
  <c r="K50" i="14" s="1"/>
  <c r="G51" i="14"/>
  <c r="G52" i="14" s="1"/>
  <c r="G14" i="8"/>
  <c r="H13" i="8"/>
  <c r="J13" i="8" s="1"/>
  <c r="K13" i="8" s="1"/>
  <c r="I14" i="9"/>
  <c r="J13" i="9"/>
  <c r="L13" i="9" s="1"/>
  <c r="M13" i="9" s="1"/>
  <c r="H52" i="14" l="1"/>
  <c r="J52" i="14" s="1"/>
  <c r="K52" i="14" s="1"/>
  <c r="G53" i="14"/>
  <c r="H51" i="14"/>
  <c r="J51" i="14" s="1"/>
  <c r="K51" i="14" s="1"/>
  <c r="J14" i="9"/>
  <c r="L14" i="9" s="1"/>
  <c r="M14" i="9" s="1"/>
  <c r="I15" i="9"/>
  <c r="H14" i="8"/>
  <c r="J14" i="8" s="1"/>
  <c r="K14" i="8" s="1"/>
  <c r="G15" i="8"/>
  <c r="H53" i="14" l="1"/>
  <c r="J53" i="14" s="1"/>
  <c r="K53" i="14" s="1"/>
  <c r="G54" i="14"/>
  <c r="G55" i="14" s="1"/>
  <c r="G16" i="8"/>
  <c r="H15" i="8"/>
  <c r="J15" i="8" s="1"/>
  <c r="K15" i="8" s="1"/>
  <c r="I16" i="9"/>
  <c r="J15" i="9"/>
  <c r="L15" i="9" s="1"/>
  <c r="M15" i="9" s="1"/>
  <c r="H55" i="14" l="1"/>
  <c r="J55" i="14" s="1"/>
  <c r="K55" i="14" s="1"/>
  <c r="G56" i="14"/>
  <c r="H54" i="14"/>
  <c r="J54" i="14" s="1"/>
  <c r="K54" i="14" s="1"/>
  <c r="I17" i="9"/>
  <c r="I18" i="9" s="1"/>
  <c r="J16" i="9"/>
  <c r="L16" i="9" s="1"/>
  <c r="M16" i="9" s="1"/>
  <c r="G17" i="8"/>
  <c r="G18" i="8" s="1"/>
  <c r="H16" i="8"/>
  <c r="J16" i="8" s="1"/>
  <c r="K16" i="8" s="1"/>
  <c r="H56" i="14" l="1"/>
  <c r="J56" i="14" s="1"/>
  <c r="K56" i="14" s="1"/>
  <c r="G57" i="14"/>
  <c r="G58" i="14" s="1"/>
  <c r="H18" i="8"/>
  <c r="J18" i="8" s="1"/>
  <c r="K18" i="8" s="1"/>
  <c r="G19" i="8"/>
  <c r="J18" i="9"/>
  <c r="L18" i="9" s="1"/>
  <c r="M18" i="9" s="1"/>
  <c r="I19" i="9"/>
  <c r="H17" i="8"/>
  <c r="J17" i="8" s="1"/>
  <c r="K17" i="8" s="1"/>
  <c r="J17" i="9"/>
  <c r="L17" i="9" s="1"/>
  <c r="M17" i="9" s="1"/>
  <c r="H58" i="14" l="1"/>
  <c r="J58" i="14" s="1"/>
  <c r="K58" i="14" s="1"/>
  <c r="G59" i="14"/>
  <c r="H57" i="14"/>
  <c r="J57" i="14" s="1"/>
  <c r="K57" i="14" s="1"/>
  <c r="J19" i="9"/>
  <c r="L19" i="9" s="1"/>
  <c r="M19" i="9" s="1"/>
  <c r="I20" i="9"/>
  <c r="I21" i="9" s="1"/>
  <c r="H19" i="8"/>
  <c r="J19" i="8" s="1"/>
  <c r="K19" i="8" s="1"/>
  <c r="G20" i="8"/>
  <c r="G21" i="8" s="1"/>
  <c r="H59" i="14" l="1"/>
  <c r="J59" i="14" s="1"/>
  <c r="K59" i="14" s="1"/>
  <c r="G60" i="14"/>
  <c r="G61" i="14" s="1"/>
  <c r="H21" i="8"/>
  <c r="J21" i="8" s="1"/>
  <c r="G22" i="8"/>
  <c r="J21" i="9"/>
  <c r="L21" i="9" s="1"/>
  <c r="I22" i="9"/>
  <c r="H20" i="8"/>
  <c r="J20" i="8" s="1"/>
  <c r="K20" i="8" s="1"/>
  <c r="J20" i="9"/>
  <c r="L20" i="9" s="1"/>
  <c r="M20" i="9" s="1"/>
  <c r="H61" i="14" l="1"/>
  <c r="J61" i="14" s="1"/>
  <c r="K61" i="14" s="1"/>
  <c r="G62" i="14"/>
  <c r="H60" i="14"/>
  <c r="J60" i="14" s="1"/>
  <c r="K60" i="14" s="1"/>
  <c r="M21" i="9"/>
  <c r="W5" i="9" s="1"/>
  <c r="V5" i="9"/>
  <c r="Y5" i="9" s="1"/>
  <c r="K21" i="8"/>
  <c r="T5" i="8" s="1"/>
  <c r="S5" i="8"/>
  <c r="V5" i="8" s="1"/>
  <c r="J22" i="9"/>
  <c r="L22" i="9" s="1"/>
  <c r="M22" i="9" s="1"/>
  <c r="I23" i="9"/>
  <c r="I24" i="9" s="1"/>
  <c r="H22" i="8"/>
  <c r="J22" i="8" s="1"/>
  <c r="K22" i="8" s="1"/>
  <c r="G23" i="8"/>
  <c r="G24" i="8" s="1"/>
  <c r="H62" i="14" l="1"/>
  <c r="J62" i="14" s="1"/>
  <c r="K62" i="14" s="1"/>
  <c r="G63" i="14"/>
  <c r="H24" i="8"/>
  <c r="J24" i="8" s="1"/>
  <c r="K24" i="8" s="1"/>
  <c r="G25" i="8"/>
  <c r="J24" i="9"/>
  <c r="L24" i="9" s="1"/>
  <c r="M24" i="9" s="1"/>
  <c r="I25" i="9"/>
  <c r="H23" i="8"/>
  <c r="J23" i="8" s="1"/>
  <c r="K23" i="8" s="1"/>
  <c r="J23" i="9"/>
  <c r="L23" i="9" s="1"/>
  <c r="M23" i="9" s="1"/>
  <c r="H63" i="14" l="1"/>
  <c r="J63" i="14" s="1"/>
  <c r="K63" i="14" s="1"/>
  <c r="H2" i="14"/>
  <c r="J25" i="9"/>
  <c r="L25" i="9" s="1"/>
  <c r="M25" i="9" s="1"/>
  <c r="I26" i="9"/>
  <c r="I27" i="9" s="1"/>
  <c r="H25" i="8"/>
  <c r="J25" i="8" s="1"/>
  <c r="K25" i="8" s="1"/>
  <c r="G26" i="8"/>
  <c r="G27" i="8" s="1"/>
  <c r="H27" i="8" l="1"/>
  <c r="J27" i="8" s="1"/>
  <c r="K27" i="8" s="1"/>
  <c r="G28" i="8"/>
  <c r="J27" i="9"/>
  <c r="L27" i="9" s="1"/>
  <c r="M27" i="9" s="1"/>
  <c r="I28" i="9"/>
  <c r="H26" i="8"/>
  <c r="J26" i="8" s="1"/>
  <c r="K26" i="8" s="1"/>
  <c r="J26" i="9"/>
  <c r="L26" i="9" s="1"/>
  <c r="M26" i="9" s="1"/>
  <c r="J28" i="9" l="1"/>
  <c r="L28" i="9" s="1"/>
  <c r="M28" i="9" s="1"/>
  <c r="I29" i="9"/>
  <c r="I30" i="9" s="1"/>
  <c r="I31" i="9" s="1"/>
  <c r="H28" i="8"/>
  <c r="J28" i="8" s="1"/>
  <c r="K28" i="8" s="1"/>
  <c r="G29" i="8"/>
  <c r="G30" i="8" s="1"/>
  <c r="G31" i="8" s="1"/>
  <c r="H31" i="8" l="1"/>
  <c r="J31" i="8" s="1"/>
  <c r="K31" i="8" s="1"/>
  <c r="G32" i="8"/>
  <c r="G33" i="8" s="1"/>
  <c r="J31" i="9"/>
  <c r="L31" i="9" s="1"/>
  <c r="M31" i="9" s="1"/>
  <c r="I32" i="9"/>
  <c r="I33" i="9" s="1"/>
  <c r="H30" i="8"/>
  <c r="J30" i="8" s="1"/>
  <c r="K30" i="8" s="1"/>
  <c r="J30" i="9"/>
  <c r="L30" i="9" s="1"/>
  <c r="M30" i="9" s="1"/>
  <c r="H29" i="8"/>
  <c r="J29" i="8" s="1"/>
  <c r="K29" i="8" s="1"/>
  <c r="J29" i="9"/>
  <c r="L29" i="9" s="1"/>
  <c r="M29" i="9" s="1"/>
  <c r="J33" i="9" l="1"/>
  <c r="L33" i="9" s="1"/>
  <c r="I34" i="9"/>
  <c r="H33" i="8"/>
  <c r="J33" i="8" s="1"/>
  <c r="G34" i="8"/>
  <c r="J32" i="9"/>
  <c r="L32" i="9" s="1"/>
  <c r="M32" i="9" s="1"/>
  <c r="H32" i="8"/>
  <c r="J32" i="8" s="1"/>
  <c r="K32" i="8" s="1"/>
  <c r="K33" i="8" l="1"/>
  <c r="T6" i="8" s="1"/>
  <c r="S6" i="8"/>
  <c r="V6" i="8" s="1"/>
  <c r="M33" i="9"/>
  <c r="W6" i="9" s="1"/>
  <c r="V6" i="9"/>
  <c r="Y6" i="9" s="1"/>
  <c r="H34" i="8"/>
  <c r="J34" i="8" s="1"/>
  <c r="K34" i="8" s="1"/>
  <c r="G35" i="8"/>
  <c r="J34" i="9"/>
  <c r="L34" i="9" s="1"/>
  <c r="M34" i="9" s="1"/>
  <c r="I35" i="9"/>
  <c r="J35" i="9" l="1"/>
  <c r="L35" i="9" s="1"/>
  <c r="M35" i="9" s="1"/>
  <c r="I36" i="9"/>
  <c r="I37" i="9" s="1"/>
  <c r="H35" i="8"/>
  <c r="J35" i="8" s="1"/>
  <c r="K35" i="8" s="1"/>
  <c r="G36" i="8"/>
  <c r="J37" i="9" l="1"/>
  <c r="L37" i="9" s="1"/>
  <c r="M37" i="9" s="1"/>
  <c r="I38" i="9"/>
  <c r="H36" i="8"/>
  <c r="J36" i="8" s="1"/>
  <c r="K36" i="8" s="1"/>
  <c r="G37" i="8"/>
  <c r="J36" i="9"/>
  <c r="L36" i="9" s="1"/>
  <c r="M36" i="9" s="1"/>
  <c r="J38" i="9" l="1"/>
  <c r="L38" i="9" s="1"/>
  <c r="M38" i="9" s="1"/>
  <c r="I39" i="9"/>
  <c r="I40" i="9" s="1"/>
  <c r="H37" i="8"/>
  <c r="J37" i="8" s="1"/>
  <c r="K37" i="8" s="1"/>
  <c r="G38" i="8"/>
  <c r="G39" i="8" s="1"/>
  <c r="J40" i="9" l="1"/>
  <c r="L40" i="9" s="1"/>
  <c r="M40" i="9" s="1"/>
  <c r="I41" i="9"/>
  <c r="H39" i="8"/>
  <c r="J39" i="8" s="1"/>
  <c r="K39" i="8" s="1"/>
  <c r="G40" i="8"/>
  <c r="J39" i="9"/>
  <c r="L39" i="9" s="1"/>
  <c r="M39" i="9" s="1"/>
  <c r="H38" i="8"/>
  <c r="J38" i="8" s="1"/>
  <c r="K38" i="8" s="1"/>
  <c r="J41" i="9" l="1"/>
  <c r="L41" i="9" s="1"/>
  <c r="M41" i="9" s="1"/>
  <c r="I42" i="9"/>
  <c r="I43" i="9" s="1"/>
  <c r="H40" i="8"/>
  <c r="J40" i="8" s="1"/>
  <c r="K40" i="8" s="1"/>
  <c r="G41" i="8"/>
  <c r="G42" i="8" s="1"/>
  <c r="J43" i="9" l="1"/>
  <c r="L43" i="9" s="1"/>
  <c r="M43" i="9" s="1"/>
  <c r="I44" i="9"/>
  <c r="H42" i="8"/>
  <c r="J42" i="8" s="1"/>
  <c r="K42" i="8" s="1"/>
  <c r="G43" i="8"/>
  <c r="J42" i="9"/>
  <c r="L42" i="9" s="1"/>
  <c r="M42" i="9" s="1"/>
  <c r="H41" i="8"/>
  <c r="J41" i="8" s="1"/>
  <c r="K41" i="8" s="1"/>
  <c r="J44" i="9" l="1"/>
  <c r="L44" i="9" s="1"/>
  <c r="M44" i="9" s="1"/>
  <c r="I45" i="9"/>
  <c r="I46" i="9" s="1"/>
  <c r="H43" i="8"/>
  <c r="J43" i="8" s="1"/>
  <c r="K43" i="8" s="1"/>
  <c r="G44" i="8"/>
  <c r="G45" i="8" s="1"/>
  <c r="J46" i="9" l="1"/>
  <c r="L46" i="9" s="1"/>
  <c r="M46" i="9" s="1"/>
  <c r="I47" i="9"/>
  <c r="H45" i="8"/>
  <c r="J45" i="8" s="1"/>
  <c r="S7" i="8" s="1"/>
  <c r="V7" i="8" s="1"/>
  <c r="G46" i="8"/>
  <c r="J45" i="9"/>
  <c r="L45" i="9" s="1"/>
  <c r="H44" i="8"/>
  <c r="J44" i="8" s="1"/>
  <c r="K44" i="8" s="1"/>
  <c r="K45" i="8" l="1"/>
  <c r="T7" i="8" s="1"/>
  <c r="J47" i="9"/>
  <c r="L47" i="9" s="1"/>
  <c r="M47" i="9" s="1"/>
  <c r="I48" i="9"/>
  <c r="I49" i="9" s="1"/>
  <c r="H46" i="8"/>
  <c r="J46" i="8" s="1"/>
  <c r="K46" i="8" s="1"/>
  <c r="G47" i="8"/>
  <c r="G48" i="8" s="1"/>
  <c r="M45" i="9"/>
  <c r="W7" i="9" s="1"/>
  <c r="V7" i="9"/>
  <c r="Y7" i="9" s="1"/>
  <c r="J49" i="9" l="1"/>
  <c r="L49" i="9" s="1"/>
  <c r="M49" i="9" s="1"/>
  <c r="I50" i="9"/>
  <c r="H48" i="8"/>
  <c r="J48" i="8" s="1"/>
  <c r="K48" i="8" s="1"/>
  <c r="G49" i="8"/>
  <c r="J48" i="9"/>
  <c r="L48" i="9" s="1"/>
  <c r="M48" i="9" s="1"/>
  <c r="H47" i="8"/>
  <c r="J47" i="8" s="1"/>
  <c r="K47" i="8" s="1"/>
  <c r="J50" i="9" l="1"/>
  <c r="L50" i="9" s="1"/>
  <c r="M50" i="9" s="1"/>
  <c r="I51" i="9"/>
  <c r="I52" i="9" s="1"/>
  <c r="H49" i="8"/>
  <c r="J49" i="8" s="1"/>
  <c r="K49" i="8" s="1"/>
  <c r="G50" i="8"/>
  <c r="G51" i="8" s="1"/>
  <c r="J52" i="9" l="1"/>
  <c r="L52" i="9" s="1"/>
  <c r="M52" i="9" s="1"/>
  <c r="I53" i="9"/>
  <c r="H51" i="8"/>
  <c r="J51" i="8" s="1"/>
  <c r="K51" i="8" s="1"/>
  <c r="G52" i="8"/>
  <c r="J51" i="9"/>
  <c r="L51" i="9" s="1"/>
  <c r="M51" i="9" s="1"/>
  <c r="H50" i="8"/>
  <c r="J50" i="8" s="1"/>
  <c r="K50" i="8" s="1"/>
  <c r="J53" i="9" l="1"/>
  <c r="L53" i="9" s="1"/>
  <c r="M53" i="9" s="1"/>
  <c r="I54" i="9"/>
  <c r="I55" i="9" s="1"/>
  <c r="H52" i="8"/>
  <c r="J52" i="8" s="1"/>
  <c r="K52" i="8" s="1"/>
  <c r="G53" i="8"/>
  <c r="G54" i="8" s="1"/>
  <c r="J55" i="9" l="1"/>
  <c r="L55" i="9" s="1"/>
  <c r="M55" i="9" s="1"/>
  <c r="I56" i="9"/>
  <c r="H54" i="8"/>
  <c r="J54" i="8" s="1"/>
  <c r="K54" i="8" s="1"/>
  <c r="G55" i="8"/>
  <c r="J54" i="9"/>
  <c r="L54" i="9" s="1"/>
  <c r="M54" i="9" s="1"/>
  <c r="H53" i="8"/>
  <c r="J53" i="8" s="1"/>
  <c r="K53" i="8" s="1"/>
  <c r="J56" i="9" l="1"/>
  <c r="L56" i="9" s="1"/>
  <c r="M56" i="9" s="1"/>
  <c r="I57" i="9"/>
  <c r="I58" i="9" s="1"/>
  <c r="H55" i="8"/>
  <c r="J55" i="8" s="1"/>
  <c r="K55" i="8" s="1"/>
  <c r="G56" i="8"/>
  <c r="G57" i="8" s="1"/>
  <c r="J58" i="9" l="1"/>
  <c r="L58" i="9" s="1"/>
  <c r="M58" i="9" s="1"/>
  <c r="I59" i="9"/>
  <c r="H57" i="8"/>
  <c r="J57" i="8" s="1"/>
  <c r="K57" i="8" s="1"/>
  <c r="G58" i="8"/>
  <c r="J57" i="9"/>
  <c r="L57" i="9" s="1"/>
  <c r="M57" i="9" s="1"/>
  <c r="H56" i="8"/>
  <c r="J56" i="8" s="1"/>
  <c r="K56" i="8" s="1"/>
  <c r="J59" i="9" l="1"/>
  <c r="L59" i="9" s="1"/>
  <c r="M59" i="9" s="1"/>
  <c r="I60" i="9"/>
  <c r="I61" i="9" s="1"/>
  <c r="H58" i="8"/>
  <c r="J58" i="8" s="1"/>
  <c r="K58" i="8" s="1"/>
  <c r="G59" i="8"/>
  <c r="G60" i="8" s="1"/>
  <c r="P4" i="13"/>
  <c r="N4" i="11"/>
  <c r="N4" i="15"/>
  <c r="J61" i="9" l="1"/>
  <c r="L61" i="9" s="1"/>
  <c r="M61" i="9" s="1"/>
  <c r="I62" i="9"/>
  <c r="H60" i="8"/>
  <c r="J60" i="8" s="1"/>
  <c r="K60" i="8" s="1"/>
  <c r="G61" i="8"/>
  <c r="J60" i="9"/>
  <c r="L60" i="9" s="1"/>
  <c r="M60" i="9" s="1"/>
  <c r="H59" i="8"/>
  <c r="J59" i="8" s="1"/>
  <c r="K59" i="8" s="1"/>
  <c r="M4" i="11"/>
  <c r="O4" i="13"/>
  <c r="M4" i="15"/>
  <c r="J62" i="9" l="1"/>
  <c r="L62" i="9" s="1"/>
  <c r="M62" i="9" s="1"/>
  <c r="I63" i="9"/>
  <c r="H61" i="8"/>
  <c r="J61" i="8" s="1"/>
  <c r="K61" i="8" s="1"/>
  <c r="G62" i="8"/>
  <c r="G63" i="8" s="1"/>
  <c r="H63" i="8" s="1"/>
  <c r="J63" i="8" s="1"/>
  <c r="K63" i="8" s="1"/>
  <c r="P5" i="13"/>
  <c r="N5" i="11"/>
  <c r="N5" i="15"/>
  <c r="J63" i="9" l="1"/>
  <c r="L63" i="9" s="1"/>
  <c r="M63" i="9" s="1"/>
  <c r="J2" i="9"/>
  <c r="H62" i="8"/>
  <c r="J62" i="8" s="1"/>
  <c r="K62" i="8" s="1"/>
  <c r="H2" i="8"/>
  <c r="O4" i="11"/>
  <c r="P5" i="11" s="1"/>
  <c r="E5" i="11" s="1"/>
  <c r="O4" i="15"/>
  <c r="P5" i="15" s="1"/>
  <c r="E5" i="15" s="1"/>
  <c r="Q4" i="13"/>
  <c r="R5" i="13" s="1"/>
  <c r="G5" i="13" s="1"/>
  <c r="N6" i="15"/>
  <c r="P6" i="13"/>
  <c r="N6" i="11"/>
  <c r="M5" i="15"/>
  <c r="O5" i="13"/>
  <c r="M5" i="11"/>
  <c r="N7" i="15" l="1"/>
  <c r="N7" i="11"/>
  <c r="P7" i="13"/>
  <c r="H5" i="13"/>
  <c r="I5" i="13" s="1"/>
  <c r="N5" i="13"/>
  <c r="K5" i="13"/>
  <c r="F5" i="15"/>
  <c r="G5" i="15" s="1"/>
  <c r="I5" i="15"/>
  <c r="L5" i="15"/>
  <c r="F5" i="11"/>
  <c r="G5" i="11" s="1"/>
  <c r="L5" i="11"/>
  <c r="I5" i="11"/>
  <c r="O6" i="13"/>
  <c r="M6" i="15"/>
  <c r="M6" i="11"/>
  <c r="Q5" i="13"/>
  <c r="R6" i="13" s="1"/>
  <c r="G6" i="13" s="1"/>
  <c r="H6" i="13" s="1"/>
  <c r="O5" i="11"/>
  <c r="P6" i="11" s="1"/>
  <c r="E6" i="11" s="1"/>
  <c r="F6" i="11" s="1"/>
  <c r="O5" i="15"/>
  <c r="P6" i="15" s="1"/>
  <c r="E6" i="15" s="1"/>
  <c r="F6" i="15" l="1"/>
  <c r="G6" i="15" s="1"/>
  <c r="L6" i="15"/>
  <c r="H5" i="11"/>
  <c r="J5" i="11" s="1"/>
  <c r="K5" i="11" s="1"/>
  <c r="G6" i="11"/>
  <c r="H5" i="15"/>
  <c r="J5" i="15" s="1"/>
  <c r="K5" i="15" s="1"/>
  <c r="N6" i="13"/>
  <c r="L6" i="11"/>
  <c r="I6" i="15"/>
  <c r="K6" i="13"/>
  <c r="I6" i="13"/>
  <c r="J5" i="13"/>
  <c r="L5" i="13" s="1"/>
  <c r="M5" i="13" s="1"/>
  <c r="O6" i="11"/>
  <c r="P7" i="11" s="1"/>
  <c r="E7" i="11" s="1"/>
  <c r="F7" i="11" s="1"/>
  <c r="O6" i="15"/>
  <c r="P7" i="15" s="1"/>
  <c r="E7" i="15" s="1"/>
  <c r="F7" i="15" s="1"/>
  <c r="Q6" i="13"/>
  <c r="R7" i="13" s="1"/>
  <c r="G7" i="13" s="1"/>
  <c r="H7" i="13" s="1"/>
  <c r="O7" i="15"/>
  <c r="P8" i="15" s="1"/>
  <c r="E8" i="15" s="1"/>
  <c r="F8" i="15" s="1"/>
  <c r="O7" i="11"/>
  <c r="P8" i="11" s="1"/>
  <c r="E8" i="11" s="1"/>
  <c r="F8" i="11" s="1"/>
  <c r="Q7" i="13"/>
  <c r="R8" i="13" s="1"/>
  <c r="G8" i="13" s="1"/>
  <c r="H8" i="13" s="1"/>
  <c r="M8" i="11"/>
  <c r="O8" i="13"/>
  <c r="M8" i="15"/>
  <c r="M7" i="15"/>
  <c r="O7" i="13"/>
  <c r="M7" i="11"/>
  <c r="I6" i="11"/>
  <c r="I7" i="11" s="1"/>
  <c r="N8" i="11"/>
  <c r="P8" i="13"/>
  <c r="N8" i="15"/>
  <c r="I7" i="15" l="1"/>
  <c r="N7" i="13"/>
  <c r="N8" i="13" s="1"/>
  <c r="K7" i="13"/>
  <c r="L7" i="11"/>
  <c r="G7" i="15"/>
  <c r="H6" i="15"/>
  <c r="J6" i="15" s="1"/>
  <c r="K6" i="15" s="1"/>
  <c r="K8" i="13"/>
  <c r="L8" i="11"/>
  <c r="O8" i="11"/>
  <c r="P9" i="11" s="1"/>
  <c r="E9" i="11" s="1"/>
  <c r="F9" i="11" s="1"/>
  <c r="Q8" i="13"/>
  <c r="R9" i="13" s="1"/>
  <c r="G9" i="13" s="1"/>
  <c r="O8" i="15"/>
  <c r="P9" i="15" s="1"/>
  <c r="E9" i="15" s="1"/>
  <c r="F9" i="15" s="1"/>
  <c r="O9" i="13"/>
  <c r="M9" i="11"/>
  <c r="M9" i="15"/>
  <c r="I8" i="15"/>
  <c r="P9" i="13"/>
  <c r="N9" i="11"/>
  <c r="N9" i="15"/>
  <c r="I8" i="11"/>
  <c r="G7" i="11"/>
  <c r="H6" i="11"/>
  <c r="J6" i="11" s="1"/>
  <c r="K6" i="11" s="1"/>
  <c r="L7" i="15"/>
  <c r="L8" i="15" s="1"/>
  <c r="I7" i="13"/>
  <c r="J6" i="13"/>
  <c r="L6" i="13" s="1"/>
  <c r="M6" i="13" s="1"/>
  <c r="L9" i="15" l="1"/>
  <c r="V4" i="15" s="1"/>
  <c r="O10" i="13"/>
  <c r="M10" i="15"/>
  <c r="M10" i="11"/>
  <c r="I8" i="13"/>
  <c r="J7" i="13"/>
  <c r="L7" i="13" s="1"/>
  <c r="M7" i="13" s="1"/>
  <c r="K9" i="13"/>
  <c r="H7" i="11"/>
  <c r="J7" i="11" s="1"/>
  <c r="K7" i="11" s="1"/>
  <c r="G8" i="11"/>
  <c r="H9" i="13"/>
  <c r="N9" i="13"/>
  <c r="X4" i="13" s="1"/>
  <c r="I9" i="11"/>
  <c r="S4" i="11" s="1"/>
  <c r="R4" i="11" s="1"/>
  <c r="N10" i="11"/>
  <c r="N10" i="15"/>
  <c r="P10" i="13"/>
  <c r="Q9" i="13"/>
  <c r="R10" i="13" s="1"/>
  <c r="G10" i="13" s="1"/>
  <c r="O9" i="11"/>
  <c r="P10" i="11" s="1"/>
  <c r="E10" i="11" s="1"/>
  <c r="O9" i="15"/>
  <c r="P10" i="15" s="1"/>
  <c r="E10" i="15" s="1"/>
  <c r="L9" i="11"/>
  <c r="V4" i="11" s="1"/>
  <c r="G8" i="15"/>
  <c r="H7" i="15"/>
  <c r="J7" i="15" s="1"/>
  <c r="K7" i="15" s="1"/>
  <c r="I9" i="15"/>
  <c r="S4" i="15" s="1"/>
  <c r="R4" i="15" s="1"/>
  <c r="H8" i="15" l="1"/>
  <c r="J8" i="15" s="1"/>
  <c r="K8" i="15" s="1"/>
  <c r="G9" i="15"/>
  <c r="M11" i="15"/>
  <c r="M11" i="11"/>
  <c r="O11" i="13"/>
  <c r="K10" i="13"/>
  <c r="U4" i="13"/>
  <c r="T4" i="13" s="1"/>
  <c r="F10" i="11"/>
  <c r="L10" i="11"/>
  <c r="I10" i="11"/>
  <c r="F10" i="15"/>
  <c r="L10" i="15"/>
  <c r="I10" i="15"/>
  <c r="H8" i="11"/>
  <c r="J8" i="11" s="1"/>
  <c r="K8" i="11" s="1"/>
  <c r="G9" i="11"/>
  <c r="J8" i="13"/>
  <c r="L8" i="13" s="1"/>
  <c r="M8" i="13" s="1"/>
  <c r="I9" i="13"/>
  <c r="H10" i="13"/>
  <c r="N10" i="13"/>
  <c r="O10" i="15"/>
  <c r="P11" i="15" s="1"/>
  <c r="E11" i="15" s="1"/>
  <c r="F11" i="15" s="1"/>
  <c r="O10" i="11"/>
  <c r="P11" i="11" s="1"/>
  <c r="E11" i="11" s="1"/>
  <c r="F11" i="11" s="1"/>
  <c r="Q10" i="13"/>
  <c r="R11" i="13" s="1"/>
  <c r="G11" i="13" s="1"/>
  <c r="H11" i="13" s="1"/>
  <c r="N11" i="15"/>
  <c r="P11" i="13"/>
  <c r="N11" i="11"/>
  <c r="I10" i="13" l="1"/>
  <c r="J9" i="13"/>
  <c r="L9" i="13" s="1"/>
  <c r="M12" i="11"/>
  <c r="O12" i="13"/>
  <c r="M12" i="15"/>
  <c r="L11" i="11"/>
  <c r="O11" i="15"/>
  <c r="P12" i="15" s="1"/>
  <c r="E12" i="15" s="1"/>
  <c r="F12" i="15" s="1"/>
  <c r="Q11" i="13"/>
  <c r="R12" i="13" s="1"/>
  <c r="G12" i="13" s="1"/>
  <c r="H12" i="13" s="1"/>
  <c r="O11" i="11"/>
  <c r="P12" i="11" s="1"/>
  <c r="E12" i="11" s="1"/>
  <c r="F12" i="11" s="1"/>
  <c r="N11" i="13"/>
  <c r="N12" i="13" s="1"/>
  <c r="K11" i="13"/>
  <c r="G10" i="11"/>
  <c r="H9" i="11"/>
  <c r="J9" i="11" s="1"/>
  <c r="I11" i="15"/>
  <c r="G10" i="15"/>
  <c r="H9" i="15"/>
  <c r="J9" i="15" s="1"/>
  <c r="I11" i="11"/>
  <c r="P12" i="13"/>
  <c r="N12" i="11"/>
  <c r="N12" i="15"/>
  <c r="L11" i="15"/>
  <c r="L12" i="15" s="1"/>
  <c r="K12" i="13" l="1"/>
  <c r="Q12" i="13"/>
  <c r="R13" i="13" s="1"/>
  <c r="G13" i="13" s="1"/>
  <c r="H13" i="13" s="1"/>
  <c r="O12" i="11"/>
  <c r="P13" i="11" s="1"/>
  <c r="E13" i="11" s="1"/>
  <c r="F13" i="11" s="1"/>
  <c r="O12" i="15"/>
  <c r="P13" i="15" s="1"/>
  <c r="E13" i="15" s="1"/>
  <c r="F13" i="15" s="1"/>
  <c r="K9" i="15"/>
  <c r="U4" i="15" s="1"/>
  <c r="T4" i="15"/>
  <c r="W4" i="15" s="1"/>
  <c r="X4" i="15" s="1"/>
  <c r="H10" i="15"/>
  <c r="J10" i="15" s="1"/>
  <c r="K10" i="15" s="1"/>
  <c r="G11" i="15"/>
  <c r="M13" i="15"/>
  <c r="O13" i="13"/>
  <c r="M13" i="11"/>
  <c r="L12" i="11"/>
  <c r="L13" i="11" s="1"/>
  <c r="P13" i="13"/>
  <c r="N13" i="11"/>
  <c r="N13" i="15"/>
  <c r="I12" i="11"/>
  <c r="I13" i="11" s="1"/>
  <c r="I12" i="15"/>
  <c r="I13" i="15" s="1"/>
  <c r="K9" i="11"/>
  <c r="U4" i="11" s="1"/>
  <c r="T4" i="11"/>
  <c r="W4" i="11" s="1"/>
  <c r="X4" i="11" s="1"/>
  <c r="H10" i="11"/>
  <c r="J10" i="11" s="1"/>
  <c r="K10" i="11" s="1"/>
  <c r="G11" i="11"/>
  <c r="M9" i="13"/>
  <c r="W4" i="13" s="1"/>
  <c r="V4" i="13"/>
  <c r="Y4" i="13" s="1"/>
  <c r="Z4" i="13" s="1"/>
  <c r="K13" i="13"/>
  <c r="J10" i="13"/>
  <c r="L10" i="13" s="1"/>
  <c r="M10" i="13" s="1"/>
  <c r="I11" i="13"/>
  <c r="L13" i="15" l="1"/>
  <c r="N13" i="13"/>
  <c r="O14" i="13"/>
  <c r="M14" i="11"/>
  <c r="M14" i="15"/>
  <c r="H11" i="15"/>
  <c r="J11" i="15" s="1"/>
  <c r="K11" i="15" s="1"/>
  <c r="G12" i="15"/>
  <c r="J11" i="13"/>
  <c r="L11" i="13" s="1"/>
  <c r="M11" i="13" s="1"/>
  <c r="I12" i="13"/>
  <c r="N14" i="15"/>
  <c r="N14" i="11"/>
  <c r="P14" i="13"/>
  <c r="Q13" i="13"/>
  <c r="R14" i="13" s="1"/>
  <c r="G14" i="13" s="1"/>
  <c r="H14" i="13" s="1"/>
  <c r="O13" i="11"/>
  <c r="P14" i="11" s="1"/>
  <c r="E14" i="11" s="1"/>
  <c r="F14" i="11" s="1"/>
  <c r="O13" i="15"/>
  <c r="P14" i="15" s="1"/>
  <c r="E14" i="15" s="1"/>
  <c r="F14" i="15" s="1"/>
  <c r="H11" i="11"/>
  <c r="J11" i="11" s="1"/>
  <c r="K11" i="11" s="1"/>
  <c r="G12" i="11"/>
  <c r="N14" i="13"/>
  <c r="L14" i="11"/>
  <c r="K14" i="13" l="1"/>
  <c r="L14" i="15"/>
  <c r="G13" i="15"/>
  <c r="H12" i="15"/>
  <c r="J12" i="15" s="1"/>
  <c r="K12" i="15" s="1"/>
  <c r="N15" i="15"/>
  <c r="N15" i="11"/>
  <c r="P15" i="13"/>
  <c r="M15" i="15"/>
  <c r="M15" i="11"/>
  <c r="O15" i="13"/>
  <c r="O14" i="11"/>
  <c r="P15" i="11" s="1"/>
  <c r="E15" i="11" s="1"/>
  <c r="F15" i="11" s="1"/>
  <c r="O14" i="15"/>
  <c r="P15" i="15" s="1"/>
  <c r="E15" i="15" s="1"/>
  <c r="F15" i="15" s="1"/>
  <c r="Q14" i="13"/>
  <c r="R15" i="13" s="1"/>
  <c r="G15" i="13" s="1"/>
  <c r="H15" i="13" s="1"/>
  <c r="I13" i="13"/>
  <c r="J12" i="13"/>
  <c r="L12" i="13" s="1"/>
  <c r="M12" i="13" s="1"/>
  <c r="G13" i="11"/>
  <c r="H12" i="11"/>
  <c r="J12" i="11" s="1"/>
  <c r="K12" i="11" s="1"/>
  <c r="I14" i="11"/>
  <c r="I15" i="11" s="1"/>
  <c r="I14" i="15"/>
  <c r="I15" i="15" s="1"/>
  <c r="N15" i="13" l="1"/>
  <c r="L15" i="11"/>
  <c r="O15" i="15"/>
  <c r="P16" i="15" s="1"/>
  <c r="E16" i="15" s="1"/>
  <c r="F16" i="15" s="1"/>
  <c r="O15" i="11"/>
  <c r="P16" i="11" s="1"/>
  <c r="E16" i="11" s="1"/>
  <c r="F16" i="11" s="1"/>
  <c r="Q15" i="13"/>
  <c r="R16" i="13" s="1"/>
  <c r="G16" i="13" s="1"/>
  <c r="H16" i="13" s="1"/>
  <c r="M16" i="15"/>
  <c r="O16" i="13"/>
  <c r="M16" i="11"/>
  <c r="P16" i="13"/>
  <c r="N16" i="11"/>
  <c r="N16" i="15"/>
  <c r="J13" i="13"/>
  <c r="L13" i="13" s="1"/>
  <c r="M13" i="13" s="1"/>
  <c r="I14" i="13"/>
  <c r="G14" i="11"/>
  <c r="H13" i="11"/>
  <c r="J13" i="11" s="1"/>
  <c r="K13" i="11" s="1"/>
  <c r="H13" i="15"/>
  <c r="J13" i="15" s="1"/>
  <c r="K13" i="15" s="1"/>
  <c r="G14" i="15"/>
  <c r="K15" i="13"/>
  <c r="L15" i="15"/>
  <c r="L16" i="15" s="1"/>
  <c r="Q16" i="13" l="1"/>
  <c r="R17" i="13" s="1"/>
  <c r="G17" i="13" s="1"/>
  <c r="O16" i="11"/>
  <c r="P17" i="11" s="1"/>
  <c r="E17" i="11" s="1"/>
  <c r="F17" i="11" s="1"/>
  <c r="O16" i="15"/>
  <c r="P17" i="15" s="1"/>
  <c r="E17" i="15" s="1"/>
  <c r="F17" i="15" s="1"/>
  <c r="H14" i="11"/>
  <c r="J14" i="11" s="1"/>
  <c r="K14" i="11" s="1"/>
  <c r="G15" i="11"/>
  <c r="K16" i="13"/>
  <c r="K17" i="13" s="1"/>
  <c r="L16" i="11"/>
  <c r="G15" i="15"/>
  <c r="H14" i="15"/>
  <c r="J14" i="15" s="1"/>
  <c r="K14" i="15" s="1"/>
  <c r="I16" i="15"/>
  <c r="I15" i="13"/>
  <c r="J14" i="13"/>
  <c r="L14" i="13" s="1"/>
  <c r="M14" i="13" s="1"/>
  <c r="N16" i="13"/>
  <c r="P17" i="13"/>
  <c r="N17" i="11"/>
  <c r="N17" i="15"/>
  <c r="O17" i="13"/>
  <c r="M17" i="11"/>
  <c r="M17" i="15"/>
  <c r="I16" i="11"/>
  <c r="I17" i="11" s="1"/>
  <c r="I17" i="15" l="1"/>
  <c r="L17" i="11"/>
  <c r="M18" i="11"/>
  <c r="M18" i="15"/>
  <c r="O18" i="13"/>
  <c r="Q17" i="13"/>
  <c r="R18" i="13" s="1"/>
  <c r="G18" i="13" s="1"/>
  <c r="H18" i="13" s="1"/>
  <c r="O17" i="11"/>
  <c r="P18" i="11" s="1"/>
  <c r="E18" i="11" s="1"/>
  <c r="F18" i="11" s="1"/>
  <c r="O17" i="15"/>
  <c r="P18" i="15" s="1"/>
  <c r="E18" i="15" s="1"/>
  <c r="F18" i="15" s="1"/>
  <c r="P18" i="13"/>
  <c r="N18" i="15"/>
  <c r="N18" i="11"/>
  <c r="H17" i="13"/>
  <c r="N17" i="13"/>
  <c r="H15" i="15"/>
  <c r="J15" i="15" s="1"/>
  <c r="K15" i="15" s="1"/>
  <c r="G16" i="15"/>
  <c r="H15" i="11"/>
  <c r="J15" i="11" s="1"/>
  <c r="K15" i="11" s="1"/>
  <c r="G16" i="11"/>
  <c r="I16" i="13"/>
  <c r="J15" i="13"/>
  <c r="L15" i="13" s="1"/>
  <c r="M15" i="13" s="1"/>
  <c r="L17" i="15"/>
  <c r="J16" i="13" l="1"/>
  <c r="L16" i="13" s="1"/>
  <c r="M16" i="13" s="1"/>
  <c r="I17" i="13"/>
  <c r="O18" i="11"/>
  <c r="P19" i="11" s="1"/>
  <c r="E19" i="11" s="1"/>
  <c r="F19" i="11" s="1"/>
  <c r="Q18" i="13"/>
  <c r="R19" i="13" s="1"/>
  <c r="G19" i="13" s="1"/>
  <c r="H19" i="13" s="1"/>
  <c r="O18" i="15"/>
  <c r="P19" i="15" s="1"/>
  <c r="E19" i="15" s="1"/>
  <c r="F19" i="15" s="1"/>
  <c r="H16" i="15"/>
  <c r="J16" i="15" s="1"/>
  <c r="K16" i="15" s="1"/>
  <c r="G17" i="15"/>
  <c r="N18" i="13"/>
  <c r="I18" i="15"/>
  <c r="H16" i="11"/>
  <c r="J16" i="11" s="1"/>
  <c r="K16" i="11" s="1"/>
  <c r="G17" i="11"/>
  <c r="M19" i="11"/>
  <c r="O19" i="13"/>
  <c r="M19" i="15"/>
  <c r="K18" i="13"/>
  <c r="L18" i="15"/>
  <c r="L18" i="11"/>
  <c r="L19" i="11" s="1"/>
  <c r="P19" i="13"/>
  <c r="N19" i="11"/>
  <c r="N19" i="15"/>
  <c r="I18" i="11"/>
  <c r="P20" i="13" l="1"/>
  <c r="N20" i="11"/>
  <c r="N20" i="15"/>
  <c r="N19" i="13"/>
  <c r="I19" i="15"/>
  <c r="M20" i="11"/>
  <c r="O20" i="13"/>
  <c r="M20" i="15"/>
  <c r="O19" i="11"/>
  <c r="P20" i="11" s="1"/>
  <c r="E20" i="11" s="1"/>
  <c r="F20" i="11" s="1"/>
  <c r="Q19" i="13"/>
  <c r="R20" i="13" s="1"/>
  <c r="G20" i="13" s="1"/>
  <c r="H20" i="13" s="1"/>
  <c r="O19" i="15"/>
  <c r="P20" i="15" s="1"/>
  <c r="E20" i="15" s="1"/>
  <c r="F20" i="15" s="1"/>
  <c r="K19" i="13"/>
  <c r="K20" i="13" s="1"/>
  <c r="G18" i="15"/>
  <c r="H17" i="15"/>
  <c r="J17" i="15" s="1"/>
  <c r="K17" i="15" s="1"/>
  <c r="G18" i="11"/>
  <c r="H17" i="11"/>
  <c r="J17" i="11" s="1"/>
  <c r="K17" i="11" s="1"/>
  <c r="L20" i="11"/>
  <c r="L19" i="15"/>
  <c r="I19" i="11"/>
  <c r="I20" i="11" s="1"/>
  <c r="I18" i="13"/>
  <c r="J17" i="13"/>
  <c r="L17" i="13" s="1"/>
  <c r="M17" i="13" s="1"/>
  <c r="L20" i="15" l="1"/>
  <c r="N20" i="13"/>
  <c r="I20" i="15"/>
  <c r="H18" i="11"/>
  <c r="J18" i="11" s="1"/>
  <c r="K18" i="11" s="1"/>
  <c r="G19" i="11"/>
  <c r="N21" i="11"/>
  <c r="P21" i="13"/>
  <c r="N21" i="15"/>
  <c r="H18" i="15"/>
  <c r="J18" i="15" s="1"/>
  <c r="K18" i="15" s="1"/>
  <c r="G19" i="15"/>
  <c r="I19" i="13"/>
  <c r="J18" i="13"/>
  <c r="L18" i="13" s="1"/>
  <c r="M18" i="13" s="1"/>
  <c r="M21" i="11"/>
  <c r="O21" i="13"/>
  <c r="M21" i="15"/>
  <c r="O20" i="11"/>
  <c r="P21" i="11" s="1"/>
  <c r="E21" i="11" s="1"/>
  <c r="F21" i="11" s="1"/>
  <c r="Q20" i="13"/>
  <c r="R21" i="13" s="1"/>
  <c r="G21" i="13" s="1"/>
  <c r="H21" i="13" s="1"/>
  <c r="O20" i="15"/>
  <c r="P21" i="15" s="1"/>
  <c r="E21" i="15" s="1"/>
  <c r="F21" i="15" s="1"/>
  <c r="J19" i="13" l="1"/>
  <c r="L19" i="13" s="1"/>
  <c r="M19" i="13" s="1"/>
  <c r="I20" i="13"/>
  <c r="L21" i="15"/>
  <c r="V5" i="15" s="1"/>
  <c r="H19" i="15"/>
  <c r="J19" i="15" s="1"/>
  <c r="K19" i="15" s="1"/>
  <c r="G20" i="15"/>
  <c r="I21" i="15"/>
  <c r="S5" i="15" s="1"/>
  <c r="R5" i="15" s="1"/>
  <c r="K21" i="13"/>
  <c r="U5" i="13" s="1"/>
  <c r="T5" i="13" s="1"/>
  <c r="M22" i="11"/>
  <c r="O22" i="13"/>
  <c r="M22" i="15"/>
  <c r="O21" i="11"/>
  <c r="P22" i="11" s="1"/>
  <c r="E22" i="11" s="1"/>
  <c r="O21" i="15"/>
  <c r="P22" i="15" s="1"/>
  <c r="E22" i="15" s="1"/>
  <c r="Q21" i="13"/>
  <c r="R22" i="13" s="1"/>
  <c r="G22" i="13" s="1"/>
  <c r="N22" i="11"/>
  <c r="P22" i="13"/>
  <c r="N22" i="15"/>
  <c r="L21" i="11"/>
  <c r="V5" i="11" s="1"/>
  <c r="I21" i="11"/>
  <c r="S5" i="11" s="1"/>
  <c r="R5" i="11" s="1"/>
  <c r="G20" i="11"/>
  <c r="H19" i="11"/>
  <c r="J19" i="11" s="1"/>
  <c r="K19" i="11" s="1"/>
  <c r="N21" i="13"/>
  <c r="X5" i="13" s="1"/>
  <c r="G21" i="15" l="1"/>
  <c r="H20" i="15"/>
  <c r="J20" i="15" s="1"/>
  <c r="K20" i="15" s="1"/>
  <c r="G21" i="11"/>
  <c r="H20" i="11"/>
  <c r="J20" i="11" s="1"/>
  <c r="K20" i="11" s="1"/>
  <c r="H22" i="13"/>
  <c r="K22" i="13"/>
  <c r="N22" i="13"/>
  <c r="F22" i="11"/>
  <c r="L22" i="11"/>
  <c r="I22" i="11"/>
  <c r="O23" i="13"/>
  <c r="M23" i="15"/>
  <c r="M23" i="11"/>
  <c r="F22" i="15"/>
  <c r="I22" i="15"/>
  <c r="L22" i="15"/>
  <c r="Q22" i="13"/>
  <c r="R23" i="13" s="1"/>
  <c r="G23" i="13" s="1"/>
  <c r="H23" i="13" s="1"/>
  <c r="O22" i="15"/>
  <c r="P23" i="15" s="1"/>
  <c r="E23" i="15" s="1"/>
  <c r="F23" i="15" s="1"/>
  <c r="O22" i="11"/>
  <c r="P23" i="11" s="1"/>
  <c r="E23" i="11" s="1"/>
  <c r="F23" i="11" s="1"/>
  <c r="I21" i="13"/>
  <c r="J20" i="13"/>
  <c r="L20" i="13" s="1"/>
  <c r="M20" i="13" s="1"/>
  <c r="P23" i="13"/>
  <c r="N23" i="15"/>
  <c r="N23" i="11"/>
  <c r="L23" i="15" l="1"/>
  <c r="K23" i="13"/>
  <c r="I23" i="15"/>
  <c r="N23" i="13"/>
  <c r="N24" i="15"/>
  <c r="P24" i="13"/>
  <c r="N24" i="11"/>
  <c r="M24" i="15"/>
  <c r="M24" i="11"/>
  <c r="O24" i="13"/>
  <c r="J21" i="13"/>
  <c r="L21" i="13" s="1"/>
  <c r="I22" i="13"/>
  <c r="O23" i="11"/>
  <c r="P24" i="11" s="1"/>
  <c r="E24" i="11" s="1"/>
  <c r="F24" i="11" s="1"/>
  <c r="O23" i="15"/>
  <c r="P24" i="15" s="1"/>
  <c r="E24" i="15" s="1"/>
  <c r="F24" i="15" s="1"/>
  <c r="Q23" i="13"/>
  <c r="R24" i="13" s="1"/>
  <c r="G24" i="13" s="1"/>
  <c r="H24" i="13" s="1"/>
  <c r="I23" i="11"/>
  <c r="L23" i="11"/>
  <c r="H21" i="11"/>
  <c r="J21" i="11" s="1"/>
  <c r="G22" i="11"/>
  <c r="I24" i="15"/>
  <c r="L24" i="15"/>
  <c r="H21" i="15"/>
  <c r="J21" i="15" s="1"/>
  <c r="G22" i="15"/>
  <c r="K24" i="13" l="1"/>
  <c r="K21" i="15"/>
  <c r="U5" i="15" s="1"/>
  <c r="T5" i="15"/>
  <c r="W5" i="15" s="1"/>
  <c r="V5" i="13"/>
  <c r="Y5" i="13" s="1"/>
  <c r="M21" i="13"/>
  <c r="W5" i="13" s="1"/>
  <c r="J22" i="13"/>
  <c r="L22" i="13" s="1"/>
  <c r="M22" i="13" s="1"/>
  <c r="I23" i="13"/>
  <c r="N25" i="11"/>
  <c r="P25" i="13"/>
  <c r="N25" i="15"/>
  <c r="H22" i="15"/>
  <c r="J22" i="15" s="1"/>
  <c r="K22" i="15" s="1"/>
  <c r="G23" i="15"/>
  <c r="K21" i="11"/>
  <c r="U5" i="11" s="1"/>
  <c r="T5" i="11"/>
  <c r="W5" i="11" s="1"/>
  <c r="O24" i="11"/>
  <c r="P25" i="11" s="1"/>
  <c r="E25" i="11" s="1"/>
  <c r="F25" i="11" s="1"/>
  <c r="Q24" i="13"/>
  <c r="R25" i="13" s="1"/>
  <c r="G25" i="13" s="1"/>
  <c r="H25" i="13" s="1"/>
  <c r="O24" i="15"/>
  <c r="P25" i="15" s="1"/>
  <c r="E25" i="15" s="1"/>
  <c r="F25" i="15" s="1"/>
  <c r="L24" i="11"/>
  <c r="H22" i="11"/>
  <c r="J22" i="11" s="1"/>
  <c r="K22" i="11" s="1"/>
  <c r="G23" i="11"/>
  <c r="M25" i="11"/>
  <c r="O25" i="13"/>
  <c r="M25" i="15"/>
  <c r="I24" i="11"/>
  <c r="N24" i="13"/>
  <c r="I24" i="13" l="1"/>
  <c r="J23" i="13"/>
  <c r="L23" i="13" s="1"/>
  <c r="M23" i="13" s="1"/>
  <c r="M26" i="15"/>
  <c r="O26" i="13"/>
  <c r="M26" i="11"/>
  <c r="G24" i="11"/>
  <c r="H23" i="11"/>
  <c r="J23" i="11" s="1"/>
  <c r="K23" i="11" s="1"/>
  <c r="P26" i="13"/>
  <c r="N26" i="11"/>
  <c r="N26" i="15"/>
  <c r="I25" i="15"/>
  <c r="K25" i="13"/>
  <c r="I25" i="11"/>
  <c r="O25" i="15"/>
  <c r="P26" i="15" s="1"/>
  <c r="E26" i="15" s="1"/>
  <c r="F26" i="15" s="1"/>
  <c r="O25" i="11"/>
  <c r="P26" i="11" s="1"/>
  <c r="E26" i="11" s="1"/>
  <c r="F26" i="11" s="1"/>
  <c r="Q25" i="13"/>
  <c r="R26" i="13" s="1"/>
  <c r="G26" i="13" s="1"/>
  <c r="H26" i="13" s="1"/>
  <c r="G24" i="15"/>
  <c r="H23" i="15"/>
  <c r="J23" i="15" s="1"/>
  <c r="K23" i="15" s="1"/>
  <c r="N25" i="13"/>
  <c r="L25" i="11"/>
  <c r="L25" i="15"/>
  <c r="I26" i="15" l="1"/>
  <c r="L26" i="15"/>
  <c r="L26" i="11"/>
  <c r="H24" i="11"/>
  <c r="J24" i="11" s="1"/>
  <c r="K24" i="11" s="1"/>
  <c r="G25" i="11"/>
  <c r="Q26" i="13"/>
  <c r="R27" i="13" s="1"/>
  <c r="G27" i="13" s="1"/>
  <c r="H27" i="13" s="1"/>
  <c r="O26" i="15"/>
  <c r="P27" i="15" s="1"/>
  <c r="E27" i="15" s="1"/>
  <c r="F27" i="15" s="1"/>
  <c r="O26" i="11"/>
  <c r="P27" i="11" s="1"/>
  <c r="E27" i="11" s="1"/>
  <c r="F27" i="11" s="1"/>
  <c r="I26" i="11"/>
  <c r="K26" i="13"/>
  <c r="K27" i="13" s="1"/>
  <c r="N26" i="13"/>
  <c r="N27" i="15"/>
  <c r="P27" i="13"/>
  <c r="N27" i="11"/>
  <c r="M27" i="15"/>
  <c r="O27" i="13"/>
  <c r="M27" i="11"/>
  <c r="H24" i="15"/>
  <c r="J24" i="15" s="1"/>
  <c r="K24" i="15" s="1"/>
  <c r="G25" i="15"/>
  <c r="J24" i="13"/>
  <c r="L24" i="13" s="1"/>
  <c r="M24" i="13" s="1"/>
  <c r="I25" i="13"/>
  <c r="N27" i="13" l="1"/>
  <c r="I27" i="11"/>
  <c r="I27" i="15"/>
  <c r="P28" i="13"/>
  <c r="N28" i="11"/>
  <c r="N28" i="15"/>
  <c r="L27" i="11"/>
  <c r="M28" i="15"/>
  <c r="O28" i="13"/>
  <c r="M28" i="11"/>
  <c r="G26" i="15"/>
  <c r="H25" i="15"/>
  <c r="J25" i="15" s="1"/>
  <c r="K25" i="15" s="1"/>
  <c r="Q27" i="13"/>
  <c r="R28" i="13" s="1"/>
  <c r="G28" i="13" s="1"/>
  <c r="H28" i="13" s="1"/>
  <c r="O27" i="15"/>
  <c r="P28" i="15" s="1"/>
  <c r="E28" i="15" s="1"/>
  <c r="F28" i="15" s="1"/>
  <c r="O27" i="11"/>
  <c r="P28" i="11" s="1"/>
  <c r="E28" i="11" s="1"/>
  <c r="F28" i="11" s="1"/>
  <c r="H25" i="11"/>
  <c r="J25" i="11" s="1"/>
  <c r="K25" i="11" s="1"/>
  <c r="G26" i="11"/>
  <c r="L27" i="15"/>
  <c r="J25" i="13"/>
  <c r="L25" i="13" s="1"/>
  <c r="M25" i="13" s="1"/>
  <c r="I26" i="13"/>
  <c r="I28" i="15" l="1"/>
  <c r="I27" i="13"/>
  <c r="J26" i="13"/>
  <c r="L26" i="13" s="1"/>
  <c r="M26" i="13" s="1"/>
  <c r="L28" i="15"/>
  <c r="G27" i="11"/>
  <c r="H26" i="11"/>
  <c r="J26" i="11" s="1"/>
  <c r="K26" i="11" s="1"/>
  <c r="M29" i="15"/>
  <c r="M29" i="11"/>
  <c r="O29" i="13"/>
  <c r="Q28" i="13"/>
  <c r="R29" i="13" s="1"/>
  <c r="G29" i="13" s="1"/>
  <c r="H29" i="13" s="1"/>
  <c r="O28" i="15"/>
  <c r="P29" i="15" s="1"/>
  <c r="E29" i="15" s="1"/>
  <c r="F29" i="15" s="1"/>
  <c r="O28" i="11"/>
  <c r="P29" i="11" s="1"/>
  <c r="E29" i="11" s="1"/>
  <c r="F29" i="11" s="1"/>
  <c r="N29" i="11"/>
  <c r="P29" i="13"/>
  <c r="N29" i="15"/>
  <c r="G27" i="15"/>
  <c r="H26" i="15"/>
  <c r="J26" i="15" s="1"/>
  <c r="K26" i="15" s="1"/>
  <c r="N28" i="13"/>
  <c r="L28" i="11"/>
  <c r="K28" i="13"/>
  <c r="I28" i="11"/>
  <c r="I29" i="11" l="1"/>
  <c r="H27" i="11"/>
  <c r="J27" i="11" s="1"/>
  <c r="K27" i="11" s="1"/>
  <c r="G28" i="11"/>
  <c r="H27" i="15"/>
  <c r="J27" i="15" s="1"/>
  <c r="K27" i="15" s="1"/>
  <c r="G28" i="15"/>
  <c r="L29" i="15"/>
  <c r="K29" i="13"/>
  <c r="M30" i="15"/>
  <c r="O30" i="13"/>
  <c r="M30" i="11"/>
  <c r="Q29" i="13"/>
  <c r="R30" i="13" s="1"/>
  <c r="G30" i="13" s="1"/>
  <c r="H30" i="13" s="1"/>
  <c r="O29" i="15"/>
  <c r="P30" i="15" s="1"/>
  <c r="E30" i="15" s="1"/>
  <c r="F30" i="15" s="1"/>
  <c r="O29" i="11"/>
  <c r="P30" i="11" s="1"/>
  <c r="E30" i="11" s="1"/>
  <c r="F30" i="11" s="1"/>
  <c r="L29" i="11"/>
  <c r="P30" i="13"/>
  <c r="N30" i="15"/>
  <c r="N30" i="11"/>
  <c r="J27" i="13"/>
  <c r="L27" i="13" s="1"/>
  <c r="M27" i="13" s="1"/>
  <c r="I28" i="13"/>
  <c r="N29" i="13"/>
  <c r="I29" i="15"/>
  <c r="H28" i="11" l="1"/>
  <c r="J28" i="11" s="1"/>
  <c r="K28" i="11" s="1"/>
  <c r="G29" i="11"/>
  <c r="I30" i="15"/>
  <c r="H28" i="15"/>
  <c r="J28" i="15" s="1"/>
  <c r="K28" i="15" s="1"/>
  <c r="G29" i="15"/>
  <c r="N30" i="13"/>
  <c r="O30" i="15"/>
  <c r="P31" i="15" s="1"/>
  <c r="E31" i="15" s="1"/>
  <c r="F31" i="15" s="1"/>
  <c r="Q30" i="13"/>
  <c r="R31" i="13" s="1"/>
  <c r="G31" i="13" s="1"/>
  <c r="H31" i="13" s="1"/>
  <c r="O30" i="11"/>
  <c r="P31" i="11" s="1"/>
  <c r="E31" i="11" s="1"/>
  <c r="F31" i="11" s="1"/>
  <c r="O31" i="13"/>
  <c r="M31" i="15"/>
  <c r="M31" i="11"/>
  <c r="K30" i="13"/>
  <c r="L30" i="15"/>
  <c r="L31" i="15" s="1"/>
  <c r="P31" i="13"/>
  <c r="N31" i="15"/>
  <c r="N31" i="11"/>
  <c r="L30" i="11"/>
  <c r="L31" i="11" s="1"/>
  <c r="J28" i="13"/>
  <c r="L28" i="13" s="1"/>
  <c r="M28" i="13" s="1"/>
  <c r="I29" i="13"/>
  <c r="I30" i="11"/>
  <c r="I31" i="11" s="1"/>
  <c r="K31" i="13" l="1"/>
  <c r="N31" i="13"/>
  <c r="I31" i="15"/>
  <c r="G30" i="15"/>
  <c r="H29" i="15"/>
  <c r="J29" i="15" s="1"/>
  <c r="K29" i="15" s="1"/>
  <c r="N32" i="15"/>
  <c r="P32" i="13"/>
  <c r="N32" i="11"/>
  <c r="O32" i="13"/>
  <c r="M32" i="15"/>
  <c r="M32" i="11"/>
  <c r="Q31" i="13"/>
  <c r="R32" i="13" s="1"/>
  <c r="G32" i="13" s="1"/>
  <c r="H32" i="13" s="1"/>
  <c r="O31" i="15"/>
  <c r="P32" i="15" s="1"/>
  <c r="E32" i="15" s="1"/>
  <c r="F32" i="15" s="1"/>
  <c r="O31" i="11"/>
  <c r="P32" i="11" s="1"/>
  <c r="E32" i="11" s="1"/>
  <c r="F32" i="11" s="1"/>
  <c r="G30" i="11"/>
  <c r="H29" i="11"/>
  <c r="J29" i="11" s="1"/>
  <c r="K29" i="11" s="1"/>
  <c r="I30" i="13"/>
  <c r="J29" i="13"/>
  <c r="L29" i="13" s="1"/>
  <c r="M29" i="13" s="1"/>
  <c r="L32" i="15"/>
  <c r="K32" i="13" l="1"/>
  <c r="G31" i="11"/>
  <c r="H30" i="11"/>
  <c r="J30" i="11" s="1"/>
  <c r="K30" i="11" s="1"/>
  <c r="Q32" i="13"/>
  <c r="R33" i="13" s="1"/>
  <c r="G33" i="13" s="1"/>
  <c r="H33" i="13" s="1"/>
  <c r="O32" i="15"/>
  <c r="P33" i="15" s="1"/>
  <c r="E33" i="15" s="1"/>
  <c r="F33" i="15" s="1"/>
  <c r="O32" i="11"/>
  <c r="P33" i="11" s="1"/>
  <c r="E33" i="11" s="1"/>
  <c r="F33" i="11" s="1"/>
  <c r="M33" i="15"/>
  <c r="O33" i="13"/>
  <c r="M33" i="11"/>
  <c r="P33" i="13"/>
  <c r="N33" i="15"/>
  <c r="N33" i="11"/>
  <c r="I31" i="13"/>
  <c r="J30" i="13"/>
  <c r="L30" i="13" s="1"/>
  <c r="M30" i="13" s="1"/>
  <c r="G31" i="15"/>
  <c r="H30" i="15"/>
  <c r="J30" i="15" s="1"/>
  <c r="K30" i="15" s="1"/>
  <c r="L32" i="11"/>
  <c r="I32" i="15"/>
  <c r="N32" i="13"/>
  <c r="I32" i="11"/>
  <c r="I33" i="11" s="1"/>
  <c r="S6" i="11" s="1"/>
  <c r="R6" i="11" s="1"/>
  <c r="N33" i="13" l="1"/>
  <c r="X6" i="13" s="1"/>
  <c r="Q33" i="13"/>
  <c r="R34" i="13" s="1"/>
  <c r="G34" i="13" s="1"/>
  <c r="O33" i="15"/>
  <c r="P34" i="15" s="1"/>
  <c r="E34" i="15" s="1"/>
  <c r="O33" i="11"/>
  <c r="P34" i="11" s="1"/>
  <c r="E34" i="11" s="1"/>
  <c r="I33" i="15"/>
  <c r="S6" i="15" s="1"/>
  <c r="R6" i="15" s="1"/>
  <c r="O34" i="13"/>
  <c r="M34" i="15"/>
  <c r="M34" i="11"/>
  <c r="L33" i="15"/>
  <c r="V6" i="15" s="1"/>
  <c r="H31" i="15"/>
  <c r="J31" i="15" s="1"/>
  <c r="K31" i="15" s="1"/>
  <c r="G32" i="15"/>
  <c r="K33" i="13"/>
  <c r="U6" i="13" s="1"/>
  <c r="T6" i="13" s="1"/>
  <c r="J31" i="13"/>
  <c r="L31" i="13" s="1"/>
  <c r="M31" i="13" s="1"/>
  <c r="I32" i="13"/>
  <c r="L33" i="11"/>
  <c r="V6" i="11" s="1"/>
  <c r="P34" i="13"/>
  <c r="N34" i="15"/>
  <c r="N34" i="11"/>
  <c r="G32" i="11"/>
  <c r="H31" i="11"/>
  <c r="J31" i="11" s="1"/>
  <c r="K31" i="11" s="1"/>
  <c r="F34" i="11" l="1"/>
  <c r="I34" i="11"/>
  <c r="L34" i="11"/>
  <c r="I33" i="13"/>
  <c r="J32" i="13"/>
  <c r="L32" i="13" s="1"/>
  <c r="M32" i="13" s="1"/>
  <c r="M35" i="15"/>
  <c r="O35" i="13"/>
  <c r="M35" i="11"/>
  <c r="P35" i="13"/>
  <c r="N35" i="15"/>
  <c r="N35" i="11"/>
  <c r="F34" i="15"/>
  <c r="L34" i="15"/>
  <c r="I34" i="15"/>
  <c r="G33" i="15"/>
  <c r="H32" i="15"/>
  <c r="J32" i="15" s="1"/>
  <c r="K32" i="15" s="1"/>
  <c r="H34" i="13"/>
  <c r="K34" i="13"/>
  <c r="N34" i="13"/>
  <c r="G33" i="11"/>
  <c r="H32" i="11"/>
  <c r="J32" i="11" s="1"/>
  <c r="K32" i="11" s="1"/>
  <c r="Q34" i="13"/>
  <c r="R35" i="13" s="1"/>
  <c r="G35" i="13" s="1"/>
  <c r="H35" i="13" s="1"/>
  <c r="O34" i="15"/>
  <c r="P35" i="15" s="1"/>
  <c r="E35" i="15" s="1"/>
  <c r="F35" i="15" s="1"/>
  <c r="O34" i="11"/>
  <c r="P35" i="11" s="1"/>
  <c r="E35" i="11" s="1"/>
  <c r="F35" i="11" s="1"/>
  <c r="N36" i="11" l="1"/>
  <c r="P36" i="13"/>
  <c r="N36" i="15"/>
  <c r="L35" i="15"/>
  <c r="I35" i="11"/>
  <c r="Q35" i="13"/>
  <c r="R36" i="13" s="1"/>
  <c r="G36" i="13" s="1"/>
  <c r="H36" i="13" s="1"/>
  <c r="O35" i="15"/>
  <c r="P36" i="15" s="1"/>
  <c r="E36" i="15" s="1"/>
  <c r="F36" i="15" s="1"/>
  <c r="O35" i="11"/>
  <c r="P36" i="11" s="1"/>
  <c r="E36" i="11" s="1"/>
  <c r="F36" i="11" s="1"/>
  <c r="M36" i="15"/>
  <c r="M36" i="11"/>
  <c r="O36" i="13"/>
  <c r="L35" i="11"/>
  <c r="L36" i="11" s="1"/>
  <c r="H33" i="15"/>
  <c r="J33" i="15" s="1"/>
  <c r="G34" i="15"/>
  <c r="J33" i="13"/>
  <c r="L33" i="13" s="1"/>
  <c r="I34" i="13"/>
  <c r="I35" i="15"/>
  <c r="H33" i="11"/>
  <c r="J33" i="11" s="1"/>
  <c r="G34" i="11"/>
  <c r="M37" i="15"/>
  <c r="O37" i="13"/>
  <c r="M37" i="11"/>
  <c r="N35" i="13"/>
  <c r="K35" i="13"/>
  <c r="M38" i="11" l="1"/>
  <c r="O38" i="13"/>
  <c r="M38" i="15"/>
  <c r="O36" i="11"/>
  <c r="P37" i="11" s="1"/>
  <c r="E37" i="11" s="1"/>
  <c r="F37" i="11" s="1"/>
  <c r="Q36" i="13"/>
  <c r="R37" i="13" s="1"/>
  <c r="G37" i="13" s="1"/>
  <c r="H37" i="13" s="1"/>
  <c r="O36" i="15"/>
  <c r="P37" i="15" s="1"/>
  <c r="E37" i="15" s="1"/>
  <c r="F37" i="15" s="1"/>
  <c r="H34" i="11"/>
  <c r="J34" i="11" s="1"/>
  <c r="K34" i="11" s="1"/>
  <c r="G35" i="11"/>
  <c r="Q37" i="13"/>
  <c r="R38" i="13" s="1"/>
  <c r="G38" i="13" s="1"/>
  <c r="H38" i="13" s="1"/>
  <c r="O37" i="15"/>
  <c r="P38" i="15" s="1"/>
  <c r="E38" i="15" s="1"/>
  <c r="F38" i="15" s="1"/>
  <c r="O37" i="11"/>
  <c r="P38" i="11" s="1"/>
  <c r="E38" i="11" s="1"/>
  <c r="F38" i="11" s="1"/>
  <c r="K33" i="15"/>
  <c r="U6" i="15" s="1"/>
  <c r="T6" i="15"/>
  <c r="W6" i="15" s="1"/>
  <c r="L37" i="11"/>
  <c r="K33" i="11"/>
  <c r="U6" i="11" s="1"/>
  <c r="T6" i="11"/>
  <c r="W6" i="11" s="1"/>
  <c r="I36" i="15"/>
  <c r="J34" i="13"/>
  <c r="L34" i="13" s="1"/>
  <c r="M34" i="13" s="1"/>
  <c r="I35" i="13"/>
  <c r="I36" i="11"/>
  <c r="I37" i="11" s="1"/>
  <c r="I38" i="11" s="1"/>
  <c r="K36" i="13"/>
  <c r="K37" i="13" s="1"/>
  <c r="K38" i="13" s="1"/>
  <c r="M33" i="13"/>
  <c r="W6" i="13" s="1"/>
  <c r="V6" i="13"/>
  <c r="Y6" i="13" s="1"/>
  <c r="N36" i="13"/>
  <c r="G35" i="15"/>
  <c r="H34" i="15"/>
  <c r="J34" i="15" s="1"/>
  <c r="K34" i="15" s="1"/>
  <c r="L36" i="15"/>
  <c r="P37" i="13"/>
  <c r="N37" i="15"/>
  <c r="N37" i="11"/>
  <c r="L37" i="15" l="1"/>
  <c r="L38" i="15" s="1"/>
  <c r="L38" i="11"/>
  <c r="Q38" i="13"/>
  <c r="R39" i="13" s="1"/>
  <c r="G39" i="13" s="1"/>
  <c r="H39" i="13" s="1"/>
  <c r="O38" i="15"/>
  <c r="P39" i="15" s="1"/>
  <c r="E39" i="15" s="1"/>
  <c r="F39" i="15" s="1"/>
  <c r="O38" i="11"/>
  <c r="P39" i="11" s="1"/>
  <c r="E39" i="11" s="1"/>
  <c r="F39" i="11" s="1"/>
  <c r="H35" i="11"/>
  <c r="J35" i="11" s="1"/>
  <c r="K35" i="11" s="1"/>
  <c r="G36" i="11"/>
  <c r="L39" i="15"/>
  <c r="M39" i="11"/>
  <c r="M39" i="15"/>
  <c r="O39" i="13"/>
  <c r="J35" i="13"/>
  <c r="L35" i="13" s="1"/>
  <c r="M35" i="13" s="1"/>
  <c r="I36" i="13"/>
  <c r="N37" i="13"/>
  <c r="N38" i="13" s="1"/>
  <c r="N39" i="13" s="1"/>
  <c r="I37" i="15"/>
  <c r="I38" i="15" s="1"/>
  <c r="H35" i="15"/>
  <c r="J35" i="15" s="1"/>
  <c r="K35" i="15" s="1"/>
  <c r="G36" i="15"/>
  <c r="K39" i="13"/>
  <c r="P38" i="13"/>
  <c r="N38" i="11"/>
  <c r="N38" i="15"/>
  <c r="I39" i="15" l="1"/>
  <c r="L39" i="11"/>
  <c r="I39" i="11"/>
  <c r="H36" i="11"/>
  <c r="J36" i="11" s="1"/>
  <c r="K36" i="11" s="1"/>
  <c r="G37" i="11"/>
  <c r="N39" i="11"/>
  <c r="P39" i="13"/>
  <c r="N39" i="15"/>
  <c r="M40" i="11"/>
  <c r="M40" i="15"/>
  <c r="O40" i="13"/>
  <c r="H36" i="15"/>
  <c r="J36" i="15" s="1"/>
  <c r="K36" i="15" s="1"/>
  <c r="G37" i="15"/>
  <c r="J36" i="13"/>
  <c r="L36" i="13" s="1"/>
  <c r="M36" i="13" s="1"/>
  <c r="I37" i="13"/>
  <c r="I38" i="13" l="1"/>
  <c r="J37" i="13"/>
  <c r="L37" i="13" s="1"/>
  <c r="M37" i="13" s="1"/>
  <c r="H37" i="11"/>
  <c r="J37" i="11" s="1"/>
  <c r="K37" i="11" s="1"/>
  <c r="G38" i="11"/>
  <c r="H37" i="15"/>
  <c r="J37" i="15" s="1"/>
  <c r="K37" i="15" s="1"/>
  <c r="G38" i="15"/>
  <c r="O39" i="11"/>
  <c r="P40" i="11" s="1"/>
  <c r="E40" i="11" s="1"/>
  <c r="Q39" i="13"/>
  <c r="R40" i="13" s="1"/>
  <c r="G40" i="13" s="1"/>
  <c r="O39" i="15"/>
  <c r="P40" i="15" s="1"/>
  <c r="E40" i="15" s="1"/>
  <c r="M41" i="15"/>
  <c r="O41" i="13"/>
  <c r="M41" i="11"/>
  <c r="O40" i="11"/>
  <c r="P41" i="11" s="1"/>
  <c r="E41" i="11" s="1"/>
  <c r="F41" i="11" s="1"/>
  <c r="Q40" i="13"/>
  <c r="R41" i="13" s="1"/>
  <c r="G41" i="13" s="1"/>
  <c r="H41" i="13" s="1"/>
  <c r="O40" i="15"/>
  <c r="P41" i="15" s="1"/>
  <c r="E41" i="15" s="1"/>
  <c r="F41" i="15" s="1"/>
  <c r="N40" i="11"/>
  <c r="P40" i="13"/>
  <c r="N40" i="15"/>
  <c r="G39" i="11" l="1"/>
  <c r="H38" i="11"/>
  <c r="J38" i="11" s="1"/>
  <c r="K38" i="11" s="1"/>
  <c r="F40" i="15"/>
  <c r="I40" i="15"/>
  <c r="I41" i="15" s="1"/>
  <c r="L40" i="15"/>
  <c r="L41" i="15" s="1"/>
  <c r="H40" i="13"/>
  <c r="N40" i="13"/>
  <c r="N41" i="13" s="1"/>
  <c r="K40" i="13"/>
  <c r="K41" i="13" s="1"/>
  <c r="F40" i="11"/>
  <c r="L40" i="11"/>
  <c r="L41" i="11" s="1"/>
  <c r="I40" i="11"/>
  <c r="I41" i="11" s="1"/>
  <c r="I39" i="13"/>
  <c r="J38" i="13"/>
  <c r="L38" i="13" s="1"/>
  <c r="M38" i="13" s="1"/>
  <c r="P41" i="13"/>
  <c r="N41" i="15"/>
  <c r="N41" i="11"/>
  <c r="M42" i="11"/>
  <c r="O42" i="13"/>
  <c r="M42" i="15"/>
  <c r="G39" i="15"/>
  <c r="H38" i="15"/>
  <c r="J38" i="15" s="1"/>
  <c r="K38" i="15" s="1"/>
  <c r="M43" i="15" l="1"/>
  <c r="O43" i="13"/>
  <c r="M43" i="11"/>
  <c r="O42" i="11"/>
  <c r="P43" i="11" s="1"/>
  <c r="E43" i="11" s="1"/>
  <c r="F43" i="11" s="1"/>
  <c r="Q42" i="13"/>
  <c r="R43" i="13" s="1"/>
  <c r="G43" i="13" s="1"/>
  <c r="H43" i="13" s="1"/>
  <c r="O42" i="15"/>
  <c r="P43" i="15" s="1"/>
  <c r="E43" i="15" s="1"/>
  <c r="F43" i="15" s="1"/>
  <c r="J39" i="13"/>
  <c r="L39" i="13" s="1"/>
  <c r="M39" i="13" s="1"/>
  <c r="I40" i="13"/>
  <c r="G40" i="15"/>
  <c r="H39" i="15"/>
  <c r="J39" i="15" s="1"/>
  <c r="K39" i="15" s="1"/>
  <c r="Q41" i="13"/>
  <c r="R42" i="13" s="1"/>
  <c r="G42" i="13" s="1"/>
  <c r="H42" i="13" s="1"/>
  <c r="O41" i="15"/>
  <c r="P42" i="15" s="1"/>
  <c r="E42" i="15" s="1"/>
  <c r="F42" i="15" s="1"/>
  <c r="O41" i="11"/>
  <c r="P42" i="11" s="1"/>
  <c r="E42" i="11" s="1"/>
  <c r="F42" i="11" s="1"/>
  <c r="N42" i="11"/>
  <c r="P42" i="13"/>
  <c r="N42" i="15"/>
  <c r="H39" i="11"/>
  <c r="J39" i="11" s="1"/>
  <c r="K39" i="11" s="1"/>
  <c r="G40" i="11"/>
  <c r="M44" i="15" l="1"/>
  <c r="O44" i="13"/>
  <c r="M44" i="11"/>
  <c r="Q43" i="13"/>
  <c r="R44" i="13" s="1"/>
  <c r="G44" i="13" s="1"/>
  <c r="H44" i="13" s="1"/>
  <c r="O43" i="15"/>
  <c r="P44" i="15" s="1"/>
  <c r="E44" i="15" s="1"/>
  <c r="F44" i="15" s="1"/>
  <c r="O43" i="11"/>
  <c r="P44" i="11" s="1"/>
  <c r="E44" i="11" s="1"/>
  <c r="F44" i="11" s="1"/>
  <c r="N42" i="13"/>
  <c r="N43" i="13" s="1"/>
  <c r="G41" i="15"/>
  <c r="H40" i="15"/>
  <c r="J40" i="15" s="1"/>
  <c r="K40" i="15" s="1"/>
  <c r="I42" i="11"/>
  <c r="I43" i="11" s="1"/>
  <c r="N43" i="11"/>
  <c r="P43" i="13"/>
  <c r="N43" i="15"/>
  <c r="J40" i="13"/>
  <c r="L40" i="13" s="1"/>
  <c r="M40" i="13" s="1"/>
  <c r="I41" i="13"/>
  <c r="H40" i="11"/>
  <c r="J40" i="11" s="1"/>
  <c r="K40" i="11" s="1"/>
  <c r="G41" i="11"/>
  <c r="I42" i="15"/>
  <c r="I43" i="15" s="1"/>
  <c r="L42" i="11"/>
  <c r="L43" i="11" s="1"/>
  <c r="K42" i="13"/>
  <c r="K43" i="13" s="1"/>
  <c r="L42" i="15"/>
  <c r="L43" i="15" s="1"/>
  <c r="L44" i="15" s="1"/>
  <c r="N44" i="13" l="1"/>
  <c r="I42" i="13"/>
  <c r="J41" i="13"/>
  <c r="L41" i="13" s="1"/>
  <c r="M41" i="13" s="1"/>
  <c r="H41" i="15"/>
  <c r="J41" i="15" s="1"/>
  <c r="K41" i="15" s="1"/>
  <c r="G42" i="15"/>
  <c r="L44" i="11"/>
  <c r="O45" i="13"/>
  <c r="M45" i="15"/>
  <c r="M45" i="11"/>
  <c r="K44" i="13"/>
  <c r="I44" i="11"/>
  <c r="O44" i="11"/>
  <c r="P45" i="11" s="1"/>
  <c r="E45" i="11" s="1"/>
  <c r="F45" i="11" s="1"/>
  <c r="Q44" i="13"/>
  <c r="R45" i="13" s="1"/>
  <c r="G45" i="13" s="1"/>
  <c r="H45" i="13" s="1"/>
  <c r="O44" i="15"/>
  <c r="P45" i="15" s="1"/>
  <c r="E45" i="15" s="1"/>
  <c r="F45" i="15" s="1"/>
  <c r="P44" i="13"/>
  <c r="N44" i="15"/>
  <c r="N44" i="11"/>
  <c r="I44" i="15"/>
  <c r="G42" i="11"/>
  <c r="H41" i="11"/>
  <c r="J41" i="11" s="1"/>
  <c r="K41" i="11" s="1"/>
  <c r="L45" i="11" l="1"/>
  <c r="V7" i="11" s="1"/>
  <c r="G43" i="15"/>
  <c r="H42" i="15"/>
  <c r="J42" i="15" s="1"/>
  <c r="K42" i="15" s="1"/>
  <c r="K45" i="13"/>
  <c r="U7" i="13" s="1"/>
  <c r="T7" i="13" s="1"/>
  <c r="I45" i="11"/>
  <c r="S7" i="11" s="1"/>
  <c r="R7" i="11" s="1"/>
  <c r="N45" i="13"/>
  <c r="X7" i="13" s="1"/>
  <c r="L45" i="15"/>
  <c r="V7" i="15" s="1"/>
  <c r="J42" i="13"/>
  <c r="L42" i="13" s="1"/>
  <c r="M42" i="13" s="1"/>
  <c r="I43" i="13"/>
  <c r="H42" i="11"/>
  <c r="J42" i="11" s="1"/>
  <c r="K42" i="11" s="1"/>
  <c r="G43" i="11"/>
  <c r="I45" i="15"/>
  <c r="S7" i="15" s="1"/>
  <c r="R7" i="15" s="1"/>
  <c r="M46" i="11"/>
  <c r="O46" i="13"/>
  <c r="M46" i="15"/>
  <c r="Q45" i="13"/>
  <c r="R46" i="13" s="1"/>
  <c r="G46" i="13" s="1"/>
  <c r="O45" i="15"/>
  <c r="P46" i="15" s="1"/>
  <c r="E46" i="15" s="1"/>
  <c r="O45" i="11"/>
  <c r="P46" i="11" s="1"/>
  <c r="E46" i="11" s="1"/>
  <c r="P45" i="13"/>
  <c r="N45" i="15"/>
  <c r="N45" i="11"/>
  <c r="Q46" i="13" l="1"/>
  <c r="R47" i="13" s="1"/>
  <c r="G47" i="13" s="1"/>
  <c r="H47" i="13" s="1"/>
  <c r="O46" i="15"/>
  <c r="P47" i="15" s="1"/>
  <c r="E47" i="15" s="1"/>
  <c r="F47" i="15" s="1"/>
  <c r="O46" i="11"/>
  <c r="P47" i="11" s="1"/>
  <c r="E47" i="11" s="1"/>
  <c r="F47" i="11" s="1"/>
  <c r="G44" i="11"/>
  <c r="H43" i="11"/>
  <c r="J43" i="11" s="1"/>
  <c r="K43" i="11" s="1"/>
  <c r="F46" i="15"/>
  <c r="I46" i="15"/>
  <c r="L46" i="15"/>
  <c r="L47" i="15" s="1"/>
  <c r="M47" i="11"/>
  <c r="O47" i="13"/>
  <c r="M47" i="15"/>
  <c r="F46" i="11"/>
  <c r="L46" i="11"/>
  <c r="L47" i="11" s="1"/>
  <c r="I46" i="11"/>
  <c r="H46" i="13"/>
  <c r="K46" i="13"/>
  <c r="N46" i="13"/>
  <c r="N47" i="13" s="1"/>
  <c r="H43" i="15"/>
  <c r="J43" i="15" s="1"/>
  <c r="K43" i="15" s="1"/>
  <c r="G44" i="15"/>
  <c r="J43" i="13"/>
  <c r="L43" i="13" s="1"/>
  <c r="M43" i="13" s="1"/>
  <c r="I44" i="13"/>
  <c r="N46" i="11"/>
  <c r="P46" i="13"/>
  <c r="N46" i="15"/>
  <c r="I47" i="15" l="1"/>
  <c r="I47" i="11"/>
  <c r="K47" i="13"/>
  <c r="G45" i="11"/>
  <c r="H44" i="11"/>
  <c r="J44" i="11" s="1"/>
  <c r="K44" i="11" s="1"/>
  <c r="O47" i="11"/>
  <c r="P48" i="11" s="1"/>
  <c r="E48" i="11" s="1"/>
  <c r="F48" i="11" s="1"/>
  <c r="Q47" i="13"/>
  <c r="R48" i="13" s="1"/>
  <c r="G48" i="13" s="1"/>
  <c r="H48" i="13" s="1"/>
  <c r="O47" i="15"/>
  <c r="P48" i="15" s="1"/>
  <c r="E48" i="15" s="1"/>
  <c r="F48" i="15" s="1"/>
  <c r="M48" i="11"/>
  <c r="O48" i="13"/>
  <c r="M48" i="15"/>
  <c r="N47" i="11"/>
  <c r="P47" i="13"/>
  <c r="N47" i="15"/>
  <c r="I45" i="13"/>
  <c r="J44" i="13"/>
  <c r="L44" i="13" s="1"/>
  <c r="M44" i="13" s="1"/>
  <c r="H44" i="15"/>
  <c r="J44" i="15" s="1"/>
  <c r="K44" i="15" s="1"/>
  <c r="G45" i="15"/>
  <c r="L48" i="11" l="1"/>
  <c r="I48" i="15"/>
  <c r="G46" i="15"/>
  <c r="H45" i="15"/>
  <c r="J45" i="15" s="1"/>
  <c r="I48" i="11"/>
  <c r="H45" i="11"/>
  <c r="J45" i="11" s="1"/>
  <c r="G46" i="11"/>
  <c r="Q48" i="13"/>
  <c r="R49" i="13" s="1"/>
  <c r="G49" i="13" s="1"/>
  <c r="H49" i="13" s="1"/>
  <c r="O48" i="15"/>
  <c r="P49" i="15" s="1"/>
  <c r="E49" i="15" s="1"/>
  <c r="F49" i="15" s="1"/>
  <c r="O48" i="11"/>
  <c r="P49" i="11" s="1"/>
  <c r="E49" i="11" s="1"/>
  <c r="F49" i="11" s="1"/>
  <c r="K48" i="13"/>
  <c r="N48" i="13"/>
  <c r="J45" i="13"/>
  <c r="L45" i="13" s="1"/>
  <c r="I46" i="13"/>
  <c r="M49" i="11"/>
  <c r="O49" i="13"/>
  <c r="M49" i="15"/>
  <c r="P48" i="13"/>
  <c r="N48" i="15"/>
  <c r="N48" i="11"/>
  <c r="L48" i="15"/>
  <c r="L49" i="15" s="1"/>
  <c r="K49" i="13" l="1"/>
  <c r="T7" i="15"/>
  <c r="W7" i="15" s="1"/>
  <c r="K45" i="15"/>
  <c r="U7" i="15" s="1"/>
  <c r="L49" i="11"/>
  <c r="H46" i="11"/>
  <c r="J46" i="11" s="1"/>
  <c r="K46" i="11" s="1"/>
  <c r="G47" i="11"/>
  <c r="P49" i="13"/>
  <c r="N49" i="11"/>
  <c r="N49" i="15"/>
  <c r="H46" i="15"/>
  <c r="J46" i="15" s="1"/>
  <c r="K46" i="15" s="1"/>
  <c r="G47" i="15"/>
  <c r="K45" i="11"/>
  <c r="U7" i="11" s="1"/>
  <c r="T7" i="11"/>
  <c r="W7" i="11" s="1"/>
  <c r="M45" i="13"/>
  <c r="W7" i="13" s="1"/>
  <c r="V7" i="13"/>
  <c r="Y7" i="13" s="1"/>
  <c r="I49" i="15"/>
  <c r="O50" i="13"/>
  <c r="M50" i="11"/>
  <c r="M50" i="15"/>
  <c r="J46" i="13"/>
  <c r="L46" i="13" s="1"/>
  <c r="M46" i="13" s="1"/>
  <c r="I47" i="13"/>
  <c r="I49" i="11"/>
  <c r="N49" i="13"/>
  <c r="N50" i="15" l="1"/>
  <c r="N50" i="11"/>
  <c r="P50" i="13"/>
  <c r="G48" i="11"/>
  <c r="H47" i="11"/>
  <c r="J47" i="11" s="1"/>
  <c r="K47" i="11" s="1"/>
  <c r="O50" i="11"/>
  <c r="P51" i="11" s="1"/>
  <c r="E51" i="11" s="1"/>
  <c r="F51" i="11" s="1"/>
  <c r="Q50" i="13"/>
  <c r="R51" i="13" s="1"/>
  <c r="G51" i="13" s="1"/>
  <c r="H51" i="13" s="1"/>
  <c r="O50" i="15"/>
  <c r="P51" i="15" s="1"/>
  <c r="E51" i="15" s="1"/>
  <c r="F51" i="15" s="1"/>
  <c r="Q49" i="13"/>
  <c r="R50" i="13" s="1"/>
  <c r="G50" i="13" s="1"/>
  <c r="N50" i="13" s="1"/>
  <c r="N51" i="13" s="1"/>
  <c r="O49" i="15"/>
  <c r="P50" i="15" s="1"/>
  <c r="E50" i="15" s="1"/>
  <c r="I50" i="15" s="1"/>
  <c r="I51" i="15" s="1"/>
  <c r="O49" i="11"/>
  <c r="P50" i="11" s="1"/>
  <c r="E50" i="11" s="1"/>
  <c r="F50" i="11" s="1"/>
  <c r="I48" i="13"/>
  <c r="J47" i="13"/>
  <c r="L47" i="13" s="1"/>
  <c r="M47" i="13" s="1"/>
  <c r="M51" i="11"/>
  <c r="O51" i="13"/>
  <c r="M51" i="15"/>
  <c r="H47" i="15"/>
  <c r="J47" i="15" s="1"/>
  <c r="K47" i="15" s="1"/>
  <c r="G48" i="15"/>
  <c r="I50" i="11" l="1"/>
  <c r="I51" i="11" s="1"/>
  <c r="G49" i="15"/>
  <c r="H48" i="15"/>
  <c r="J48" i="15" s="1"/>
  <c r="K48" i="15" s="1"/>
  <c r="M52" i="11"/>
  <c r="O52" i="13"/>
  <c r="M52" i="15"/>
  <c r="O51" i="11"/>
  <c r="P52" i="11" s="1"/>
  <c r="E52" i="11" s="1"/>
  <c r="F52" i="11" s="1"/>
  <c r="Q51" i="13"/>
  <c r="R52" i="13" s="1"/>
  <c r="G52" i="13" s="1"/>
  <c r="H52" i="13" s="1"/>
  <c r="O51" i="15"/>
  <c r="P52" i="15" s="1"/>
  <c r="E52" i="15" s="1"/>
  <c r="F52" i="15" s="1"/>
  <c r="H48" i="11"/>
  <c r="J48" i="11" s="1"/>
  <c r="K48" i="11" s="1"/>
  <c r="G49" i="11"/>
  <c r="J48" i="13"/>
  <c r="L48" i="13" s="1"/>
  <c r="M48" i="13" s="1"/>
  <c r="I49" i="13"/>
  <c r="N51" i="11"/>
  <c r="P51" i="13"/>
  <c r="N51" i="15"/>
  <c r="F50" i="15"/>
  <c r="L50" i="15"/>
  <c r="L51" i="15" s="1"/>
  <c r="L52" i="15" s="1"/>
  <c r="L50" i="11"/>
  <c r="L51" i="11" s="1"/>
  <c r="L52" i="11" s="1"/>
  <c r="H50" i="13"/>
  <c r="K50" i="13"/>
  <c r="K51" i="13" s="1"/>
  <c r="N52" i="13" l="1"/>
  <c r="I52" i="11"/>
  <c r="J49" i="13"/>
  <c r="L49" i="13" s="1"/>
  <c r="M49" i="13" s="1"/>
  <c r="I50" i="13"/>
  <c r="O52" i="11"/>
  <c r="P53" i="11" s="1"/>
  <c r="E53" i="11" s="1"/>
  <c r="F53" i="11" s="1"/>
  <c r="Q52" i="13"/>
  <c r="R53" i="13" s="1"/>
  <c r="G53" i="13" s="1"/>
  <c r="H53" i="13" s="1"/>
  <c r="O52" i="15"/>
  <c r="P53" i="15" s="1"/>
  <c r="E53" i="15" s="1"/>
  <c r="F53" i="15" s="1"/>
  <c r="H49" i="11"/>
  <c r="J49" i="11" s="1"/>
  <c r="K49" i="11" s="1"/>
  <c r="G50" i="11"/>
  <c r="H49" i="15"/>
  <c r="J49" i="15" s="1"/>
  <c r="K49" i="15" s="1"/>
  <c r="G50" i="15"/>
  <c r="M53" i="11"/>
  <c r="M53" i="15"/>
  <c r="O53" i="13"/>
  <c r="L53" i="11"/>
  <c r="N52" i="11"/>
  <c r="N52" i="15"/>
  <c r="P52" i="13"/>
  <c r="K52" i="13"/>
  <c r="I52" i="15"/>
  <c r="I53" i="15" s="1"/>
  <c r="G51" i="11" l="1"/>
  <c r="H50" i="11"/>
  <c r="J50" i="11" s="1"/>
  <c r="K50" i="11" s="1"/>
  <c r="P53" i="13"/>
  <c r="N53" i="15"/>
  <c r="N53" i="11"/>
  <c r="O54" i="13"/>
  <c r="M54" i="15"/>
  <c r="M54" i="11"/>
  <c r="H50" i="15"/>
  <c r="J50" i="15" s="1"/>
  <c r="K50" i="15" s="1"/>
  <c r="G51" i="15"/>
  <c r="I51" i="13"/>
  <c r="J50" i="13"/>
  <c r="L50" i="13" s="1"/>
  <c r="M50" i="13" s="1"/>
  <c r="I53" i="11"/>
  <c r="K53" i="13"/>
  <c r="L53" i="15"/>
  <c r="N53" i="13"/>
  <c r="J51" i="13" l="1"/>
  <c r="L51" i="13" s="1"/>
  <c r="M51" i="13" s="1"/>
  <c r="I52" i="13"/>
  <c r="N54" i="15"/>
  <c r="N54" i="11"/>
  <c r="P54" i="13"/>
  <c r="G52" i="15"/>
  <c r="H51" i="15"/>
  <c r="J51" i="15" s="1"/>
  <c r="K51" i="15" s="1"/>
  <c r="H51" i="11"/>
  <c r="J51" i="11" s="1"/>
  <c r="K51" i="11" s="1"/>
  <c r="G52" i="11"/>
  <c r="O53" i="11"/>
  <c r="P54" i="11" s="1"/>
  <c r="E54" i="11" s="1"/>
  <c r="Q53" i="13"/>
  <c r="R54" i="13" s="1"/>
  <c r="G54" i="13" s="1"/>
  <c r="H54" i="13" s="1"/>
  <c r="O53" i="15"/>
  <c r="P54" i="15" s="1"/>
  <c r="E54" i="15" s="1"/>
  <c r="L54" i="15" s="1"/>
  <c r="M55" i="11"/>
  <c r="M55" i="15"/>
  <c r="O55" i="13"/>
  <c r="I54" i="11"/>
  <c r="N54" i="13" l="1"/>
  <c r="O54" i="11"/>
  <c r="P55" i="11" s="1"/>
  <c r="E55" i="11" s="1"/>
  <c r="F55" i="11" s="1"/>
  <c r="Q54" i="13"/>
  <c r="R55" i="13" s="1"/>
  <c r="G55" i="13" s="1"/>
  <c r="H55" i="13" s="1"/>
  <c r="O54" i="15"/>
  <c r="P55" i="15" s="1"/>
  <c r="E55" i="15" s="1"/>
  <c r="F55" i="15" s="1"/>
  <c r="F54" i="15"/>
  <c r="I54" i="15"/>
  <c r="I55" i="15" s="1"/>
  <c r="N55" i="11"/>
  <c r="P55" i="13"/>
  <c r="N55" i="15"/>
  <c r="J52" i="13"/>
  <c r="L52" i="13" s="1"/>
  <c r="M52" i="13" s="1"/>
  <c r="I53" i="13"/>
  <c r="O55" i="11"/>
  <c r="P56" i="11" s="1"/>
  <c r="E56" i="11" s="1"/>
  <c r="Q55" i="13"/>
  <c r="R56" i="13" s="1"/>
  <c r="G56" i="13" s="1"/>
  <c r="O55" i="15"/>
  <c r="P56" i="15" s="1"/>
  <c r="E56" i="15" s="1"/>
  <c r="H52" i="15"/>
  <c r="J52" i="15" s="1"/>
  <c r="K52" i="15" s="1"/>
  <c r="G53" i="15"/>
  <c r="H52" i="11"/>
  <c r="J52" i="11" s="1"/>
  <c r="K52" i="11" s="1"/>
  <c r="G53" i="11"/>
  <c r="M56" i="15"/>
  <c r="O56" i="13"/>
  <c r="M56" i="11"/>
  <c r="F54" i="11"/>
  <c r="L54" i="11"/>
  <c r="K54" i="13"/>
  <c r="K55" i="13" l="1"/>
  <c r="Q56" i="13"/>
  <c r="R57" i="13" s="1"/>
  <c r="G57" i="13" s="1"/>
  <c r="H57" i="13" s="1"/>
  <c r="O56" i="11"/>
  <c r="P57" i="11" s="1"/>
  <c r="E57" i="11" s="1"/>
  <c r="O56" i="15"/>
  <c r="P57" i="15" s="1"/>
  <c r="E57" i="15" s="1"/>
  <c r="I56" i="15"/>
  <c r="F56" i="15"/>
  <c r="P56" i="13"/>
  <c r="N56" i="11"/>
  <c r="N56" i="15"/>
  <c r="H56" i="13"/>
  <c r="K56" i="13"/>
  <c r="G54" i="11"/>
  <c r="H53" i="11"/>
  <c r="J53" i="11" s="1"/>
  <c r="K53" i="11" s="1"/>
  <c r="N55" i="13"/>
  <c r="N56" i="13" s="1"/>
  <c r="N57" i="13" s="1"/>
  <c r="N58" i="13" s="1"/>
  <c r="N59" i="13" s="1"/>
  <c r="N60" i="13" s="1"/>
  <c r="N61" i="13" s="1"/>
  <c r="N62" i="13" s="1"/>
  <c r="N63" i="13" s="1"/>
  <c r="F56" i="11"/>
  <c r="I54" i="13"/>
  <c r="J53" i="13"/>
  <c r="L53" i="13" s="1"/>
  <c r="M53" i="13" s="1"/>
  <c r="I55" i="11"/>
  <c r="I56" i="11" s="1"/>
  <c r="H53" i="15"/>
  <c r="J53" i="15" s="1"/>
  <c r="K53" i="15" s="1"/>
  <c r="G54" i="15"/>
  <c r="L55" i="11"/>
  <c r="L56" i="11" s="1"/>
  <c r="L55" i="15"/>
  <c r="L56" i="15" s="1"/>
  <c r="K57" i="13" l="1"/>
  <c r="K58" i="13" s="1"/>
  <c r="K59" i="13" s="1"/>
  <c r="K60" i="13" s="1"/>
  <c r="K61" i="13" s="1"/>
  <c r="K62" i="13" s="1"/>
  <c r="K63" i="13" s="1"/>
  <c r="I57" i="15"/>
  <c r="I58" i="15" s="1"/>
  <c r="I59" i="15" s="1"/>
  <c r="I60" i="15" s="1"/>
  <c r="I61" i="15" s="1"/>
  <c r="I62" i="15" s="1"/>
  <c r="I63" i="15" s="1"/>
  <c r="F57" i="15"/>
  <c r="L57" i="15"/>
  <c r="L58" i="15" s="1"/>
  <c r="L59" i="15" s="1"/>
  <c r="L60" i="15" s="1"/>
  <c r="L61" i="15" s="1"/>
  <c r="L62" i="15" s="1"/>
  <c r="L63" i="15" s="1"/>
  <c r="L57" i="11"/>
  <c r="L58" i="11" s="1"/>
  <c r="L59" i="11" s="1"/>
  <c r="L60" i="11" s="1"/>
  <c r="L61" i="11" s="1"/>
  <c r="L62" i="11" s="1"/>
  <c r="L63" i="11" s="1"/>
  <c r="I57" i="11"/>
  <c r="I58" i="11" s="1"/>
  <c r="I59" i="11" s="1"/>
  <c r="I60" i="11" s="1"/>
  <c r="I61" i="11" s="1"/>
  <c r="I62" i="11" s="1"/>
  <c r="I63" i="11" s="1"/>
  <c r="F57" i="11"/>
  <c r="J54" i="13"/>
  <c r="L54" i="13" s="1"/>
  <c r="M54" i="13" s="1"/>
  <c r="I55" i="13"/>
  <c r="J55" i="13" s="1"/>
  <c r="L55" i="13" s="1"/>
  <c r="M55" i="13" s="1"/>
  <c r="G55" i="15"/>
  <c r="H55" i="15" s="1"/>
  <c r="J55" i="15" s="1"/>
  <c r="K55" i="15" s="1"/>
  <c r="H54" i="15"/>
  <c r="J54" i="15" s="1"/>
  <c r="K54" i="15" s="1"/>
  <c r="H54" i="11"/>
  <c r="J54" i="11" s="1"/>
  <c r="K54" i="11" s="1"/>
  <c r="G55" i="11"/>
  <c r="H55" i="11" s="1"/>
  <c r="J55" i="11" s="1"/>
  <c r="K55" i="11" s="1"/>
  <c r="I56" i="13" l="1"/>
  <c r="I57" i="13" s="1"/>
  <c r="J57" i="13" s="1"/>
  <c r="L57" i="13" s="1"/>
  <c r="M57" i="13" s="1"/>
  <c r="I58" i="13"/>
  <c r="G56" i="15"/>
  <c r="G57" i="15" s="1"/>
  <c r="G56" i="11"/>
  <c r="G57" i="11" s="1"/>
  <c r="J56" i="13"/>
  <c r="L56" i="13" s="1"/>
  <c r="M56" i="13" s="1"/>
  <c r="J58" i="13" l="1"/>
  <c r="L58" i="13" s="1"/>
  <c r="M58" i="13" s="1"/>
  <c r="I59" i="13"/>
  <c r="I60" i="13" s="1"/>
  <c r="H57" i="11"/>
  <c r="J57" i="11" s="1"/>
  <c r="K57" i="11" s="1"/>
  <c r="G58" i="11"/>
  <c r="H57" i="15"/>
  <c r="J57" i="15" s="1"/>
  <c r="K57" i="15" s="1"/>
  <c r="G58" i="15"/>
  <c r="H56" i="11"/>
  <c r="J56" i="11" s="1"/>
  <c r="K56" i="11" s="1"/>
  <c r="H56" i="15"/>
  <c r="J56" i="15" s="1"/>
  <c r="K56" i="15" s="1"/>
  <c r="J60" i="13" l="1"/>
  <c r="L60" i="13" s="1"/>
  <c r="M60" i="13" s="1"/>
  <c r="I61" i="13"/>
  <c r="H58" i="15"/>
  <c r="J58" i="15" s="1"/>
  <c r="K58" i="15" s="1"/>
  <c r="G59" i="15"/>
  <c r="G60" i="15" s="1"/>
  <c r="H58" i="11"/>
  <c r="J58" i="11" s="1"/>
  <c r="K58" i="11" s="1"/>
  <c r="G59" i="11"/>
  <c r="G60" i="11" s="1"/>
  <c r="J59" i="13"/>
  <c r="L59" i="13" s="1"/>
  <c r="M59" i="13" s="1"/>
  <c r="J61" i="13" l="1"/>
  <c r="L61" i="13" s="1"/>
  <c r="M61" i="13" s="1"/>
  <c r="I62" i="13"/>
  <c r="I63" i="13" s="1"/>
  <c r="J63" i="13" s="1"/>
  <c r="L63" i="13" s="1"/>
  <c r="M63" i="13" s="1"/>
  <c r="H60" i="11"/>
  <c r="J60" i="11" s="1"/>
  <c r="K60" i="11" s="1"/>
  <c r="G61" i="11"/>
  <c r="H60" i="15"/>
  <c r="J60" i="15" s="1"/>
  <c r="K60" i="15" s="1"/>
  <c r="G61" i="15"/>
  <c r="H59" i="11"/>
  <c r="J59" i="11" s="1"/>
  <c r="K59" i="11" s="1"/>
  <c r="H59" i="15"/>
  <c r="J59" i="15" s="1"/>
  <c r="K59" i="15" s="1"/>
  <c r="H61" i="15" l="1"/>
  <c r="J61" i="15" s="1"/>
  <c r="K61" i="15" s="1"/>
  <c r="G62" i="15"/>
  <c r="G63" i="15" s="1"/>
  <c r="H63" i="15" s="1"/>
  <c r="J63" i="15" s="1"/>
  <c r="K63" i="15" s="1"/>
  <c r="H61" i="11"/>
  <c r="J61" i="11" s="1"/>
  <c r="K61" i="11" s="1"/>
  <c r="G62" i="11"/>
  <c r="G63" i="11" s="1"/>
  <c r="H63" i="11" s="1"/>
  <c r="J63" i="11" s="1"/>
  <c r="K63" i="11" s="1"/>
  <c r="J62" i="13"/>
  <c r="L62" i="13" s="1"/>
  <c r="M62" i="13" s="1"/>
  <c r="J2" i="13"/>
  <c r="H62" i="11" l="1"/>
  <c r="J62" i="11" s="1"/>
  <c r="K62" i="11" s="1"/>
  <c r="H2" i="11"/>
  <c r="H62" i="15"/>
  <c r="J62" i="15" s="1"/>
  <c r="K62" i="15" s="1"/>
  <c r="H2" i="15"/>
  <c r="M62" i="10" l="1"/>
  <c r="M61" i="10" l="1"/>
  <c r="M60" i="10" l="1"/>
  <c r="M59" i="10" l="1"/>
  <c r="M58" i="10" l="1"/>
  <c r="M57" i="10" l="1"/>
  <c r="M56" i="10" l="1"/>
  <c r="M55" i="10" l="1"/>
  <c r="M54" i="10" l="1"/>
  <c r="M53" i="10" l="1"/>
  <c r="M52" i="10" l="1"/>
  <c r="M51" i="10" l="1"/>
  <c r="M50" i="10" l="1"/>
  <c r="M49" i="10" l="1"/>
  <c r="M48" i="10" l="1"/>
  <c r="M47" i="10" l="1"/>
  <c r="M46" i="10" l="1"/>
  <c r="M45" i="10" l="1"/>
  <c r="M44" i="10" l="1"/>
  <c r="M43" i="10" l="1"/>
  <c r="M42" i="10" l="1"/>
  <c r="M41" i="10" l="1"/>
  <c r="M40" i="10" l="1"/>
  <c r="M39" i="10" l="1"/>
  <c r="M38" i="10" l="1"/>
  <c r="M37" i="10" l="1"/>
  <c r="M36" i="10" l="1"/>
  <c r="M35" i="10" l="1"/>
  <c r="M34" i="10" l="1"/>
  <c r="M33" i="10" l="1"/>
  <c r="M30" i="10"/>
  <c r="M29" i="10"/>
  <c r="M27" i="10"/>
  <c r="M28" i="10" l="1"/>
  <c r="M26" i="10"/>
  <c r="M32" i="10"/>
  <c r="M31" i="10"/>
  <c r="M25" i="10" l="1"/>
  <c r="M24" i="10" l="1"/>
  <c r="M18" i="10"/>
  <c r="M22" i="10"/>
  <c r="M20" i="10"/>
  <c r="M19" i="10"/>
  <c r="M21" i="10"/>
  <c r="M23" i="10"/>
  <c r="M17" i="10" l="1"/>
  <c r="M15" i="10"/>
  <c r="M13" i="10"/>
  <c r="M7" i="10" l="1"/>
  <c r="M11" i="10"/>
  <c r="M16" i="10"/>
  <c r="M14" i="10"/>
  <c r="M12" i="10"/>
  <c r="M9" i="10"/>
  <c r="M10" i="10"/>
  <c r="M8" i="10"/>
  <c r="M4" i="10" l="1"/>
  <c r="M6" i="10"/>
  <c r="M5" i="10"/>
  <c r="M3" i="10"/>
  <c r="N3" i="10" l="1"/>
  <c r="N4" i="10" l="1"/>
  <c r="O3" i="10"/>
  <c r="N5" i="10" l="1"/>
  <c r="O4" i="10"/>
  <c r="P3" i="10" l="1"/>
  <c r="Q3" i="10" s="1"/>
  <c r="O5" i="10"/>
  <c r="P4" i="10" l="1"/>
  <c r="Q4" i="10" s="1"/>
  <c r="E4" i="10" s="1"/>
  <c r="N6" i="10"/>
  <c r="L4" i="10" l="1"/>
  <c r="I4" i="10"/>
  <c r="F4" i="10"/>
  <c r="G4" i="10" s="1"/>
  <c r="P5" i="10"/>
  <c r="Q5" i="10" s="1"/>
  <c r="E5" i="10" s="1"/>
  <c r="O6" i="10"/>
  <c r="N7" i="10"/>
  <c r="O8" i="10"/>
  <c r="P6" i="10" l="1"/>
  <c r="Q6" i="10" s="1"/>
  <c r="E6" i="10" s="1"/>
  <c r="N8" i="10"/>
  <c r="O7" i="10"/>
  <c r="I5" i="10"/>
  <c r="L5" i="10"/>
  <c r="F5" i="10"/>
  <c r="G5" i="10" s="1"/>
  <c r="H5" i="10" s="1"/>
  <c r="H4" i="10"/>
  <c r="J4" i="10" s="1"/>
  <c r="K4" i="10" s="1"/>
  <c r="O9" i="10"/>
  <c r="F6" i="10" l="1"/>
  <c r="G6" i="10" s="1"/>
  <c r="I6" i="10"/>
  <c r="L6" i="10"/>
  <c r="P8" i="10"/>
  <c r="Q8" i="10" s="1"/>
  <c r="E8" i="10" s="1"/>
  <c r="F8" i="10" s="1"/>
  <c r="J5" i="10"/>
  <c r="K5" i="10" s="1"/>
  <c r="P7" i="10"/>
  <c r="Q7" i="10" s="1"/>
  <c r="E7" i="10" s="1"/>
  <c r="N9" i="10"/>
  <c r="O10" i="10"/>
  <c r="P9" i="10" l="1"/>
  <c r="Q9" i="10" s="1"/>
  <c r="E9" i="10" s="1"/>
  <c r="F7" i="10"/>
  <c r="G7" i="10" s="1"/>
  <c r="L7" i="10"/>
  <c r="L8" i="10" s="1"/>
  <c r="I7" i="10"/>
  <c r="I8" i="10" s="1"/>
  <c r="N10" i="10"/>
  <c r="H6" i="10"/>
  <c r="J6" i="10" s="1"/>
  <c r="K6" i="10" s="1"/>
  <c r="O11" i="10"/>
  <c r="P10" i="10" l="1"/>
  <c r="Q10" i="10" s="1"/>
  <c r="E10" i="10" s="1"/>
  <c r="N11" i="10"/>
  <c r="I9" i="10"/>
  <c r="U4" i="10" s="1"/>
  <c r="T4" i="10" s="1"/>
  <c r="L9" i="10"/>
  <c r="X4" i="10" s="1"/>
  <c r="F9" i="10"/>
  <c r="H7" i="10"/>
  <c r="J7" i="10" s="1"/>
  <c r="K7" i="10" s="1"/>
  <c r="G8" i="10"/>
  <c r="O12" i="10"/>
  <c r="L10" i="10" l="1"/>
  <c r="I10" i="10"/>
  <c r="F10" i="10"/>
  <c r="P11" i="10"/>
  <c r="Q11" i="10" s="1"/>
  <c r="E11" i="10" s="1"/>
  <c r="G9" i="10"/>
  <c r="H8" i="10"/>
  <c r="J8" i="10" s="1"/>
  <c r="K8" i="10" s="1"/>
  <c r="N12" i="10"/>
  <c r="O13" i="10"/>
  <c r="G10" i="10" l="1"/>
  <c r="H9" i="10"/>
  <c r="J9" i="10" s="1"/>
  <c r="P12" i="10"/>
  <c r="Q12" i="10" s="1"/>
  <c r="E12" i="10" s="1"/>
  <c r="N13" i="10"/>
  <c r="F11" i="10"/>
  <c r="I11" i="10"/>
  <c r="L11" i="10"/>
  <c r="O14" i="10"/>
  <c r="I12" i="10" l="1"/>
  <c r="L12" i="10"/>
  <c r="F12" i="10"/>
  <c r="V4" i="10"/>
  <c r="Y4" i="10" s="1"/>
  <c r="Z4" i="10" s="1"/>
  <c r="K9" i="10"/>
  <c r="W4" i="10" s="1"/>
  <c r="P13" i="10"/>
  <c r="Q13" i="10" s="1"/>
  <c r="E13" i="10" s="1"/>
  <c r="N14" i="10"/>
  <c r="G11" i="10"/>
  <c r="H10" i="10"/>
  <c r="J10" i="10" s="1"/>
  <c r="K10" i="10" s="1"/>
  <c r="O15" i="10"/>
  <c r="P14" i="10" l="1"/>
  <c r="Q14" i="10" s="1"/>
  <c r="E14" i="10" s="1"/>
  <c r="H11" i="10"/>
  <c r="J11" i="10" s="1"/>
  <c r="K11" i="10" s="1"/>
  <c r="G12" i="10"/>
  <c r="N15" i="10"/>
  <c r="I13" i="10"/>
  <c r="L13" i="10"/>
  <c r="F13" i="10"/>
  <c r="O16" i="10"/>
  <c r="L14" i="10" l="1"/>
  <c r="F14" i="10"/>
  <c r="I14" i="10"/>
  <c r="H12" i="10"/>
  <c r="J12" i="10" s="1"/>
  <c r="K12" i="10" s="1"/>
  <c r="G13" i="10"/>
  <c r="P15" i="10"/>
  <c r="Q15" i="10" s="1"/>
  <c r="E15" i="10" s="1"/>
  <c r="N16" i="10"/>
  <c r="O17" i="10" l="1"/>
  <c r="L15" i="10"/>
  <c r="F15" i="10"/>
  <c r="I15" i="10"/>
  <c r="P16" i="10"/>
  <c r="Q16" i="10" s="1"/>
  <c r="E16" i="10" s="1"/>
  <c r="N17" i="10"/>
  <c r="G14" i="10"/>
  <c r="H13" i="10"/>
  <c r="J13" i="10" s="1"/>
  <c r="K13" i="10" s="1"/>
  <c r="G15" i="10" l="1"/>
  <c r="H14" i="10"/>
  <c r="J14" i="10" s="1"/>
  <c r="K14" i="10" s="1"/>
  <c r="N18" i="10"/>
  <c r="P17" i="10"/>
  <c r="Q17" i="10" s="1"/>
  <c r="E17" i="10" s="1"/>
  <c r="L16" i="10"/>
  <c r="I16" i="10"/>
  <c r="F16" i="10"/>
  <c r="F17" i="10" l="1"/>
  <c r="I17" i="10"/>
  <c r="L17" i="10"/>
  <c r="O18" i="10"/>
  <c r="N19" i="10"/>
  <c r="H15" i="10"/>
  <c r="J15" i="10" s="1"/>
  <c r="K15" i="10" s="1"/>
  <c r="G16" i="10"/>
  <c r="H16" i="10" l="1"/>
  <c r="J16" i="10" s="1"/>
  <c r="K16" i="10" s="1"/>
  <c r="G17" i="10"/>
  <c r="H17" i="10" s="1"/>
  <c r="J17" i="10" s="1"/>
  <c r="K17" i="10" s="1"/>
  <c r="O19" i="10"/>
  <c r="N20" i="10"/>
  <c r="P18" i="10"/>
  <c r="Q18" i="10" s="1"/>
  <c r="E18" i="10" s="1"/>
  <c r="P19" i="10" l="1"/>
  <c r="Q19" i="10" s="1"/>
  <c r="E19" i="10" s="1"/>
  <c r="F18" i="10"/>
  <c r="G18" i="10" s="1"/>
  <c r="H18" i="10" s="1"/>
  <c r="I18" i="10"/>
  <c r="L18" i="10"/>
  <c r="O20" i="10"/>
  <c r="N21" i="10"/>
  <c r="O21" i="10" l="1"/>
  <c r="N22" i="10"/>
  <c r="I19" i="10"/>
  <c r="L19" i="10"/>
  <c r="F19" i="10"/>
  <c r="G19" i="10" s="1"/>
  <c r="H19" i="10" s="1"/>
  <c r="P20" i="10"/>
  <c r="Q20" i="10" s="1"/>
  <c r="E20" i="10" s="1"/>
  <c r="J18" i="10"/>
  <c r="K18" i="10" s="1"/>
  <c r="O22" i="10" l="1"/>
  <c r="N23" i="10"/>
  <c r="I20" i="10"/>
  <c r="L20" i="10"/>
  <c r="F20" i="10"/>
  <c r="G20" i="10" s="1"/>
  <c r="H20" i="10" s="1"/>
  <c r="J19" i="10"/>
  <c r="K19" i="10" s="1"/>
  <c r="P21" i="10"/>
  <c r="Q21" i="10" s="1"/>
  <c r="E21" i="10" s="1"/>
  <c r="J20" i="10" l="1"/>
  <c r="K20" i="10" s="1"/>
  <c r="P22" i="10"/>
  <c r="Q22" i="10" s="1"/>
  <c r="E22" i="10" s="1"/>
  <c r="I21" i="10"/>
  <c r="U5" i="10" s="1"/>
  <c r="T5" i="10" s="1"/>
  <c r="L21" i="10"/>
  <c r="X5" i="10" s="1"/>
  <c r="F21" i="10"/>
  <c r="G21" i="10" s="1"/>
  <c r="H21" i="10" s="1"/>
  <c r="O23" i="10"/>
  <c r="N24" i="10"/>
  <c r="O24" i="10" l="1"/>
  <c r="N25" i="10"/>
  <c r="O25" i="10"/>
  <c r="F22" i="10"/>
  <c r="G22" i="10" s="1"/>
  <c r="H22" i="10" s="1"/>
  <c r="L22" i="10"/>
  <c r="I22" i="10"/>
  <c r="P23" i="10"/>
  <c r="Q23" i="10" s="1"/>
  <c r="E23" i="10" s="1"/>
  <c r="J21" i="10"/>
  <c r="J22" i="10" l="1"/>
  <c r="K21" i="10"/>
  <c r="W5" i="10" s="1"/>
  <c r="V5" i="10"/>
  <c r="Y5" i="10" s="1"/>
  <c r="K22" i="10"/>
  <c r="P24" i="10"/>
  <c r="Q24" i="10" s="1"/>
  <c r="E24" i="10" s="1"/>
  <c r="F23" i="10"/>
  <c r="G23" i="10" s="1"/>
  <c r="H23" i="10" s="1"/>
  <c r="I23" i="10"/>
  <c r="L23" i="10"/>
  <c r="P25" i="10"/>
  <c r="Q25" i="10" s="1"/>
  <c r="E25" i="10" s="1"/>
  <c r="N26" i="10"/>
  <c r="O26" i="10" l="1"/>
  <c r="N27" i="10"/>
  <c r="F25" i="10"/>
  <c r="J23" i="10"/>
  <c r="K23" i="10" s="1"/>
  <c r="L24" i="10"/>
  <c r="L25" i="10" s="1"/>
  <c r="I24" i="10"/>
  <c r="I25" i="10" s="1"/>
  <c r="F24" i="10"/>
  <c r="G24" i="10" s="1"/>
  <c r="H24" i="10" s="1"/>
  <c r="J24" i="10" s="1"/>
  <c r="G25" i="10" l="1"/>
  <c r="H25" i="10" s="1"/>
  <c r="J25" i="10" s="1"/>
  <c r="K25" i="10" s="1"/>
  <c r="P26" i="10"/>
  <c r="Q26" i="10" s="1"/>
  <c r="E26" i="10" s="1"/>
  <c r="K24" i="10"/>
  <c r="O27" i="10"/>
  <c r="N28" i="10"/>
  <c r="O28" i="10" l="1"/>
  <c r="N29" i="10"/>
  <c r="O29" i="10"/>
  <c r="F26" i="10"/>
  <c r="G26" i="10" s="1"/>
  <c r="H26" i="10" s="1"/>
  <c r="I26" i="10"/>
  <c r="L26" i="10"/>
  <c r="P27" i="10"/>
  <c r="Q27" i="10" s="1"/>
  <c r="E27" i="10" s="1"/>
  <c r="F27" i="10" l="1"/>
  <c r="G27" i="10" s="1"/>
  <c r="H27" i="10" s="1"/>
  <c r="L27" i="10"/>
  <c r="I27" i="10"/>
  <c r="P29" i="10"/>
  <c r="Q29" i="10" s="1"/>
  <c r="E29" i="10" s="1"/>
  <c r="J26" i="10"/>
  <c r="K26" i="10" s="1"/>
  <c r="P28" i="10"/>
  <c r="Q28" i="10" s="1"/>
  <c r="E28" i="10" s="1"/>
  <c r="N30" i="10"/>
  <c r="O31" i="10" l="1"/>
  <c r="O30" i="10"/>
  <c r="N31" i="10"/>
  <c r="I28" i="10"/>
  <c r="F28" i="10"/>
  <c r="G28" i="10" s="1"/>
  <c r="H28" i="10" s="1"/>
  <c r="L28" i="10"/>
  <c r="I29" i="10"/>
  <c r="F29" i="10"/>
  <c r="L29" i="10"/>
  <c r="J27" i="10"/>
  <c r="K27" i="10" s="1"/>
  <c r="G29" i="10" l="1"/>
  <c r="H29" i="10" s="1"/>
  <c r="J28" i="10"/>
  <c r="K28" i="10" s="1"/>
  <c r="P31" i="10"/>
  <c r="Q31" i="10" s="1"/>
  <c r="E31" i="10" s="1"/>
  <c r="F31" i="10" s="1"/>
  <c r="N32" i="10"/>
  <c r="J29" i="10"/>
  <c r="K29" i="10" s="1"/>
  <c r="P30" i="10"/>
  <c r="Q30" i="10" s="1"/>
  <c r="E30" i="10" s="1"/>
  <c r="P32" i="10" l="1"/>
  <c r="Q32" i="10" s="1"/>
  <c r="E32" i="10" s="1"/>
  <c r="F30" i="10"/>
  <c r="G30" i="10" s="1"/>
  <c r="I30" i="10"/>
  <c r="I31" i="10" s="1"/>
  <c r="L30" i="10"/>
  <c r="L31" i="10" s="1"/>
  <c r="O33" i="10"/>
  <c r="O32" i="10"/>
  <c r="N33" i="10"/>
  <c r="F32" i="10" l="1"/>
  <c r="I32" i="10"/>
  <c r="L32" i="10"/>
  <c r="P33" i="10"/>
  <c r="Q33" i="10" s="1"/>
  <c r="E33" i="10" s="1"/>
  <c r="N34" i="10"/>
  <c r="O34" i="10"/>
  <c r="H30" i="10"/>
  <c r="J30" i="10" s="1"/>
  <c r="K30" i="10" s="1"/>
  <c r="G31" i="10"/>
  <c r="H31" i="10" l="1"/>
  <c r="J31" i="10" s="1"/>
  <c r="K31" i="10" s="1"/>
  <c r="G32" i="10"/>
  <c r="F33" i="10"/>
  <c r="L33" i="10"/>
  <c r="X6" i="10" s="1"/>
  <c r="I33" i="10"/>
  <c r="U6" i="10" s="1"/>
  <c r="T6" i="10" s="1"/>
  <c r="P34" i="10"/>
  <c r="Q34" i="10" s="1"/>
  <c r="E34" i="10" s="1"/>
  <c r="N35" i="10"/>
  <c r="O35" i="10"/>
  <c r="N36" i="10" l="1"/>
  <c r="O36" i="10"/>
  <c r="H32" i="10"/>
  <c r="J32" i="10" s="1"/>
  <c r="K32" i="10" s="1"/>
  <c r="G33" i="10"/>
  <c r="P35" i="10"/>
  <c r="Q35" i="10" s="1"/>
  <c r="E35" i="10" s="1"/>
  <c r="L34" i="10"/>
  <c r="F34" i="10"/>
  <c r="I34" i="10"/>
  <c r="F35" i="10" l="1"/>
  <c r="L35" i="10"/>
  <c r="I35" i="10"/>
  <c r="H33" i="10"/>
  <c r="J33" i="10" s="1"/>
  <c r="G34" i="10"/>
  <c r="H34" i="10" s="1"/>
  <c r="J34" i="10" s="1"/>
  <c r="K34" i="10" s="1"/>
  <c r="P36" i="10"/>
  <c r="Q36" i="10" s="1"/>
  <c r="E36" i="10" s="1"/>
  <c r="F36" i="10" s="1"/>
  <c r="N37" i="10"/>
  <c r="O37" i="10"/>
  <c r="P37" i="10" l="1"/>
  <c r="Q37" i="10" s="1"/>
  <c r="E37" i="10" s="1"/>
  <c r="I36" i="10"/>
  <c r="G35" i="10"/>
  <c r="N38" i="10"/>
  <c r="O38" i="10"/>
  <c r="K33" i="10"/>
  <c r="W6" i="10" s="1"/>
  <c r="V6" i="10"/>
  <c r="Y6" i="10" s="1"/>
  <c r="L36" i="10"/>
  <c r="P38" i="10" l="1"/>
  <c r="Q38" i="10" s="1"/>
  <c r="E38" i="10" s="1"/>
  <c r="H35" i="10"/>
  <c r="J35" i="10" s="1"/>
  <c r="K35" i="10" s="1"/>
  <c r="G36" i="10"/>
  <c r="F37" i="10"/>
  <c r="L37" i="10"/>
  <c r="I37" i="10"/>
  <c r="N39" i="10"/>
  <c r="O39" i="10"/>
  <c r="P39" i="10" l="1"/>
  <c r="Q39" i="10" s="1"/>
  <c r="E39" i="10" s="1"/>
  <c r="N40" i="10"/>
  <c r="O40" i="10"/>
  <c r="H36" i="10"/>
  <c r="J36" i="10" s="1"/>
  <c r="K36" i="10" s="1"/>
  <c r="G37" i="10"/>
  <c r="H37" i="10" s="1"/>
  <c r="J37" i="10" s="1"/>
  <c r="K37" i="10" s="1"/>
  <c r="I38" i="10"/>
  <c r="F38" i="10"/>
  <c r="G38" i="10" s="1"/>
  <c r="L38" i="10"/>
  <c r="H38" i="10" l="1"/>
  <c r="J38" i="10" s="1"/>
  <c r="K38" i="10" s="1"/>
  <c r="P40" i="10"/>
  <c r="Q40" i="10" s="1"/>
  <c r="E40" i="10" s="1"/>
  <c r="L39" i="10"/>
  <c r="F39" i="10"/>
  <c r="G39" i="10" s="1"/>
  <c r="H39" i="10" s="1"/>
  <c r="J39" i="10" s="1"/>
  <c r="K39" i="10" s="1"/>
  <c r="I39" i="10"/>
  <c r="N41" i="10"/>
  <c r="O41" i="10"/>
  <c r="N42" i="10" l="1"/>
  <c r="O42" i="10"/>
  <c r="I40" i="10"/>
  <c r="F40" i="10"/>
  <c r="G40" i="10" s="1"/>
  <c r="L40" i="10"/>
  <c r="N43" i="10" l="1"/>
  <c r="O43" i="10"/>
  <c r="H40" i="10"/>
  <c r="J40" i="10" s="1"/>
  <c r="K40" i="10" s="1"/>
  <c r="P42" i="10"/>
  <c r="Q42" i="10" s="1"/>
  <c r="E42" i="10" s="1"/>
  <c r="P41" i="10"/>
  <c r="Q41" i="10" s="1"/>
  <c r="E41" i="10" s="1"/>
  <c r="F41" i="10" l="1"/>
  <c r="G41" i="10" s="1"/>
  <c r="I41" i="10"/>
  <c r="L41" i="10"/>
  <c r="P43" i="10"/>
  <c r="Q43" i="10" s="1"/>
  <c r="E43" i="10" s="1"/>
  <c r="I42" i="10"/>
  <c r="L42" i="10"/>
  <c r="F42" i="10"/>
  <c r="N44" i="10"/>
  <c r="O44" i="10"/>
  <c r="P44" i="10" l="1"/>
  <c r="Q44" i="10" s="1"/>
  <c r="E44" i="10" s="1"/>
  <c r="N45" i="10"/>
  <c r="O45" i="10"/>
  <c r="I43" i="10"/>
  <c r="F43" i="10"/>
  <c r="L43" i="10"/>
  <c r="H41" i="10"/>
  <c r="J41" i="10" s="1"/>
  <c r="K41" i="10" s="1"/>
  <c r="G42" i="10"/>
  <c r="H42" i="10" s="1"/>
  <c r="J42" i="10" s="1"/>
  <c r="K42" i="10" s="1"/>
  <c r="P45" i="10" l="1"/>
  <c r="Q45" i="10" s="1"/>
  <c r="E45" i="10" s="1"/>
  <c r="L44" i="10"/>
  <c r="I44" i="10"/>
  <c r="F44" i="10"/>
  <c r="G43" i="10"/>
  <c r="H43" i="10" s="1"/>
  <c r="J43" i="10" s="1"/>
  <c r="K43" i="10" s="1"/>
  <c r="N46" i="10"/>
  <c r="O46" i="10"/>
  <c r="F45" i="10" l="1"/>
  <c r="I45" i="10"/>
  <c r="U7" i="10" s="1"/>
  <c r="T7" i="10" s="1"/>
  <c r="L45" i="10"/>
  <c r="X7" i="10" s="1"/>
  <c r="N47" i="10"/>
  <c r="O47" i="10"/>
  <c r="G44" i="10"/>
  <c r="P46" i="10" l="1"/>
  <c r="Q46" i="10" s="1"/>
  <c r="E46" i="10" s="1"/>
  <c r="N48" i="10"/>
  <c r="O48" i="10"/>
  <c r="G45" i="10"/>
  <c r="H44" i="10"/>
  <c r="J44" i="10" s="1"/>
  <c r="K44" i="10" s="1"/>
  <c r="P47" i="10"/>
  <c r="Q47" i="10" s="1"/>
  <c r="E47" i="10" s="1"/>
  <c r="F47" i="10" l="1"/>
  <c r="I46" i="10"/>
  <c r="I47" i="10" s="1"/>
  <c r="L46" i="10"/>
  <c r="L47" i="10" s="1"/>
  <c r="F46" i="10"/>
  <c r="P48" i="10"/>
  <c r="Q48" i="10" s="1"/>
  <c r="E48" i="10" s="1"/>
  <c r="H45" i="10"/>
  <c r="J45" i="10" s="1"/>
  <c r="G46" i="10"/>
  <c r="N49" i="10"/>
  <c r="O49" i="10"/>
  <c r="P49" i="10" l="1"/>
  <c r="Q49" i="10" s="1"/>
  <c r="E49" i="10" s="1"/>
  <c r="H46" i="10"/>
  <c r="J46" i="10" s="1"/>
  <c r="K46" i="10" s="1"/>
  <c r="G47" i="10"/>
  <c r="F48" i="10"/>
  <c r="I48" i="10"/>
  <c r="L48" i="10"/>
  <c r="N50" i="10"/>
  <c r="O50" i="10"/>
  <c r="K45" i="10"/>
  <c r="W7" i="10" s="1"/>
  <c r="V7" i="10"/>
  <c r="Y7" i="10" s="1"/>
  <c r="N51" i="10" l="1"/>
  <c r="O51" i="10"/>
  <c r="G48" i="10"/>
  <c r="H47" i="10"/>
  <c r="J47" i="10" s="1"/>
  <c r="K47" i="10" s="1"/>
  <c r="F49" i="10"/>
  <c r="I49" i="10"/>
  <c r="L49" i="10"/>
  <c r="H48" i="10" l="1"/>
  <c r="J48" i="10" s="1"/>
  <c r="K48" i="10" s="1"/>
  <c r="G49" i="10"/>
  <c r="N52" i="10"/>
  <c r="O52" i="10"/>
  <c r="P51" i="10"/>
  <c r="Q51" i="10" s="1"/>
  <c r="E51" i="10" s="1"/>
  <c r="P50" i="10"/>
  <c r="Q50" i="10" s="1"/>
  <c r="E50" i="10" s="1"/>
  <c r="I50" i="10" l="1"/>
  <c r="F50" i="10"/>
  <c r="L50" i="10"/>
  <c r="P52" i="10"/>
  <c r="Q52" i="10" s="1"/>
  <c r="E52" i="10" s="1"/>
  <c r="H49" i="10"/>
  <c r="J49" i="10" s="1"/>
  <c r="K49" i="10" s="1"/>
  <c r="G50" i="10"/>
  <c r="H50" i="10" s="1"/>
  <c r="J50" i="10" s="1"/>
  <c r="K50" i="10" s="1"/>
  <c r="L51" i="10"/>
  <c r="I51" i="10"/>
  <c r="F51" i="10"/>
  <c r="N53" i="10"/>
  <c r="O53" i="10"/>
  <c r="N54" i="10" l="1"/>
  <c r="O54" i="10"/>
  <c r="G51" i="10"/>
  <c r="H51" i="10" s="1"/>
  <c r="J51" i="10" s="1"/>
  <c r="K51" i="10" s="1"/>
  <c r="L52" i="10"/>
  <c r="P53" i="10"/>
  <c r="Q53" i="10" s="1"/>
  <c r="E53" i="10" s="1"/>
  <c r="I52" i="10"/>
  <c r="F52" i="10"/>
  <c r="G52" i="10" l="1"/>
  <c r="H52" i="10" s="1"/>
  <c r="J52" i="10" s="1"/>
  <c r="K52" i="10" s="1"/>
  <c r="F53" i="10"/>
  <c r="I53" i="10"/>
  <c r="L53" i="10"/>
  <c r="P54" i="10"/>
  <c r="Q54" i="10" s="1"/>
  <c r="E54" i="10" s="1"/>
  <c r="N55" i="10"/>
  <c r="O55" i="10"/>
  <c r="G53" i="10" l="1"/>
  <c r="H53" i="10" s="1"/>
  <c r="P55" i="10"/>
  <c r="Q55" i="10" s="1"/>
  <c r="E55" i="10" s="1"/>
  <c r="F55" i="10" s="1"/>
  <c r="N56" i="10"/>
  <c r="O56" i="10"/>
  <c r="L54" i="10"/>
  <c r="F54" i="10"/>
  <c r="G54" i="10" s="1"/>
  <c r="I54" i="10"/>
  <c r="J53" i="10"/>
  <c r="K53" i="10" s="1"/>
  <c r="I55" i="10" l="1"/>
  <c r="L55" i="10"/>
  <c r="N57" i="10"/>
  <c r="O57" i="10"/>
  <c r="H54" i="10"/>
  <c r="J54" i="10" s="1"/>
  <c r="K54" i="10" s="1"/>
  <c r="G55" i="10"/>
  <c r="H55" i="10" l="1"/>
  <c r="J55" i="10" s="1"/>
  <c r="K55" i="10" s="1"/>
  <c r="P57" i="10"/>
  <c r="Q57" i="10" s="1"/>
  <c r="E57" i="10" s="1"/>
  <c r="P56" i="10"/>
  <c r="Q56" i="10" s="1"/>
  <c r="E56" i="10" s="1"/>
  <c r="N58" i="10"/>
  <c r="O58" i="10"/>
  <c r="I56" i="10" l="1"/>
  <c r="F56" i="10"/>
  <c r="G56" i="10" s="1"/>
  <c r="H56" i="10" s="1"/>
  <c r="L56" i="10"/>
  <c r="I57" i="10"/>
  <c r="L57" i="10"/>
  <c r="F57" i="10"/>
  <c r="G57" i="10" s="1"/>
  <c r="P58" i="10"/>
  <c r="Q58" i="10" s="1"/>
  <c r="E58" i="10" s="1"/>
  <c r="F58" i="10" s="1"/>
  <c r="N59" i="10"/>
  <c r="O59" i="10"/>
  <c r="J56" i="10" l="1"/>
  <c r="K56" i="10" s="1"/>
  <c r="P59" i="10"/>
  <c r="Q59" i="10" s="1"/>
  <c r="E59" i="10" s="1"/>
  <c r="G58" i="10"/>
  <c r="H57" i="10"/>
  <c r="J57" i="10" s="1"/>
  <c r="K57" i="10" s="1"/>
  <c r="I58" i="10"/>
  <c r="N60" i="10"/>
  <c r="O60" i="10"/>
  <c r="L58" i="10"/>
  <c r="L59" i="10" l="1"/>
  <c r="F59" i="10"/>
  <c r="G59" i="10" s="1"/>
  <c r="H59" i="10" s="1"/>
  <c r="J59" i="10" s="1"/>
  <c r="K59" i="10" s="1"/>
  <c r="I59" i="10"/>
  <c r="P60" i="10"/>
  <c r="Q60" i="10" s="1"/>
  <c r="E60" i="10" s="1"/>
  <c r="N61" i="10"/>
  <c r="O61" i="10"/>
  <c r="H58" i="10"/>
  <c r="J58" i="10" s="1"/>
  <c r="K58" i="10" s="1"/>
  <c r="P61" i="10" l="1"/>
  <c r="Q61" i="10" s="1"/>
  <c r="E61" i="10" s="1"/>
  <c r="I60" i="10"/>
  <c r="L60" i="10"/>
  <c r="F60" i="10"/>
  <c r="G60" i="10" s="1"/>
  <c r="H60" i="10" s="1"/>
  <c r="N62" i="10"/>
  <c r="L61" i="10" l="1"/>
  <c r="F61" i="10"/>
  <c r="G61" i="10" s="1"/>
  <c r="H61" i="10" s="1"/>
  <c r="I61" i="10"/>
  <c r="O62" i="10"/>
  <c r="J60" i="10"/>
  <c r="K60" i="10" s="1"/>
  <c r="P62" i="10" l="1"/>
  <c r="Q62" i="10" s="1"/>
  <c r="E62" i="10" s="1"/>
  <c r="J61" i="10"/>
  <c r="K61" i="10" s="1"/>
  <c r="F62" i="10" l="1"/>
  <c r="G62" i="10" s="1"/>
  <c r="G63" i="10" s="1"/>
  <c r="H63" i="10" s="1"/>
  <c r="L62" i="10"/>
  <c r="L63" i="10" s="1"/>
  <c r="I62" i="10"/>
  <c r="I63" i="10" s="1"/>
  <c r="J63" i="10" l="1"/>
  <c r="K63" i="10" s="1"/>
  <c r="H62" i="10"/>
  <c r="J62" i="10" s="1"/>
  <c r="K62" i="10" s="1"/>
  <c r="H2" i="10"/>
</calcChain>
</file>

<file path=xl/sharedStrings.xml><?xml version="1.0" encoding="utf-8"?>
<sst xmlns="http://schemas.openxmlformats.org/spreadsheetml/2006/main" count="162" uniqueCount="27">
  <si>
    <t>PE</t>
  </si>
  <si>
    <t>date</t>
  </si>
  <si>
    <t>szse innovation100</t>
  </si>
  <si>
    <t>historical PE mean</t>
  </si>
  <si>
    <t>sales amount</t>
  </si>
  <si>
    <t>sales shares</t>
  </si>
  <si>
    <t>shares held</t>
  </si>
  <si>
    <t>market value</t>
  </si>
  <si>
    <t>accumulated investment</t>
  </si>
  <si>
    <t>total assets</t>
  </si>
  <si>
    <t>profit amount</t>
  </si>
  <si>
    <t>recovered funds</t>
  </si>
  <si>
    <t>investment per year</t>
  </si>
  <si>
    <t>absolute RR</t>
  </si>
  <si>
    <t>annualized RR</t>
  </si>
  <si>
    <t>SMA value of MAX</t>
  </si>
  <si>
    <t>SMA value of ABS</t>
  </si>
  <si>
    <t>RSI</t>
  </si>
  <si>
    <t>sign</t>
  </si>
  <si>
    <t>in practice</t>
    <phoneticPr fontId="2" type="noConversion"/>
  </si>
  <si>
    <t>RSV</t>
  </si>
  <si>
    <t>K</t>
  </si>
  <si>
    <t>D</t>
  </si>
  <si>
    <t>J</t>
  </si>
  <si>
    <t>sign</t>
    <phoneticPr fontId="2" type="noConversion"/>
  </si>
  <si>
    <t>vol</t>
    <phoneticPr fontId="2" type="noConversion"/>
  </si>
  <si>
    <t>vol 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</si>
</sst>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3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1" fillId="0" borderId="0" xfId="0" applyFont="1"/>
    <xf numFmtId="10" fontId="1" fillId="0" borderId="0" xfId="0" applyNumberFormat="1" applyFont="1"/>
    <xf numFmtId="176" fontId="1" fillId="0" borderId="0" xfId="0" applyNumberFormat="1" applyFont="1"/>
    <xf numFmtId="176" fontId="3" fillId="0" borderId="1" xfId="0" applyNumberFormat="1" applyFont="1" applyBorder="1"/>
    <xf numFmtId="0" fontId="3" fillId="0" borderId="1" xfId="0" applyFont="1" applyBorder="1"/>
    <xf numFmtId="177" fontId="4" fillId="2" borderId="1" xfId="0" applyNumberFormat="1" applyFont="1" applyFill="1" applyBorder="1" applyAlignment="1">
      <alignment horizontal="center"/>
    </xf>
    <xf numFmtId="0" fontId="3" fillId="0" borderId="0" xfId="0" applyFont="1"/>
    <xf numFmtId="10" fontId="3" fillId="0" borderId="0" xfId="0" applyNumberFormat="1" applyFont="1"/>
    <xf numFmtId="10" fontId="3" fillId="0" borderId="1" xfId="0" applyNumberFormat="1" applyFont="1" applyBorder="1"/>
    <xf numFmtId="178" fontId="3" fillId="0" borderId="1" xfId="0" applyNumberFormat="1" applyFont="1" applyBorder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/>
    </xf>
    <xf numFmtId="0" fontId="10" fillId="0" borderId="1" xfId="0" applyFont="1" applyBorder="1"/>
    <xf numFmtId="176" fontId="10" fillId="0" borderId="1" xfId="0" applyNumberFormat="1" applyFont="1" applyBorder="1"/>
    <xf numFmtId="176" fontId="10" fillId="2" borderId="1" xfId="0" applyNumberFormat="1" applyFont="1" applyFill="1" applyBorder="1"/>
    <xf numFmtId="177" fontId="4" fillId="2" borderId="1" xfId="1" applyNumberFormat="1" applyFont="1" applyFill="1" applyBorder="1" applyAlignment="1">
      <alignment horizontal="center"/>
    </xf>
    <xf numFmtId="176" fontId="3" fillId="0" borderId="0" xfId="0" applyNumberFormat="1" applyFont="1"/>
    <xf numFmtId="176" fontId="10" fillId="0" borderId="0" xfId="0" applyNumberFormat="1" applyFont="1"/>
    <xf numFmtId="0" fontId="10" fillId="0" borderId="0" xfId="1" applyFont="1"/>
    <xf numFmtId="0" fontId="11" fillId="0" borderId="1" xfId="0" applyFont="1" applyBorder="1"/>
    <xf numFmtId="0" fontId="1" fillId="0" borderId="0" xfId="1" applyFont="1"/>
    <xf numFmtId="10" fontId="1" fillId="0" borderId="0" xfId="1" applyNumberFormat="1" applyFont="1"/>
    <xf numFmtId="176" fontId="1" fillId="0" borderId="0" xfId="1" applyNumberFormat="1" applyFont="1"/>
    <xf numFmtId="0" fontId="3" fillId="0" borderId="0" xfId="1" applyFont="1"/>
    <xf numFmtId="10" fontId="3" fillId="0" borderId="0" xfId="1" applyNumberFormat="1" applyFont="1"/>
    <xf numFmtId="176" fontId="10" fillId="0" borderId="1" xfId="1" applyNumberFormat="1" applyFont="1" applyBorder="1"/>
    <xf numFmtId="176" fontId="10" fillId="2" borderId="1" xfId="1" applyNumberFormat="1" applyFont="1" applyFill="1" applyBorder="1"/>
    <xf numFmtId="0" fontId="10" fillId="0" borderId="1" xfId="1" applyFont="1" applyBorder="1"/>
    <xf numFmtId="177" fontId="9" fillId="4" borderId="1" xfId="1" applyNumberFormat="1" applyFont="1" applyFill="1" applyBorder="1" applyAlignment="1">
      <alignment horizontal="center"/>
    </xf>
    <xf numFmtId="10" fontId="3" fillId="0" borderId="1" xfId="1" applyNumberFormat="1" applyFont="1" applyBorder="1"/>
    <xf numFmtId="176" fontId="3" fillId="0" borderId="1" xfId="1" applyNumberFormat="1" applyFont="1" applyBorder="1"/>
    <xf numFmtId="178" fontId="3" fillId="0" borderId="1" xfId="1" applyNumberFormat="1" applyFont="1" applyBorder="1"/>
    <xf numFmtId="0" fontId="3" fillId="0" borderId="1" xfId="1" applyFont="1" applyBorder="1"/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 wrapText="1"/>
    </xf>
    <xf numFmtId="177" fontId="12" fillId="4" borderId="1" xfId="1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76" fontId="7" fillId="3" borderId="0" xfId="0" applyNumberFormat="1" applyFont="1" applyFill="1" applyAlignment="1">
      <alignment horizontal="center" vertical="center" wrapText="1"/>
    </xf>
    <xf numFmtId="0" fontId="5" fillId="0" borderId="1" xfId="0" applyFont="1" applyBorder="1"/>
    <xf numFmtId="0" fontId="5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7" fillId="3" borderId="0" xfId="0" applyNumberFormat="1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'model2(1)'!$I$1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32769.298882683892</c:v>
                </c:pt>
                <c:pt idx="4">
                  <c:v>44436.113276487529</c:v>
                </c:pt>
                <c:pt idx="5">
                  <c:v>57255.835236507555</c:v>
                </c:pt>
                <c:pt idx="6">
                  <c:v>71470.218956071636</c:v>
                </c:pt>
                <c:pt idx="7">
                  <c:v>97894.934844368792</c:v>
                </c:pt>
                <c:pt idx="8">
                  <c:v>122460.49475229948</c:v>
                </c:pt>
                <c:pt idx="9">
                  <c:v>156825.66098482403</c:v>
                </c:pt>
                <c:pt idx="10">
                  <c:v>198048.32002150436</c:v>
                </c:pt>
                <c:pt idx="11">
                  <c:v>239958.10640418634</c:v>
                </c:pt>
                <c:pt idx="12">
                  <c:v>264878.26341526926</c:v>
                </c:pt>
                <c:pt idx="13">
                  <c:v>293854.28227490676</c:v>
                </c:pt>
                <c:pt idx="14">
                  <c:v>325443.2577102746</c:v>
                </c:pt>
                <c:pt idx="15">
                  <c:v>365060.50204947242</c:v>
                </c:pt>
                <c:pt idx="16">
                  <c:v>404537.01229307556</c:v>
                </c:pt>
                <c:pt idx="17">
                  <c:v>439721.85207247699</c:v>
                </c:pt>
                <c:pt idx="18">
                  <c:v>473423.66374890588</c:v>
                </c:pt>
                <c:pt idx="19">
                  <c:v>497558.02372686984</c:v>
                </c:pt>
                <c:pt idx="20">
                  <c:v>524214.30663086759</c:v>
                </c:pt>
                <c:pt idx="21">
                  <c:v>548835.00163068029</c:v>
                </c:pt>
                <c:pt idx="22">
                  <c:v>574803.81124950666</c:v>
                </c:pt>
                <c:pt idx="23">
                  <c:v>608395.912105361</c:v>
                </c:pt>
                <c:pt idx="24">
                  <c:v>637390.8309686397</c:v>
                </c:pt>
                <c:pt idx="25">
                  <c:v>664460.26699966309</c:v>
                </c:pt>
                <c:pt idx="26">
                  <c:v>696265.26606489299</c:v>
                </c:pt>
                <c:pt idx="27">
                  <c:v>733363.79749379389</c:v>
                </c:pt>
                <c:pt idx="28">
                  <c:v>771292.17803173757</c:v>
                </c:pt>
                <c:pt idx="29">
                  <c:v>811194.35651351546</c:v>
                </c:pt>
                <c:pt idx="30">
                  <c:v>850637.82951930468</c:v>
                </c:pt>
                <c:pt idx="31">
                  <c:v>897866.49535342399</c:v>
                </c:pt>
                <c:pt idx="32">
                  <c:v>935890.99369570205</c:v>
                </c:pt>
                <c:pt idx="33">
                  <c:v>971992.70594601275</c:v>
                </c:pt>
                <c:pt idx="34">
                  <c:v>1005505.7452450263</c:v>
                </c:pt>
                <c:pt idx="35">
                  <c:v>1037341.6312729785</c:v>
                </c:pt>
                <c:pt idx="36">
                  <c:v>1070260.4159355557</c:v>
                </c:pt>
                <c:pt idx="37">
                  <c:v>1102813.3837142217</c:v>
                </c:pt>
                <c:pt idx="38">
                  <c:v>1123194.2613680183</c:v>
                </c:pt>
                <c:pt idx="39">
                  <c:v>1124647.3973672311</c:v>
                </c:pt>
                <c:pt idx="40">
                  <c:v>1127257.65285363</c:v>
                </c:pt>
                <c:pt idx="41">
                  <c:v>1130707.2667128926</c:v>
                </c:pt>
                <c:pt idx="42">
                  <c:v>1133785.7241379421</c:v>
                </c:pt>
                <c:pt idx="43">
                  <c:v>1138289.8930741674</c:v>
                </c:pt>
                <c:pt idx="44">
                  <c:v>1138289.8930741674</c:v>
                </c:pt>
                <c:pt idx="45">
                  <c:v>1138289.8930741674</c:v>
                </c:pt>
                <c:pt idx="46">
                  <c:v>1144330.9676563484</c:v>
                </c:pt>
                <c:pt idx="47">
                  <c:v>1153045.7236434985</c:v>
                </c:pt>
                <c:pt idx="48">
                  <c:v>1157665.4717863523</c:v>
                </c:pt>
                <c:pt idx="49">
                  <c:v>1158493.0294822238</c:v>
                </c:pt>
                <c:pt idx="50">
                  <c:v>1158493.0294822238</c:v>
                </c:pt>
                <c:pt idx="51">
                  <c:v>1158493.0294822238</c:v>
                </c:pt>
                <c:pt idx="52">
                  <c:v>1158493.0294822238</c:v>
                </c:pt>
                <c:pt idx="53">
                  <c:v>1158493.0294822238</c:v>
                </c:pt>
                <c:pt idx="54">
                  <c:v>1158493.0294822238</c:v>
                </c:pt>
                <c:pt idx="55">
                  <c:v>1158493.0294822238</c:v>
                </c:pt>
                <c:pt idx="56">
                  <c:v>1158493.0294822238</c:v>
                </c:pt>
                <c:pt idx="57">
                  <c:v>1158493.0294822238</c:v>
                </c:pt>
                <c:pt idx="58">
                  <c:v>1158493.0294822238</c:v>
                </c:pt>
                <c:pt idx="59">
                  <c:v>1158493.0294822238</c:v>
                </c:pt>
                <c:pt idx="60">
                  <c:v>1158493.0294822238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'model2(1)'!$J$1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32539.676068672419</c:v>
                </c:pt>
                <c:pt idx="4">
                  <c:v>45290.016672375939</c:v>
                </c:pt>
                <c:pt idx="5">
                  <c:v>58930.708749033642</c:v>
                </c:pt>
                <c:pt idx="6">
                  <c:v>72037.588440626103</c:v>
                </c:pt>
                <c:pt idx="7">
                  <c:v>91127.831202443733</c:v>
                </c:pt>
                <c:pt idx="8">
                  <c:v>114772.91369357279</c:v>
                </c:pt>
                <c:pt idx="9">
                  <c:v>137426.55416336839</c:v>
                </c:pt>
                <c:pt idx="10">
                  <c:v>165982.36924972216</c:v>
                </c:pt>
                <c:pt idx="11">
                  <c:v>214356.00261604332</c:v>
                </c:pt>
                <c:pt idx="12">
                  <c:v>267397.84567335254</c:v>
                </c:pt>
                <c:pt idx="13">
                  <c:v>282450.18084471551</c:v>
                </c:pt>
                <c:pt idx="14">
                  <c:v>301344.76140663412</c:v>
                </c:pt>
                <c:pt idx="15">
                  <c:v>313781.88724886329</c:v>
                </c:pt>
                <c:pt idx="16">
                  <c:v>349200.8714668047</c:v>
                </c:pt>
                <c:pt idx="17">
                  <c:v>401159.57922310429</c:v>
                </c:pt>
                <c:pt idx="18">
                  <c:v>436532.8675600008</c:v>
                </c:pt>
                <c:pt idx="19">
                  <c:v>500516.69226415147</c:v>
                </c:pt>
                <c:pt idx="20">
                  <c:v>510679.41871884948</c:v>
                </c:pt>
                <c:pt idx="21">
                  <c:v>540654.5613829419</c:v>
                </c:pt>
                <c:pt idx="22">
                  <c:v>552598.58143868495</c:v>
                </c:pt>
                <c:pt idx="23">
                  <c:v>563380.38483273762</c:v>
                </c:pt>
                <c:pt idx="24">
                  <c:v>619761.82297485252</c:v>
                </c:pt>
                <c:pt idx="25">
                  <c:v>651756.50407460728</c:v>
                </c:pt>
                <c:pt idx="26">
                  <c:v>643308.47989571327</c:v>
                </c:pt>
                <c:pt idx="27">
                  <c:v>654278.24921961338</c:v>
                </c:pt>
                <c:pt idx="28">
                  <c:v>671193.29967837257</c:v>
                </c:pt>
                <c:pt idx="29">
                  <c:v>698947.21863819147</c:v>
                </c:pt>
                <c:pt idx="30">
                  <c:v>731948.73696905444</c:v>
                </c:pt>
                <c:pt idx="31">
                  <c:v>683853.8532819543</c:v>
                </c:pt>
                <c:pt idx="32">
                  <c:v>815740.67370509531</c:v>
                </c:pt>
                <c:pt idx="33">
                  <c:v>862071.12968228362</c:v>
                </c:pt>
                <c:pt idx="34">
                  <c:v>919604.65511358727</c:v>
                </c:pt>
                <c:pt idx="35">
                  <c:v>932051.28760826006</c:v>
                </c:pt>
                <c:pt idx="36">
                  <c:v>944895.12277571461</c:v>
                </c:pt>
                <c:pt idx="37">
                  <c:v>972991.0953141842</c:v>
                </c:pt>
                <c:pt idx="38">
                  <c:v>958018.42403450317</c:v>
                </c:pt>
                <c:pt idx="39">
                  <c:v>1206043.5175274594</c:v>
                </c:pt>
                <c:pt idx="40">
                  <c:v>1224377.9234260293</c:v>
                </c:pt>
                <c:pt idx="41">
                  <c:v>1234130.6538305667</c:v>
                </c:pt>
                <c:pt idx="42">
                  <c:v>1249850.5855833527</c:v>
                </c:pt>
                <c:pt idx="43">
                  <c:v>1241682.0665966475</c:v>
                </c:pt>
                <c:pt idx="44">
                  <c:v>1314815.7138116525</c:v>
                </c:pt>
                <c:pt idx="45">
                  <c:v>1294179.5752163501</c:v>
                </c:pt>
                <c:pt idx="46">
                  <c:v>1228799.4488688125</c:v>
                </c:pt>
                <c:pt idx="47">
                  <c:v>1258249.131635457</c:v>
                </c:pt>
                <c:pt idx="48">
                  <c:v>1311052.9484080994</c:v>
                </c:pt>
                <c:pt idx="49">
                  <c:v>1365070.86430949</c:v>
                </c:pt>
                <c:pt idx="50">
                  <c:v>1629570.8878162566</c:v>
                </c:pt>
                <c:pt idx="51">
                  <c:v>1755582.5035077769</c:v>
                </c:pt>
                <c:pt idx="52">
                  <c:v>1732051.178272306</c:v>
                </c:pt>
                <c:pt idx="53">
                  <c:v>1681068.5808443392</c:v>
                </c:pt>
                <c:pt idx="54">
                  <c:v>1717781.1968650564</c:v>
                </c:pt>
                <c:pt idx="55">
                  <c:v>1729862.4147042707</c:v>
                </c:pt>
                <c:pt idx="56">
                  <c:v>1734329.4800120019</c:v>
                </c:pt>
                <c:pt idx="57">
                  <c:v>1694672.7323658499</c:v>
                </c:pt>
                <c:pt idx="58">
                  <c:v>1881997.8085183678</c:v>
                </c:pt>
                <c:pt idx="59">
                  <c:v>1978849.1612350328</c:v>
                </c:pt>
                <c:pt idx="60">
                  <c:v>2022104.2217609019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'model2(1)'!$K$1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-229.62281401147266</c:v>
                </c:pt>
                <c:pt idx="4">
                  <c:v>853.90339588841016</c:v>
                </c:pt>
                <c:pt idx="5">
                  <c:v>1674.8735125260864</c:v>
                </c:pt>
                <c:pt idx="6">
                  <c:v>567.36948455446691</c:v>
                </c:pt>
                <c:pt idx="7">
                  <c:v>-6767.1036419250595</c:v>
                </c:pt>
                <c:pt idx="8">
                  <c:v>-7687.5810587266897</c:v>
                </c:pt>
                <c:pt idx="9">
                  <c:v>-19399.106821455644</c:v>
                </c:pt>
                <c:pt idx="10">
                  <c:v>-32065.950771782198</c:v>
                </c:pt>
                <c:pt idx="11">
                  <c:v>-25602.103788143024</c:v>
                </c:pt>
                <c:pt idx="12">
                  <c:v>2519.5822580832755</c:v>
                </c:pt>
                <c:pt idx="13">
                  <c:v>-11404.101430191251</c:v>
                </c:pt>
                <c:pt idx="14">
                  <c:v>-24098.496303640481</c:v>
                </c:pt>
                <c:pt idx="15">
                  <c:v>-51278.614800609124</c:v>
                </c:pt>
                <c:pt idx="16">
                  <c:v>-55336.140826270857</c:v>
                </c:pt>
                <c:pt idx="17">
                  <c:v>-38562.272849372705</c:v>
                </c:pt>
                <c:pt idx="18">
                  <c:v>-36890.796188905078</c:v>
                </c:pt>
                <c:pt idx="19">
                  <c:v>2958.6685372816282</c:v>
                </c:pt>
                <c:pt idx="20">
                  <c:v>-13534.887912018108</c:v>
                </c:pt>
                <c:pt idx="21">
                  <c:v>-8180.4402477383846</c:v>
                </c:pt>
                <c:pt idx="22">
                  <c:v>-22205.229810821707</c:v>
                </c:pt>
                <c:pt idx="23">
                  <c:v>-45015.527272623382</c:v>
                </c:pt>
                <c:pt idx="24">
                  <c:v>-17629.007993787178</c:v>
                </c:pt>
                <c:pt idx="25">
                  <c:v>-12703.762925055809</c:v>
                </c:pt>
                <c:pt idx="26">
                  <c:v>-52956.786169179715</c:v>
                </c:pt>
                <c:pt idx="27">
                  <c:v>-79085.548274180503</c:v>
                </c:pt>
                <c:pt idx="28">
                  <c:v>-100098.878353365</c:v>
                </c:pt>
                <c:pt idx="29">
                  <c:v>-112247.137875324</c:v>
                </c:pt>
                <c:pt idx="30">
                  <c:v>-118689.09255025024</c:v>
                </c:pt>
                <c:pt idx="31">
                  <c:v>-214012.64207146969</c:v>
                </c:pt>
                <c:pt idx="32">
                  <c:v>-120150.31999060675</c:v>
                </c:pt>
                <c:pt idx="33">
                  <c:v>-109921.57626372913</c:v>
                </c:pt>
                <c:pt idx="34">
                  <c:v>-85901.090131439036</c:v>
                </c:pt>
                <c:pt idx="35">
                  <c:v>-105290.34366471844</c:v>
                </c:pt>
                <c:pt idx="36">
                  <c:v>-125365.29315984109</c:v>
                </c:pt>
                <c:pt idx="37">
                  <c:v>-129822.28840003745</c:v>
                </c:pt>
                <c:pt idx="38">
                  <c:v>-165175.83733351517</c:v>
                </c:pt>
                <c:pt idx="39">
                  <c:v>81396.12016022834</c:v>
                </c:pt>
                <c:pt idx="40">
                  <c:v>97120.270572399255</c:v>
                </c:pt>
                <c:pt idx="41">
                  <c:v>103423.38711767411</c:v>
                </c:pt>
                <c:pt idx="42">
                  <c:v>116064.86144541064</c:v>
                </c:pt>
                <c:pt idx="43">
                  <c:v>103392.17352248007</c:v>
                </c:pt>
                <c:pt idx="44">
                  <c:v>176525.82073748508</c:v>
                </c:pt>
                <c:pt idx="45">
                  <c:v>155889.68214218272</c:v>
                </c:pt>
                <c:pt idx="46">
                  <c:v>84468.481212464161</c:v>
                </c:pt>
                <c:pt idx="47">
                  <c:v>105203.40799195855</c:v>
                </c:pt>
                <c:pt idx="48">
                  <c:v>153387.47662174702</c:v>
                </c:pt>
                <c:pt idx="49">
                  <c:v>206577.83482726617</c:v>
                </c:pt>
                <c:pt idx="50">
                  <c:v>471077.85833403282</c:v>
                </c:pt>
                <c:pt idx="51">
                  <c:v>597089.47402555309</c:v>
                </c:pt>
                <c:pt idx="52">
                  <c:v>573558.1487900822</c:v>
                </c:pt>
                <c:pt idx="53">
                  <c:v>522575.55136211542</c:v>
                </c:pt>
                <c:pt idx="54">
                  <c:v>559288.16738283262</c:v>
                </c:pt>
                <c:pt idx="55">
                  <c:v>571369.38522204687</c:v>
                </c:pt>
                <c:pt idx="56">
                  <c:v>575836.45052977814</c:v>
                </c:pt>
                <c:pt idx="57">
                  <c:v>536179.7028836261</c:v>
                </c:pt>
                <c:pt idx="58">
                  <c:v>723504.77903614403</c:v>
                </c:pt>
                <c:pt idx="59">
                  <c:v>820356.13175280904</c:v>
                </c:pt>
                <c:pt idx="60">
                  <c:v>863611.19227867806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061760"/>
        <c:axId val="443064704"/>
      </c:lineChart>
      <c:dateAx>
        <c:axId val="44306176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064704"/>
        <c:crosses val="autoZero"/>
        <c:auto val="1"/>
        <c:lblOffset val="100"/>
        <c:baseTimeUnit val="days"/>
      </c:dateAx>
      <c:valAx>
        <c:axId val="4430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06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'model2(1)'!买卖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39617.24433919783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39902.178481777861</c:v>
                </c:pt>
                <c:pt idx="30">
                  <c:v>39443.473005789252</c:v>
                </c:pt>
                <c:pt idx="31">
                  <c:v>47228.66583411934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32918.784662577113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-2040.9409313837987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8714.7559871502253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-17883.962059553654</c:v>
                </c:pt>
                <c:pt idx="51">
                  <c:v>-28655.058483172998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-20790.629041221724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-36057.366675283578</c:v>
                </c:pt>
                <c:pt idx="60">
                  <c:v>-60139.263576626639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CB3-4190-8FA8-E084FB713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6279040"/>
        <c:axId val="46627635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CB3-4190-8FA8-E084FB713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533760"/>
        <c:axId val="466252928"/>
      </c:lineChart>
      <c:dateAx>
        <c:axId val="46053376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252928"/>
        <c:crosses val="autoZero"/>
        <c:auto val="1"/>
        <c:lblOffset val="100"/>
        <c:baseTimeUnit val="months"/>
      </c:dateAx>
      <c:valAx>
        <c:axId val="46625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533760"/>
        <c:crosses val="autoZero"/>
        <c:crossBetween val="between"/>
      </c:valAx>
      <c:valAx>
        <c:axId val="46627635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279040"/>
        <c:crosses val="max"/>
        <c:crossBetween val="between"/>
      </c:valAx>
      <c:catAx>
        <c:axId val="466279040"/>
        <c:scaling>
          <c:orientation val="minMax"/>
        </c:scaling>
        <c:delete val="1"/>
        <c:axPos val="b"/>
        <c:majorTickMark val="out"/>
        <c:minorTickMark val="none"/>
        <c:tickLblPos val="nextTo"/>
        <c:crossAx val="466276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'model2(1)&amp;RSI'!$I$1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'model2(1)&amp;RSI'!资金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24371.152237581475</c:v>
                </c:pt>
                <c:pt idx="3">
                  <c:v>61586.624031084422</c:v>
                </c:pt>
                <c:pt idx="4">
                  <c:v>84920.252818691704</c:v>
                </c:pt>
                <c:pt idx="5">
                  <c:v>97739.974778711723</c:v>
                </c:pt>
                <c:pt idx="6">
                  <c:v>111243.6393122976</c:v>
                </c:pt>
                <c:pt idx="7">
                  <c:v>136347.1194061799</c:v>
                </c:pt>
                <c:pt idx="8">
                  <c:v>185478.23922204127</c:v>
                </c:pt>
                <c:pt idx="9">
                  <c:v>254208.57168709039</c:v>
                </c:pt>
                <c:pt idx="10">
                  <c:v>336653.88976045104</c:v>
                </c:pt>
                <c:pt idx="11">
                  <c:v>420473.462525815</c:v>
                </c:pt>
                <c:pt idx="12">
                  <c:v>470313.7765479809</c:v>
                </c:pt>
                <c:pt idx="13">
                  <c:v>497840.99446463649</c:v>
                </c:pt>
                <c:pt idx="14">
                  <c:v>527850.52112823597</c:v>
                </c:pt>
                <c:pt idx="15">
                  <c:v>565486.9032504739</c:v>
                </c:pt>
                <c:pt idx="16">
                  <c:v>604963.41349407705</c:v>
                </c:pt>
                <c:pt idx="17">
                  <c:v>640148.25327347848</c:v>
                </c:pt>
                <c:pt idx="18">
                  <c:v>672164.97436608595</c:v>
                </c:pt>
                <c:pt idx="19">
                  <c:v>695092.61634515179</c:v>
                </c:pt>
                <c:pt idx="20">
                  <c:v>700423.87292595138</c:v>
                </c:pt>
                <c:pt idx="21">
                  <c:v>723813.53317577345</c:v>
                </c:pt>
                <c:pt idx="22">
                  <c:v>748483.9023136585</c:v>
                </c:pt>
                <c:pt idx="23">
                  <c:v>780396.3981267201</c:v>
                </c:pt>
                <c:pt idx="24">
                  <c:v>807941.57104683481</c:v>
                </c:pt>
                <c:pt idx="25">
                  <c:v>833657.53527630703</c:v>
                </c:pt>
                <c:pt idx="26">
                  <c:v>863872.28438827547</c:v>
                </c:pt>
                <c:pt idx="27">
                  <c:v>899115.88924573129</c:v>
                </c:pt>
                <c:pt idx="28">
                  <c:v>935147.8507567778</c:v>
                </c:pt>
                <c:pt idx="29">
                  <c:v>973054.92031446681</c:v>
                </c:pt>
                <c:pt idx="30">
                  <c:v>1010526.2196699666</c:v>
                </c:pt>
                <c:pt idx="31">
                  <c:v>1057754.885504086</c:v>
                </c:pt>
                <c:pt idx="32">
                  <c:v>1133803.8821886422</c:v>
                </c:pt>
                <c:pt idx="33">
                  <c:v>1168100.5088264374</c:v>
                </c:pt>
                <c:pt idx="34">
                  <c:v>1199937.8961605004</c:v>
                </c:pt>
                <c:pt idx="35">
                  <c:v>1230181.9878870549</c:v>
                </c:pt>
                <c:pt idx="36">
                  <c:v>1261454.8333165031</c:v>
                </c:pt>
                <c:pt idx="37">
                  <c:v>1292380.1527062359</c:v>
                </c:pt>
                <c:pt idx="38">
                  <c:v>1311741.9864773427</c:v>
                </c:pt>
                <c:pt idx="39">
                  <c:v>1313122.4656765948</c:v>
                </c:pt>
                <c:pt idx="40">
                  <c:v>1313644.5167738746</c:v>
                </c:pt>
                <c:pt idx="41">
                  <c:v>1314334.4395457271</c:v>
                </c:pt>
                <c:pt idx="42">
                  <c:v>1314950.131030737</c:v>
                </c:pt>
                <c:pt idx="43">
                  <c:v>1315850.9648179819</c:v>
                </c:pt>
                <c:pt idx="44">
                  <c:v>1315850.9648179819</c:v>
                </c:pt>
                <c:pt idx="45">
                  <c:v>1315850.9648179819</c:v>
                </c:pt>
                <c:pt idx="46">
                  <c:v>1317059.1797344182</c:v>
                </c:pt>
                <c:pt idx="47">
                  <c:v>1318802.1309318482</c:v>
                </c:pt>
                <c:pt idx="48">
                  <c:v>1319726.080560419</c:v>
                </c:pt>
                <c:pt idx="49">
                  <c:v>1319891.5920995933</c:v>
                </c:pt>
                <c:pt idx="50">
                  <c:v>1319891.5920995933</c:v>
                </c:pt>
                <c:pt idx="51">
                  <c:v>1319891.5920995933</c:v>
                </c:pt>
                <c:pt idx="52">
                  <c:v>1319891.5920995933</c:v>
                </c:pt>
                <c:pt idx="53">
                  <c:v>1319891.5920995933</c:v>
                </c:pt>
                <c:pt idx="54">
                  <c:v>1319891.5920995933</c:v>
                </c:pt>
                <c:pt idx="55">
                  <c:v>1319891.5920995933</c:v>
                </c:pt>
                <c:pt idx="56">
                  <c:v>1319891.5920995933</c:v>
                </c:pt>
                <c:pt idx="57">
                  <c:v>1319891.5920995933</c:v>
                </c:pt>
                <c:pt idx="58">
                  <c:v>1319891.5920995933</c:v>
                </c:pt>
                <c:pt idx="59">
                  <c:v>1319891.5920995933</c:v>
                </c:pt>
                <c:pt idx="60">
                  <c:v>1319891.5920995933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'model2(1)&amp;RSI'!$J$1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'model2(1)&amp;RSI'!资产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24214.016105005598</c:v>
                </c:pt>
                <c:pt idx="3">
                  <c:v>61304.156552209337</c:v>
                </c:pt>
                <c:pt idx="4">
                  <c:v>86679.128967821423</c:v>
                </c:pt>
                <c:pt idx="5">
                  <c:v>101070.07964108164</c:v>
                </c:pt>
                <c:pt idx="6">
                  <c:v>112674.30120705269</c:v>
                </c:pt>
                <c:pt idx="7">
                  <c:v>126305.90041018142</c:v>
                </c:pt>
                <c:pt idx="8">
                  <c:v>174161.21098750082</c:v>
                </c:pt>
                <c:pt idx="9">
                  <c:v>225119.98530605313</c:v>
                </c:pt>
                <c:pt idx="10">
                  <c:v>286815.60372106585</c:v>
                </c:pt>
                <c:pt idx="11">
                  <c:v>381804.62890088349</c:v>
                </c:pt>
                <c:pt idx="12">
                  <c:v>481734.46583778108</c:v>
                </c:pt>
                <c:pt idx="13">
                  <c:v>484177.26952823199</c:v>
                </c:pt>
                <c:pt idx="14">
                  <c:v>492426.01193685888</c:v>
                </c:pt>
                <c:pt idx="15">
                  <c:v>485647.49435100827</c:v>
                </c:pt>
                <c:pt idx="16">
                  <c:v>518844.07758893375</c:v>
                </c:pt>
                <c:pt idx="17">
                  <c:v>578951.59875087452</c:v>
                </c:pt>
                <c:pt idx="18">
                  <c:v>613380.58701837179</c:v>
                </c:pt>
                <c:pt idx="19">
                  <c:v>692301.46543514205</c:v>
                </c:pt>
                <c:pt idx="20">
                  <c:v>674819.27048361744</c:v>
                </c:pt>
                <c:pt idx="21">
                  <c:v>705284.37637351768</c:v>
                </c:pt>
                <c:pt idx="22">
                  <c:v>711659.39452894242</c:v>
                </c:pt>
                <c:pt idx="23">
                  <c:v>714195.84229202918</c:v>
                </c:pt>
                <c:pt idx="24">
                  <c:v>776458.83416780795</c:v>
                </c:pt>
                <c:pt idx="25">
                  <c:v>808345.3140732887</c:v>
                </c:pt>
                <c:pt idx="26">
                  <c:v>788635.9849240511</c:v>
                </c:pt>
                <c:pt idx="27">
                  <c:v>791848.1730017002</c:v>
                </c:pt>
                <c:pt idx="28">
                  <c:v>802448.49735878292</c:v>
                </c:pt>
                <c:pt idx="29">
                  <c:v>825831.65464918362</c:v>
                </c:pt>
                <c:pt idx="30">
                  <c:v>855691.54938569851</c:v>
                </c:pt>
                <c:pt idx="31">
                  <c:v>791481.32385630254</c:v>
                </c:pt>
                <c:pt idx="32">
                  <c:v>976165.04502804822</c:v>
                </c:pt>
                <c:pt idx="33">
                  <c:v>1022702.0102962272</c:v>
                </c:pt>
                <c:pt idx="34">
                  <c:v>1083035.6534611047</c:v>
                </c:pt>
                <c:pt idx="35">
                  <c:v>1090444.657572814</c:v>
                </c:pt>
                <c:pt idx="36">
                  <c:v>1098231.0042236659</c:v>
                </c:pt>
                <c:pt idx="37">
                  <c:v>1123976.0552000301</c:v>
                </c:pt>
                <c:pt idx="38">
                  <c:v>1102498.3143245261</c:v>
                </c:pt>
                <c:pt idx="39">
                  <c:v>1387636.5592165601</c:v>
                </c:pt>
                <c:pt idx="40">
                  <c:v>1406250.333918707</c:v>
                </c:pt>
                <c:pt idx="41">
                  <c:v>1414179.6552266902</c:v>
                </c:pt>
                <c:pt idx="42">
                  <c:v>1429281.102940886</c:v>
                </c:pt>
                <c:pt idx="43">
                  <c:v>1415689.9377799064</c:v>
                </c:pt>
                <c:pt idx="44">
                  <c:v>1499072.4486985093</c:v>
                </c:pt>
                <c:pt idx="45">
                  <c:v>1475514.2237640808</c:v>
                </c:pt>
                <c:pt idx="46">
                  <c:v>1395177.0885531122</c:v>
                </c:pt>
                <c:pt idx="47">
                  <c:v>1420498.0223218091</c:v>
                </c:pt>
                <c:pt idx="48">
                  <c:v>1475899.4662436363</c:v>
                </c:pt>
                <c:pt idx="49">
                  <c:v>1536027.9227746611</c:v>
                </c:pt>
                <c:pt idx="50">
                  <c:v>1834057.0881525299</c:v>
                </c:pt>
                <c:pt idx="51">
                  <c:v>1977340.1552076952</c:v>
                </c:pt>
                <c:pt idx="52">
                  <c:v>1950529.4223282228</c:v>
                </c:pt>
                <c:pt idx="53">
                  <c:v>1892332.1802078688</c:v>
                </c:pt>
                <c:pt idx="54">
                  <c:v>1934291.8223967806</c:v>
                </c:pt>
                <c:pt idx="55">
                  <c:v>1948247.1056262129</c:v>
                </c:pt>
                <c:pt idx="56">
                  <c:v>1953467.680053948</c:v>
                </c:pt>
                <c:pt idx="57">
                  <c:v>1906592.0501737606</c:v>
                </c:pt>
                <c:pt idx="58">
                  <c:v>2130123.8005371881</c:v>
                </c:pt>
                <c:pt idx="59">
                  <c:v>2247575.650286919</c:v>
                </c:pt>
                <c:pt idx="60">
                  <c:v>2300222.1250249241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'model2(1)&amp;RSI'!$K$1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'model2(1)&amp;RSI'!金额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-157.13613257587713</c:v>
                </c:pt>
                <c:pt idx="3">
                  <c:v>-282.46747887508536</c:v>
                </c:pt>
                <c:pt idx="4">
                  <c:v>1758.8761491297191</c:v>
                </c:pt>
                <c:pt idx="5">
                  <c:v>3330.1048623699171</c:v>
                </c:pt>
                <c:pt idx="6">
                  <c:v>1430.6618947550887</c:v>
                </c:pt>
                <c:pt idx="7">
                  <c:v>-10041.218995998483</c:v>
                </c:pt>
                <c:pt idx="8">
                  <c:v>-11317.028234540456</c:v>
                </c:pt>
                <c:pt idx="9">
                  <c:v>-29088.586381037254</c:v>
                </c:pt>
                <c:pt idx="10">
                  <c:v>-49838.286039385188</c:v>
                </c:pt>
                <c:pt idx="11">
                  <c:v>-38668.833624931518</c:v>
                </c:pt>
                <c:pt idx="12">
                  <c:v>11420.689289800182</c:v>
                </c:pt>
                <c:pt idx="13">
                  <c:v>-13663.724936404498</c:v>
                </c:pt>
                <c:pt idx="14">
                  <c:v>-35424.509191377088</c:v>
                </c:pt>
                <c:pt idx="15">
                  <c:v>-79839.408899465634</c:v>
                </c:pt>
                <c:pt idx="16">
                  <c:v>-86119.335905143293</c:v>
                </c:pt>
                <c:pt idx="17">
                  <c:v>-61196.65452260396</c:v>
                </c:pt>
                <c:pt idx="18">
                  <c:v>-58784.387347714161</c:v>
                </c:pt>
                <c:pt idx="19">
                  <c:v>-2791.1509100097464</c:v>
                </c:pt>
                <c:pt idx="20">
                  <c:v>-25604.60244233394</c:v>
                </c:pt>
                <c:pt idx="21">
                  <c:v>-18529.156802255777</c:v>
                </c:pt>
                <c:pt idx="22">
                  <c:v>-36824.507784716086</c:v>
                </c:pt>
                <c:pt idx="23">
                  <c:v>-66200.555834690924</c:v>
                </c:pt>
                <c:pt idx="24">
                  <c:v>-31482.736879026867</c:v>
                </c:pt>
                <c:pt idx="25">
                  <c:v>-25312.221203018329</c:v>
                </c:pt>
                <c:pt idx="26">
                  <c:v>-75236.299464224372</c:v>
                </c:pt>
                <c:pt idx="27">
                  <c:v>-107267.71624403109</c:v>
                </c:pt>
                <c:pt idx="28">
                  <c:v>-132699.35339799488</c:v>
                </c:pt>
                <c:pt idx="29">
                  <c:v>-147223.26566528319</c:v>
                </c:pt>
                <c:pt idx="30">
                  <c:v>-154834.6702842681</c:v>
                </c:pt>
                <c:pt idx="31">
                  <c:v>-266273.5616477835</c:v>
                </c:pt>
                <c:pt idx="32">
                  <c:v>-157638.83716059395</c:v>
                </c:pt>
                <c:pt idx="33">
                  <c:v>-145398.49853021023</c:v>
                </c:pt>
                <c:pt idx="34">
                  <c:v>-116902.24269939563</c:v>
                </c:pt>
                <c:pt idx="35">
                  <c:v>-139737.33031424088</c:v>
                </c:pt>
                <c:pt idx="36">
                  <c:v>-163223.82909283717</c:v>
                </c:pt>
                <c:pt idx="37">
                  <c:v>-168404.09750620578</c:v>
                </c:pt>
                <c:pt idx="38">
                  <c:v>-209243.67215281655</c:v>
                </c:pt>
                <c:pt idx="39">
                  <c:v>74514.093539965339</c:v>
                </c:pt>
                <c:pt idx="40">
                  <c:v>92605.817144832341</c:v>
                </c:pt>
                <c:pt idx="41">
                  <c:v>99845.215680963127</c:v>
                </c:pt>
                <c:pt idx="42">
                  <c:v>114330.97191014909</c:v>
                </c:pt>
                <c:pt idx="43">
                  <c:v>99838.972961924504</c:v>
                </c:pt>
                <c:pt idx="44">
                  <c:v>183221.48388052732</c:v>
                </c:pt>
                <c:pt idx="45">
                  <c:v>159663.25894609885</c:v>
                </c:pt>
                <c:pt idx="46">
                  <c:v>78117.908818694064</c:v>
                </c:pt>
                <c:pt idx="47">
                  <c:v>101695.89138996089</c:v>
                </c:pt>
                <c:pt idx="48">
                  <c:v>156173.38568321732</c:v>
                </c:pt>
                <c:pt idx="49">
                  <c:v>216136.33067506785</c:v>
                </c:pt>
                <c:pt idx="50">
                  <c:v>514165.49605293665</c:v>
                </c:pt>
                <c:pt idx="51">
                  <c:v>657448.56310810195</c:v>
                </c:pt>
                <c:pt idx="52">
                  <c:v>630637.83022862952</c:v>
                </c:pt>
                <c:pt idx="53">
                  <c:v>572440.58810827555</c:v>
                </c:pt>
                <c:pt idx="54">
                  <c:v>614400.23029718734</c:v>
                </c:pt>
                <c:pt idx="55">
                  <c:v>628355.51352661964</c:v>
                </c:pt>
                <c:pt idx="56">
                  <c:v>633576.08795435471</c:v>
                </c:pt>
                <c:pt idx="57">
                  <c:v>586700.45807416737</c:v>
                </c:pt>
                <c:pt idx="58">
                  <c:v>810232.20843759482</c:v>
                </c:pt>
                <c:pt idx="59">
                  <c:v>927684.05818732572</c:v>
                </c:pt>
                <c:pt idx="60">
                  <c:v>980330.5329253308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12096"/>
        <c:axId val="517071232"/>
      </c:lineChart>
      <c:dateAx>
        <c:axId val="51661209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071232"/>
        <c:crosses val="autoZero"/>
        <c:auto val="1"/>
        <c:lblOffset val="100"/>
        <c:baseTimeUnit val="days"/>
      </c:dateAx>
      <c:valAx>
        <c:axId val="51707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61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'model2(1)&amp;RSI'!买卖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20419.178503298113</c:v>
                </c:pt>
                <c:pt idx="3">
                  <c:v>37215.471793502948</c:v>
                </c:pt>
                <c:pt idx="4">
                  <c:v>23333.628787607278</c:v>
                </c:pt>
                <c:pt idx="5">
                  <c:v>12819.721960020022</c:v>
                </c:pt>
                <c:pt idx="6">
                  <c:v>13503.664533585874</c:v>
                </c:pt>
                <c:pt idx="7">
                  <c:v>25103.480093882299</c:v>
                </c:pt>
                <c:pt idx="8">
                  <c:v>49131.119815861355</c:v>
                </c:pt>
                <c:pt idx="9">
                  <c:v>68730.332465049098</c:v>
                </c:pt>
                <c:pt idx="10">
                  <c:v>82445.318073360657</c:v>
                </c:pt>
                <c:pt idx="11">
                  <c:v>83819.572765363977</c:v>
                </c:pt>
                <c:pt idx="12">
                  <c:v>49840.314022165883</c:v>
                </c:pt>
                <c:pt idx="13">
                  <c:v>27527.217916655591</c:v>
                </c:pt>
                <c:pt idx="14">
                  <c:v>30009.526663599427</c:v>
                </c:pt>
                <c:pt idx="15">
                  <c:v>37636.382122237934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32016.721092607462</c:v>
                </c:pt>
                <c:pt idx="19">
                  <c:v>22927.641979065793</c:v>
                </c:pt>
                <c:pt idx="20">
                  <c:v>5331.2565807995516</c:v>
                </c:pt>
                <c:pt idx="21">
                  <c:v>23389.66024982206</c:v>
                </c:pt>
                <c:pt idx="22">
                  <c:v>24670.369137884998</c:v>
                </c:pt>
                <c:pt idx="23">
                  <c:v>31912.495813061636</c:v>
                </c:pt>
                <c:pt idx="24">
                  <c:v>27545.17292011471</c:v>
                </c:pt>
                <c:pt idx="25">
                  <c:v>25715.964229472178</c:v>
                </c:pt>
                <c:pt idx="26">
                  <c:v>30214.749111968409</c:v>
                </c:pt>
                <c:pt idx="27">
                  <c:v>35243.604857455801</c:v>
                </c:pt>
                <c:pt idx="28">
                  <c:v>36031.961511046495</c:v>
                </c:pt>
                <c:pt idx="29">
                  <c:v>37907.069557688963</c:v>
                </c:pt>
                <c:pt idx="30">
                  <c:v>37471.299355499788</c:v>
                </c:pt>
                <c:pt idx="31">
                  <c:v>47228.66583411934</c:v>
                </c:pt>
                <c:pt idx="32">
                  <c:v>76048.996684556114</c:v>
                </c:pt>
                <c:pt idx="33">
                  <c:v>34296.626637795169</c:v>
                </c:pt>
                <c:pt idx="34">
                  <c:v>31837.38733406286</c:v>
                </c:pt>
                <c:pt idx="35">
                  <c:v>30244.09172655462</c:v>
                </c:pt>
                <c:pt idx="36">
                  <c:v>31272.845429448254</c:v>
                </c:pt>
                <c:pt idx="37">
                  <c:v>30925.319389732704</c:v>
                </c:pt>
                <c:pt idx="38">
                  <c:v>19361.833771106867</c:v>
                </c:pt>
                <c:pt idx="39">
                  <c:v>1380.4791992521812</c:v>
                </c:pt>
                <c:pt idx="40">
                  <c:v>522.05109727978686</c:v>
                </c:pt>
                <c:pt idx="41">
                  <c:v>689.92277185253113</c:v>
                </c:pt>
                <c:pt idx="42">
                  <c:v>615.69148500989468</c:v>
                </c:pt>
                <c:pt idx="43">
                  <c:v>900.83378724507645</c:v>
                </c:pt>
                <c:pt idx="44">
                  <c:v>-408.18818627675978</c:v>
                </c:pt>
                <c:pt idx="45">
                  <c:v>-41.785769766438428</c:v>
                </c:pt>
                <c:pt idx="46">
                  <c:v>1208.2149164361979</c:v>
                </c:pt>
                <c:pt idx="47">
                  <c:v>1742.9511974300451</c:v>
                </c:pt>
                <c:pt idx="48">
                  <c:v>923.9496285707836</c:v>
                </c:pt>
                <c:pt idx="49">
                  <c:v>165.51153917428073</c:v>
                </c:pt>
                <c:pt idx="50">
                  <c:v>-3576.7924119107311</c:v>
                </c:pt>
                <c:pt idx="51">
                  <c:v>-28655.058483172998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-4158.1258082443446</c:v>
                </c:pt>
                <c:pt idx="55">
                  <c:v>-4531.947395988238</c:v>
                </c:pt>
                <c:pt idx="56">
                  <c:v>-4353.0431608345843</c:v>
                </c:pt>
                <c:pt idx="57">
                  <c:v>-3486.2836718054768</c:v>
                </c:pt>
                <c:pt idx="58">
                  <c:v>-6554.9847565695836</c:v>
                </c:pt>
                <c:pt idx="59">
                  <c:v>-36057.366675283578</c:v>
                </c:pt>
                <c:pt idx="60">
                  <c:v>-60139.263576626639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27-42D8-8637-13F4AD8D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505408"/>
        <c:axId val="51818022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'model2(1)&amp;RSI'!指数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027-42D8-8637-13F4AD8D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173440"/>
        <c:axId val="518174976"/>
      </c:lineChart>
      <c:dateAx>
        <c:axId val="51817344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8174976"/>
        <c:crosses val="autoZero"/>
        <c:auto val="1"/>
        <c:lblOffset val="100"/>
        <c:baseTimeUnit val="months"/>
      </c:dateAx>
      <c:valAx>
        <c:axId val="5181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8173440"/>
        <c:crosses val="autoZero"/>
        <c:crossBetween val="between"/>
      </c:valAx>
      <c:valAx>
        <c:axId val="518180224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1505408"/>
        <c:crosses val="max"/>
        <c:crossBetween val="between"/>
      </c:valAx>
      <c:catAx>
        <c:axId val="541505408"/>
        <c:scaling>
          <c:orientation val="minMax"/>
        </c:scaling>
        <c:delete val="1"/>
        <c:axPos val="b"/>
        <c:majorTickMark val="out"/>
        <c:minorTickMark val="none"/>
        <c:tickLblPos val="nextTo"/>
        <c:crossAx val="518180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'model2(2)&amp;RSI'!$I$1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'model2(2)&amp;RSI'!资金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56731.524499048464</c:v>
                </c:pt>
                <c:pt idx="3">
                  <c:v>232046.88409563241</c:v>
                </c:pt>
                <c:pt idx="4">
                  <c:v>300965.64769029763</c:v>
                </c:pt>
                <c:pt idx="5">
                  <c:v>342572.04544528993</c:v>
                </c:pt>
                <c:pt idx="6">
                  <c:v>391166.03767330461</c:v>
                </c:pt>
                <c:pt idx="7">
                  <c:v>559103.3362273206</c:v>
                </c:pt>
                <c:pt idx="8">
                  <c:v>864656.11272865278</c:v>
                </c:pt>
                <c:pt idx="9">
                  <c:v>1462612.8976344985</c:v>
                </c:pt>
                <c:pt idx="10">
                  <c:v>2323021.8181683728</c:v>
                </c:pt>
                <c:pt idx="11">
                  <c:v>3212353.5622909227</c:v>
                </c:pt>
                <c:pt idx="12">
                  <c:v>3526791.1448008097</c:v>
                </c:pt>
                <c:pt idx="13">
                  <c:v>3728722.5841695089</c:v>
                </c:pt>
                <c:pt idx="14">
                  <c:v>3968715.0400184854</c:v>
                </c:pt>
                <c:pt idx="15">
                  <c:v>4346195.9885197813</c:v>
                </c:pt>
                <c:pt idx="16">
                  <c:v>4740726.3330801111</c:v>
                </c:pt>
                <c:pt idx="17">
                  <c:v>5054137.2065743254</c:v>
                </c:pt>
                <c:pt idx="18">
                  <c:v>5327307.2077793395</c:v>
                </c:pt>
                <c:pt idx="19">
                  <c:v>5467394.2875182386</c:v>
                </c:pt>
                <c:pt idx="20">
                  <c:v>5503371.87831611</c:v>
                </c:pt>
                <c:pt idx="21">
                  <c:v>5649161.6735465182</c:v>
                </c:pt>
                <c:pt idx="22">
                  <c:v>5811354.1088295318</c:v>
                </c:pt>
                <c:pt idx="23">
                  <c:v>6082748.4829850756</c:v>
                </c:pt>
                <c:pt idx="24">
                  <c:v>6284943.4333379129</c:v>
                </c:pt>
                <c:pt idx="25">
                  <c:v>6461175.4962963387</c:v>
                </c:pt>
                <c:pt idx="26">
                  <c:v>6704461.5892741391</c:v>
                </c:pt>
                <c:pt idx="27">
                  <c:v>7035470.6987607433</c:v>
                </c:pt>
                <c:pt idx="28">
                  <c:v>7381453.9766644174</c:v>
                </c:pt>
                <c:pt idx="29">
                  <c:v>7764384.2691231705</c:v>
                </c:pt>
                <c:pt idx="30">
                  <c:v>8138561.0247232979</c:v>
                </c:pt>
                <c:pt idx="31">
                  <c:v>8703256.4364880864</c:v>
                </c:pt>
                <c:pt idx="32">
                  <c:v>9435338.701896647</c:v>
                </c:pt>
                <c:pt idx="33">
                  <c:v>9748798.6882343739</c:v>
                </c:pt>
                <c:pt idx="34">
                  <c:v>10018917.071248136</c:v>
                </c:pt>
                <c:pt idx="35">
                  <c:v>10262675.92117865</c:v>
                </c:pt>
                <c:pt idx="36">
                  <c:v>10523299.734970566</c:v>
                </c:pt>
                <c:pt idx="37">
                  <c:v>10778163.260448774</c:v>
                </c:pt>
                <c:pt idx="38">
                  <c:v>10878064.821269553</c:v>
                </c:pt>
                <c:pt idx="39">
                  <c:v>10878572.675451983</c:v>
                </c:pt>
                <c:pt idx="40">
                  <c:v>10878917.65943701</c:v>
                </c:pt>
                <c:pt idx="41">
                  <c:v>10879520.182767542</c:v>
                </c:pt>
                <c:pt idx="42">
                  <c:v>10880000.025811484</c:v>
                </c:pt>
                <c:pt idx="43">
                  <c:v>10881027.242915587</c:v>
                </c:pt>
                <c:pt idx="44">
                  <c:v>10881027.242915587</c:v>
                </c:pt>
                <c:pt idx="45">
                  <c:v>10881027.242915587</c:v>
                </c:pt>
                <c:pt idx="46">
                  <c:v>10882875.069857739</c:v>
                </c:pt>
                <c:pt idx="47">
                  <c:v>10886720.486157261</c:v>
                </c:pt>
                <c:pt idx="48">
                  <c:v>10887801.09744351</c:v>
                </c:pt>
                <c:pt idx="49">
                  <c:v>10887835.773480978</c:v>
                </c:pt>
                <c:pt idx="50">
                  <c:v>10887835.773480978</c:v>
                </c:pt>
                <c:pt idx="51">
                  <c:v>10887835.773480978</c:v>
                </c:pt>
                <c:pt idx="52">
                  <c:v>10887835.773480978</c:v>
                </c:pt>
                <c:pt idx="53">
                  <c:v>10887835.773480978</c:v>
                </c:pt>
                <c:pt idx="54">
                  <c:v>10887835.773480978</c:v>
                </c:pt>
                <c:pt idx="55">
                  <c:v>10887835.773480978</c:v>
                </c:pt>
                <c:pt idx="56">
                  <c:v>10887835.773480978</c:v>
                </c:pt>
                <c:pt idx="57">
                  <c:v>10887835.773480978</c:v>
                </c:pt>
                <c:pt idx="58">
                  <c:v>10887835.773480978</c:v>
                </c:pt>
                <c:pt idx="59">
                  <c:v>10887835.773480978</c:v>
                </c:pt>
                <c:pt idx="60">
                  <c:v>10887835.773480978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'model2(2)&amp;RSI'!$J$1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'model2(2)&amp;RSI'!资产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56574.309848758145</c:v>
                </c:pt>
                <c:pt idx="3">
                  <c:v>231596.84175461356</c:v>
                </c:pt>
                <c:pt idx="4">
                  <c:v>308227.45987547527</c:v>
                </c:pt>
                <c:pt idx="5">
                  <c:v>355421.08307830553</c:v>
                </c:pt>
                <c:pt idx="6">
                  <c:v>397335.53098229726</c:v>
                </c:pt>
                <c:pt idx="7">
                  <c:v>524818.29965449916</c:v>
                </c:pt>
                <c:pt idx="8">
                  <c:v>825069.91419047059</c:v>
                </c:pt>
                <c:pt idx="9">
                  <c:v>1338835.8630782242</c:v>
                </c:pt>
                <c:pt idx="10">
                  <c:v>2075841.9590564275</c:v>
                </c:pt>
                <c:pt idx="11">
                  <c:v>3046013.1612865496</c:v>
                </c:pt>
                <c:pt idx="12">
                  <c:v>3760061.7869628216</c:v>
                </c:pt>
                <c:pt idx="13">
                  <c:v>3766202.9018500266</c:v>
                </c:pt>
                <c:pt idx="14">
                  <c:v>3836927.7485700883</c:v>
                </c:pt>
                <c:pt idx="15">
                  <c:v>3868332.8257549549</c:v>
                </c:pt>
                <c:pt idx="16">
                  <c:v>4212841.6051636487</c:v>
                </c:pt>
                <c:pt idx="17">
                  <c:v>4728616.3748181742</c:v>
                </c:pt>
                <c:pt idx="18">
                  <c:v>5021488.6898059482</c:v>
                </c:pt>
                <c:pt idx="19">
                  <c:v>5619968.8283214886</c:v>
                </c:pt>
                <c:pt idx="20">
                  <c:v>5470751.250714656</c:v>
                </c:pt>
                <c:pt idx="21">
                  <c:v>5673901.593839732</c:v>
                </c:pt>
                <c:pt idx="22">
                  <c:v>5688910.8154054713</c:v>
                </c:pt>
                <c:pt idx="23">
                  <c:v>5725476.9574739626</c:v>
                </c:pt>
                <c:pt idx="24">
                  <c:v>6205993.4278828204</c:v>
                </c:pt>
                <c:pt idx="25">
                  <c:v>6431544.4991992358</c:v>
                </c:pt>
                <c:pt idx="26">
                  <c:v>6277613.059857253</c:v>
                </c:pt>
                <c:pt idx="27">
                  <c:v>6353649.2234643847</c:v>
                </c:pt>
                <c:pt idx="28">
                  <c:v>6495573.5577928182</c:v>
                </c:pt>
                <c:pt idx="29">
                  <c:v>6760937.2515357407</c:v>
                </c:pt>
                <c:pt idx="30">
                  <c:v>7072800.7878068425</c:v>
                </c:pt>
                <c:pt idx="31">
                  <c:v>6716387.3266441943</c:v>
                </c:pt>
                <c:pt idx="32">
                  <c:v>8370326.9559438992</c:v>
                </c:pt>
                <c:pt idx="33">
                  <c:v>8788744.2309180368</c:v>
                </c:pt>
                <c:pt idx="34">
                  <c:v>9303749.493506128</c:v>
                </c:pt>
                <c:pt idx="35">
                  <c:v>9351344.9630789924</c:v>
                </c:pt>
                <c:pt idx="36">
                  <c:v>9410555.2062432561</c:v>
                </c:pt>
                <c:pt idx="37">
                  <c:v>9621029.8903031498</c:v>
                </c:pt>
                <c:pt idx="38">
                  <c:v>9371352.1459737085</c:v>
                </c:pt>
                <c:pt idx="39">
                  <c:v>11783830.986334907</c:v>
                </c:pt>
                <c:pt idx="40">
                  <c:v>11937811.165209584</c:v>
                </c:pt>
                <c:pt idx="41">
                  <c:v>11999869.725626484</c:v>
                </c:pt>
                <c:pt idx="42">
                  <c:v>12123266.898858964</c:v>
                </c:pt>
                <c:pt idx="43">
                  <c:v>12001371.920472054</c:v>
                </c:pt>
                <c:pt idx="44">
                  <c:v>12708238.938801141</c:v>
                </c:pt>
                <c:pt idx="45">
                  <c:v>12508475.328830155</c:v>
                </c:pt>
                <c:pt idx="46">
                  <c:v>11818834.211100031</c:v>
                </c:pt>
                <c:pt idx="47">
                  <c:v>12022474.439746991</c:v>
                </c:pt>
                <c:pt idx="48">
                  <c:v>12484766.679239668</c:v>
                </c:pt>
                <c:pt idx="49">
                  <c:v>12992179.345727637</c:v>
                </c:pt>
                <c:pt idx="50">
                  <c:v>15513695.660992065</c:v>
                </c:pt>
                <c:pt idx="51">
                  <c:v>16727062.988081789</c:v>
                </c:pt>
                <c:pt idx="52">
                  <c:v>16499541.477013782</c:v>
                </c:pt>
                <c:pt idx="53">
                  <c:v>16004082.547668742</c:v>
                </c:pt>
                <c:pt idx="54">
                  <c:v>16362949.816239173</c:v>
                </c:pt>
                <c:pt idx="55">
                  <c:v>16482407.681704661</c:v>
                </c:pt>
                <c:pt idx="56">
                  <c:v>16527131.847206756</c:v>
                </c:pt>
                <c:pt idx="57">
                  <c:v>16125218.576873584</c:v>
                </c:pt>
                <c:pt idx="58">
                  <c:v>18043573.156056687</c:v>
                </c:pt>
                <c:pt idx="59">
                  <c:v>19051655.379257303</c:v>
                </c:pt>
                <c:pt idx="60">
                  <c:v>19503027.168851279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'model2(2)&amp;RSI'!$K$1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'model2(2)&amp;RSI'!金额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-157.2146502903197</c:v>
                </c:pt>
                <c:pt idx="3">
                  <c:v>-450.04234101885231</c:v>
                </c:pt>
                <c:pt idx="4">
                  <c:v>7261.8121851776377</c:v>
                </c:pt>
                <c:pt idx="5">
                  <c:v>12849.0376330156</c:v>
                </c:pt>
                <c:pt idx="6">
                  <c:v>6169.493308992649</c:v>
                </c:pt>
                <c:pt idx="7">
                  <c:v>-34285.036572821438</c:v>
                </c:pt>
                <c:pt idx="8">
                  <c:v>-39586.198538182187</c:v>
                </c:pt>
                <c:pt idx="9">
                  <c:v>-123777.0345562743</c:v>
                </c:pt>
                <c:pt idx="10">
                  <c:v>-247179.85911194538</c:v>
                </c:pt>
                <c:pt idx="11">
                  <c:v>-166340.4010043731</c:v>
                </c:pt>
                <c:pt idx="12">
                  <c:v>233270.64216201194</c:v>
                </c:pt>
                <c:pt idx="13">
                  <c:v>37480.317680517677</c:v>
                </c:pt>
                <c:pt idx="14">
                  <c:v>-131787.2914483971</c:v>
                </c:pt>
                <c:pt idx="15">
                  <c:v>-477863.16276482632</c:v>
                </c:pt>
                <c:pt idx="16">
                  <c:v>-527884.72791646235</c:v>
                </c:pt>
                <c:pt idx="17">
                  <c:v>-325520.83175615128</c:v>
                </c:pt>
                <c:pt idx="18">
                  <c:v>-305818.51797339134</c:v>
                </c:pt>
                <c:pt idx="19">
                  <c:v>152574.54080324993</c:v>
                </c:pt>
                <c:pt idx="20">
                  <c:v>-32620.627601454034</c:v>
                </c:pt>
                <c:pt idx="21">
                  <c:v>24739.9202932138</c:v>
                </c:pt>
                <c:pt idx="22">
                  <c:v>-122443.29342406057</c:v>
                </c:pt>
                <c:pt idx="23">
                  <c:v>-357271.525511113</c:v>
                </c:pt>
                <c:pt idx="24">
                  <c:v>-78950.005455092527</c:v>
                </c:pt>
                <c:pt idx="25">
                  <c:v>-29630.997097102925</c:v>
                </c:pt>
                <c:pt idx="26">
                  <c:v>-426848.52941688616</c:v>
                </c:pt>
                <c:pt idx="27">
                  <c:v>-681821.47529635858</c:v>
                </c:pt>
                <c:pt idx="28">
                  <c:v>-885880.41887159925</c:v>
                </c:pt>
                <c:pt idx="29">
                  <c:v>-1003447.0175874298</c:v>
                </c:pt>
                <c:pt idx="30">
                  <c:v>-1065760.2369164554</c:v>
                </c:pt>
                <c:pt idx="31">
                  <c:v>-1986869.109843892</c:v>
                </c:pt>
                <c:pt idx="32">
                  <c:v>-1065011.7459527478</c:v>
                </c:pt>
                <c:pt idx="33">
                  <c:v>-960054.45731633715</c:v>
                </c:pt>
                <c:pt idx="34">
                  <c:v>-715167.57774200849</c:v>
                </c:pt>
                <c:pt idx="35">
                  <c:v>-911330.95809965767</c:v>
                </c:pt>
                <c:pt idx="36">
                  <c:v>-1112744.5287273098</c:v>
                </c:pt>
                <c:pt idx="37">
                  <c:v>-1157133.3701456245</c:v>
                </c:pt>
                <c:pt idx="38">
                  <c:v>-1506712.6752958447</c:v>
                </c:pt>
                <c:pt idx="39">
                  <c:v>905258.31088292412</c:v>
                </c:pt>
                <c:pt idx="40">
                  <c:v>1058893.5057725739</c:v>
                </c:pt>
                <c:pt idx="41">
                  <c:v>1120349.5428589415</c:v>
                </c:pt>
                <c:pt idx="42">
                  <c:v>1243266.8730474804</c:v>
                </c:pt>
                <c:pt idx="43">
                  <c:v>1120344.6775564663</c:v>
                </c:pt>
                <c:pt idx="44">
                  <c:v>1827211.695885554</c:v>
                </c:pt>
                <c:pt idx="45">
                  <c:v>1627448.0859145671</c:v>
                </c:pt>
                <c:pt idx="46">
                  <c:v>935959.14124229178</c:v>
                </c:pt>
                <c:pt idx="47">
                  <c:v>1135753.95358973</c:v>
                </c:pt>
                <c:pt idx="48">
                  <c:v>1596965.5817961581</c:v>
                </c:pt>
                <c:pt idx="49">
                  <c:v>2104343.5722466595</c:v>
                </c:pt>
                <c:pt idx="50">
                  <c:v>4625859.8875110876</c:v>
                </c:pt>
                <c:pt idx="51">
                  <c:v>5839227.2146008108</c:v>
                </c:pt>
                <c:pt idx="52">
                  <c:v>5611705.7035328038</c:v>
                </c:pt>
                <c:pt idx="53">
                  <c:v>5116246.7741877642</c:v>
                </c:pt>
                <c:pt idx="54">
                  <c:v>5475114.0427581947</c:v>
                </c:pt>
                <c:pt idx="55">
                  <c:v>5594571.908223683</c:v>
                </c:pt>
                <c:pt idx="56">
                  <c:v>5639296.0737257786</c:v>
                </c:pt>
                <c:pt idx="57">
                  <c:v>5237382.8033926059</c:v>
                </c:pt>
                <c:pt idx="58">
                  <c:v>7155737.3825757094</c:v>
                </c:pt>
                <c:pt idx="59">
                  <c:v>8163819.6057763249</c:v>
                </c:pt>
                <c:pt idx="60">
                  <c:v>8615191.3953703009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21472"/>
        <c:axId val="559735552"/>
      </c:lineChart>
      <c:dateAx>
        <c:axId val="55972147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735552"/>
        <c:crosses val="autoZero"/>
        <c:auto val="1"/>
        <c:lblOffset val="100"/>
        <c:baseTimeUnit val="months"/>
      </c:dateAx>
      <c:valAx>
        <c:axId val="55973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972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'model2(2)&amp;RSI'!买卖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52777.576044247049</c:v>
                </c:pt>
                <c:pt idx="3">
                  <c:v>175315.35959658396</c:v>
                </c:pt>
                <c:pt idx="4">
                  <c:v>68918.763594665201</c:v>
                </c:pt>
                <c:pt idx="5">
                  <c:v>41606.397754992307</c:v>
                </c:pt>
                <c:pt idx="6">
                  <c:v>48593.992228014664</c:v>
                </c:pt>
                <c:pt idx="7">
                  <c:v>167937.29855401599</c:v>
                </c:pt>
                <c:pt idx="8">
                  <c:v>305552.77650133212</c:v>
                </c:pt>
                <c:pt idx="9">
                  <c:v>597956.78490584577</c:v>
                </c:pt>
                <c:pt idx="10">
                  <c:v>860408.92053387454</c:v>
                </c:pt>
                <c:pt idx="11">
                  <c:v>889331.74412255001</c:v>
                </c:pt>
                <c:pt idx="12">
                  <c:v>314437.58250988676</c:v>
                </c:pt>
                <c:pt idx="13">
                  <c:v>201931.43936869942</c:v>
                </c:pt>
                <c:pt idx="14">
                  <c:v>239992.45584897668</c:v>
                </c:pt>
                <c:pt idx="15">
                  <c:v>377480.94850129553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273170.00120501418</c:v>
                </c:pt>
                <c:pt idx="19">
                  <c:v>140087.07973889937</c:v>
                </c:pt>
                <c:pt idx="20">
                  <c:v>35977.590797871548</c:v>
                </c:pt>
                <c:pt idx="21">
                  <c:v>145789.79523040805</c:v>
                </c:pt>
                <c:pt idx="22">
                  <c:v>162192.43528301365</c:v>
                </c:pt>
                <c:pt idx="23">
                  <c:v>271394.3741555434</c:v>
                </c:pt>
                <c:pt idx="24">
                  <c:v>202194.95035283692</c:v>
                </c:pt>
                <c:pt idx="25">
                  <c:v>176232.06295842573</c:v>
                </c:pt>
                <c:pt idx="26">
                  <c:v>243286.09297780032</c:v>
                </c:pt>
                <c:pt idx="27">
                  <c:v>331009.10948660417</c:v>
                </c:pt>
                <c:pt idx="28">
                  <c:v>345983.27790367388</c:v>
                </c:pt>
                <c:pt idx="29">
                  <c:v>382930.29245875269</c:v>
                </c:pt>
                <c:pt idx="30">
                  <c:v>374176.75560012757</c:v>
                </c:pt>
                <c:pt idx="31">
                  <c:v>564695.41176478763</c:v>
                </c:pt>
                <c:pt idx="32">
                  <c:v>732082.2654085604</c:v>
                </c:pt>
                <c:pt idx="33">
                  <c:v>313459.98633772728</c:v>
                </c:pt>
                <c:pt idx="34">
                  <c:v>270118.38301376312</c:v>
                </c:pt>
                <c:pt idx="35">
                  <c:v>243758.84993051292</c:v>
                </c:pt>
                <c:pt idx="36">
                  <c:v>260623.81379191545</c:v>
                </c:pt>
                <c:pt idx="37">
                  <c:v>254863.52547820861</c:v>
                </c:pt>
                <c:pt idx="38">
                  <c:v>99901.560820779327</c:v>
                </c:pt>
                <c:pt idx="39">
                  <c:v>507.85418242983161</c:v>
                </c:pt>
                <c:pt idx="40">
                  <c:v>344.98398502661962</c:v>
                </c:pt>
                <c:pt idx="41">
                  <c:v>602.52333053250584</c:v>
                </c:pt>
                <c:pt idx="42">
                  <c:v>479.84304394137899</c:v>
                </c:pt>
                <c:pt idx="43">
                  <c:v>1027.2171041041865</c:v>
                </c:pt>
                <c:pt idx="44">
                  <c:v>-210.90834862773511</c:v>
                </c:pt>
                <c:pt idx="45">
                  <c:v>-2.2101905759162022</c:v>
                </c:pt>
                <c:pt idx="46">
                  <c:v>1847.8269421505427</c:v>
                </c:pt>
                <c:pt idx="47">
                  <c:v>3845.4162995225665</c:v>
                </c:pt>
                <c:pt idx="48">
                  <c:v>1080.6112862482139</c:v>
                </c:pt>
                <c:pt idx="49">
                  <c:v>34.676037468151208</c:v>
                </c:pt>
                <c:pt idx="50">
                  <c:v>-16194.232858104029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-21886.088907832516</c:v>
                </c:pt>
                <c:pt idx="55">
                  <c:v>-25998.161012664015</c:v>
                </c:pt>
                <c:pt idx="56">
                  <c:v>-23986.056658340185</c:v>
                </c:pt>
                <c:pt idx="57">
                  <c:v>-15385.030177591741</c:v>
                </c:pt>
                <c:pt idx="58">
                  <c:v>-54389.65209982227</c:v>
                </c:pt>
                <c:pt idx="59">
                  <c:v>-329147.77001413936</c:v>
                </c:pt>
                <c:pt idx="60">
                  <c:v>-915628.10722505616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254-4CC5-92CC-491DAD004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3245440"/>
        <c:axId val="56322688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'model2(2)&amp;RSI'!指数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254-4CC5-92CC-491DAD004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186688"/>
        <c:axId val="563225344"/>
      </c:lineChart>
      <c:dateAx>
        <c:axId val="56318668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225344"/>
        <c:crosses val="autoZero"/>
        <c:auto val="1"/>
        <c:lblOffset val="100"/>
        <c:baseTimeUnit val="months"/>
      </c:dateAx>
      <c:valAx>
        <c:axId val="5632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186688"/>
        <c:crosses val="autoZero"/>
        <c:crossBetween val="between"/>
      </c:valAx>
      <c:valAx>
        <c:axId val="56322688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245440"/>
        <c:crosses val="max"/>
        <c:crossBetween val="between"/>
      </c:valAx>
      <c:catAx>
        <c:axId val="563245440"/>
        <c:scaling>
          <c:orientation val="minMax"/>
        </c:scaling>
        <c:delete val="1"/>
        <c:axPos val="b"/>
        <c:majorTickMark val="out"/>
        <c:minorTickMark val="none"/>
        <c:tickLblPos val="nextTo"/>
        <c:crossAx val="563226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'model2(2)vol&amp;RSI'!$K$1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'model2(2)vol&amp;RSI'!时间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'model2(2)vol&amp;RSI'!资金</c:f>
              <c:numCache>
                <c:formatCode>0.00_ </c:formatCode>
                <c:ptCount val="61"/>
                <c:pt idx="0">
                  <c:v>0</c:v>
                </c:pt>
                <c:pt idx="1">
                  <c:v>146.92979977675049</c:v>
                </c:pt>
                <c:pt idx="2">
                  <c:v>1671.8245846763984</c:v>
                </c:pt>
                <c:pt idx="3">
                  <c:v>5590.9381354463585</c:v>
                </c:pt>
                <c:pt idx="4">
                  <c:v>8221.0364600682697</c:v>
                </c:pt>
                <c:pt idx="5">
                  <c:v>9687.2303980099787</c:v>
                </c:pt>
                <c:pt idx="6">
                  <c:v>10976.008183548318</c:v>
                </c:pt>
                <c:pt idx="7">
                  <c:v>16554.052390483441</c:v>
                </c:pt>
                <c:pt idx="8">
                  <c:v>20989.309498899776</c:v>
                </c:pt>
                <c:pt idx="9">
                  <c:v>35883.155118963703</c:v>
                </c:pt>
                <c:pt idx="10">
                  <c:v>79009.145086400575</c:v>
                </c:pt>
                <c:pt idx="11">
                  <c:v>99751.990482510606</c:v>
                </c:pt>
                <c:pt idx="12">
                  <c:v>118415.78633881433</c:v>
                </c:pt>
                <c:pt idx="13">
                  <c:v>128418.04783193523</c:v>
                </c:pt>
                <c:pt idx="14">
                  <c:v>132552.98911669169</c:v>
                </c:pt>
                <c:pt idx="15">
                  <c:v>152686.14229555437</c:v>
                </c:pt>
                <c:pt idx="16">
                  <c:v>186991.32285453958</c:v>
                </c:pt>
                <c:pt idx="17">
                  <c:v>207762.29476733843</c:v>
                </c:pt>
                <c:pt idx="18">
                  <c:v>222804.48068307812</c:v>
                </c:pt>
                <c:pt idx="19">
                  <c:v>232043.20451557709</c:v>
                </c:pt>
                <c:pt idx="20">
                  <c:v>232760.56765952491</c:v>
                </c:pt>
                <c:pt idx="21">
                  <c:v>239928.2816499997</c:v>
                </c:pt>
                <c:pt idx="22">
                  <c:v>249330.3796567636</c:v>
                </c:pt>
                <c:pt idx="23">
                  <c:v>262835.0484685697</c:v>
                </c:pt>
                <c:pt idx="24">
                  <c:v>277386.33194939635</c:v>
                </c:pt>
                <c:pt idx="25">
                  <c:v>289364.65031598264</c:v>
                </c:pt>
                <c:pt idx="26">
                  <c:v>314700.67537916405</c:v>
                </c:pt>
                <c:pt idx="27">
                  <c:v>332853.93348554044</c:v>
                </c:pt>
                <c:pt idx="28">
                  <c:v>370915.4264368852</c:v>
                </c:pt>
                <c:pt idx="29">
                  <c:v>415403.48410407035</c:v>
                </c:pt>
                <c:pt idx="30">
                  <c:v>486069.61866649543</c:v>
                </c:pt>
                <c:pt idx="31">
                  <c:v>687864.21891495888</c:v>
                </c:pt>
                <c:pt idx="32">
                  <c:v>989431.93400400528</c:v>
                </c:pt>
                <c:pt idx="33">
                  <c:v>1073751.6174362784</c:v>
                </c:pt>
                <c:pt idx="34">
                  <c:v>1117124.7076977238</c:v>
                </c:pt>
                <c:pt idx="35">
                  <c:v>1165508.7378162649</c:v>
                </c:pt>
                <c:pt idx="36">
                  <c:v>1231016.9793064645</c:v>
                </c:pt>
                <c:pt idx="37">
                  <c:v>1298139.6408142245</c:v>
                </c:pt>
                <c:pt idx="38">
                  <c:v>1318414.8443058322</c:v>
                </c:pt>
                <c:pt idx="39">
                  <c:v>1318597.7397139578</c:v>
                </c:pt>
                <c:pt idx="40">
                  <c:v>1318613.6054106019</c:v>
                </c:pt>
                <c:pt idx="41">
                  <c:v>1318643.5596812607</c:v>
                </c:pt>
                <c:pt idx="42">
                  <c:v>1318678.2594984123</c:v>
                </c:pt>
                <c:pt idx="43">
                  <c:v>1318704.6065380645</c:v>
                </c:pt>
                <c:pt idx="44">
                  <c:v>1318704.6065380645</c:v>
                </c:pt>
                <c:pt idx="45">
                  <c:v>1318704.6065380645</c:v>
                </c:pt>
                <c:pt idx="46">
                  <c:v>1318809.4221429767</c:v>
                </c:pt>
                <c:pt idx="47">
                  <c:v>1319070.3601488054</c:v>
                </c:pt>
                <c:pt idx="48">
                  <c:v>1319093.1072786315</c:v>
                </c:pt>
                <c:pt idx="49">
                  <c:v>1319095.5916679052</c:v>
                </c:pt>
                <c:pt idx="50">
                  <c:v>1319095.5916679052</c:v>
                </c:pt>
                <c:pt idx="51">
                  <c:v>1319095.5916679052</c:v>
                </c:pt>
                <c:pt idx="52">
                  <c:v>1319095.5916679052</c:v>
                </c:pt>
                <c:pt idx="53">
                  <c:v>1319095.5916679052</c:v>
                </c:pt>
                <c:pt idx="54">
                  <c:v>1319095.5916679052</c:v>
                </c:pt>
                <c:pt idx="55">
                  <c:v>1319095.5916679052</c:v>
                </c:pt>
                <c:pt idx="56">
                  <c:v>1319095.5916679052</c:v>
                </c:pt>
                <c:pt idx="57">
                  <c:v>1319095.5916679052</c:v>
                </c:pt>
                <c:pt idx="58">
                  <c:v>1319095.5916679052</c:v>
                </c:pt>
                <c:pt idx="59">
                  <c:v>1319095.5916679052</c:v>
                </c:pt>
                <c:pt idx="60">
                  <c:v>1319095.5916679052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'model2(2)vol&amp;RSI'!$L$1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'model2(2)vol&amp;RSI'!时间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'model2(2)vol&amp;RSI'!资产</c:f>
              <c:numCache>
                <c:formatCode>0.00_ </c:formatCode>
                <c:ptCount val="61"/>
                <c:pt idx="0">
                  <c:v>0</c:v>
                </c:pt>
                <c:pt idx="1">
                  <c:v>146.92979977675049</c:v>
                </c:pt>
                <c:pt idx="2">
                  <c:v>1665.9824455202652</c:v>
                </c:pt>
                <c:pt idx="3">
                  <c:v>5576.4728987461258</c:v>
                </c:pt>
                <c:pt idx="4">
                  <c:v>8392.2600584946085</c:v>
                </c:pt>
                <c:pt idx="5">
                  <c:v>10010.580121028328</c:v>
                </c:pt>
                <c:pt idx="6">
                  <c:v>11111.225809707179</c:v>
                </c:pt>
                <c:pt idx="7">
                  <c:v>15557.985795895354</c:v>
                </c:pt>
                <c:pt idx="8">
                  <c:v>19836.092510331306</c:v>
                </c:pt>
                <c:pt idx="9">
                  <c:v>32705.846373982597</c:v>
                </c:pt>
                <c:pt idx="10">
                  <c:v>72817.281732198113</c:v>
                </c:pt>
                <c:pt idx="11">
                  <c:v>96395.848590828828</c:v>
                </c:pt>
                <c:pt idx="12">
                  <c:v>127705.96065543809</c:v>
                </c:pt>
                <c:pt idx="13">
                  <c:v>131058.44007273151</c:v>
                </c:pt>
                <c:pt idx="14">
                  <c:v>129303.11219637103</c:v>
                </c:pt>
                <c:pt idx="15">
                  <c:v>137773.63054090264</c:v>
                </c:pt>
                <c:pt idx="16">
                  <c:v>170297.25482055347</c:v>
                </c:pt>
                <c:pt idx="17">
                  <c:v>199248.45737593155</c:v>
                </c:pt>
                <c:pt idx="18">
                  <c:v>215120.83447589527</c:v>
                </c:pt>
                <c:pt idx="19">
                  <c:v>243997.14058995465</c:v>
                </c:pt>
                <c:pt idx="20">
                  <c:v>236674.05138937957</c:v>
                </c:pt>
                <c:pt idx="21">
                  <c:v>246323.28073999294</c:v>
                </c:pt>
                <c:pt idx="22">
                  <c:v>249335.65705823532</c:v>
                </c:pt>
                <c:pt idx="23">
                  <c:v>252548.18850963601</c:v>
                </c:pt>
                <c:pt idx="24">
                  <c:v>279376.10784726078</c:v>
                </c:pt>
                <c:pt idx="25">
                  <c:v>293574.62717893935</c:v>
                </c:pt>
                <c:pt idx="26">
                  <c:v>300779.23933278961</c:v>
                </c:pt>
                <c:pt idx="27">
                  <c:v>306715.98011310259</c:v>
                </c:pt>
                <c:pt idx="28">
                  <c:v>334926.73427194642</c:v>
                </c:pt>
                <c:pt idx="29">
                  <c:v>373352.78731136268</c:v>
                </c:pt>
                <c:pt idx="30">
                  <c:v>440577.85841508594</c:v>
                </c:pt>
                <c:pt idx="31">
                  <c:v>584994.88126859185</c:v>
                </c:pt>
                <c:pt idx="32">
                  <c:v>966856.03580785019</c:v>
                </c:pt>
                <c:pt idx="33">
                  <c:v>1063299.3302477051</c:v>
                </c:pt>
                <c:pt idx="34">
                  <c:v>1136299.8676388341</c:v>
                </c:pt>
                <c:pt idx="35">
                  <c:v>1160725.7695541636</c:v>
                </c:pt>
                <c:pt idx="36">
                  <c:v>1201233.7653376264</c:v>
                </c:pt>
                <c:pt idx="37">
                  <c:v>1262690.3025894526</c:v>
                </c:pt>
                <c:pt idx="38">
                  <c:v>1237085.7610192525</c:v>
                </c:pt>
                <c:pt idx="39">
                  <c:v>1555666.1423521044</c:v>
                </c:pt>
                <c:pt idx="40">
                  <c:v>1575964.4672286755</c:v>
                </c:pt>
                <c:pt idx="41">
                  <c:v>1584107.5110267559</c:v>
                </c:pt>
                <c:pt idx="42">
                  <c:v>1600368.575832787</c:v>
                </c:pt>
                <c:pt idx="43">
                  <c:v>1584168.2060495415</c:v>
                </c:pt>
                <c:pt idx="44">
                  <c:v>1677473.8934128189</c:v>
                </c:pt>
                <c:pt idx="45">
                  <c:v>1651105.0030723966</c:v>
                </c:pt>
                <c:pt idx="46">
                  <c:v>1559932.9479212505</c:v>
                </c:pt>
                <c:pt idx="47">
                  <c:v>1586564.5450513146</c:v>
                </c:pt>
                <c:pt idx="48">
                  <c:v>1647452.5581827513</c:v>
                </c:pt>
                <c:pt idx="49">
                  <c:v>1714407.9289275475</c:v>
                </c:pt>
                <c:pt idx="50">
                  <c:v>2047143.2712733045</c:v>
                </c:pt>
                <c:pt idx="51">
                  <c:v>2207258.6436621919</c:v>
                </c:pt>
                <c:pt idx="52">
                  <c:v>2177144.3491450134</c:v>
                </c:pt>
                <c:pt idx="53">
                  <c:v>2111236.7158821402</c:v>
                </c:pt>
                <c:pt idx="54">
                  <c:v>2159110.7382003833</c:v>
                </c:pt>
                <c:pt idx="55">
                  <c:v>2175059.0316076181</c:v>
                </c:pt>
                <c:pt idx="56">
                  <c:v>2181031.0107822744</c:v>
                </c:pt>
                <c:pt idx="57">
                  <c:v>2127323.2568106027</c:v>
                </c:pt>
                <c:pt idx="58">
                  <c:v>2383797.0624165004</c:v>
                </c:pt>
                <c:pt idx="59">
                  <c:v>2518827.8975449791</c:v>
                </c:pt>
                <c:pt idx="60">
                  <c:v>2579594.8543026936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'model2(2)vol&amp;RSI'!$M$1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'model2(2)vol&amp;RSI'!时间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'model2(2)vol&amp;RSI'!金额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-5.8421391561332712</c:v>
                </c:pt>
                <c:pt idx="3">
                  <c:v>-14.465236700232708</c:v>
                </c:pt>
                <c:pt idx="4">
                  <c:v>171.22359842633887</c:v>
                </c:pt>
                <c:pt idx="5">
                  <c:v>323.34972301834932</c:v>
                </c:pt>
                <c:pt idx="6">
                  <c:v>135.21762615886109</c:v>
                </c:pt>
                <c:pt idx="7">
                  <c:v>-996.06659458808645</c:v>
                </c:pt>
                <c:pt idx="8">
                  <c:v>-1153.2169885684707</c:v>
                </c:pt>
                <c:pt idx="9">
                  <c:v>-3177.3087449811064</c:v>
                </c:pt>
                <c:pt idx="10">
                  <c:v>-6191.8633542024618</c:v>
                </c:pt>
                <c:pt idx="11">
                  <c:v>-3356.1418916817784</c:v>
                </c:pt>
                <c:pt idx="12">
                  <c:v>9290.1743166237575</c:v>
                </c:pt>
                <c:pt idx="13">
                  <c:v>2640.3922407962818</c:v>
                </c:pt>
                <c:pt idx="14">
                  <c:v>-3249.8769203206612</c:v>
                </c:pt>
                <c:pt idx="15">
                  <c:v>-14912.511754651729</c:v>
                </c:pt>
                <c:pt idx="16">
                  <c:v>-16694.068033986114</c:v>
                </c:pt>
                <c:pt idx="17">
                  <c:v>-8513.8373914068798</c:v>
                </c:pt>
                <c:pt idx="18">
                  <c:v>-7683.6462071828428</c:v>
                </c:pt>
                <c:pt idx="19">
                  <c:v>11953.936074377561</c:v>
                </c:pt>
                <c:pt idx="20">
                  <c:v>3913.4837298546627</c:v>
                </c:pt>
                <c:pt idx="21">
                  <c:v>6394.9990899932454</c:v>
                </c:pt>
                <c:pt idx="22">
                  <c:v>5.2774014717142563</c:v>
                </c:pt>
                <c:pt idx="23">
                  <c:v>-10286.859958933695</c:v>
                </c:pt>
                <c:pt idx="24">
                  <c:v>1989.775897864427</c:v>
                </c:pt>
                <c:pt idx="25">
                  <c:v>4209.9768629567116</c:v>
                </c:pt>
                <c:pt idx="26">
                  <c:v>-13921.436046374438</c:v>
                </c:pt>
                <c:pt idx="27">
                  <c:v>-26137.953372437856</c:v>
                </c:pt>
                <c:pt idx="28">
                  <c:v>-35988.69216493878</c:v>
                </c:pt>
                <c:pt idx="29">
                  <c:v>-42050.696792707662</c:v>
                </c:pt>
                <c:pt idx="30">
                  <c:v>-45491.760251409491</c:v>
                </c:pt>
                <c:pt idx="31">
                  <c:v>-102869.33764636703</c:v>
                </c:pt>
                <c:pt idx="32">
                  <c:v>-22575.898196155089</c:v>
                </c:pt>
                <c:pt idx="33">
                  <c:v>-10452.287188573275</c:v>
                </c:pt>
                <c:pt idx="34">
                  <c:v>19175.159941110294</c:v>
                </c:pt>
                <c:pt idx="35">
                  <c:v>-4782.9682621012907</c:v>
                </c:pt>
                <c:pt idx="36">
                  <c:v>-29783.213968838099</c:v>
                </c:pt>
                <c:pt idx="37">
                  <c:v>-35449.338224771898</c:v>
                </c:pt>
                <c:pt idx="38">
                  <c:v>-81329.083286579698</c:v>
                </c:pt>
                <c:pt idx="39">
                  <c:v>237068.40263814665</c:v>
                </c:pt>
                <c:pt idx="40">
                  <c:v>257350.86181807355</c:v>
                </c:pt>
                <c:pt idx="41">
                  <c:v>265463.95134549518</c:v>
                </c:pt>
                <c:pt idx="42">
                  <c:v>281690.31633437471</c:v>
                </c:pt>
                <c:pt idx="43">
                  <c:v>265463.59951147693</c:v>
                </c:pt>
                <c:pt idx="44">
                  <c:v>358769.28687475435</c:v>
                </c:pt>
                <c:pt idx="45">
                  <c:v>332400.39653433207</c:v>
                </c:pt>
                <c:pt idx="46">
                  <c:v>241123.52577827382</c:v>
                </c:pt>
                <c:pt idx="47">
                  <c:v>267494.18490250921</c:v>
                </c:pt>
                <c:pt idx="48">
                  <c:v>328359.45090411976</c:v>
                </c:pt>
                <c:pt idx="49">
                  <c:v>395312.33725964231</c:v>
                </c:pt>
                <c:pt idx="50">
                  <c:v>728047.67960539926</c:v>
                </c:pt>
                <c:pt idx="51">
                  <c:v>888163.05199428671</c:v>
                </c:pt>
                <c:pt idx="52">
                  <c:v>858048.75747710816</c:v>
                </c:pt>
                <c:pt idx="53">
                  <c:v>792141.12421423499</c:v>
                </c:pt>
                <c:pt idx="54">
                  <c:v>840015.14653247804</c:v>
                </c:pt>
                <c:pt idx="55">
                  <c:v>855963.43993971287</c:v>
                </c:pt>
                <c:pt idx="56">
                  <c:v>861935.4191143692</c:v>
                </c:pt>
                <c:pt idx="57">
                  <c:v>808227.66514269751</c:v>
                </c:pt>
                <c:pt idx="58">
                  <c:v>1064701.4707485952</c:v>
                </c:pt>
                <c:pt idx="59">
                  <c:v>1199732.3058770739</c:v>
                </c:pt>
                <c:pt idx="60">
                  <c:v>1260499.2626347884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689344"/>
        <c:axId val="563690880"/>
      </c:lineChart>
      <c:dateAx>
        <c:axId val="56368934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690880"/>
        <c:crosses val="autoZero"/>
        <c:auto val="1"/>
        <c:lblOffset val="100"/>
        <c:baseTimeUnit val="months"/>
      </c:dateAx>
      <c:valAx>
        <c:axId val="5636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68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'model2(2)vol&amp;RSI'!买卖</c:f>
              <c:numCache>
                <c:formatCode>0.00_ </c:formatCode>
                <c:ptCount val="61"/>
                <c:pt idx="0">
                  <c:v>0</c:v>
                </c:pt>
                <c:pt idx="1">
                  <c:v>146.92979977675049</c:v>
                </c:pt>
                <c:pt idx="2">
                  <c:v>1524.8947848996479</c:v>
                </c:pt>
                <c:pt idx="3">
                  <c:v>3919.1135507699605</c:v>
                </c:pt>
                <c:pt idx="4">
                  <c:v>2630.0983246219107</c:v>
                </c:pt>
                <c:pt idx="5">
                  <c:v>1466.193937941709</c:v>
                </c:pt>
                <c:pt idx="6">
                  <c:v>1288.7777855383388</c:v>
                </c:pt>
                <c:pt idx="7">
                  <c:v>5578.0442069351247</c:v>
                </c:pt>
                <c:pt idx="8">
                  <c:v>4435.2571084163374</c:v>
                </c:pt>
                <c:pt idx="9">
                  <c:v>14893.845620063927</c:v>
                </c:pt>
                <c:pt idx="10">
                  <c:v>43125.989967436872</c:v>
                </c:pt>
                <c:pt idx="11">
                  <c:v>20742.845396110031</c:v>
                </c:pt>
                <c:pt idx="12">
                  <c:v>18663.795856303725</c:v>
                </c:pt>
                <c:pt idx="13">
                  <c:v>10002.261493120901</c:v>
                </c:pt>
                <c:pt idx="14">
                  <c:v>4134.9412847564736</c:v>
                </c:pt>
                <c:pt idx="15">
                  <c:v>20133.153178862682</c:v>
                </c:pt>
                <c:pt idx="16">
                  <c:v>34305.180558985216</c:v>
                </c:pt>
                <c:pt idx="17">
                  <c:v>20770.971912798836</c:v>
                </c:pt>
                <c:pt idx="18">
                  <c:v>15042.185915739694</c:v>
                </c:pt>
                <c:pt idx="19">
                  <c:v>9238.7238324989776</c:v>
                </c:pt>
                <c:pt idx="20">
                  <c:v>717.36314394781357</c:v>
                </c:pt>
                <c:pt idx="21">
                  <c:v>7167.7139904747792</c:v>
                </c:pt>
                <c:pt idx="22">
                  <c:v>9402.0980067638939</c:v>
                </c:pt>
                <c:pt idx="23">
                  <c:v>13504.668811806087</c:v>
                </c:pt>
                <c:pt idx="24">
                  <c:v>14551.283480826656</c:v>
                </c:pt>
                <c:pt idx="25">
                  <c:v>11978.318366586287</c:v>
                </c:pt>
                <c:pt idx="26">
                  <c:v>25336.025063181412</c:v>
                </c:pt>
                <c:pt idx="27">
                  <c:v>18153.258106376416</c:v>
                </c:pt>
                <c:pt idx="28">
                  <c:v>38061.492951344779</c:v>
                </c:pt>
                <c:pt idx="29">
                  <c:v>44488.05766718513</c:v>
                </c:pt>
                <c:pt idx="30">
                  <c:v>70666.134562425083</c:v>
                </c:pt>
                <c:pt idx="31">
                  <c:v>201794.60024846339</c:v>
                </c:pt>
                <c:pt idx="32">
                  <c:v>301567.71508904634</c:v>
                </c:pt>
                <c:pt idx="33">
                  <c:v>84319.683432273057</c:v>
                </c:pt>
                <c:pt idx="34">
                  <c:v>43373.090261445432</c:v>
                </c:pt>
                <c:pt idx="35">
                  <c:v>48384.030118540977</c:v>
                </c:pt>
                <c:pt idx="36">
                  <c:v>65508.241490199747</c:v>
                </c:pt>
                <c:pt idx="37">
                  <c:v>67122.661507759942</c:v>
                </c:pt>
                <c:pt idx="38">
                  <c:v>20275.203491607746</c:v>
                </c:pt>
                <c:pt idx="39">
                  <c:v>182.89540812551292</c:v>
                </c:pt>
                <c:pt idx="40">
                  <c:v>15.86569664408387</c:v>
                </c:pt>
                <c:pt idx="41">
                  <c:v>29.954270658681178</c:v>
                </c:pt>
                <c:pt idx="42">
                  <c:v>34.699817151485057</c:v>
                </c:pt>
                <c:pt idx="43">
                  <c:v>26.347039652375056</c:v>
                </c:pt>
                <c:pt idx="44">
                  <c:v>-8.2247322865529409</c:v>
                </c:pt>
                <c:pt idx="45">
                  <c:v>-0.19617751346312418</c:v>
                </c:pt>
                <c:pt idx="46">
                  <c:v>104.81560491205566</c:v>
                </c:pt>
                <c:pt idx="47">
                  <c:v>260.93800582886917</c:v>
                </c:pt>
                <c:pt idx="48">
                  <c:v>22.747129825992314</c:v>
                </c:pt>
                <c:pt idx="49">
                  <c:v>2.4843892735730333</c:v>
                </c:pt>
                <c:pt idx="50">
                  <c:v>-2120.094065197015</c:v>
                </c:pt>
                <c:pt idx="51">
                  <c:v>-20855.12363949155</c:v>
                </c:pt>
                <c:pt idx="52">
                  <c:v>-11163.624960196446</c:v>
                </c:pt>
                <c:pt idx="53">
                  <c:v>-2552.7654460651065</c:v>
                </c:pt>
                <c:pt idx="54">
                  <c:v>-1291.963674375447</c:v>
                </c:pt>
                <c:pt idx="55">
                  <c:v>-3094.6848527484703</c:v>
                </c:pt>
                <c:pt idx="56">
                  <c:v>-1585.4735386837842</c:v>
                </c:pt>
                <c:pt idx="57">
                  <c:v>-1051.0935769830185</c:v>
                </c:pt>
                <c:pt idx="58">
                  <c:v>-2847.4210998735844</c:v>
                </c:pt>
                <c:pt idx="59">
                  <c:v>-31779.256552160365</c:v>
                </c:pt>
                <c:pt idx="60">
                  <c:v>-97996.430158915711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B7-4EA2-B72A-E33D87BA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4246016"/>
        <c:axId val="56423564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'model2(2)vol&amp;RSI'!时间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'model2(2)vol&amp;RSI'!指数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FB7-4EA2-B72A-E33D87BA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232192"/>
        <c:axId val="564233728"/>
      </c:lineChart>
      <c:dateAx>
        <c:axId val="56423219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4233728"/>
        <c:crosses val="autoZero"/>
        <c:auto val="1"/>
        <c:lblOffset val="100"/>
        <c:baseTimeUnit val="months"/>
      </c:dateAx>
      <c:valAx>
        <c:axId val="56423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4232192"/>
        <c:crosses val="autoZero"/>
        <c:crossBetween val="between"/>
      </c:valAx>
      <c:valAx>
        <c:axId val="564235648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4246016"/>
        <c:crosses val="max"/>
        <c:crossBetween val="between"/>
      </c:valAx>
      <c:catAx>
        <c:axId val="564246016"/>
        <c:scaling>
          <c:orientation val="minMax"/>
        </c:scaling>
        <c:delete val="1"/>
        <c:axPos val="b"/>
        <c:majorTickMark val="out"/>
        <c:minorTickMark val="none"/>
        <c:tickLblPos val="nextTo"/>
        <c:crossAx val="564235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'model2(1)&amp;KDJ'!$I$1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'model2(1)&amp;KDJ'!时间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'model2(1)&amp;KDJ'!资金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32769.298882683892</c:v>
                </c:pt>
                <c:pt idx="4">
                  <c:v>44436.113276487529</c:v>
                </c:pt>
                <c:pt idx="5">
                  <c:v>57255.835236507555</c:v>
                </c:pt>
                <c:pt idx="6">
                  <c:v>71470.218956071636</c:v>
                </c:pt>
                <c:pt idx="7">
                  <c:v>97894.934844368792</c:v>
                </c:pt>
                <c:pt idx="8">
                  <c:v>122460.49475229948</c:v>
                </c:pt>
                <c:pt idx="9">
                  <c:v>163698.69423132893</c:v>
                </c:pt>
                <c:pt idx="10">
                  <c:v>204921.35326800926</c:v>
                </c:pt>
                <c:pt idx="11">
                  <c:v>246831.13965069124</c:v>
                </c:pt>
                <c:pt idx="12">
                  <c:v>271751.29666177416</c:v>
                </c:pt>
                <c:pt idx="13">
                  <c:v>300727.3155214116</c:v>
                </c:pt>
                <c:pt idx="14">
                  <c:v>332316.29095677944</c:v>
                </c:pt>
                <c:pt idx="15">
                  <c:v>371933.53529597726</c:v>
                </c:pt>
                <c:pt idx="16">
                  <c:v>411410.0455395804</c:v>
                </c:pt>
                <c:pt idx="17">
                  <c:v>446594.88531898183</c:v>
                </c:pt>
                <c:pt idx="18">
                  <c:v>480296.69699541072</c:v>
                </c:pt>
                <c:pt idx="19">
                  <c:v>504431.05697337468</c:v>
                </c:pt>
                <c:pt idx="20">
                  <c:v>531087.33987737249</c:v>
                </c:pt>
                <c:pt idx="21">
                  <c:v>555708.03487718524</c:v>
                </c:pt>
                <c:pt idx="22">
                  <c:v>581676.8444960115</c:v>
                </c:pt>
                <c:pt idx="23">
                  <c:v>615268.94535186584</c:v>
                </c:pt>
                <c:pt idx="24">
                  <c:v>644263.86421514454</c:v>
                </c:pt>
                <c:pt idx="25">
                  <c:v>671333.30024616793</c:v>
                </c:pt>
                <c:pt idx="26">
                  <c:v>703138.29931139783</c:v>
                </c:pt>
                <c:pt idx="27">
                  <c:v>740236.83074029873</c:v>
                </c:pt>
                <c:pt idx="28">
                  <c:v>778165.21127824241</c:v>
                </c:pt>
                <c:pt idx="29">
                  <c:v>818067.38976002031</c:v>
                </c:pt>
                <c:pt idx="30">
                  <c:v>857510.86276580952</c:v>
                </c:pt>
                <c:pt idx="31">
                  <c:v>914185.26176675269</c:v>
                </c:pt>
                <c:pt idx="32">
                  <c:v>952209.76010903076</c:v>
                </c:pt>
                <c:pt idx="33">
                  <c:v>988311.47235934145</c:v>
                </c:pt>
                <c:pt idx="34">
                  <c:v>1021824.511658355</c:v>
                </c:pt>
                <c:pt idx="35">
                  <c:v>1053660.3976863073</c:v>
                </c:pt>
                <c:pt idx="36">
                  <c:v>1086579.1823488844</c:v>
                </c:pt>
                <c:pt idx="37">
                  <c:v>1119132.1501275504</c:v>
                </c:pt>
                <c:pt idx="38">
                  <c:v>1139513.027781347</c:v>
                </c:pt>
                <c:pt idx="39">
                  <c:v>1140966.1637805598</c:v>
                </c:pt>
                <c:pt idx="40">
                  <c:v>1143576.4192669587</c:v>
                </c:pt>
                <c:pt idx="41">
                  <c:v>1147026.0331262213</c:v>
                </c:pt>
                <c:pt idx="42">
                  <c:v>1150104.4905512708</c:v>
                </c:pt>
                <c:pt idx="43">
                  <c:v>1154608.6594874961</c:v>
                </c:pt>
                <c:pt idx="44">
                  <c:v>1154608.6594874961</c:v>
                </c:pt>
                <c:pt idx="45">
                  <c:v>1154608.6594874961</c:v>
                </c:pt>
                <c:pt idx="46">
                  <c:v>1160649.7340696771</c:v>
                </c:pt>
                <c:pt idx="47">
                  <c:v>1169364.4900568272</c:v>
                </c:pt>
                <c:pt idx="48">
                  <c:v>1173984.238199681</c:v>
                </c:pt>
                <c:pt idx="49">
                  <c:v>1174811.7958955525</c:v>
                </c:pt>
                <c:pt idx="50">
                  <c:v>1174811.7958955525</c:v>
                </c:pt>
                <c:pt idx="51">
                  <c:v>1174811.7958955525</c:v>
                </c:pt>
                <c:pt idx="52">
                  <c:v>1174811.7958955525</c:v>
                </c:pt>
                <c:pt idx="53">
                  <c:v>1174811.7958955525</c:v>
                </c:pt>
                <c:pt idx="54">
                  <c:v>1174811.7958955525</c:v>
                </c:pt>
                <c:pt idx="55">
                  <c:v>1174811.7958955525</c:v>
                </c:pt>
                <c:pt idx="56">
                  <c:v>1174811.7958955525</c:v>
                </c:pt>
                <c:pt idx="57">
                  <c:v>1174811.7958955525</c:v>
                </c:pt>
                <c:pt idx="58">
                  <c:v>1174811.7958955525</c:v>
                </c:pt>
                <c:pt idx="59">
                  <c:v>1174811.7958955525</c:v>
                </c:pt>
                <c:pt idx="60">
                  <c:v>1174811.7958955525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'model2(1)&amp;KDJ'!$J$1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'model2(1)&amp;KDJ'!时间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'model2(1)&amp;KDJ'!资产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32539.676068672419</c:v>
                </c:pt>
                <c:pt idx="4">
                  <c:v>45290.016672375939</c:v>
                </c:pt>
                <c:pt idx="5">
                  <c:v>58930.708749033642</c:v>
                </c:pt>
                <c:pt idx="6">
                  <c:v>72037.588440626103</c:v>
                </c:pt>
                <c:pt idx="7">
                  <c:v>91127.831202443733</c:v>
                </c:pt>
                <c:pt idx="8">
                  <c:v>114772.91369357279</c:v>
                </c:pt>
                <c:pt idx="9">
                  <c:v>144299.58740987329</c:v>
                </c:pt>
                <c:pt idx="10">
                  <c:v>172221.90309628294</c:v>
                </c:pt>
                <c:pt idx="11">
                  <c:v>220838.52246295888</c:v>
                </c:pt>
                <c:pt idx="12">
                  <c:v>274730.81703876337</c:v>
                </c:pt>
                <c:pt idx="13">
                  <c:v>289401.31677113828</c:v>
                </c:pt>
                <c:pt idx="14">
                  <c:v>307983.48661338544</c:v>
                </c:pt>
                <c:pt idx="15">
                  <c:v>319821.82541532879</c:v>
                </c:pt>
                <c:pt idx="16">
                  <c:v>355162.70695335232</c:v>
                </c:pt>
                <c:pt idx="17">
                  <c:v>407407.79154751968</c:v>
                </c:pt>
                <c:pt idx="18">
                  <c:v>442807.11376621987</c:v>
                </c:pt>
                <c:pt idx="19">
                  <c:v>507363.69111159927</c:v>
                </c:pt>
                <c:pt idx="20">
                  <c:v>517300.78800439835</c:v>
                </c:pt>
                <c:pt idx="21">
                  <c:v>547345.35538780736</c:v>
                </c:pt>
                <c:pt idx="22">
                  <c:v>559115.81364525878</c:v>
                </c:pt>
                <c:pt idx="23">
                  <c:v>569628.59715715307</c:v>
                </c:pt>
                <c:pt idx="24">
                  <c:v>626313.76754108467</c:v>
                </c:pt>
                <c:pt idx="25">
                  <c:v>658360.51692170033</c:v>
                </c:pt>
                <c:pt idx="26">
                  <c:v>649504.62342201441</c:v>
                </c:pt>
                <c:pt idx="27">
                  <c:v>660222.7287849586</c:v>
                </c:pt>
                <c:pt idx="28">
                  <c:v>676946.8615242237</c:v>
                </c:pt>
                <c:pt idx="29">
                  <c:v>704596.64392232103</c:v>
                </c:pt>
                <c:pt idx="30">
                  <c:v>737546.09345506981</c:v>
                </c:pt>
                <c:pt idx="31">
                  <c:v>698167.98493372917</c:v>
                </c:pt>
                <c:pt idx="32">
                  <c:v>832019.49068979442</c:v>
                </c:pt>
                <c:pt idx="33">
                  <c:v>878554.07017397531</c:v>
                </c:pt>
                <c:pt idx="34">
                  <c:v>936546.87121475919</c:v>
                </c:pt>
                <c:pt idx="35">
                  <c:v>948636.28833261249</c:v>
                </c:pt>
                <c:pt idx="36">
                  <c:v>961122.90812324767</c:v>
                </c:pt>
                <c:pt idx="37">
                  <c:v>989142.33548722172</c:v>
                </c:pt>
                <c:pt idx="38">
                  <c:v>973582.81026556354</c:v>
                </c:pt>
                <c:pt idx="39">
                  <c:v>1225613.8195988638</c:v>
                </c:pt>
                <c:pt idx="40">
                  <c:v>1244203.3791207566</c:v>
                </c:pt>
                <c:pt idx="41">
                  <c:v>1254058.1712787906</c:v>
                </c:pt>
                <c:pt idx="42">
                  <c:v>1269982.2250177334</c:v>
                </c:pt>
                <c:pt idx="43">
                  <c:v>1261609.5840448712</c:v>
                </c:pt>
                <c:pt idx="44">
                  <c:v>1335916.9391438307</c:v>
                </c:pt>
                <c:pt idx="45">
                  <c:v>1314949.1002298743</c:v>
                </c:pt>
                <c:pt idx="46">
                  <c:v>1248420.7810565473</c:v>
                </c:pt>
                <c:pt idx="47">
                  <c:v>1278202.1641418459</c:v>
                </c:pt>
                <c:pt idx="48">
                  <c:v>1331771.4417844575</c:v>
                </c:pt>
                <c:pt idx="49">
                  <c:v>1386631.3667719837</c:v>
                </c:pt>
                <c:pt idx="50">
                  <c:v>1655315.9115262507</c:v>
                </c:pt>
                <c:pt idx="51">
                  <c:v>1783343.2457086968</c:v>
                </c:pt>
                <c:pt idx="52">
                  <c:v>1759429.1869965703</c:v>
                </c:pt>
                <c:pt idx="53">
                  <c:v>1707604.5820033031</c:v>
                </c:pt>
                <c:pt idx="54">
                  <c:v>1744929.5685449983</c:v>
                </c:pt>
                <c:pt idx="55">
                  <c:v>1757214.9098912054</c:v>
                </c:pt>
                <c:pt idx="56">
                  <c:v>1761758.5218942678</c:v>
                </c:pt>
                <c:pt idx="57">
                  <c:v>1721412.8570318066</c:v>
                </c:pt>
                <c:pt idx="58">
                  <c:v>1912029.4197918652</c:v>
                </c:pt>
                <c:pt idx="59">
                  <c:v>2010615.8177554612</c:v>
                </c:pt>
                <c:pt idx="60">
                  <c:v>2054661.8557303001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'model2(1)&amp;KDJ'!$K$1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'model2(1)&amp;KDJ'!时间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'model2(1)&amp;KDJ'!金额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-229.62281401147266</c:v>
                </c:pt>
                <c:pt idx="4">
                  <c:v>853.90339588841016</c:v>
                </c:pt>
                <c:pt idx="5">
                  <c:v>1674.8735125260864</c:v>
                </c:pt>
                <c:pt idx="6">
                  <c:v>567.36948455446691</c:v>
                </c:pt>
                <c:pt idx="7">
                  <c:v>-6767.1036419250595</c:v>
                </c:pt>
                <c:pt idx="8">
                  <c:v>-7687.5810587266897</c:v>
                </c:pt>
                <c:pt idx="9">
                  <c:v>-19399.106821455644</c:v>
                </c:pt>
                <c:pt idx="10">
                  <c:v>-32699.450171726319</c:v>
                </c:pt>
                <c:pt idx="11">
                  <c:v>-25992.617187732365</c:v>
                </c:pt>
                <c:pt idx="12">
                  <c:v>2979.5203769892105</c:v>
                </c:pt>
                <c:pt idx="13">
                  <c:v>-11325.998750273313</c:v>
                </c:pt>
                <c:pt idx="14">
                  <c:v>-24332.804343394004</c:v>
                </c:pt>
                <c:pt idx="15">
                  <c:v>-52111.709880648472</c:v>
                </c:pt>
                <c:pt idx="16">
                  <c:v>-56247.338586228085</c:v>
                </c:pt>
                <c:pt idx="17">
                  <c:v>-39187.093771462154</c:v>
                </c:pt>
                <c:pt idx="18">
                  <c:v>-37489.583229190845</c:v>
                </c:pt>
                <c:pt idx="19">
                  <c:v>2932.6341382245882</c:v>
                </c:pt>
                <c:pt idx="20">
                  <c:v>-13786.551872974145</c:v>
                </c:pt>
                <c:pt idx="21">
                  <c:v>-8362.6794893778861</c:v>
                </c:pt>
                <c:pt idx="22">
                  <c:v>-22561.030850752722</c:v>
                </c:pt>
                <c:pt idx="23">
                  <c:v>-45640.348194712773</c:v>
                </c:pt>
                <c:pt idx="24">
                  <c:v>-17950.096674059867</c:v>
                </c:pt>
                <c:pt idx="25">
                  <c:v>-12972.7833244676</c:v>
                </c:pt>
                <c:pt idx="26">
                  <c:v>-53633.675889383419</c:v>
                </c:pt>
                <c:pt idx="27">
                  <c:v>-80014.101955340127</c:v>
                </c:pt>
                <c:pt idx="28">
                  <c:v>-101218.34975401871</c:v>
                </c:pt>
                <c:pt idx="29">
                  <c:v>-113470.74583769927</c:v>
                </c:pt>
                <c:pt idx="30">
                  <c:v>-119964.76931073971</c:v>
                </c:pt>
                <c:pt idx="31">
                  <c:v>-216017.27683302353</c:v>
                </c:pt>
                <c:pt idx="32">
                  <c:v>-120190.26941923634</c:v>
                </c:pt>
                <c:pt idx="33">
                  <c:v>-109757.40218536614</c:v>
                </c:pt>
                <c:pt idx="34">
                  <c:v>-85277.640443595825</c:v>
                </c:pt>
                <c:pt idx="35">
                  <c:v>-105024.10935369483</c:v>
                </c:pt>
                <c:pt idx="36">
                  <c:v>-125456.27422563673</c:v>
                </c:pt>
                <c:pt idx="37">
                  <c:v>-129989.81464032864</c:v>
                </c:pt>
                <c:pt idx="38">
                  <c:v>-165930.2175157835</c:v>
                </c:pt>
                <c:pt idx="39">
                  <c:v>84647.655818304047</c:v>
                </c:pt>
                <c:pt idx="40">
                  <c:v>100626.95985379792</c:v>
                </c:pt>
                <c:pt idx="41">
                  <c:v>107032.1381525693</c:v>
                </c:pt>
                <c:pt idx="42">
                  <c:v>119877.73446646263</c:v>
                </c:pt>
                <c:pt idx="43">
                  <c:v>107000.92455737502</c:v>
                </c:pt>
                <c:pt idx="44">
                  <c:v>181308.27965633455</c:v>
                </c:pt>
                <c:pt idx="45">
                  <c:v>160340.44074237812</c:v>
                </c:pt>
                <c:pt idx="46">
                  <c:v>87771.046986870235</c:v>
                </c:pt>
                <c:pt idx="47">
                  <c:v>108837.67408501869</c:v>
                </c:pt>
                <c:pt idx="48">
                  <c:v>157787.20358477649</c:v>
                </c:pt>
                <c:pt idx="49">
                  <c:v>211819.57087643119</c:v>
                </c:pt>
                <c:pt idx="50">
                  <c:v>480504.11563069816</c:v>
                </c:pt>
                <c:pt idx="51">
                  <c:v>608531.44981314428</c:v>
                </c:pt>
                <c:pt idx="52">
                  <c:v>584617.39110101783</c:v>
                </c:pt>
                <c:pt idx="53">
                  <c:v>532792.78610775061</c:v>
                </c:pt>
                <c:pt idx="54">
                  <c:v>570117.7726494458</c:v>
                </c:pt>
                <c:pt idx="55">
                  <c:v>582403.11399565288</c:v>
                </c:pt>
                <c:pt idx="56">
                  <c:v>586946.72599871526</c:v>
                </c:pt>
                <c:pt idx="57">
                  <c:v>546601.06113625411</c:v>
                </c:pt>
                <c:pt idx="58">
                  <c:v>737217.62389631267</c:v>
                </c:pt>
                <c:pt idx="59">
                  <c:v>835804.02185990871</c:v>
                </c:pt>
                <c:pt idx="60">
                  <c:v>879850.05983474758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043008"/>
        <c:axId val="566044544"/>
      </c:lineChart>
      <c:dateAx>
        <c:axId val="56604300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044544"/>
        <c:crosses val="autoZero"/>
        <c:auto val="1"/>
        <c:lblOffset val="100"/>
        <c:baseTimeUnit val="months"/>
      </c:dateAx>
      <c:valAx>
        <c:axId val="5660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04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            amount  per month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'model2(1)&amp;KDJ'!买卖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41238.199479029456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39617.24433919783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39902.178481777861</c:v>
                </c:pt>
                <c:pt idx="30">
                  <c:v>39443.473005789252</c:v>
                </c:pt>
                <c:pt idx="31">
                  <c:v>56674.399000943209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32918.784662577113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-2040.9409313837987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8714.7559871502253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-17883.962059553654</c:v>
                </c:pt>
                <c:pt idx="51">
                  <c:v>-28655.058483172998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-20790.629041221724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-36057.366675283578</c:v>
                </c:pt>
                <c:pt idx="60">
                  <c:v>-60139.263576626639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535-418F-85F4-8032C2033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004800"/>
        <c:axId val="56702464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'model2(1)&amp;KDJ'!时间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'model2(1)&amp;KDJ'!指数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535-418F-85F4-8032C2033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950912"/>
        <c:axId val="567023104"/>
      </c:lineChart>
      <c:dateAx>
        <c:axId val="5669509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7023104"/>
        <c:crosses val="autoZero"/>
        <c:auto val="1"/>
        <c:lblOffset val="100"/>
        <c:baseTimeUnit val="months"/>
      </c:dateAx>
      <c:valAx>
        <c:axId val="5670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950912"/>
        <c:crosses val="autoZero"/>
        <c:crossBetween val="between"/>
      </c:valAx>
      <c:valAx>
        <c:axId val="56702464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004800"/>
        <c:crosses val="max"/>
        <c:crossBetween val="between"/>
      </c:valAx>
      <c:catAx>
        <c:axId val="569004800"/>
        <c:scaling>
          <c:orientation val="minMax"/>
        </c:scaling>
        <c:delete val="1"/>
        <c:axPos val="b"/>
        <c:majorTickMark val="out"/>
        <c:minorTickMark val="none"/>
        <c:tickLblPos val="nextTo"/>
        <c:crossAx val="567024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'model2(2)vol'!$K$1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'model2(2)vol'!时间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'model2(2)vol'!资金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6530.9816532635796</c:v>
                </c:pt>
                <c:pt idx="3">
                  <c:v>20604.162131028439</c:v>
                </c:pt>
                <c:pt idx="4">
                  <c:v>30048.60611489803</c:v>
                </c:pt>
                <c:pt idx="5">
                  <c:v>40578.544396479396</c:v>
                </c:pt>
                <c:pt idx="6">
                  <c:v>50321.457799113727</c:v>
                </c:pt>
                <c:pt idx="7">
                  <c:v>92490.404435274002</c:v>
                </c:pt>
                <c:pt idx="8">
                  <c:v>108417.00950640539</c:v>
                </c:pt>
                <c:pt idx="9">
                  <c:v>161899.45514208949</c:v>
                </c:pt>
                <c:pt idx="10">
                  <c:v>316760.96457061276</c:v>
                </c:pt>
                <c:pt idx="11">
                  <c:v>391246.63667482603</c:v>
                </c:pt>
                <c:pt idx="12">
                  <c:v>458266.63088609849</c:v>
                </c:pt>
                <c:pt idx="13">
                  <c:v>533881.81346567278</c:v>
                </c:pt>
                <c:pt idx="14">
                  <c:v>565141.17820210929</c:v>
                </c:pt>
                <c:pt idx="15">
                  <c:v>717343.96299925295</c:v>
                </c:pt>
                <c:pt idx="16">
                  <c:v>963717.5324683286</c:v>
                </c:pt>
                <c:pt idx="17">
                  <c:v>1112890.8762057021</c:v>
                </c:pt>
                <c:pt idx="18">
                  <c:v>1226606.9228414376</c:v>
                </c:pt>
                <c:pt idx="19">
                  <c:v>1296449.9068383197</c:v>
                </c:pt>
                <c:pt idx="20">
                  <c:v>1322209.7651891729</c:v>
                </c:pt>
                <c:pt idx="21">
                  <c:v>1376396.3111458723</c:v>
                </c:pt>
                <c:pt idx="22">
                  <c:v>1447474.3726324127</c:v>
                </c:pt>
                <c:pt idx="23">
                  <c:v>1549567.0842240569</c:v>
                </c:pt>
                <c:pt idx="24">
                  <c:v>1659572.0024044691</c:v>
                </c:pt>
                <c:pt idx="25">
                  <c:v>1750125.7967547385</c:v>
                </c:pt>
                <c:pt idx="26">
                  <c:v>1941661.297232378</c:v>
                </c:pt>
                <c:pt idx="27">
                  <c:v>2078896.4542088122</c:v>
                </c:pt>
                <c:pt idx="28">
                  <c:v>2366634.0564247202</c:v>
                </c:pt>
                <c:pt idx="29">
                  <c:v>2702955.2579278424</c:v>
                </c:pt>
                <c:pt idx="30">
                  <c:v>3237177.7106007212</c:v>
                </c:pt>
                <c:pt idx="31">
                  <c:v>4686429.8396578673</c:v>
                </c:pt>
                <c:pt idx="32">
                  <c:v>5769332.0892958064</c:v>
                </c:pt>
                <c:pt idx="33">
                  <c:v>6406772.7583053345</c:v>
                </c:pt>
                <c:pt idx="34">
                  <c:v>6734665.0196119556</c:v>
                </c:pt>
                <c:pt idx="35">
                  <c:v>7100439.0272066677</c:v>
                </c:pt>
                <c:pt idx="36">
                  <c:v>7595668.795410092</c:v>
                </c:pt>
                <c:pt idx="37">
                  <c:v>8103103.269966363</c:v>
                </c:pt>
                <c:pt idx="38">
                  <c:v>8256379.9279411966</c:v>
                </c:pt>
                <c:pt idx="39">
                  <c:v>8257762.5822227197</c:v>
                </c:pt>
                <c:pt idx="40">
                  <c:v>8258332.3049658481</c:v>
                </c:pt>
                <c:pt idx="41">
                  <c:v>8259407.9355940465</c:v>
                </c:pt>
                <c:pt idx="42">
                  <c:v>8260653.9744826676</c:v>
                </c:pt>
                <c:pt idx="43">
                  <c:v>8261600.0727247298</c:v>
                </c:pt>
                <c:pt idx="44">
                  <c:v>8261600.0727247298</c:v>
                </c:pt>
                <c:pt idx="45">
                  <c:v>8261600.0727247298</c:v>
                </c:pt>
                <c:pt idx="46">
                  <c:v>8265363.9058102081</c:v>
                </c:pt>
                <c:pt idx="47">
                  <c:v>8274733.9523831541</c:v>
                </c:pt>
                <c:pt idx="48">
                  <c:v>8275550.7811359968</c:v>
                </c:pt>
                <c:pt idx="49">
                  <c:v>8275639.9932962749</c:v>
                </c:pt>
                <c:pt idx="50">
                  <c:v>8275639.9932962749</c:v>
                </c:pt>
                <c:pt idx="51">
                  <c:v>8275639.9932962749</c:v>
                </c:pt>
                <c:pt idx="52">
                  <c:v>8275639.9932962749</c:v>
                </c:pt>
                <c:pt idx="53">
                  <c:v>8275639.9932962749</c:v>
                </c:pt>
                <c:pt idx="54">
                  <c:v>8275639.9932962749</c:v>
                </c:pt>
                <c:pt idx="55">
                  <c:v>8275639.9932962749</c:v>
                </c:pt>
                <c:pt idx="56">
                  <c:v>8275639.9932962749</c:v>
                </c:pt>
                <c:pt idx="57">
                  <c:v>8275639.9932962749</c:v>
                </c:pt>
                <c:pt idx="58">
                  <c:v>8275639.9932962749</c:v>
                </c:pt>
                <c:pt idx="59">
                  <c:v>8275639.9932962749</c:v>
                </c:pt>
                <c:pt idx="60">
                  <c:v>8275639.9932962749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'model2(2)vol'!$L$1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'model2(2)vol'!时间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'model2(2)vol'!资产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6489.0244720513492</c:v>
                </c:pt>
                <c:pt idx="3">
                  <c:v>20528.617866627534</c:v>
                </c:pt>
                <c:pt idx="4">
                  <c:v>30656.636433863208</c:v>
                </c:pt>
                <c:pt idx="5">
                  <c:v>41742.286199741255</c:v>
                </c:pt>
                <c:pt idx="6">
                  <c:v>50700.723204851936</c:v>
                </c:pt>
                <c:pt idx="7">
                  <c:v>87707.599595621417</c:v>
                </c:pt>
                <c:pt idx="8">
                  <c:v>102748.27482902521</c:v>
                </c:pt>
                <c:pt idx="9">
                  <c:v>145746.19908234879</c:v>
                </c:pt>
                <c:pt idx="10">
                  <c:v>287174.02845268842</c:v>
                </c:pt>
                <c:pt idx="11">
                  <c:v>372843.11109612999</c:v>
                </c:pt>
                <c:pt idx="12">
                  <c:v>488776.95323693502</c:v>
                </c:pt>
                <c:pt idx="13">
                  <c:v>538941.01195329335</c:v>
                </c:pt>
                <c:pt idx="14">
                  <c:v>545978.2997246146</c:v>
                </c:pt>
                <c:pt idx="15">
                  <c:v>648935.97797330306</c:v>
                </c:pt>
                <c:pt idx="16">
                  <c:v>886918.1305804915</c:v>
                </c:pt>
                <c:pt idx="17">
                  <c:v>1078694.5971743001</c:v>
                </c:pt>
                <c:pt idx="18">
                  <c:v>1196905.1465873122</c:v>
                </c:pt>
                <c:pt idx="19">
                  <c:v>1376009.1575628023</c:v>
                </c:pt>
                <c:pt idx="20">
                  <c:v>1356425.3039739989</c:v>
                </c:pt>
                <c:pt idx="21">
                  <c:v>1424833.9000749043</c:v>
                </c:pt>
                <c:pt idx="22">
                  <c:v>1458951.2161276448</c:v>
                </c:pt>
                <c:pt idx="23">
                  <c:v>1500820.9877046999</c:v>
                </c:pt>
                <c:pt idx="24">
                  <c:v>1683782.4092004693</c:v>
                </c:pt>
                <c:pt idx="25">
                  <c:v>1787717.2165468682</c:v>
                </c:pt>
                <c:pt idx="26">
                  <c:v>1868841.8162944028</c:v>
                </c:pt>
                <c:pt idx="27">
                  <c:v>1930171.6731607716</c:v>
                </c:pt>
                <c:pt idx="28">
                  <c:v>2155918.3188899001</c:v>
                </c:pt>
                <c:pt idx="29">
                  <c:v>2453218.4883616087</c:v>
                </c:pt>
                <c:pt idx="30">
                  <c:v>2964830.4750532256</c:v>
                </c:pt>
                <c:pt idx="31">
                  <c:v>4027965.1749293907</c:v>
                </c:pt>
                <c:pt idx="32">
                  <c:v>5663725.557581082</c:v>
                </c:pt>
                <c:pt idx="33">
                  <c:v>6372184.8715292439</c:v>
                </c:pt>
                <c:pt idx="34">
                  <c:v>6877629.7419754015</c:v>
                </c:pt>
                <c:pt idx="35">
                  <c:v>7098393.4932239084</c:v>
                </c:pt>
                <c:pt idx="36">
                  <c:v>7440734.7962027993</c:v>
                </c:pt>
                <c:pt idx="37">
                  <c:v>7913071.9157501683</c:v>
                </c:pt>
                <c:pt idx="38">
                  <c:v>7778827.7767363442</c:v>
                </c:pt>
                <c:pt idx="39">
                  <c:v>9782302.1902129967</c:v>
                </c:pt>
                <c:pt idx="40">
                  <c:v>9910411.5819488037</c:v>
                </c:pt>
                <c:pt idx="41">
                  <c:v>9962506.1651548725</c:v>
                </c:pt>
                <c:pt idx="42">
                  <c:v>10065800.366882509</c:v>
                </c:pt>
                <c:pt idx="43">
                  <c:v>9964685.668245811</c:v>
                </c:pt>
                <c:pt idx="44">
                  <c:v>10551594.206167569</c:v>
                </c:pt>
                <c:pt idx="45">
                  <c:v>10385733.260172937</c:v>
                </c:pt>
                <c:pt idx="46">
                  <c:v>9815363.7313594464</c:v>
                </c:pt>
                <c:pt idx="47">
                  <c:v>9990658.2393457592</c:v>
                </c:pt>
                <c:pt idx="48">
                  <c:v>10374736.433478715</c:v>
                </c:pt>
                <c:pt idx="49">
                  <c:v>10796447.409914475</c:v>
                </c:pt>
                <c:pt idx="50">
                  <c:v>12891792.744150877</c:v>
                </c:pt>
                <c:pt idx="51">
                  <c:v>13895177.235812919</c:v>
                </c:pt>
                <c:pt idx="52">
                  <c:v>13706725.103305629</c:v>
                </c:pt>
                <c:pt idx="53">
                  <c:v>13294599.184037466</c:v>
                </c:pt>
                <c:pt idx="54">
                  <c:v>13593904.720455116</c:v>
                </c:pt>
                <c:pt idx="55">
                  <c:v>13693324.410529703</c:v>
                </c:pt>
                <c:pt idx="56">
                  <c:v>13730295.986690177</c:v>
                </c:pt>
                <c:pt idx="57">
                  <c:v>13398983.216919765</c:v>
                </c:pt>
                <c:pt idx="58">
                  <c:v>14977272.805961713</c:v>
                </c:pt>
                <c:pt idx="59">
                  <c:v>15803331.182775768</c:v>
                </c:pt>
                <c:pt idx="60">
                  <c:v>16174234.157067223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'model2(2)vol'!$M$1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'model2(2)vol'!时间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-41.957181212230353</c:v>
                </c:pt>
                <c:pt idx="3">
                  <c:v>-75.544264400905377</c:v>
                </c:pt>
                <c:pt idx="4">
                  <c:v>608.03031896517859</c:v>
                </c:pt>
                <c:pt idx="5">
                  <c:v>1163.7418032618589</c:v>
                </c:pt>
                <c:pt idx="6">
                  <c:v>379.26540573820967</c:v>
                </c:pt>
                <c:pt idx="7">
                  <c:v>-4782.8048396525846</c:v>
                </c:pt>
                <c:pt idx="8">
                  <c:v>-5668.7346773801837</c:v>
                </c:pt>
                <c:pt idx="9">
                  <c:v>-16153.256059740699</c:v>
                </c:pt>
                <c:pt idx="10">
                  <c:v>-29586.936117924342</c:v>
                </c:pt>
                <c:pt idx="11">
                  <c:v>-18403.525578696048</c:v>
                </c:pt>
                <c:pt idx="12">
                  <c:v>30510.322350836534</c:v>
                </c:pt>
                <c:pt idx="13">
                  <c:v>5059.1984876205679</c:v>
                </c:pt>
                <c:pt idx="14">
                  <c:v>-19162.878477494698</c:v>
                </c:pt>
                <c:pt idx="15">
                  <c:v>-68407.985025949893</c:v>
                </c:pt>
                <c:pt idx="16">
                  <c:v>-76799.401887837099</c:v>
                </c:pt>
                <c:pt idx="17">
                  <c:v>-34196.279031401966</c:v>
                </c:pt>
                <c:pt idx="18">
                  <c:v>-29701.776254125405</c:v>
                </c:pt>
                <c:pt idx="19">
                  <c:v>79559.250724482583</c:v>
                </c:pt>
                <c:pt idx="20">
                  <c:v>34215.538784825942</c:v>
                </c:pt>
                <c:pt idx="21">
                  <c:v>48437.588929031976</c:v>
                </c:pt>
                <c:pt idx="22">
                  <c:v>11476.843495232053</c:v>
                </c:pt>
                <c:pt idx="23">
                  <c:v>-48746.096519357059</c:v>
                </c:pt>
                <c:pt idx="24">
                  <c:v>24210.406796000199</c:v>
                </c:pt>
                <c:pt idx="25">
                  <c:v>37591.419792129658</c:v>
                </c:pt>
                <c:pt idx="26">
                  <c:v>-72819.480937975226</c:v>
                </c:pt>
                <c:pt idx="27">
                  <c:v>-148724.7810480406</c:v>
                </c:pt>
                <c:pt idx="28">
                  <c:v>-210715.7375348201</c:v>
                </c:pt>
                <c:pt idx="29">
                  <c:v>-249736.76956623374</c:v>
                </c:pt>
                <c:pt idx="30">
                  <c:v>-272347.23554749554</c:v>
                </c:pt>
                <c:pt idx="31">
                  <c:v>-658464.66472847667</c:v>
                </c:pt>
                <c:pt idx="32">
                  <c:v>-105606.53171472438</c:v>
                </c:pt>
                <c:pt idx="33">
                  <c:v>-34587.8867760906</c:v>
                </c:pt>
                <c:pt idx="34">
                  <c:v>142964.72236344591</c:v>
                </c:pt>
                <c:pt idx="35">
                  <c:v>-2045.5339827593416</c:v>
                </c:pt>
                <c:pt idx="36">
                  <c:v>-154933.99920729268</c:v>
                </c:pt>
                <c:pt idx="37">
                  <c:v>-190031.35421619471</c:v>
                </c:pt>
                <c:pt idx="38">
                  <c:v>-477552.15120485239</c:v>
                </c:pt>
                <c:pt idx="39">
                  <c:v>1524539.607990277</c:v>
                </c:pt>
                <c:pt idx="40">
                  <c:v>1652079.2769829556</c:v>
                </c:pt>
                <c:pt idx="41">
                  <c:v>1703098.229560826</c:v>
                </c:pt>
                <c:pt idx="42">
                  <c:v>1805146.392399841</c:v>
                </c:pt>
                <c:pt idx="43">
                  <c:v>1703085.5955210812</c:v>
                </c:pt>
                <c:pt idx="44">
                  <c:v>2289994.1334428396</c:v>
                </c:pt>
                <c:pt idx="45">
                  <c:v>2124133.1874482073</c:v>
                </c:pt>
                <c:pt idx="46">
                  <c:v>1549999.8255492384</c:v>
                </c:pt>
                <c:pt idx="47">
                  <c:v>1715924.2869626051</c:v>
                </c:pt>
                <c:pt idx="48">
                  <c:v>2099185.6523427181</c:v>
                </c:pt>
                <c:pt idx="49">
                  <c:v>2520807.4166182</c:v>
                </c:pt>
                <c:pt idx="50">
                  <c:v>4616152.7508546021</c:v>
                </c:pt>
                <c:pt idx="51">
                  <c:v>5619537.2425166443</c:v>
                </c:pt>
                <c:pt idx="52">
                  <c:v>5431085.1100093536</c:v>
                </c:pt>
                <c:pt idx="53">
                  <c:v>5018959.1907411907</c:v>
                </c:pt>
                <c:pt idx="54">
                  <c:v>5318264.7271588407</c:v>
                </c:pt>
                <c:pt idx="55">
                  <c:v>5417684.417233428</c:v>
                </c:pt>
                <c:pt idx="56">
                  <c:v>5454655.9933939017</c:v>
                </c:pt>
                <c:pt idx="57">
                  <c:v>5123343.22362349</c:v>
                </c:pt>
                <c:pt idx="58">
                  <c:v>6701632.8126654383</c:v>
                </c:pt>
                <c:pt idx="59">
                  <c:v>7527691.1894794926</c:v>
                </c:pt>
                <c:pt idx="60">
                  <c:v>7898594.1637709476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456256"/>
        <c:axId val="519457792"/>
      </c:lineChart>
      <c:dateAx>
        <c:axId val="51945625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457792"/>
        <c:crosses val="autoZero"/>
        <c:auto val="1"/>
        <c:lblOffset val="100"/>
        <c:baseTimeUnit val="days"/>
      </c:dateAx>
      <c:valAx>
        <c:axId val="51945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45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'model2(2)vol'!买卖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5475.7585457760078</c:v>
                </c:pt>
                <c:pt idx="3">
                  <c:v>14073.180477764858</c:v>
                </c:pt>
                <c:pt idx="4">
                  <c:v>9444.4439838695889</c:v>
                </c:pt>
                <c:pt idx="5">
                  <c:v>10529.938281581366</c:v>
                </c:pt>
                <c:pt idx="6">
                  <c:v>9742.9134026343309</c:v>
                </c:pt>
                <c:pt idx="7">
                  <c:v>42168.946636160275</c:v>
                </c:pt>
                <c:pt idx="8">
                  <c:v>15926.605071131393</c:v>
                </c:pt>
                <c:pt idx="9">
                  <c:v>53482.445635684089</c:v>
                </c:pt>
                <c:pt idx="10">
                  <c:v>154861.50942852328</c:v>
                </c:pt>
                <c:pt idx="11">
                  <c:v>74485.672104213299</c:v>
                </c:pt>
                <c:pt idx="12">
                  <c:v>67019.994211272453</c:v>
                </c:pt>
                <c:pt idx="13">
                  <c:v>75615.182579574277</c:v>
                </c:pt>
                <c:pt idx="14">
                  <c:v>31259.364736436506</c:v>
                </c:pt>
                <c:pt idx="15">
                  <c:v>152202.78479714369</c:v>
                </c:pt>
                <c:pt idx="16">
                  <c:v>246373.56946907562</c:v>
                </c:pt>
                <c:pt idx="17">
                  <c:v>149173.34373737345</c:v>
                </c:pt>
                <c:pt idx="18">
                  <c:v>113716.04663573549</c:v>
                </c:pt>
                <c:pt idx="19">
                  <c:v>69842.98399688222</c:v>
                </c:pt>
                <c:pt idx="20">
                  <c:v>25759.858350853305</c:v>
                </c:pt>
                <c:pt idx="21">
                  <c:v>54186.545956699294</c:v>
                </c:pt>
                <c:pt idx="22">
                  <c:v>71078.061486540464</c:v>
                </c:pt>
                <c:pt idx="23">
                  <c:v>102092.71159164411</c:v>
                </c:pt>
                <c:pt idx="24">
                  <c:v>110004.91818041205</c:v>
                </c:pt>
                <c:pt idx="25">
                  <c:v>90553.794350269542</c:v>
                </c:pt>
                <c:pt idx="26">
                  <c:v>191535.50047763943</c:v>
                </c:pt>
                <c:pt idx="27">
                  <c:v>137235.15697643414</c:v>
                </c:pt>
                <c:pt idx="28">
                  <c:v>287737.60221590794</c:v>
                </c:pt>
                <c:pt idx="29">
                  <c:v>336321.20150312199</c:v>
                </c:pt>
                <c:pt idx="30">
                  <c:v>534222.45267287875</c:v>
                </c:pt>
                <c:pt idx="31">
                  <c:v>1449252.1290571459</c:v>
                </c:pt>
                <c:pt idx="32">
                  <c:v>1082902.2496379393</c:v>
                </c:pt>
                <c:pt idx="33">
                  <c:v>637440.66900952836</c:v>
                </c:pt>
                <c:pt idx="34">
                  <c:v>327892.26130662102</c:v>
                </c:pt>
                <c:pt idx="35">
                  <c:v>365774.00759471167</c:v>
                </c:pt>
                <c:pt idx="36">
                  <c:v>495229.76820342394</c:v>
                </c:pt>
                <c:pt idx="37">
                  <c:v>507434.47455627128</c:v>
                </c:pt>
                <c:pt idx="38">
                  <c:v>153276.65797483371</c:v>
                </c:pt>
                <c:pt idx="39">
                  <c:v>1382.6542815230166</c:v>
                </c:pt>
                <c:pt idx="40">
                  <c:v>569.72274312846628</c:v>
                </c:pt>
                <c:pt idx="41">
                  <c:v>1075.6306281980965</c:v>
                </c:pt>
                <c:pt idx="42">
                  <c:v>1246.0388886215089</c:v>
                </c:pt>
                <c:pt idx="43">
                  <c:v>946.09824206255894</c:v>
                </c:pt>
                <c:pt idx="44">
                  <c:v>-295.3426593807647</c:v>
                </c:pt>
                <c:pt idx="45">
                  <c:v>-7.0445561652667319</c:v>
                </c:pt>
                <c:pt idx="46">
                  <c:v>3763.8330854783617</c:v>
                </c:pt>
                <c:pt idx="47">
                  <c:v>9370.0465729457555</c:v>
                </c:pt>
                <c:pt idx="48">
                  <c:v>816.82875284245119</c:v>
                </c:pt>
                <c:pt idx="49">
                  <c:v>89.212160278304367</c:v>
                </c:pt>
                <c:pt idx="50">
                  <c:v>-76130.650522983706</c:v>
                </c:pt>
                <c:pt idx="51">
                  <c:v>-149777.7061381666</c:v>
                </c:pt>
                <c:pt idx="52">
                  <c:v>-80175.124714138117</c:v>
                </c:pt>
                <c:pt idx="53">
                  <c:v>-18333.497294467583</c:v>
                </c:pt>
                <c:pt idx="54">
                  <c:v>-46393.241034391052</c:v>
                </c:pt>
                <c:pt idx="55">
                  <c:v>-111127.31971233143</c:v>
                </c:pt>
                <c:pt idx="56">
                  <c:v>-56932.913434554059</c:v>
                </c:pt>
                <c:pt idx="57">
                  <c:v>-37743.814809844756</c:v>
                </c:pt>
                <c:pt idx="58">
                  <c:v>-102248.30313182416</c:v>
                </c:pt>
                <c:pt idx="59">
                  <c:v>-228232.84251096987</c:v>
                </c:pt>
                <c:pt idx="60">
                  <c:v>-703792.54386857653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E3-44D9-843C-9797FD9EB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9498368"/>
        <c:axId val="51949683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'model2(2)vol'!时间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'model2(2)vol'!指数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BE3-44D9-843C-9797FD9EB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493504"/>
        <c:axId val="519495040"/>
      </c:lineChart>
      <c:dateAx>
        <c:axId val="51949350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495040"/>
        <c:crosses val="autoZero"/>
        <c:auto val="1"/>
        <c:lblOffset val="100"/>
        <c:baseTimeUnit val="days"/>
      </c:dateAx>
      <c:valAx>
        <c:axId val="51949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493504"/>
        <c:crosses val="autoZero"/>
        <c:crossBetween val="between"/>
      </c:valAx>
      <c:valAx>
        <c:axId val="51949683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498368"/>
        <c:crosses val="max"/>
        <c:crossBetween val="between"/>
      </c:valAx>
      <c:catAx>
        <c:axId val="519498368"/>
        <c:scaling>
          <c:orientation val="minMax"/>
        </c:scaling>
        <c:delete val="1"/>
        <c:axPos val="b"/>
        <c:majorTickMark val="out"/>
        <c:minorTickMark val="none"/>
        <c:tickLblPos val="nextTo"/>
        <c:crossAx val="519496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model2(2)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'model2(2)'!$I$1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'model2(2)'!资金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873748.65103853145</c:v>
                </c:pt>
                <c:pt idx="10">
                  <c:v>1303953.1113054687</c:v>
                </c:pt>
                <c:pt idx="11">
                  <c:v>1748618.9833667437</c:v>
                </c:pt>
                <c:pt idx="12">
                  <c:v>1905837.7746216871</c:v>
                </c:pt>
                <c:pt idx="13">
                  <c:v>2118397.184483476</c:v>
                </c:pt>
                <c:pt idx="14">
                  <c:v>2371020.8222192409</c:v>
                </c:pt>
                <c:pt idx="15">
                  <c:v>2768369.1890627099</c:v>
                </c:pt>
                <c:pt idx="16">
                  <c:v>3162899.5336230397</c:v>
                </c:pt>
                <c:pt idx="17">
                  <c:v>3476310.4071172546</c:v>
                </c:pt>
                <c:pt idx="18">
                  <c:v>3763857.7768067433</c:v>
                </c:pt>
                <c:pt idx="19">
                  <c:v>3911317.8607424269</c:v>
                </c:pt>
                <c:pt idx="20">
                  <c:v>4091205.8147317846</c:v>
                </c:pt>
                <c:pt idx="21">
                  <c:v>4244668.7570795827</c:v>
                </c:pt>
                <c:pt idx="22">
                  <c:v>4415397.6363248602</c:v>
                </c:pt>
                <c:pt idx="23">
                  <c:v>4701075.9249096429</c:v>
                </c:pt>
                <c:pt idx="24">
                  <c:v>4913912.7147547342</c:v>
                </c:pt>
                <c:pt idx="25">
                  <c:v>5099420.1494478136</c:v>
                </c:pt>
                <c:pt idx="26">
                  <c:v>5355510.7736349721</c:v>
                </c:pt>
                <c:pt idx="27">
                  <c:v>5703941.4151998181</c:v>
                </c:pt>
                <c:pt idx="28">
                  <c:v>6068134.3393089483</c:v>
                </c:pt>
                <c:pt idx="29">
                  <c:v>6471218.857686583</c:v>
                </c:pt>
                <c:pt idx="30">
                  <c:v>6865089.1267393492</c:v>
                </c:pt>
                <c:pt idx="31">
                  <c:v>7429784.5385041367</c:v>
                </c:pt>
                <c:pt idx="32">
                  <c:v>7795825.671208417</c:v>
                </c:pt>
                <c:pt idx="33">
                  <c:v>8125783.5515639195</c:v>
                </c:pt>
                <c:pt idx="34">
                  <c:v>8410118.6915784068</c:v>
                </c:pt>
                <c:pt idx="35">
                  <c:v>8666706.9546631575</c:v>
                </c:pt>
                <c:pt idx="36">
                  <c:v>8941047.8112862259</c:v>
                </c:pt>
                <c:pt idx="37">
                  <c:v>9209325.2065264452</c:v>
                </c:pt>
                <c:pt idx="38">
                  <c:v>9314484.7442325279</c:v>
                </c:pt>
                <c:pt idx="39">
                  <c:v>9315019.3275824543</c:v>
                </c:pt>
                <c:pt idx="40">
                  <c:v>9316744.2475075871</c:v>
                </c:pt>
                <c:pt idx="41">
                  <c:v>9319756.864160249</c:v>
                </c:pt>
                <c:pt idx="42">
                  <c:v>9322156.0793799553</c:v>
                </c:pt>
                <c:pt idx="43">
                  <c:v>9327292.1649004761</c:v>
                </c:pt>
                <c:pt idx="44">
                  <c:v>9327292.1649004761</c:v>
                </c:pt>
                <c:pt idx="45">
                  <c:v>9327292.1649004761</c:v>
                </c:pt>
                <c:pt idx="46">
                  <c:v>9336531.2996112294</c:v>
                </c:pt>
                <c:pt idx="47">
                  <c:v>9355758.3811088428</c:v>
                </c:pt>
                <c:pt idx="48">
                  <c:v>9361161.4375400841</c:v>
                </c:pt>
                <c:pt idx="49">
                  <c:v>9361334.8177274242</c:v>
                </c:pt>
                <c:pt idx="50">
                  <c:v>9361334.8177274242</c:v>
                </c:pt>
                <c:pt idx="51">
                  <c:v>9361334.8177274242</c:v>
                </c:pt>
                <c:pt idx="52">
                  <c:v>9361334.8177274242</c:v>
                </c:pt>
                <c:pt idx="53">
                  <c:v>9361334.8177274242</c:v>
                </c:pt>
                <c:pt idx="54">
                  <c:v>9361334.8177274242</c:v>
                </c:pt>
                <c:pt idx="55">
                  <c:v>9361334.8177274242</c:v>
                </c:pt>
                <c:pt idx="56">
                  <c:v>9361334.8177274242</c:v>
                </c:pt>
                <c:pt idx="57">
                  <c:v>9361334.8177274242</c:v>
                </c:pt>
                <c:pt idx="58">
                  <c:v>9361334.8177274242</c:v>
                </c:pt>
                <c:pt idx="59">
                  <c:v>9361334.8177274242</c:v>
                </c:pt>
                <c:pt idx="60">
                  <c:v>9361334.8177274242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'model2(2)'!$J$1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'model2(2)'!时间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'model2(2)'!资产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791207.08711874788</c:v>
                </c:pt>
                <c:pt idx="10">
                  <c:v>1148484.6173179222</c:v>
                </c:pt>
                <c:pt idx="11">
                  <c:v>1637875.8952338244</c:v>
                </c:pt>
                <c:pt idx="12">
                  <c:v>2009970.0860405604</c:v>
                </c:pt>
                <c:pt idx="13">
                  <c:v>2117868.2648799052</c:v>
                </c:pt>
                <c:pt idx="14">
                  <c:v>2275306.7766443291</c:v>
                </c:pt>
                <c:pt idx="15">
                  <c:v>2467431.3741497351</c:v>
                </c:pt>
                <c:pt idx="16">
                  <c:v>2830055.2657757485</c:v>
                </c:pt>
                <c:pt idx="17">
                  <c:v>3279407.8773190342</c:v>
                </c:pt>
                <c:pt idx="18">
                  <c:v>3580619.270033245</c:v>
                </c:pt>
                <c:pt idx="19">
                  <c:v>4054940.7930551437</c:v>
                </c:pt>
                <c:pt idx="20">
                  <c:v>4101206.040943969</c:v>
                </c:pt>
                <c:pt idx="21">
                  <c:v>4297669.9194989735</c:v>
                </c:pt>
                <c:pt idx="22">
                  <c:v>4356915.5698256027</c:v>
                </c:pt>
                <c:pt idx="23">
                  <c:v>4462748.047179861</c:v>
                </c:pt>
                <c:pt idx="24">
                  <c:v>4892523.7626976408</c:v>
                </c:pt>
                <c:pt idx="25">
                  <c:v>5116912.0668515284</c:v>
                </c:pt>
                <c:pt idx="26">
                  <c:v>5056977.9500849163</c:v>
                </c:pt>
                <c:pt idx="27">
                  <c:v>5200013.2362995222</c:v>
                </c:pt>
                <c:pt idx="28">
                  <c:v>5397198.3243987877</c:v>
                </c:pt>
                <c:pt idx="29">
                  <c:v>5702596.2806970682</c:v>
                </c:pt>
                <c:pt idx="30">
                  <c:v>6043907.692957717</c:v>
                </c:pt>
                <c:pt idx="31">
                  <c:v>5821489.6018602243</c:v>
                </c:pt>
                <c:pt idx="32">
                  <c:v>6986558.9616890932</c:v>
                </c:pt>
                <c:pt idx="33">
                  <c:v>7404122.7730168113</c:v>
                </c:pt>
                <c:pt idx="34">
                  <c:v>7894764.1240472868</c:v>
                </c:pt>
                <c:pt idx="35">
                  <c:v>7984896.5277196188</c:v>
                </c:pt>
                <c:pt idx="36">
                  <c:v>8087255.0088565843</c:v>
                </c:pt>
                <c:pt idx="37">
                  <c:v>8317385.4645985421</c:v>
                </c:pt>
                <c:pt idx="38">
                  <c:v>8120333.506806477</c:v>
                </c:pt>
                <c:pt idx="39">
                  <c:v>10210855.58731042</c:v>
                </c:pt>
                <c:pt idx="40">
                  <c:v>10345707.568372607</c:v>
                </c:pt>
                <c:pt idx="41">
                  <c:v>10401980.048094602</c:v>
                </c:pt>
                <c:pt idx="42">
                  <c:v>10510929.054722106</c:v>
                </c:pt>
                <c:pt idx="43">
                  <c:v>10409491.022322454</c:v>
                </c:pt>
                <c:pt idx="44">
                  <c:v>11022598.084584303</c:v>
                </c:pt>
                <c:pt idx="45">
                  <c:v>10849345.136109971</c:v>
                </c:pt>
                <c:pt idx="46">
                  <c:v>10258863.442549834</c:v>
                </c:pt>
                <c:pt idx="47">
                  <c:v>10451499.484404042</c:v>
                </c:pt>
                <c:pt idx="48">
                  <c:v>10857813.941933831</c:v>
                </c:pt>
                <c:pt idx="49">
                  <c:v>11299210.561180593</c:v>
                </c:pt>
                <c:pt idx="50">
                  <c:v>13491985.41697097</c:v>
                </c:pt>
                <c:pt idx="51">
                  <c:v>14541923.524652803</c:v>
                </c:pt>
                <c:pt idx="52">
                  <c:v>14345433.04972039</c:v>
                </c:pt>
                <c:pt idx="53">
                  <c:v>13918241.906652076</c:v>
                </c:pt>
                <c:pt idx="54">
                  <c:v>14227459.764016345</c:v>
                </c:pt>
                <c:pt idx="55">
                  <c:v>14329709.596181171</c:v>
                </c:pt>
                <c:pt idx="56">
                  <c:v>14367689.690924622</c:v>
                </c:pt>
                <c:pt idx="57">
                  <c:v>14028882.557513656</c:v>
                </c:pt>
                <c:pt idx="58">
                  <c:v>15638155.580985475</c:v>
                </c:pt>
                <c:pt idx="59">
                  <c:v>16470742.053078819</c:v>
                </c:pt>
                <c:pt idx="60">
                  <c:v>16842108.331714839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'model2(2)'!$K$1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'model2(2)'!时间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-82541.56391978357</c:v>
                </c:pt>
                <c:pt idx="10">
                  <c:v>-155468.49398754654</c:v>
                </c:pt>
                <c:pt idx="11">
                  <c:v>-110743.08813291928</c:v>
                </c:pt>
                <c:pt idx="12">
                  <c:v>104132.31141887326</c:v>
                </c:pt>
                <c:pt idx="13">
                  <c:v>-528.91960357083008</c:v>
                </c:pt>
                <c:pt idx="14">
                  <c:v>-95714.04557491187</c:v>
                </c:pt>
                <c:pt idx="15">
                  <c:v>-300937.81491297483</c:v>
                </c:pt>
                <c:pt idx="16">
                  <c:v>-332844.26784729119</c:v>
                </c:pt>
                <c:pt idx="17">
                  <c:v>-196902.52979822038</c:v>
                </c:pt>
                <c:pt idx="18">
                  <c:v>-183238.50677349837</c:v>
                </c:pt>
                <c:pt idx="19">
                  <c:v>143622.93231271673</c:v>
                </c:pt>
                <c:pt idx="20">
                  <c:v>10000.226212184411</c:v>
                </c:pt>
                <c:pt idx="21">
                  <c:v>53001.162419390865</c:v>
                </c:pt>
                <c:pt idx="22">
                  <c:v>-58482.06649925746</c:v>
                </c:pt>
                <c:pt idx="23">
                  <c:v>-238327.8777297819</c:v>
                </c:pt>
                <c:pt idx="24">
                  <c:v>-21388.952057093382</c:v>
                </c:pt>
                <c:pt idx="25">
                  <c:v>17491.917403714731</c:v>
                </c:pt>
                <c:pt idx="26">
                  <c:v>-298532.82355005573</c:v>
                </c:pt>
                <c:pt idx="27">
                  <c:v>-503928.17890029587</c:v>
                </c:pt>
                <c:pt idx="28">
                  <c:v>-670936.01491016056</c:v>
                </c:pt>
                <c:pt idx="29">
                  <c:v>-768622.57698951475</c:v>
                </c:pt>
                <c:pt idx="30">
                  <c:v>-821181.43378163222</c:v>
                </c:pt>
                <c:pt idx="31">
                  <c:v>-1608294.9366439125</c:v>
                </c:pt>
                <c:pt idx="32">
                  <c:v>-809266.70951932389</c:v>
                </c:pt>
                <c:pt idx="33">
                  <c:v>-721660.77854710817</c:v>
                </c:pt>
                <c:pt idx="34">
                  <c:v>-515354.56753112003</c:v>
                </c:pt>
                <c:pt idx="35">
                  <c:v>-681810.42694353871</c:v>
                </c:pt>
                <c:pt idx="36">
                  <c:v>-853792.8024296416</c:v>
                </c:pt>
                <c:pt idx="37">
                  <c:v>-891939.74192790315</c:v>
                </c:pt>
                <c:pt idx="38">
                  <c:v>-1194151.2374260509</c:v>
                </c:pt>
                <c:pt idx="39">
                  <c:v>895836.25972796604</c:v>
                </c:pt>
                <c:pt idx="40">
                  <c:v>1028963.3208650202</c:v>
                </c:pt>
                <c:pt idx="41">
                  <c:v>1082223.1839343533</c:v>
                </c:pt>
                <c:pt idx="42">
                  <c:v>1188772.9753421508</c:v>
                </c:pt>
                <c:pt idx="43">
                  <c:v>1082198.8574219774</c:v>
                </c:pt>
                <c:pt idx="44">
                  <c:v>1695305.9196838271</c:v>
                </c:pt>
                <c:pt idx="45">
                  <c:v>1522052.9712094944</c:v>
                </c:pt>
                <c:pt idx="46">
                  <c:v>922332.14293860458</c:v>
                </c:pt>
                <c:pt idx="47">
                  <c:v>1095741.1032951996</c:v>
                </c:pt>
                <c:pt idx="48">
                  <c:v>1496652.5043937471</c:v>
                </c:pt>
                <c:pt idx="49">
                  <c:v>1937875.7434531692</c:v>
                </c:pt>
                <c:pt idx="50">
                  <c:v>4130650.5992435459</c:v>
                </c:pt>
                <c:pt idx="51">
                  <c:v>5180588.7069253791</c:v>
                </c:pt>
                <c:pt idx="52">
                  <c:v>4984098.2319929656</c:v>
                </c:pt>
                <c:pt idx="53">
                  <c:v>4556907.088924652</c:v>
                </c:pt>
                <c:pt idx="54">
                  <c:v>4866124.9462889209</c:v>
                </c:pt>
                <c:pt idx="55">
                  <c:v>4968374.7784537468</c:v>
                </c:pt>
                <c:pt idx="56">
                  <c:v>5006354.8731971979</c:v>
                </c:pt>
                <c:pt idx="57">
                  <c:v>4667547.7397862319</c:v>
                </c:pt>
                <c:pt idx="58">
                  <c:v>6276820.7632580511</c:v>
                </c:pt>
                <c:pt idx="59">
                  <c:v>7109407.2353513949</c:v>
                </c:pt>
                <c:pt idx="60">
                  <c:v>7480773.5139874145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988352"/>
        <c:axId val="522006528"/>
      </c:lineChart>
      <c:dateAx>
        <c:axId val="52198835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2006528"/>
        <c:crosses val="autoZero"/>
        <c:auto val="1"/>
        <c:lblOffset val="100"/>
        <c:baseTimeUnit val="days"/>
      </c:dateAx>
      <c:valAx>
        <c:axId val="5220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198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'model2(2)'!买卖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403084.51837763441</c:v>
                </c:pt>
                <c:pt idx="30">
                  <c:v>393870.26905276586</c:v>
                </c:pt>
                <c:pt idx="31">
                  <c:v>564695.41176478763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-80971.164290520144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-329147.77001413936</c:v>
                </c:pt>
                <c:pt idx="60">
                  <c:v>-915628.10722505616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B9-4E1D-B0FD-350E7E802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042752"/>
        <c:axId val="52204121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'model2(2)'!时间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'model2(2)'!指数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3B9-4E1D-B0FD-350E7E802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037888"/>
        <c:axId val="522039680"/>
      </c:lineChart>
      <c:dateAx>
        <c:axId val="52203788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2039680"/>
        <c:crosses val="autoZero"/>
        <c:auto val="1"/>
        <c:lblOffset val="100"/>
        <c:baseTimeUnit val="days"/>
      </c:dateAx>
      <c:valAx>
        <c:axId val="52203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2037888"/>
        <c:crosses val="autoZero"/>
        <c:crossBetween val="between"/>
      </c:valAx>
      <c:valAx>
        <c:axId val="52204121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2042752"/>
        <c:crosses val="max"/>
        <c:crossBetween val="between"/>
      </c:valAx>
      <c:catAx>
        <c:axId val="522042752"/>
        <c:scaling>
          <c:orientation val="minMax"/>
        </c:scaling>
        <c:delete val="1"/>
        <c:axPos val="b"/>
        <c:majorTickMark val="out"/>
        <c:minorTickMark val="none"/>
        <c:tickLblPos val="nextTo"/>
        <c:crossAx val="522041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5</xdr:row>
      <xdr:rowOff>47625</xdr:rowOff>
    </xdr:from>
    <xdr:to>
      <xdr:col>21</xdr:col>
      <xdr:colOff>752475</xdr:colOff>
      <xdr:row>19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104774</xdr:colOff>
      <xdr:row>4</xdr:row>
      <xdr:rowOff>76200</xdr:rowOff>
    </xdr:from>
    <xdr:to>
      <xdr:col>30</xdr:col>
      <xdr:colOff>142874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133350</xdr:rowOff>
    </xdr:from>
    <xdr:to>
      <xdr:col>23</xdr:col>
      <xdr:colOff>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66674</xdr:colOff>
      <xdr:row>4</xdr:row>
      <xdr:rowOff>152400</xdr:rowOff>
    </xdr:from>
    <xdr:to>
      <xdr:col>31</xdr:col>
      <xdr:colOff>104774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57150</xdr:rowOff>
    </xdr:from>
    <xdr:to>
      <xdr:col>23</xdr:col>
      <xdr:colOff>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57149</xdr:colOff>
      <xdr:row>4</xdr:row>
      <xdr:rowOff>66675</xdr:rowOff>
    </xdr:from>
    <xdr:to>
      <xdr:col>31</xdr:col>
      <xdr:colOff>95249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4</xdr:row>
      <xdr:rowOff>85725</xdr:rowOff>
    </xdr:from>
    <xdr:to>
      <xdr:col>25</xdr:col>
      <xdr:colOff>19050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95249</xdr:colOff>
      <xdr:row>4</xdr:row>
      <xdr:rowOff>66675</xdr:rowOff>
    </xdr:from>
    <xdr:to>
      <xdr:col>33</xdr:col>
      <xdr:colOff>133349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4</xdr:row>
      <xdr:rowOff>66675</xdr:rowOff>
    </xdr:from>
    <xdr:to>
      <xdr:col>25</xdr:col>
      <xdr:colOff>19050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85724</xdr:colOff>
      <xdr:row>4</xdr:row>
      <xdr:rowOff>66675</xdr:rowOff>
    </xdr:from>
    <xdr:to>
      <xdr:col>34</xdr:col>
      <xdr:colOff>66674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4</xdr:row>
      <xdr:rowOff>76200</xdr:rowOff>
    </xdr:from>
    <xdr:to>
      <xdr:col>25</xdr:col>
      <xdr:colOff>9525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28574</xdr:colOff>
      <xdr:row>4</xdr:row>
      <xdr:rowOff>85725</xdr:rowOff>
    </xdr:from>
    <xdr:to>
      <xdr:col>33</xdr:col>
      <xdr:colOff>66674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666750</xdr:colOff>
      <xdr:row>4</xdr:row>
      <xdr:rowOff>76200</xdr:rowOff>
    </xdr:from>
    <xdr:to>
      <xdr:col>21</xdr:col>
      <xdr:colOff>742950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19049</xdr:colOff>
      <xdr:row>4</xdr:row>
      <xdr:rowOff>66675</xdr:rowOff>
    </xdr:from>
    <xdr:to>
      <xdr:col>30</xdr:col>
      <xdr:colOff>57149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aluationquan/HwabaoWPszseinnovation100ET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aluationquan/szseinnovation100index/szseinnovation100indexmodel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zseinnovation100ETFmode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wabaoWP_szse_innovation_100"/>
    </sheetNames>
    <sheetDataSet>
      <sheetData sheetId="0">
        <row r="1">
          <cell r="A1" t="str">
            <v>159716 HwabaoWPszseinnovation100</v>
          </cell>
        </row>
        <row r="2">
          <cell r="A2" t="str">
            <v>date</v>
          </cell>
          <cell r="B2" t="str">
            <v>open</v>
          </cell>
          <cell r="C2" t="str">
            <v>high</v>
          </cell>
          <cell r="D2" t="str">
            <v>low</v>
          </cell>
          <cell r="E2" t="str">
            <v>close</v>
          </cell>
          <cell r="F2" t="str">
            <v>turnover</v>
          </cell>
          <cell r="G2" t="str">
            <v>transaction amount</v>
          </cell>
          <cell r="I2" t="str">
            <v>turnover mean</v>
          </cell>
        </row>
        <row r="3">
          <cell r="A3">
            <v>44375</v>
          </cell>
          <cell r="B3">
            <v>1.016</v>
          </cell>
          <cell r="C3">
            <v>1.0289999999999999</v>
          </cell>
          <cell r="D3">
            <v>1.012</v>
          </cell>
          <cell r="E3">
            <v>1.0229999999999999</v>
          </cell>
          <cell r="F3">
            <v>323896470</v>
          </cell>
          <cell r="G3">
            <v>330681408</v>
          </cell>
          <cell r="H3">
            <v>1</v>
          </cell>
          <cell r="I3">
            <v>323896470</v>
          </cell>
        </row>
        <row r="4">
          <cell r="A4">
            <v>44376</v>
          </cell>
          <cell r="B4">
            <v>1.03</v>
          </cell>
          <cell r="C4">
            <v>1.032</v>
          </cell>
          <cell r="D4">
            <v>1.016</v>
          </cell>
          <cell r="E4">
            <v>1.0189999999999999</v>
          </cell>
          <cell r="F4">
            <v>63653937</v>
          </cell>
          <cell r="G4">
            <v>65152208</v>
          </cell>
          <cell r="H4">
            <v>2</v>
          </cell>
          <cell r="I4">
            <v>193775203.5</v>
          </cell>
        </row>
        <row r="5">
          <cell r="A5">
            <v>44377</v>
          </cell>
          <cell r="B5">
            <v>1.02</v>
          </cell>
          <cell r="C5">
            <v>1.034</v>
          </cell>
          <cell r="D5">
            <v>1.0129999999999999</v>
          </cell>
          <cell r="E5">
            <v>1.0309999999999999</v>
          </cell>
          <cell r="F5">
            <v>54671327</v>
          </cell>
          <cell r="G5">
            <v>56151428</v>
          </cell>
          <cell r="H5">
            <v>3</v>
          </cell>
          <cell r="I5">
            <v>147407244.66666666</v>
          </cell>
        </row>
        <row r="6">
          <cell r="A6">
            <v>44378</v>
          </cell>
          <cell r="B6">
            <v>1.032</v>
          </cell>
          <cell r="C6">
            <v>1.0369999999999999</v>
          </cell>
          <cell r="D6">
            <v>1.0209999999999999</v>
          </cell>
          <cell r="E6">
            <v>1.026</v>
          </cell>
          <cell r="F6">
            <v>43884779</v>
          </cell>
          <cell r="G6">
            <v>45138080</v>
          </cell>
          <cell r="H6">
            <v>4</v>
          </cell>
          <cell r="I6">
            <v>121526628.25</v>
          </cell>
        </row>
        <row r="7">
          <cell r="A7">
            <v>44379</v>
          </cell>
          <cell r="B7">
            <v>1.02</v>
          </cell>
          <cell r="C7">
            <v>1.02</v>
          </cell>
          <cell r="D7">
            <v>0.997</v>
          </cell>
          <cell r="E7">
            <v>1.006</v>
          </cell>
          <cell r="F7">
            <v>24323411</v>
          </cell>
          <cell r="G7">
            <v>24457432</v>
          </cell>
          <cell r="H7">
            <v>5</v>
          </cell>
          <cell r="I7">
            <v>102085984.8</v>
          </cell>
        </row>
        <row r="8">
          <cell r="A8">
            <v>44382</v>
          </cell>
          <cell r="B8">
            <v>1.004</v>
          </cell>
          <cell r="C8">
            <v>1.0089999999999999</v>
          </cell>
          <cell r="D8">
            <v>0.99399999999999999</v>
          </cell>
          <cell r="E8">
            <v>1.002</v>
          </cell>
          <cell r="F8">
            <v>14360673</v>
          </cell>
          <cell r="G8">
            <v>14342181</v>
          </cell>
          <cell r="H8">
            <v>6</v>
          </cell>
          <cell r="I8">
            <v>87465099.5</v>
          </cell>
        </row>
        <row r="9">
          <cell r="A9">
            <v>44383</v>
          </cell>
          <cell r="B9">
            <v>0.997</v>
          </cell>
          <cell r="C9">
            <v>1.012</v>
          </cell>
          <cell r="D9">
            <v>0.98399999999999999</v>
          </cell>
          <cell r="E9">
            <v>0.999</v>
          </cell>
          <cell r="F9">
            <v>18730191</v>
          </cell>
          <cell r="G9">
            <v>18688586</v>
          </cell>
          <cell r="H9">
            <v>7</v>
          </cell>
          <cell r="I9">
            <v>77645826.857142851</v>
          </cell>
        </row>
        <row r="10">
          <cell r="A10">
            <v>44384</v>
          </cell>
          <cell r="B10">
            <v>0.995</v>
          </cell>
          <cell r="C10">
            <v>1.026</v>
          </cell>
          <cell r="D10">
            <v>0.98899999999999999</v>
          </cell>
          <cell r="E10">
            <v>1.02</v>
          </cell>
          <cell r="F10">
            <v>35723357</v>
          </cell>
          <cell r="G10">
            <v>36314072</v>
          </cell>
          <cell r="H10">
            <v>8</v>
          </cell>
          <cell r="I10">
            <v>72405518.125</v>
          </cell>
        </row>
        <row r="11">
          <cell r="A11">
            <v>44385</v>
          </cell>
          <cell r="B11">
            <v>1.0209999999999999</v>
          </cell>
          <cell r="C11">
            <v>1.036</v>
          </cell>
          <cell r="D11">
            <v>1.0209999999999999</v>
          </cell>
          <cell r="E11">
            <v>1.026</v>
          </cell>
          <cell r="F11">
            <v>32797558</v>
          </cell>
          <cell r="G11">
            <v>33773504</v>
          </cell>
          <cell r="H11">
            <v>9</v>
          </cell>
          <cell r="I11">
            <v>68004633.666666672</v>
          </cell>
        </row>
        <row r="12">
          <cell r="A12">
            <v>44386</v>
          </cell>
          <cell r="B12">
            <v>1.026</v>
          </cell>
          <cell r="C12">
            <v>1.026</v>
          </cell>
          <cell r="D12">
            <v>1.0009999999999999</v>
          </cell>
          <cell r="E12">
            <v>1.02</v>
          </cell>
          <cell r="F12">
            <v>12474845</v>
          </cell>
          <cell r="G12">
            <v>12647213</v>
          </cell>
          <cell r="H12">
            <v>10</v>
          </cell>
          <cell r="I12">
            <v>62451654.799999997</v>
          </cell>
        </row>
        <row r="13">
          <cell r="A13">
            <v>44389</v>
          </cell>
          <cell r="B13">
            <v>1.02</v>
          </cell>
          <cell r="C13">
            <v>1.0529999999999999</v>
          </cell>
          <cell r="D13">
            <v>1.02</v>
          </cell>
          <cell r="E13">
            <v>1.046</v>
          </cell>
          <cell r="F13">
            <v>42238864</v>
          </cell>
          <cell r="G13">
            <v>44134080</v>
          </cell>
          <cell r="H13">
            <v>11</v>
          </cell>
          <cell r="I13">
            <v>60614128.363636367</v>
          </cell>
        </row>
        <row r="14">
          <cell r="A14">
            <v>44390</v>
          </cell>
          <cell r="B14">
            <v>1.046</v>
          </cell>
          <cell r="C14">
            <v>1.052</v>
          </cell>
          <cell r="D14">
            <v>1.0369999999999999</v>
          </cell>
          <cell r="E14">
            <v>1.048</v>
          </cell>
          <cell r="F14">
            <v>27399362</v>
          </cell>
          <cell r="G14">
            <v>28584284</v>
          </cell>
          <cell r="H14">
            <v>12</v>
          </cell>
          <cell r="I14">
            <v>57846231.166666664</v>
          </cell>
        </row>
        <row r="15">
          <cell r="A15">
            <v>44391</v>
          </cell>
          <cell r="B15">
            <v>1.042</v>
          </cell>
          <cell r="C15">
            <v>1.046</v>
          </cell>
          <cell r="D15">
            <v>1.0329999999999999</v>
          </cell>
          <cell r="E15">
            <v>1.0349999999999999</v>
          </cell>
          <cell r="F15">
            <v>12654648</v>
          </cell>
          <cell r="G15">
            <v>13156178</v>
          </cell>
          <cell r="H15">
            <v>13</v>
          </cell>
          <cell r="I15">
            <v>54369955.538461536</v>
          </cell>
        </row>
        <row r="16">
          <cell r="A16">
            <v>44392</v>
          </cell>
          <cell r="B16">
            <v>1.02</v>
          </cell>
          <cell r="C16">
            <v>1.042</v>
          </cell>
          <cell r="D16">
            <v>1.02</v>
          </cell>
          <cell r="E16">
            <v>1.04</v>
          </cell>
          <cell r="F16">
            <v>9778610</v>
          </cell>
          <cell r="G16">
            <v>10110377</v>
          </cell>
          <cell r="H16">
            <v>14</v>
          </cell>
          <cell r="I16">
            <v>51184859.428571425</v>
          </cell>
        </row>
        <row r="17">
          <cell r="A17">
            <v>44393</v>
          </cell>
          <cell r="B17">
            <v>1.036</v>
          </cell>
          <cell r="C17">
            <v>1.038</v>
          </cell>
          <cell r="D17">
            <v>1.02</v>
          </cell>
          <cell r="E17">
            <v>1.02</v>
          </cell>
          <cell r="F17">
            <v>8894088</v>
          </cell>
          <cell r="G17">
            <v>9166676</v>
          </cell>
          <cell r="H17">
            <v>15</v>
          </cell>
          <cell r="I17">
            <v>48365474.666666664</v>
          </cell>
        </row>
        <row r="18">
          <cell r="A18">
            <v>44396</v>
          </cell>
          <cell r="B18">
            <v>1.0189999999999999</v>
          </cell>
          <cell r="C18">
            <v>1.0309999999999999</v>
          </cell>
          <cell r="D18">
            <v>1.016</v>
          </cell>
          <cell r="E18">
            <v>1.026</v>
          </cell>
          <cell r="F18">
            <v>7429899</v>
          </cell>
          <cell r="G18">
            <v>7613398.5</v>
          </cell>
          <cell r="H18">
            <v>16</v>
          </cell>
          <cell r="I18">
            <v>45807001.1875</v>
          </cell>
        </row>
        <row r="19">
          <cell r="A19">
            <v>44397</v>
          </cell>
          <cell r="B19">
            <v>1.022</v>
          </cell>
          <cell r="C19">
            <v>1.0329999999999999</v>
          </cell>
          <cell r="D19">
            <v>1.018</v>
          </cell>
          <cell r="E19">
            <v>1.024</v>
          </cell>
          <cell r="F19">
            <v>9006624</v>
          </cell>
          <cell r="G19">
            <v>9235385</v>
          </cell>
          <cell r="H19">
            <v>17</v>
          </cell>
          <cell r="I19">
            <v>43642273.117647059</v>
          </cell>
        </row>
        <row r="20">
          <cell r="A20">
            <v>44398</v>
          </cell>
          <cell r="B20">
            <v>1.024</v>
          </cell>
          <cell r="C20">
            <v>1.052</v>
          </cell>
          <cell r="D20">
            <v>1.024</v>
          </cell>
          <cell r="E20">
            <v>1.0449999999999999</v>
          </cell>
          <cell r="F20">
            <v>23217666</v>
          </cell>
          <cell r="G20">
            <v>24252726</v>
          </cell>
          <cell r="H20">
            <v>18</v>
          </cell>
          <cell r="I20">
            <v>42507572.722222224</v>
          </cell>
        </row>
        <row r="21">
          <cell r="A21">
            <v>44399</v>
          </cell>
          <cell r="B21">
            <v>1.0449999999999999</v>
          </cell>
          <cell r="C21">
            <v>1.054</v>
          </cell>
          <cell r="D21">
            <v>1.0389999999999999</v>
          </cell>
          <cell r="E21">
            <v>1.046</v>
          </cell>
          <cell r="F21">
            <v>6971238</v>
          </cell>
          <cell r="G21">
            <v>7279444.5</v>
          </cell>
          <cell r="H21">
            <v>19</v>
          </cell>
          <cell r="I21">
            <v>40637239.315789476</v>
          </cell>
        </row>
        <row r="22">
          <cell r="A22">
            <v>44400</v>
          </cell>
          <cell r="B22">
            <v>1.048</v>
          </cell>
          <cell r="C22">
            <v>1.048</v>
          </cell>
          <cell r="D22">
            <v>1.0249999999999999</v>
          </cell>
          <cell r="E22">
            <v>1.0269999999999999</v>
          </cell>
          <cell r="F22">
            <v>10467294</v>
          </cell>
          <cell r="G22">
            <v>10800113</v>
          </cell>
          <cell r="H22">
            <v>20</v>
          </cell>
          <cell r="I22">
            <v>39128742.049999997</v>
          </cell>
        </row>
        <row r="23">
          <cell r="A23">
            <v>44403</v>
          </cell>
          <cell r="B23">
            <v>1.0269999999999999</v>
          </cell>
          <cell r="C23">
            <v>1.0269999999999999</v>
          </cell>
          <cell r="D23">
            <v>0.98299999999999998</v>
          </cell>
          <cell r="E23">
            <v>1.004</v>
          </cell>
          <cell r="F23">
            <v>20961017</v>
          </cell>
          <cell r="G23">
            <v>21047416</v>
          </cell>
          <cell r="H23">
            <v>21</v>
          </cell>
          <cell r="I23">
            <v>38263612.285714284</v>
          </cell>
        </row>
        <row r="24">
          <cell r="A24">
            <v>44404</v>
          </cell>
          <cell r="B24">
            <v>1.004</v>
          </cell>
          <cell r="C24">
            <v>1.0109999999999999</v>
          </cell>
          <cell r="D24">
            <v>0.96399999999999997</v>
          </cell>
          <cell r="E24">
            <v>0.96799999999999997</v>
          </cell>
          <cell r="F24">
            <v>19925345</v>
          </cell>
          <cell r="G24">
            <v>19777970</v>
          </cell>
          <cell r="H24">
            <v>22</v>
          </cell>
          <cell r="I24">
            <v>37430054.68181818</v>
          </cell>
        </row>
        <row r="25">
          <cell r="A25">
            <v>44405</v>
          </cell>
          <cell r="B25">
            <v>0.96799999999999997</v>
          </cell>
          <cell r="C25">
            <v>0.98</v>
          </cell>
          <cell r="D25">
            <v>0.94</v>
          </cell>
          <cell r="E25">
            <v>0.97299999999999998</v>
          </cell>
          <cell r="F25">
            <v>13123734</v>
          </cell>
          <cell r="G25">
            <v>12622997</v>
          </cell>
          <cell r="H25">
            <v>23</v>
          </cell>
          <cell r="I25">
            <v>36373258.130434781</v>
          </cell>
        </row>
        <row r="26">
          <cell r="A26">
            <v>44406</v>
          </cell>
          <cell r="B26">
            <v>0.97399999999999998</v>
          </cell>
          <cell r="C26">
            <v>1.0109999999999999</v>
          </cell>
          <cell r="D26">
            <v>0.97399999999999998</v>
          </cell>
          <cell r="E26">
            <v>1.0089999999999999</v>
          </cell>
          <cell r="F26">
            <v>11719038</v>
          </cell>
          <cell r="G26">
            <v>11714819</v>
          </cell>
          <cell r="H26">
            <v>24</v>
          </cell>
          <cell r="I26">
            <v>35345998.958333336</v>
          </cell>
        </row>
        <row r="27">
          <cell r="A27">
            <v>44407</v>
          </cell>
          <cell r="B27">
            <v>1.0049999999999999</v>
          </cell>
          <cell r="C27">
            <v>1.01</v>
          </cell>
          <cell r="D27">
            <v>0.99099999999999999</v>
          </cell>
          <cell r="E27">
            <v>1.006</v>
          </cell>
          <cell r="F27">
            <v>9153472</v>
          </cell>
          <cell r="G27">
            <v>9172993</v>
          </cell>
          <cell r="H27">
            <v>25</v>
          </cell>
          <cell r="I27">
            <v>34298297.880000003</v>
          </cell>
        </row>
        <row r="28">
          <cell r="A28">
            <v>44410</v>
          </cell>
          <cell r="B28">
            <v>0.998</v>
          </cell>
          <cell r="C28">
            <v>1.0249999999999999</v>
          </cell>
          <cell r="D28">
            <v>0.998</v>
          </cell>
          <cell r="E28">
            <v>1.024</v>
          </cell>
          <cell r="F28">
            <v>13843702</v>
          </cell>
          <cell r="G28">
            <v>14073689</v>
          </cell>
          <cell r="H28">
            <v>26</v>
          </cell>
          <cell r="I28">
            <v>33511582.653846152</v>
          </cell>
        </row>
        <row r="29">
          <cell r="A29">
            <v>44411</v>
          </cell>
          <cell r="B29">
            <v>1.0149999999999999</v>
          </cell>
          <cell r="C29">
            <v>1.026</v>
          </cell>
          <cell r="D29">
            <v>1.0129999999999999</v>
          </cell>
          <cell r="E29">
            <v>1.0189999999999999</v>
          </cell>
          <cell r="F29">
            <v>7193955</v>
          </cell>
          <cell r="G29">
            <v>7334439</v>
          </cell>
          <cell r="H29">
            <v>27</v>
          </cell>
          <cell r="I29">
            <v>32536855.703703705</v>
          </cell>
        </row>
        <row r="30">
          <cell r="A30">
            <v>44412</v>
          </cell>
          <cell r="B30">
            <v>1.0189999999999999</v>
          </cell>
          <cell r="C30">
            <v>1.0469999999999999</v>
          </cell>
          <cell r="D30">
            <v>1.0169999999999999</v>
          </cell>
          <cell r="E30">
            <v>1.0449999999999999</v>
          </cell>
          <cell r="F30">
            <v>21875936</v>
          </cell>
          <cell r="G30">
            <v>22704320</v>
          </cell>
          <cell r="H30">
            <v>28</v>
          </cell>
          <cell r="I30">
            <v>32156108.571428571</v>
          </cell>
        </row>
        <row r="31">
          <cell r="A31">
            <v>44413</v>
          </cell>
          <cell r="B31">
            <v>1.04</v>
          </cell>
          <cell r="C31">
            <v>1.046</v>
          </cell>
          <cell r="D31">
            <v>1.032</v>
          </cell>
          <cell r="E31">
            <v>1.0349999999999999</v>
          </cell>
          <cell r="F31">
            <v>8086594</v>
          </cell>
          <cell r="G31">
            <v>8395364</v>
          </cell>
          <cell r="H31">
            <v>29</v>
          </cell>
          <cell r="I31">
            <v>31326125.310344826</v>
          </cell>
        </row>
        <row r="32">
          <cell r="A32">
            <v>44414</v>
          </cell>
          <cell r="B32">
            <v>1.032</v>
          </cell>
          <cell r="C32">
            <v>1.042</v>
          </cell>
          <cell r="D32">
            <v>1.0229999999999999</v>
          </cell>
          <cell r="E32">
            <v>1.03</v>
          </cell>
          <cell r="F32">
            <v>6433381</v>
          </cell>
          <cell r="G32">
            <v>6636520.5</v>
          </cell>
          <cell r="H32">
            <v>30</v>
          </cell>
          <cell r="I32">
            <v>30496367.166666668</v>
          </cell>
        </row>
        <row r="33">
          <cell r="A33">
            <v>44417</v>
          </cell>
          <cell r="B33">
            <v>1.0289999999999999</v>
          </cell>
          <cell r="C33">
            <v>1.0329999999999999</v>
          </cell>
          <cell r="D33">
            <v>1.012</v>
          </cell>
          <cell r="E33">
            <v>1.0289999999999999</v>
          </cell>
          <cell r="F33">
            <v>9928107</v>
          </cell>
          <cell r="G33">
            <v>10137507</v>
          </cell>
          <cell r="H33">
            <v>31</v>
          </cell>
          <cell r="I33">
            <v>29832874.903225806</v>
          </cell>
        </row>
        <row r="34">
          <cell r="A34">
            <v>44418</v>
          </cell>
          <cell r="B34">
            <v>1.0249999999999999</v>
          </cell>
          <cell r="C34">
            <v>1.0309999999999999</v>
          </cell>
          <cell r="D34">
            <v>1.0189999999999999</v>
          </cell>
          <cell r="E34">
            <v>1.03</v>
          </cell>
          <cell r="F34">
            <v>4286568</v>
          </cell>
          <cell r="G34">
            <v>4393951</v>
          </cell>
          <cell r="H34">
            <v>32</v>
          </cell>
          <cell r="I34">
            <v>29034552.8125</v>
          </cell>
        </row>
        <row r="35">
          <cell r="A35">
            <v>44419</v>
          </cell>
          <cell r="B35">
            <v>1.0289999999999999</v>
          </cell>
          <cell r="C35">
            <v>1.034</v>
          </cell>
          <cell r="D35">
            <v>1.0229999999999999</v>
          </cell>
          <cell r="E35">
            <v>1.024</v>
          </cell>
          <cell r="F35">
            <v>6870049</v>
          </cell>
          <cell r="G35">
            <v>7058658.5</v>
          </cell>
          <cell r="H35">
            <v>33</v>
          </cell>
          <cell r="I35">
            <v>28362901.181818184</v>
          </cell>
        </row>
        <row r="36">
          <cell r="A36">
            <v>44420</v>
          </cell>
          <cell r="B36">
            <v>1.024</v>
          </cell>
          <cell r="C36">
            <v>1.0249999999999999</v>
          </cell>
          <cell r="D36">
            <v>1.014</v>
          </cell>
          <cell r="E36">
            <v>1.018</v>
          </cell>
          <cell r="F36">
            <v>3172730</v>
          </cell>
          <cell r="G36">
            <v>3232271.75</v>
          </cell>
          <cell r="H36">
            <v>34</v>
          </cell>
          <cell r="I36">
            <v>27622013.794117648</v>
          </cell>
        </row>
        <row r="37">
          <cell r="A37">
            <v>44421</v>
          </cell>
          <cell r="B37">
            <v>1.0129999999999999</v>
          </cell>
          <cell r="C37">
            <v>1.0249999999999999</v>
          </cell>
          <cell r="D37">
            <v>1</v>
          </cell>
          <cell r="E37">
            <v>1.006</v>
          </cell>
          <cell r="F37">
            <v>6360828</v>
          </cell>
          <cell r="G37">
            <v>6403852.5</v>
          </cell>
          <cell r="H37">
            <v>35</v>
          </cell>
          <cell r="I37">
            <v>27014551.342857141</v>
          </cell>
        </row>
        <row r="38">
          <cell r="A38">
            <v>44424</v>
          </cell>
          <cell r="B38">
            <v>1.006</v>
          </cell>
          <cell r="C38">
            <v>1.006</v>
          </cell>
          <cell r="D38">
            <v>0.99</v>
          </cell>
          <cell r="E38">
            <v>0.99199999999999999</v>
          </cell>
          <cell r="F38">
            <v>6179239</v>
          </cell>
          <cell r="G38">
            <v>6147677</v>
          </cell>
          <cell r="H38">
            <v>36</v>
          </cell>
          <cell r="I38">
            <v>26435792.666666668</v>
          </cell>
        </row>
        <row r="39">
          <cell r="A39">
            <v>44425</v>
          </cell>
          <cell r="B39">
            <v>0.99199999999999999</v>
          </cell>
          <cell r="C39">
            <v>0.997</v>
          </cell>
          <cell r="D39">
            <v>0.96899999999999997</v>
          </cell>
          <cell r="E39">
            <v>0.97599999999999998</v>
          </cell>
          <cell r="F39">
            <v>7532696</v>
          </cell>
          <cell r="G39">
            <v>7391127.5</v>
          </cell>
          <cell r="H39">
            <v>37</v>
          </cell>
          <cell r="I39">
            <v>25924898.162162162</v>
          </cell>
        </row>
        <row r="40">
          <cell r="A40">
            <v>44426</v>
          </cell>
          <cell r="B40">
            <v>0.97599999999999998</v>
          </cell>
          <cell r="C40">
            <v>0.98299999999999998</v>
          </cell>
          <cell r="D40">
            <v>0.96899999999999997</v>
          </cell>
          <cell r="E40">
            <v>0.98</v>
          </cell>
          <cell r="F40">
            <v>5165211</v>
          </cell>
          <cell r="G40">
            <v>5039908</v>
          </cell>
          <cell r="H40">
            <v>38</v>
          </cell>
          <cell r="I40">
            <v>25378590.605263159</v>
          </cell>
        </row>
        <row r="41">
          <cell r="A41">
            <v>44427</v>
          </cell>
          <cell r="B41">
            <v>0.98099999999999998</v>
          </cell>
          <cell r="C41">
            <v>0.99</v>
          </cell>
          <cell r="D41">
            <v>0.97399999999999998</v>
          </cell>
          <cell r="E41">
            <v>0.98499999999999999</v>
          </cell>
          <cell r="F41">
            <v>6548715</v>
          </cell>
          <cell r="G41">
            <v>6437390</v>
          </cell>
          <cell r="H41">
            <v>39</v>
          </cell>
          <cell r="I41">
            <v>24895773.282051284</v>
          </cell>
        </row>
        <row r="42">
          <cell r="A42">
            <v>44428</v>
          </cell>
          <cell r="B42">
            <v>0.98599999999999999</v>
          </cell>
          <cell r="C42">
            <v>0.98599999999999999</v>
          </cell>
          <cell r="D42">
            <v>0.95699999999999996</v>
          </cell>
          <cell r="E42">
            <v>0.97</v>
          </cell>
          <cell r="F42">
            <v>7569618</v>
          </cell>
          <cell r="G42">
            <v>7317112.5</v>
          </cell>
          <cell r="H42">
            <v>40</v>
          </cell>
          <cell r="I42">
            <v>24462619.399999999</v>
          </cell>
        </row>
        <row r="43">
          <cell r="A43">
            <v>44431</v>
          </cell>
          <cell r="B43">
            <v>0.97499999999999998</v>
          </cell>
          <cell r="C43">
            <v>0.99399999999999999</v>
          </cell>
          <cell r="D43">
            <v>0.96799999999999997</v>
          </cell>
          <cell r="E43">
            <v>0.99299999999999999</v>
          </cell>
          <cell r="F43">
            <v>5632107</v>
          </cell>
          <cell r="G43">
            <v>5551128</v>
          </cell>
          <cell r="H43">
            <v>41</v>
          </cell>
          <cell r="I43">
            <v>24003338.609756097</v>
          </cell>
        </row>
        <row r="44">
          <cell r="A44">
            <v>44432</v>
          </cell>
          <cell r="B44">
            <v>0.99299999999999999</v>
          </cell>
          <cell r="C44">
            <v>1.004</v>
          </cell>
          <cell r="D44">
            <v>0.98899999999999999</v>
          </cell>
          <cell r="E44">
            <v>0.999</v>
          </cell>
          <cell r="F44">
            <v>5893002</v>
          </cell>
          <cell r="G44">
            <v>5881457</v>
          </cell>
          <cell r="H44">
            <v>42</v>
          </cell>
          <cell r="I44">
            <v>23572140.119047619</v>
          </cell>
        </row>
        <row r="45">
          <cell r="A45">
            <v>44433</v>
          </cell>
          <cell r="B45">
            <v>1.0049999999999999</v>
          </cell>
          <cell r="C45">
            <v>1.0049999999999999</v>
          </cell>
          <cell r="D45">
            <v>0.99199999999999999</v>
          </cell>
          <cell r="E45">
            <v>1.002</v>
          </cell>
          <cell r="F45">
            <v>4451754</v>
          </cell>
          <cell r="G45">
            <v>4437997</v>
          </cell>
          <cell r="H45">
            <v>43</v>
          </cell>
          <cell r="I45">
            <v>23127479.976744186</v>
          </cell>
        </row>
        <row r="46">
          <cell r="A46">
            <v>44434</v>
          </cell>
          <cell r="B46">
            <v>1.002</v>
          </cell>
          <cell r="C46">
            <v>1.006</v>
          </cell>
          <cell r="D46">
            <v>0.98099999999999998</v>
          </cell>
          <cell r="E46">
            <v>0.98199999999999998</v>
          </cell>
          <cell r="F46">
            <v>3874460</v>
          </cell>
          <cell r="G46">
            <v>3841526</v>
          </cell>
          <cell r="H46">
            <v>44</v>
          </cell>
          <cell r="I46">
            <v>22689911.34090909</v>
          </cell>
        </row>
        <row r="47">
          <cell r="A47">
            <v>44435</v>
          </cell>
          <cell r="B47">
            <v>0.98799999999999999</v>
          </cell>
          <cell r="C47">
            <v>0.99299999999999999</v>
          </cell>
          <cell r="D47">
            <v>0.97899999999999998</v>
          </cell>
          <cell r="E47">
            <v>0.98299999999999998</v>
          </cell>
          <cell r="F47">
            <v>3380269</v>
          </cell>
          <cell r="G47">
            <v>3321377.75</v>
          </cell>
          <cell r="H47">
            <v>45</v>
          </cell>
          <cell r="I47">
            <v>22260808.177777778</v>
          </cell>
        </row>
        <row r="48">
          <cell r="A48">
            <v>44438</v>
          </cell>
          <cell r="B48">
            <v>0.98699999999999999</v>
          </cell>
          <cell r="C48">
            <v>0.99199999999999999</v>
          </cell>
          <cell r="D48">
            <v>0.97199999999999998</v>
          </cell>
          <cell r="E48">
            <v>0.97899999999999998</v>
          </cell>
          <cell r="F48">
            <v>3855755</v>
          </cell>
          <cell r="G48">
            <v>3797128</v>
          </cell>
          <cell r="H48">
            <v>46</v>
          </cell>
          <cell r="I48">
            <v>21860698.326086957</v>
          </cell>
        </row>
        <row r="49">
          <cell r="A49">
            <v>44439</v>
          </cell>
          <cell r="B49">
            <v>0.98099999999999998</v>
          </cell>
          <cell r="C49">
            <v>0.98099999999999998</v>
          </cell>
          <cell r="D49">
            <v>0.95799999999999996</v>
          </cell>
          <cell r="E49">
            <v>0.96599999999999997</v>
          </cell>
          <cell r="F49">
            <v>4459339</v>
          </cell>
          <cell r="G49">
            <v>4309732.5</v>
          </cell>
          <cell r="H49">
            <v>47</v>
          </cell>
          <cell r="I49">
            <v>21490456.638297871</v>
          </cell>
        </row>
        <row r="50">
          <cell r="A50">
            <v>44440</v>
          </cell>
          <cell r="B50">
            <v>0.96599999999999997</v>
          </cell>
          <cell r="C50">
            <v>0.97199999999999998</v>
          </cell>
          <cell r="D50">
            <v>0.94699999999999995</v>
          </cell>
          <cell r="E50">
            <v>0.96599999999999997</v>
          </cell>
          <cell r="F50">
            <v>4473830</v>
          </cell>
          <cell r="G50">
            <v>4281881.5</v>
          </cell>
          <cell r="H50">
            <v>48</v>
          </cell>
          <cell r="I50">
            <v>21135943.583333332</v>
          </cell>
        </row>
        <row r="51">
          <cell r="A51">
            <v>44441</v>
          </cell>
          <cell r="B51">
            <v>0.97499999999999998</v>
          </cell>
          <cell r="C51">
            <v>0.97499999999999998</v>
          </cell>
          <cell r="D51">
            <v>0.95199999999999996</v>
          </cell>
          <cell r="E51">
            <v>0.95599999999999996</v>
          </cell>
          <cell r="F51">
            <v>5125931</v>
          </cell>
          <cell r="G51">
            <v>4920865.5</v>
          </cell>
          <cell r="H51">
            <v>49</v>
          </cell>
          <cell r="I51">
            <v>20809208.632653061</v>
          </cell>
        </row>
        <row r="52">
          <cell r="A52">
            <v>44442</v>
          </cell>
          <cell r="B52">
            <v>0.95699999999999996</v>
          </cell>
          <cell r="C52">
            <v>0.95699999999999996</v>
          </cell>
          <cell r="D52">
            <v>0.93899999999999995</v>
          </cell>
          <cell r="E52">
            <v>0.94199999999999995</v>
          </cell>
          <cell r="F52">
            <v>7722839</v>
          </cell>
          <cell r="G52">
            <v>7306121</v>
          </cell>
          <cell r="H52">
            <v>50</v>
          </cell>
          <cell r="I52">
            <v>20547481.239999998</v>
          </cell>
        </row>
        <row r="53">
          <cell r="A53">
            <v>44445</v>
          </cell>
          <cell r="B53">
            <v>0.94299999999999995</v>
          </cell>
          <cell r="C53">
            <v>0.97799999999999998</v>
          </cell>
          <cell r="D53">
            <v>0.94</v>
          </cell>
          <cell r="E53">
            <v>0.97499999999999998</v>
          </cell>
          <cell r="F53">
            <v>6280113</v>
          </cell>
          <cell r="G53">
            <v>6049421</v>
          </cell>
          <cell r="H53">
            <v>51</v>
          </cell>
          <cell r="I53">
            <v>20267728.921568628</v>
          </cell>
        </row>
        <row r="54">
          <cell r="A54">
            <v>44446</v>
          </cell>
          <cell r="B54">
            <v>0.97599999999999998</v>
          </cell>
          <cell r="C54">
            <v>0.98399999999999999</v>
          </cell>
          <cell r="D54">
            <v>0.97199999999999998</v>
          </cell>
          <cell r="E54">
            <v>0.98199999999999998</v>
          </cell>
          <cell r="F54">
            <v>2678628</v>
          </cell>
          <cell r="G54">
            <v>2623969.25</v>
          </cell>
          <cell r="H54">
            <v>52</v>
          </cell>
          <cell r="I54">
            <v>19929476.980769232</v>
          </cell>
        </row>
        <row r="55">
          <cell r="A55">
            <v>44447</v>
          </cell>
          <cell r="B55">
            <v>0.98299999999999998</v>
          </cell>
          <cell r="C55">
            <v>0.98799999999999999</v>
          </cell>
          <cell r="D55">
            <v>0.97299999999999998</v>
          </cell>
          <cell r="E55">
            <v>0.97699999999999998</v>
          </cell>
          <cell r="F55">
            <v>3712158</v>
          </cell>
          <cell r="G55">
            <v>3638816.5</v>
          </cell>
          <cell r="H55">
            <v>53</v>
          </cell>
          <cell r="I55">
            <v>19623489.83018868</v>
          </cell>
        </row>
        <row r="56">
          <cell r="A56">
            <v>44448</v>
          </cell>
          <cell r="B56">
            <v>0.97699999999999998</v>
          </cell>
          <cell r="C56">
            <v>0.98099999999999998</v>
          </cell>
          <cell r="D56">
            <v>0.96399999999999997</v>
          </cell>
          <cell r="E56">
            <v>0.97499999999999998</v>
          </cell>
          <cell r="F56">
            <v>2780088</v>
          </cell>
          <cell r="G56">
            <v>2703251.75</v>
          </cell>
          <cell r="H56">
            <v>54</v>
          </cell>
          <cell r="I56">
            <v>19311574.981481481</v>
          </cell>
        </row>
        <row r="57">
          <cell r="A57">
            <v>44449</v>
          </cell>
          <cell r="B57">
            <v>0.97499999999999998</v>
          </cell>
          <cell r="C57">
            <v>0.98199999999999998</v>
          </cell>
          <cell r="D57">
            <v>0.96599999999999997</v>
          </cell>
          <cell r="E57">
            <v>0.98</v>
          </cell>
          <cell r="F57">
            <v>4532953</v>
          </cell>
          <cell r="G57">
            <v>4422599</v>
          </cell>
          <cell r="H57">
            <v>55</v>
          </cell>
          <cell r="I57">
            <v>19042872.763636362</v>
          </cell>
        </row>
        <row r="58">
          <cell r="A58">
            <v>44452</v>
          </cell>
          <cell r="B58">
            <v>0.97899999999999998</v>
          </cell>
          <cell r="C58">
            <v>0.98399999999999999</v>
          </cell>
          <cell r="D58">
            <v>0.96599999999999997</v>
          </cell>
          <cell r="E58">
            <v>0.96899999999999997</v>
          </cell>
          <cell r="F58">
            <v>1626303</v>
          </cell>
          <cell r="G58">
            <v>1578336.88</v>
          </cell>
          <cell r="H58">
            <v>56</v>
          </cell>
          <cell r="I58">
            <v>18731862.589285713</v>
          </cell>
        </row>
        <row r="59">
          <cell r="A59">
            <v>44453</v>
          </cell>
          <cell r="B59">
            <v>0.96899999999999997</v>
          </cell>
          <cell r="C59">
            <v>0.98499999999999999</v>
          </cell>
          <cell r="D59">
            <v>0.96899999999999997</v>
          </cell>
          <cell r="E59">
            <v>0.97199999999999998</v>
          </cell>
          <cell r="F59">
            <v>4051016</v>
          </cell>
          <cell r="G59">
            <v>3967963.75</v>
          </cell>
          <cell r="H59">
            <v>57</v>
          </cell>
          <cell r="I59">
            <v>18474303.877192982</v>
          </cell>
        </row>
        <row r="60">
          <cell r="A60">
            <v>44454</v>
          </cell>
          <cell r="B60">
            <v>0.97199999999999998</v>
          </cell>
          <cell r="C60">
            <v>0.97199999999999998</v>
          </cell>
          <cell r="D60">
            <v>0.96</v>
          </cell>
          <cell r="E60">
            <v>0.96399999999999997</v>
          </cell>
          <cell r="F60">
            <v>3894520</v>
          </cell>
          <cell r="G60">
            <v>3754614.5</v>
          </cell>
          <cell r="H60">
            <v>58</v>
          </cell>
          <cell r="I60">
            <v>18222928.293103449</v>
          </cell>
        </row>
        <row r="61">
          <cell r="A61">
            <v>44455</v>
          </cell>
          <cell r="B61">
            <v>0.97199999999999998</v>
          </cell>
          <cell r="C61">
            <v>0.97199999999999998</v>
          </cell>
          <cell r="D61">
            <v>0.94299999999999995</v>
          </cell>
          <cell r="E61">
            <v>0.94599999999999995</v>
          </cell>
          <cell r="F61">
            <v>6714222</v>
          </cell>
          <cell r="G61">
            <v>6387215</v>
          </cell>
          <cell r="H61">
            <v>59</v>
          </cell>
          <cell r="I61">
            <v>18027865.474576272</v>
          </cell>
        </row>
        <row r="62">
          <cell r="A62">
            <v>44456</v>
          </cell>
          <cell r="B62">
            <v>0.94499999999999995</v>
          </cell>
          <cell r="C62">
            <v>0.95499999999999996</v>
          </cell>
          <cell r="D62">
            <v>0.93799999999999994</v>
          </cell>
          <cell r="E62">
            <v>0.95399999999999996</v>
          </cell>
          <cell r="F62">
            <v>6349916</v>
          </cell>
          <cell r="G62">
            <v>6000581.5</v>
          </cell>
          <cell r="H62">
            <v>60</v>
          </cell>
          <cell r="I62">
            <v>17833232.983333334</v>
          </cell>
        </row>
        <row r="63">
          <cell r="A63">
            <v>44461</v>
          </cell>
          <cell r="B63">
            <v>0.94399999999999995</v>
          </cell>
          <cell r="C63">
            <v>0.95</v>
          </cell>
          <cell r="D63">
            <v>0.93700000000000006</v>
          </cell>
          <cell r="E63">
            <v>0.94499999999999995</v>
          </cell>
          <cell r="F63">
            <v>2746521</v>
          </cell>
          <cell r="G63">
            <v>2596028</v>
          </cell>
          <cell r="H63">
            <v>61</v>
          </cell>
          <cell r="I63">
            <v>17585909.836065575</v>
          </cell>
        </row>
        <row r="64">
          <cell r="A64">
            <v>44462</v>
          </cell>
          <cell r="B64">
            <v>0.94499999999999995</v>
          </cell>
          <cell r="C64">
            <v>0.95599999999999996</v>
          </cell>
          <cell r="D64">
            <v>0.94499999999999995</v>
          </cell>
          <cell r="E64">
            <v>0.95099999999999996</v>
          </cell>
          <cell r="F64">
            <v>3418907</v>
          </cell>
          <cell r="G64">
            <v>3253700.75</v>
          </cell>
          <cell r="H64">
            <v>62</v>
          </cell>
          <cell r="I64">
            <v>17357409.790322579</v>
          </cell>
        </row>
        <row r="65">
          <cell r="A65">
            <v>44463</v>
          </cell>
          <cell r="B65">
            <v>0.95</v>
          </cell>
          <cell r="C65">
            <v>0.96499999999999997</v>
          </cell>
          <cell r="D65">
            <v>0.94899999999999995</v>
          </cell>
          <cell r="E65">
            <v>0.95299999999999996</v>
          </cell>
          <cell r="F65">
            <v>2131345</v>
          </cell>
          <cell r="G65">
            <v>2037626.75</v>
          </cell>
          <cell r="H65">
            <v>63</v>
          </cell>
          <cell r="I65">
            <v>17115726.222222224</v>
          </cell>
        </row>
        <row r="66">
          <cell r="A66">
            <v>44466</v>
          </cell>
          <cell r="B66">
            <v>0.95199999999999996</v>
          </cell>
          <cell r="C66">
            <v>0.96899999999999997</v>
          </cell>
          <cell r="D66">
            <v>0.95199999999999996</v>
          </cell>
          <cell r="E66">
            <v>0.96</v>
          </cell>
          <cell r="F66">
            <v>4099574</v>
          </cell>
          <cell r="G66">
            <v>3940400.5</v>
          </cell>
          <cell r="H66">
            <v>64</v>
          </cell>
          <cell r="I66">
            <v>16912348.84375</v>
          </cell>
        </row>
        <row r="67">
          <cell r="A67">
            <v>44467</v>
          </cell>
          <cell r="B67">
            <v>0.95799999999999996</v>
          </cell>
          <cell r="C67">
            <v>0.96599999999999997</v>
          </cell>
          <cell r="D67">
            <v>0.95199999999999996</v>
          </cell>
          <cell r="E67">
            <v>0.95499999999999996</v>
          </cell>
          <cell r="F67">
            <v>3438630</v>
          </cell>
          <cell r="G67">
            <v>3303677.5</v>
          </cell>
          <cell r="H67">
            <v>65</v>
          </cell>
          <cell r="I67">
            <v>16705060.861538462</v>
          </cell>
        </row>
        <row r="68">
          <cell r="A68">
            <v>44468</v>
          </cell>
          <cell r="B68">
            <v>0.95299999999999996</v>
          </cell>
          <cell r="C68">
            <v>0.95299999999999996</v>
          </cell>
          <cell r="D68">
            <v>0.93899999999999995</v>
          </cell>
          <cell r="E68">
            <v>0.94299999999999995</v>
          </cell>
          <cell r="F68">
            <v>2735864</v>
          </cell>
          <cell r="G68">
            <v>2583438.25</v>
          </cell>
          <cell r="H68">
            <v>66</v>
          </cell>
          <cell r="I68">
            <v>16493406.363636363</v>
          </cell>
        </row>
        <row r="69">
          <cell r="A69">
            <v>44469</v>
          </cell>
          <cell r="B69">
            <v>0.94299999999999995</v>
          </cell>
          <cell r="C69">
            <v>0.96199999999999997</v>
          </cell>
          <cell r="D69">
            <v>0.94299999999999995</v>
          </cell>
          <cell r="E69">
            <v>0.96099999999999997</v>
          </cell>
          <cell r="F69">
            <v>2614711</v>
          </cell>
          <cell r="G69">
            <v>2497691.5</v>
          </cell>
          <cell r="H69">
            <v>67</v>
          </cell>
          <cell r="I69">
            <v>16286261.656716418</v>
          </cell>
        </row>
        <row r="70">
          <cell r="A70">
            <v>44477</v>
          </cell>
          <cell r="B70">
            <v>0.96100002527236938</v>
          </cell>
          <cell r="C70">
            <v>0.97399997711181641</v>
          </cell>
          <cell r="D70">
            <v>0.96100002527236938</v>
          </cell>
          <cell r="E70">
            <v>0.9660000205039978</v>
          </cell>
          <cell r="F70">
            <v>2313535</v>
          </cell>
          <cell r="G70">
            <v>2241.011962890625</v>
          </cell>
          <cell r="H70">
            <v>68</v>
          </cell>
          <cell r="I70">
            <v>16080780.382352941</v>
          </cell>
        </row>
        <row r="71">
          <cell r="A71">
            <v>44480</v>
          </cell>
          <cell r="B71">
            <v>0.9660000205039978</v>
          </cell>
          <cell r="C71">
            <v>0.97200000286102295</v>
          </cell>
          <cell r="D71">
            <v>0.95999997854232788</v>
          </cell>
          <cell r="E71">
            <v>0.96100002527236938</v>
          </cell>
          <cell r="F71">
            <v>1245702</v>
          </cell>
          <cell r="G71">
            <v>1201.802978515625</v>
          </cell>
          <cell r="H71">
            <v>69</v>
          </cell>
          <cell r="I71">
            <v>15865779.246376812</v>
          </cell>
        </row>
        <row r="72">
          <cell r="A72">
            <v>44481</v>
          </cell>
          <cell r="B72">
            <v>0.95899999141693115</v>
          </cell>
          <cell r="C72">
            <v>0.96200001239776611</v>
          </cell>
          <cell r="D72">
            <v>0.93900001049041748</v>
          </cell>
          <cell r="E72">
            <v>0.94599997997283936</v>
          </cell>
          <cell r="F72">
            <v>4448604</v>
          </cell>
          <cell r="G72">
            <v>4235.9150390625</v>
          </cell>
          <cell r="H72">
            <v>70</v>
          </cell>
          <cell r="I72">
            <v>15702676.742857143</v>
          </cell>
        </row>
        <row r="73">
          <cell r="A73">
            <v>44482</v>
          </cell>
          <cell r="B73">
            <v>0.94700002670288086</v>
          </cell>
          <cell r="C73">
            <v>0.96299999952316284</v>
          </cell>
          <cell r="D73">
            <v>0.94700002670288086</v>
          </cell>
          <cell r="E73">
            <v>0.96200001239776611</v>
          </cell>
          <cell r="F73">
            <v>4393624</v>
          </cell>
          <cell r="G73">
            <v>4191.6982421875</v>
          </cell>
          <cell r="H73">
            <v>71</v>
          </cell>
          <cell r="I73">
            <v>15543394.309859155</v>
          </cell>
        </row>
        <row r="74">
          <cell r="A74">
            <v>44483</v>
          </cell>
          <cell r="B74">
            <v>0.9649999737739563</v>
          </cell>
          <cell r="C74">
            <v>0.96799999475479126</v>
          </cell>
          <cell r="D74">
            <v>0.95899999141693115</v>
          </cell>
          <cell r="E74">
            <v>0.96299999952316284</v>
          </cell>
          <cell r="F74">
            <v>1154406</v>
          </cell>
          <cell r="G74">
            <v>1112.7020263671875</v>
          </cell>
          <cell r="H74">
            <v>72</v>
          </cell>
          <cell r="I74">
            <v>15343547.25</v>
          </cell>
        </row>
        <row r="75">
          <cell r="A75">
            <v>44484</v>
          </cell>
          <cell r="B75">
            <v>0.95899999141693115</v>
          </cell>
          <cell r="C75">
            <v>0.9779999852180481</v>
          </cell>
          <cell r="D75">
            <v>0.95899999141693115</v>
          </cell>
          <cell r="E75">
            <v>0.97399997711181641</v>
          </cell>
          <cell r="F75">
            <v>5080096</v>
          </cell>
          <cell r="G75">
            <v>4934.77685546875</v>
          </cell>
          <cell r="H75">
            <v>73</v>
          </cell>
          <cell r="I75">
            <v>15202952.02739726</v>
          </cell>
        </row>
        <row r="76">
          <cell r="A76">
            <v>44487</v>
          </cell>
          <cell r="B76">
            <v>0.97200000286102295</v>
          </cell>
          <cell r="C76">
            <v>0.9779999852180481</v>
          </cell>
          <cell r="D76">
            <v>0.96299999952316284</v>
          </cell>
          <cell r="E76">
            <v>0.97299998998641968</v>
          </cell>
          <cell r="F76">
            <v>3459101.25</v>
          </cell>
          <cell r="G76">
            <v>3352.09912109375</v>
          </cell>
          <cell r="H76">
            <v>74</v>
          </cell>
          <cell r="I76">
            <v>15044251.341216216</v>
          </cell>
        </row>
        <row r="77">
          <cell r="A77">
            <v>44488</v>
          </cell>
          <cell r="B77">
            <v>0.97299998998641968</v>
          </cell>
          <cell r="C77">
            <v>0.98199999332427979</v>
          </cell>
          <cell r="D77">
            <v>0.97299998998641968</v>
          </cell>
          <cell r="E77">
            <v>0.98000001907348633</v>
          </cell>
          <cell r="F77">
            <v>4078638</v>
          </cell>
          <cell r="G77">
            <v>3997.580078125</v>
          </cell>
          <cell r="H77">
            <v>75</v>
          </cell>
          <cell r="I77">
            <v>14898043.163333334</v>
          </cell>
        </row>
        <row r="78">
          <cell r="A78">
            <v>44489</v>
          </cell>
          <cell r="B78">
            <v>0.9660000205039978</v>
          </cell>
          <cell r="C78">
            <v>0.98600000143051147</v>
          </cell>
          <cell r="D78">
            <v>0.9660000205039978</v>
          </cell>
          <cell r="E78">
            <v>0.97600001096725464</v>
          </cell>
          <cell r="F78">
            <v>1752207</v>
          </cell>
          <cell r="G78">
            <v>1719.875</v>
          </cell>
          <cell r="H78">
            <v>76</v>
          </cell>
          <cell r="I78">
            <v>14725071.634868421</v>
          </cell>
        </row>
        <row r="79">
          <cell r="A79">
            <v>44490</v>
          </cell>
          <cell r="B79">
            <v>0.97200000286102295</v>
          </cell>
          <cell r="C79">
            <v>0.97899997234344482</v>
          </cell>
          <cell r="D79">
            <v>0.97000002861022949</v>
          </cell>
          <cell r="E79">
            <v>0.97500002384185791</v>
          </cell>
          <cell r="F79">
            <v>4381118</v>
          </cell>
          <cell r="G79">
            <v>4272.587890625</v>
          </cell>
          <cell r="H79">
            <v>77</v>
          </cell>
          <cell r="I79">
            <v>14590734.574675325</v>
          </cell>
        </row>
        <row r="80">
          <cell r="A80">
            <v>44491</v>
          </cell>
          <cell r="B80">
            <v>0.97699999809265137</v>
          </cell>
          <cell r="C80">
            <v>0.99099999666213989</v>
          </cell>
          <cell r="D80">
            <v>0.97699999809265137</v>
          </cell>
          <cell r="E80">
            <v>0.98600000143051147</v>
          </cell>
          <cell r="F80">
            <v>7424100</v>
          </cell>
          <cell r="G80">
            <v>7324.3779296875</v>
          </cell>
          <cell r="H80">
            <v>78</v>
          </cell>
          <cell r="I80">
            <v>14498854.64423077</v>
          </cell>
        </row>
        <row r="81">
          <cell r="A81">
            <v>44494</v>
          </cell>
          <cell r="B81">
            <v>0.99099999666213989</v>
          </cell>
          <cell r="C81">
            <v>0.99599999189376831</v>
          </cell>
          <cell r="D81">
            <v>0.98500001430511475</v>
          </cell>
          <cell r="E81">
            <v>0.99599999189376831</v>
          </cell>
          <cell r="F81">
            <v>5992214</v>
          </cell>
          <cell r="G81">
            <v>5940.21484375</v>
          </cell>
          <cell r="H81">
            <v>79</v>
          </cell>
          <cell r="I81">
            <v>14391175.648734177</v>
          </cell>
        </row>
        <row r="82">
          <cell r="A82">
            <v>44495</v>
          </cell>
          <cell r="B82">
            <v>0.99900001287460327</v>
          </cell>
          <cell r="C82">
            <v>1.0049999952316284</v>
          </cell>
          <cell r="D82">
            <v>0.99500000476837158</v>
          </cell>
          <cell r="E82">
            <v>0.99500000476837158</v>
          </cell>
          <cell r="F82">
            <v>6455937</v>
          </cell>
          <cell r="G82">
            <v>6465.134765625</v>
          </cell>
          <cell r="H82">
            <v>80</v>
          </cell>
          <cell r="I82">
            <v>14291985.165625</v>
          </cell>
        </row>
        <row r="83">
          <cell r="A83">
            <v>44496</v>
          </cell>
          <cell r="B83">
            <v>0.99099999666213989</v>
          </cell>
          <cell r="C83">
            <v>0.99099999666213989</v>
          </cell>
          <cell r="D83">
            <v>0.98199999332427979</v>
          </cell>
          <cell r="E83">
            <v>0.98500001430511475</v>
          </cell>
          <cell r="F83">
            <v>3792820</v>
          </cell>
          <cell r="G83">
            <v>3741.737060546875</v>
          </cell>
          <cell r="H83">
            <v>81</v>
          </cell>
          <cell r="I83">
            <v>14162365.842592593</v>
          </cell>
        </row>
        <row r="84">
          <cell r="A84">
            <v>44497</v>
          </cell>
          <cell r="B84">
            <v>0.98299998044967651</v>
          </cell>
          <cell r="C84">
            <v>0.99299997091293335</v>
          </cell>
          <cell r="D84">
            <v>0.97600001096725464</v>
          </cell>
          <cell r="E84">
            <v>0.98000001907348633</v>
          </cell>
          <cell r="F84">
            <v>1525938</v>
          </cell>
          <cell r="G84">
            <v>1502.011962890625</v>
          </cell>
          <cell r="H84">
            <v>82</v>
          </cell>
          <cell r="I84">
            <v>14008263.064024391</v>
          </cell>
        </row>
        <row r="85">
          <cell r="A85">
            <v>44498</v>
          </cell>
          <cell r="B85">
            <v>0.97899997234344482</v>
          </cell>
          <cell r="C85">
            <v>0.99400001764297485</v>
          </cell>
          <cell r="D85">
            <v>0.97500002384185791</v>
          </cell>
          <cell r="E85">
            <v>0.99299997091293335</v>
          </cell>
          <cell r="F85">
            <v>3805620</v>
          </cell>
          <cell r="G85">
            <v>3741.748046875</v>
          </cell>
          <cell r="H85">
            <v>83</v>
          </cell>
          <cell r="I85">
            <v>13885339.653614458</v>
          </cell>
        </row>
        <row r="86">
          <cell r="A86">
            <v>44501</v>
          </cell>
          <cell r="B86">
            <v>0.99299997091293335</v>
          </cell>
          <cell r="C86">
            <v>1.003000020980835</v>
          </cell>
          <cell r="D86">
            <v>0.98600000143051147</v>
          </cell>
          <cell r="E86">
            <v>0.99500000476837158</v>
          </cell>
          <cell r="F86">
            <v>4565612</v>
          </cell>
          <cell r="G86">
            <v>4547.740234375</v>
          </cell>
          <cell r="H86">
            <v>84</v>
          </cell>
          <cell r="I86">
            <v>13774390.514880951</v>
          </cell>
        </row>
        <row r="87">
          <cell r="A87">
            <v>44502</v>
          </cell>
          <cell r="B87">
            <v>0.99500000476837158</v>
          </cell>
          <cell r="C87">
            <v>1.0039999485015869</v>
          </cell>
          <cell r="D87">
            <v>0.98500001430511475</v>
          </cell>
          <cell r="E87">
            <v>0.99199998378753662</v>
          </cell>
          <cell r="F87">
            <v>4555496</v>
          </cell>
          <cell r="G87">
            <v>4539.01220703125</v>
          </cell>
          <cell r="H87">
            <v>85</v>
          </cell>
          <cell r="I87">
            <v>13665932.932352941</v>
          </cell>
        </row>
        <row r="88">
          <cell r="A88">
            <v>44503</v>
          </cell>
          <cell r="B88">
            <v>0.99299997091293335</v>
          </cell>
          <cell r="C88">
            <v>0.99699997901916504</v>
          </cell>
          <cell r="D88">
            <v>0.98100000619888306</v>
          </cell>
          <cell r="E88">
            <v>0.98500001430511475</v>
          </cell>
          <cell r="F88">
            <v>2688135</v>
          </cell>
          <cell r="G88">
            <v>2661.218017578125</v>
          </cell>
          <cell r="H88">
            <v>86</v>
          </cell>
          <cell r="I88">
            <v>13538284.119186046</v>
          </cell>
        </row>
        <row r="89">
          <cell r="A89">
            <v>44504</v>
          </cell>
          <cell r="B89">
            <v>0.98900002241134644</v>
          </cell>
          <cell r="C89">
            <v>0.99900001287460327</v>
          </cell>
          <cell r="D89">
            <v>0.98900002241134644</v>
          </cell>
          <cell r="E89">
            <v>0.99699997901916504</v>
          </cell>
          <cell r="F89">
            <v>1909511</v>
          </cell>
          <cell r="G89">
            <v>1903.31005859375</v>
          </cell>
          <cell r="H89">
            <v>87</v>
          </cell>
          <cell r="I89">
            <v>13404620.060344828</v>
          </cell>
        </row>
        <row r="90">
          <cell r="A90">
            <v>44505</v>
          </cell>
          <cell r="B90">
            <v>0.99400001764297485</v>
          </cell>
          <cell r="C90">
            <v>1.003000020980835</v>
          </cell>
          <cell r="D90">
            <v>0.99299997091293335</v>
          </cell>
          <cell r="E90">
            <v>0.99400001764297485</v>
          </cell>
          <cell r="F90">
            <v>3670757</v>
          </cell>
          <cell r="G90">
            <v>3665.5859375</v>
          </cell>
          <cell r="H90">
            <v>88</v>
          </cell>
          <cell r="I90">
            <v>13294007.980113637</v>
          </cell>
        </row>
        <row r="91">
          <cell r="A91">
            <v>44508</v>
          </cell>
          <cell r="B91">
            <v>0.99199998378753662</v>
          </cell>
          <cell r="C91">
            <v>1.0010000467300415</v>
          </cell>
          <cell r="D91">
            <v>0.98799997568130493</v>
          </cell>
          <cell r="E91">
            <v>0.99900001287460327</v>
          </cell>
          <cell r="F91">
            <v>6864536</v>
          </cell>
          <cell r="G91">
            <v>6831.2890625</v>
          </cell>
          <cell r="H91">
            <v>89</v>
          </cell>
          <cell r="I91">
            <v>13221766.721910112</v>
          </cell>
        </row>
        <row r="92">
          <cell r="A92">
            <v>44509</v>
          </cell>
          <cell r="B92">
            <v>0.99900001287460327</v>
          </cell>
          <cell r="C92">
            <v>1.0019999742507935</v>
          </cell>
          <cell r="D92">
            <v>0.99500000476837158</v>
          </cell>
          <cell r="E92">
            <v>1.0010000467300415</v>
          </cell>
          <cell r="F92">
            <v>3590273.75</v>
          </cell>
          <cell r="G92">
            <v>3591.166015625</v>
          </cell>
          <cell r="H92">
            <v>90</v>
          </cell>
          <cell r="I92">
            <v>13114750.133333333</v>
          </cell>
        </row>
        <row r="93">
          <cell r="A93">
            <v>44510</v>
          </cell>
          <cell r="B93">
            <v>0.99699997901916504</v>
          </cell>
          <cell r="C93">
            <v>0.99900001287460327</v>
          </cell>
          <cell r="D93">
            <v>0.98299998044967651</v>
          </cell>
          <cell r="E93">
            <v>0.99800002574920654</v>
          </cell>
          <cell r="F93">
            <v>3034505</v>
          </cell>
          <cell r="G93">
            <v>3010.635986328125</v>
          </cell>
          <cell r="H93">
            <v>91</v>
          </cell>
          <cell r="I93">
            <v>13003978.208791209</v>
          </cell>
        </row>
        <row r="94">
          <cell r="A94">
            <v>44511</v>
          </cell>
          <cell r="B94">
            <v>0.99800002574920654</v>
          </cell>
          <cell r="C94">
            <v>1.0089999437332153</v>
          </cell>
          <cell r="D94">
            <v>0.99800002574920654</v>
          </cell>
          <cell r="E94">
            <v>1.0049999952316284</v>
          </cell>
          <cell r="F94">
            <v>9065659</v>
          </cell>
          <cell r="G94">
            <v>9112.28125</v>
          </cell>
          <cell r="H94">
            <v>92</v>
          </cell>
          <cell r="I94">
            <v>12961170.391304348</v>
          </cell>
        </row>
        <row r="95">
          <cell r="A95">
            <v>44512</v>
          </cell>
          <cell r="B95">
            <v>1.0019999742507935</v>
          </cell>
          <cell r="C95">
            <v>1.0099999904632568</v>
          </cell>
          <cell r="D95">
            <v>1</v>
          </cell>
          <cell r="E95">
            <v>1.0060000419616699</v>
          </cell>
          <cell r="F95">
            <v>8636856</v>
          </cell>
          <cell r="G95">
            <v>8679.5703125</v>
          </cell>
          <cell r="H95">
            <v>93</v>
          </cell>
          <cell r="I95">
            <v>12914672.387096774</v>
          </cell>
        </row>
        <row r="96">
          <cell r="A96">
            <v>44515</v>
          </cell>
          <cell r="B96">
            <v>1.0080000162124634</v>
          </cell>
          <cell r="C96">
            <v>1.0080000162124634</v>
          </cell>
          <cell r="D96">
            <v>0.99299997091293335</v>
          </cell>
          <cell r="E96">
            <v>0.99800002574920654</v>
          </cell>
          <cell r="F96">
            <v>1175807</v>
          </cell>
          <cell r="G96">
            <v>1175.136962890625</v>
          </cell>
          <cell r="H96">
            <v>94</v>
          </cell>
          <cell r="I96">
            <v>12789790.840425532</v>
          </cell>
        </row>
        <row r="97">
          <cell r="A97">
            <v>44516</v>
          </cell>
          <cell r="B97">
            <v>0.99699997901916504</v>
          </cell>
          <cell r="C97">
            <v>1.0039999485015869</v>
          </cell>
          <cell r="D97">
            <v>0.99599999189376831</v>
          </cell>
          <cell r="E97">
            <v>0.99599999189376831</v>
          </cell>
          <cell r="F97">
            <v>3911551.25</v>
          </cell>
          <cell r="G97">
            <v>3910.964111328125</v>
          </cell>
          <cell r="H97">
            <v>95</v>
          </cell>
          <cell r="I97">
            <v>12696335.686842104</v>
          </cell>
        </row>
        <row r="98">
          <cell r="A98">
            <v>44517</v>
          </cell>
          <cell r="B98">
            <v>0.99599999189376831</v>
          </cell>
          <cell r="C98">
            <v>1.0049999952316284</v>
          </cell>
          <cell r="D98">
            <v>0.99599999189376831</v>
          </cell>
          <cell r="E98">
            <v>1.003000020980835</v>
          </cell>
          <cell r="F98">
            <v>4511860</v>
          </cell>
          <cell r="G98">
            <v>4525.86083984375</v>
          </cell>
          <cell r="H98">
            <v>96</v>
          </cell>
          <cell r="I98">
            <v>12611080.731770834</v>
          </cell>
        </row>
        <row r="99">
          <cell r="A99">
            <v>44518</v>
          </cell>
          <cell r="B99">
            <v>1.0060000419616699</v>
          </cell>
          <cell r="C99">
            <v>1.0060000419616699</v>
          </cell>
          <cell r="D99">
            <v>0.99199998378753662</v>
          </cell>
          <cell r="E99">
            <v>0.99299997091293335</v>
          </cell>
          <cell r="F99">
            <v>3573020</v>
          </cell>
          <cell r="G99">
            <v>3556.583984375</v>
          </cell>
          <cell r="H99">
            <v>97</v>
          </cell>
          <cell r="I99">
            <v>12517904.847938145</v>
          </cell>
        </row>
        <row r="100">
          <cell r="A100">
            <v>44519</v>
          </cell>
          <cell r="B100">
            <v>0.99500000476837158</v>
          </cell>
          <cell r="C100">
            <v>1.003000020980835</v>
          </cell>
          <cell r="D100">
            <v>0.99400001764297485</v>
          </cell>
          <cell r="E100">
            <v>1.0019999742507935</v>
          </cell>
          <cell r="F100">
            <v>3607827</v>
          </cell>
          <cell r="G100">
            <v>3598.861083984375</v>
          </cell>
          <cell r="H100">
            <v>98</v>
          </cell>
          <cell r="I100">
            <v>12426985.68622449</v>
          </cell>
        </row>
        <row r="101">
          <cell r="A101">
            <v>44522</v>
          </cell>
          <cell r="B101">
            <v>1.0039999485015869</v>
          </cell>
          <cell r="C101">
            <v>1.0219999551773071</v>
          </cell>
          <cell r="D101">
            <v>1.0039999485015869</v>
          </cell>
          <cell r="E101">
            <v>1.0210000276565552</v>
          </cell>
          <cell r="F101">
            <v>15328411</v>
          </cell>
          <cell r="G101">
            <v>15549.439453125</v>
          </cell>
          <cell r="H101">
            <v>99</v>
          </cell>
          <cell r="I101">
            <v>12456293.012626262</v>
          </cell>
        </row>
        <row r="102">
          <cell r="A102">
            <v>44523</v>
          </cell>
          <cell r="B102">
            <v>1.0199999809265137</v>
          </cell>
          <cell r="C102">
            <v>1.0199999809265137</v>
          </cell>
          <cell r="D102">
            <v>1.0119999647140503</v>
          </cell>
          <cell r="E102">
            <v>1.0130000114440918</v>
          </cell>
          <cell r="F102">
            <v>9459840</v>
          </cell>
          <cell r="G102">
            <v>9609.9208984375</v>
          </cell>
          <cell r="H102">
            <v>100</v>
          </cell>
          <cell r="I102">
            <v>12426328.4825</v>
          </cell>
        </row>
        <row r="103">
          <cell r="A103">
            <v>44524</v>
          </cell>
          <cell r="B103">
            <v>1.0130000114440918</v>
          </cell>
          <cell r="C103">
            <v>1.0160000324249268</v>
          </cell>
          <cell r="D103">
            <v>1.0089999437332153</v>
          </cell>
          <cell r="E103">
            <v>1.0110000371932983</v>
          </cell>
          <cell r="F103">
            <v>4747023</v>
          </cell>
          <cell r="G103">
            <v>4802.89111328125</v>
          </cell>
          <cell r="H103">
            <v>101</v>
          </cell>
          <cell r="I103">
            <v>12350295.754950495</v>
          </cell>
        </row>
        <row r="104">
          <cell r="A104">
            <v>44525</v>
          </cell>
          <cell r="B104">
            <v>1.0099999904632568</v>
          </cell>
          <cell r="C104">
            <v>1.0110000371932983</v>
          </cell>
          <cell r="D104">
            <v>1.0060000419616699</v>
          </cell>
          <cell r="E104">
            <v>1.0080000162124634</v>
          </cell>
          <cell r="F104">
            <v>4018310.25</v>
          </cell>
          <cell r="G104">
            <v>4053.112060546875</v>
          </cell>
          <cell r="H104">
            <v>102</v>
          </cell>
          <cell r="I104">
            <v>12268609.62254902</v>
          </cell>
        </row>
        <row r="105">
          <cell r="A105">
            <v>44526</v>
          </cell>
          <cell r="B105">
            <v>1.0099999904632568</v>
          </cell>
          <cell r="C105">
            <v>1.0130000114440918</v>
          </cell>
          <cell r="D105">
            <v>1.003000020980835</v>
          </cell>
          <cell r="E105">
            <v>1.0049999952316284</v>
          </cell>
          <cell r="F105">
            <v>2548336</v>
          </cell>
          <cell r="G105">
            <v>2571.751953125</v>
          </cell>
          <cell r="H105">
            <v>103</v>
          </cell>
          <cell r="I105">
            <v>12174238.033980582</v>
          </cell>
        </row>
        <row r="106">
          <cell r="A106">
            <v>44529</v>
          </cell>
          <cell r="B106">
            <v>1.0010000467300415</v>
          </cell>
          <cell r="C106">
            <v>1.0110000371932983</v>
          </cell>
          <cell r="D106">
            <v>0.99599999189376831</v>
          </cell>
          <cell r="E106">
            <v>1.0089999437332153</v>
          </cell>
          <cell r="F106">
            <v>4573849</v>
          </cell>
          <cell r="G106">
            <v>4607.95703125</v>
          </cell>
          <cell r="H106">
            <v>104</v>
          </cell>
          <cell r="I106">
            <v>12101157.370192308</v>
          </cell>
        </row>
        <row r="107">
          <cell r="A107">
            <v>44530</v>
          </cell>
          <cell r="B107">
            <v>1.0110000371932983</v>
          </cell>
          <cell r="C107">
            <v>1.0149999856948853</v>
          </cell>
          <cell r="D107">
            <v>1.0049999952316284</v>
          </cell>
          <cell r="E107">
            <v>1.0110000371932983</v>
          </cell>
          <cell r="F107">
            <v>3040778</v>
          </cell>
          <cell r="G107">
            <v>3072.791015625</v>
          </cell>
          <cell r="H107">
            <v>105</v>
          </cell>
          <cell r="I107">
            <v>12014868.042857142</v>
          </cell>
        </row>
        <row r="108">
          <cell r="A108">
            <v>44531</v>
          </cell>
          <cell r="B108">
            <v>1.0110000371932983</v>
          </cell>
          <cell r="C108">
            <v>1.0110000371932983</v>
          </cell>
          <cell r="D108">
            <v>1.0019999742507935</v>
          </cell>
          <cell r="E108">
            <v>1.0069999694824219</v>
          </cell>
          <cell r="F108">
            <v>1723848</v>
          </cell>
          <cell r="G108">
            <v>1733.385009765625</v>
          </cell>
          <cell r="H108">
            <v>106</v>
          </cell>
          <cell r="I108">
            <v>11917782.948113207</v>
          </cell>
        </row>
        <row r="109">
          <cell r="A109">
            <v>44532</v>
          </cell>
          <cell r="B109">
            <v>1.003000020980835</v>
          </cell>
          <cell r="C109">
            <v>1.0089999437332153</v>
          </cell>
          <cell r="D109">
            <v>1.0010000467300415</v>
          </cell>
          <cell r="E109">
            <v>1.003000020980835</v>
          </cell>
          <cell r="F109">
            <v>2275412</v>
          </cell>
          <cell r="G109">
            <v>2284.958984375</v>
          </cell>
          <cell r="H109">
            <v>107</v>
          </cell>
          <cell r="I109">
            <v>11827667.331775701</v>
          </cell>
        </row>
        <row r="110">
          <cell r="A110">
            <v>44533</v>
          </cell>
          <cell r="B110">
            <v>1.0049999952316284</v>
          </cell>
          <cell r="C110">
            <v>1.0069999694824219</v>
          </cell>
          <cell r="D110">
            <v>0.99800002574920654</v>
          </cell>
          <cell r="E110">
            <v>1.0060000419616699</v>
          </cell>
          <cell r="F110">
            <v>1681631</v>
          </cell>
          <cell r="G110">
            <v>1687.27001953125</v>
          </cell>
          <cell r="H110">
            <v>108</v>
          </cell>
          <cell r="I110">
            <v>11733722.550925925</v>
          </cell>
        </row>
        <row r="111">
          <cell r="A111">
            <v>44536</v>
          </cell>
          <cell r="B111">
            <v>1.003000020980835</v>
          </cell>
          <cell r="C111">
            <v>1.0099999904632568</v>
          </cell>
          <cell r="D111">
            <v>0.99500000476837158</v>
          </cell>
          <cell r="E111">
            <v>0.99500000476837158</v>
          </cell>
          <cell r="F111">
            <v>1038611.0625</v>
          </cell>
          <cell r="G111">
            <v>1041.5989990234375</v>
          </cell>
          <cell r="H111">
            <v>109</v>
          </cell>
          <cell r="I111">
            <v>11635602.262041284</v>
          </cell>
        </row>
        <row r="112">
          <cell r="A112">
            <v>44537</v>
          </cell>
          <cell r="B112">
            <v>1.0010000467300415</v>
          </cell>
          <cell r="C112">
            <v>1.0010000467300415</v>
          </cell>
          <cell r="D112">
            <v>0.98400002717971802</v>
          </cell>
          <cell r="E112">
            <v>0.98900002241134644</v>
          </cell>
          <cell r="F112">
            <v>2848805</v>
          </cell>
          <cell r="G112">
            <v>2824.451904296875</v>
          </cell>
          <cell r="H112">
            <v>110</v>
          </cell>
          <cell r="I112">
            <v>11555722.286931818</v>
          </cell>
        </row>
        <row r="113">
          <cell r="A113">
            <v>44538</v>
          </cell>
          <cell r="B113">
            <v>0.99500000476837158</v>
          </cell>
          <cell r="C113">
            <v>1.0060000419616699</v>
          </cell>
          <cell r="D113">
            <v>0.99400001764297485</v>
          </cell>
          <cell r="E113">
            <v>1.0060000419616699</v>
          </cell>
          <cell r="F113">
            <v>3410173.75</v>
          </cell>
          <cell r="G113">
            <v>3419.632080078125</v>
          </cell>
          <cell r="H113">
            <v>111</v>
          </cell>
          <cell r="I113">
            <v>11482338.966779279</v>
          </cell>
        </row>
        <row r="114">
          <cell r="A114">
            <v>44539</v>
          </cell>
          <cell r="B114">
            <v>1.0049999952316284</v>
          </cell>
          <cell r="C114">
            <v>1.0219999551773071</v>
          </cell>
          <cell r="D114">
            <v>1.0049999952316284</v>
          </cell>
          <cell r="E114">
            <v>1.0190000534057617</v>
          </cell>
          <cell r="F114">
            <v>10712061</v>
          </cell>
          <cell r="G114">
            <v>10902.970703125</v>
          </cell>
          <cell r="H114">
            <v>112</v>
          </cell>
          <cell r="I114">
            <v>11475461.484933035</v>
          </cell>
        </row>
        <row r="115">
          <cell r="A115">
            <v>44540</v>
          </cell>
          <cell r="B115">
            <v>1.0130000114440918</v>
          </cell>
          <cell r="C115">
            <v>1.0210000276565552</v>
          </cell>
          <cell r="D115">
            <v>1.0089999437332153</v>
          </cell>
          <cell r="E115">
            <v>1.0190000534057617</v>
          </cell>
          <cell r="F115">
            <v>1963998</v>
          </cell>
          <cell r="G115">
            <v>1997.758056640625</v>
          </cell>
          <cell r="H115">
            <v>113</v>
          </cell>
          <cell r="I115">
            <v>11391289.24170354</v>
          </cell>
        </row>
        <row r="116">
          <cell r="A116">
            <v>44543</v>
          </cell>
          <cell r="B116">
            <v>1.0130000114440918</v>
          </cell>
          <cell r="C116">
            <v>1.034000039100647</v>
          </cell>
          <cell r="D116">
            <v>1.0130000114440918</v>
          </cell>
          <cell r="E116">
            <v>1.0269999504089355</v>
          </cell>
          <cell r="F116">
            <v>8765824</v>
          </cell>
          <cell r="G116">
            <v>9026.02734375</v>
          </cell>
          <cell r="H116">
            <v>114</v>
          </cell>
          <cell r="I116">
            <v>11368258.844846491</v>
          </cell>
        </row>
        <row r="117">
          <cell r="A117">
            <v>44544</v>
          </cell>
          <cell r="B117">
            <v>1.0269999504089355</v>
          </cell>
          <cell r="C117">
            <v>1.0269999504089355</v>
          </cell>
          <cell r="D117">
            <v>1.0180000066757202</v>
          </cell>
          <cell r="E117">
            <v>1.0180000066757202</v>
          </cell>
          <cell r="F117">
            <v>1627225</v>
          </cell>
          <cell r="G117">
            <v>1659.76904296875</v>
          </cell>
          <cell r="H117">
            <v>115</v>
          </cell>
          <cell r="I117">
            <v>11283554.202717392</v>
          </cell>
        </row>
        <row r="118">
          <cell r="A118">
            <v>44545</v>
          </cell>
          <cell r="B118">
            <v>1.0199999809265137</v>
          </cell>
          <cell r="C118">
            <v>1.0219999551773071</v>
          </cell>
          <cell r="D118">
            <v>1.0089999437332153</v>
          </cell>
          <cell r="E118">
            <v>1.0099999904632568</v>
          </cell>
          <cell r="F118">
            <v>3141458</v>
          </cell>
          <cell r="G118">
            <v>3196.468017578125</v>
          </cell>
          <cell r="H118">
            <v>116</v>
          </cell>
          <cell r="I118">
            <v>11213363.718211208</v>
          </cell>
        </row>
        <row r="119">
          <cell r="A119">
            <v>44546</v>
          </cell>
          <cell r="B119">
            <v>1.0099999904632568</v>
          </cell>
          <cell r="C119">
            <v>1.0149999856948853</v>
          </cell>
          <cell r="D119">
            <v>1.0080000162124634</v>
          </cell>
          <cell r="E119">
            <v>1.0149999856948853</v>
          </cell>
          <cell r="F119">
            <v>2897243</v>
          </cell>
          <cell r="G119">
            <v>2928.18994140625</v>
          </cell>
          <cell r="H119">
            <v>117</v>
          </cell>
          <cell r="I119">
            <v>11142285.7633547</v>
          </cell>
        </row>
        <row r="120">
          <cell r="A120">
            <v>44547</v>
          </cell>
          <cell r="B120">
            <v>1.0069999694824219</v>
          </cell>
          <cell r="C120">
            <v>1.0099999904632568</v>
          </cell>
          <cell r="D120">
            <v>0.99900001287460327</v>
          </cell>
          <cell r="E120">
            <v>1</v>
          </cell>
          <cell r="F120">
            <v>3019505</v>
          </cell>
          <cell r="G120">
            <v>3028.802001953125</v>
          </cell>
          <cell r="H120">
            <v>118</v>
          </cell>
          <cell r="I120">
            <v>11073448.638241526</v>
          </cell>
        </row>
        <row r="121">
          <cell r="A121">
            <v>44550</v>
          </cell>
          <cell r="B121">
            <v>0.99900001287460327</v>
          </cell>
          <cell r="C121">
            <v>1</v>
          </cell>
          <cell r="D121">
            <v>0.97600001096725464</v>
          </cell>
          <cell r="E121">
            <v>0.97699999809265137</v>
          </cell>
          <cell r="F121">
            <v>4565101</v>
          </cell>
          <cell r="G121">
            <v>4501.97900390625</v>
          </cell>
          <cell r="H121">
            <v>119</v>
          </cell>
          <cell r="I121">
            <v>11018756.641281513</v>
          </cell>
        </row>
        <row r="122">
          <cell r="A122">
            <v>44551</v>
          </cell>
          <cell r="B122">
            <v>0.98299998044967651</v>
          </cell>
          <cell r="C122">
            <v>0.98500001430511475</v>
          </cell>
          <cell r="D122">
            <v>0.97699999809265137</v>
          </cell>
          <cell r="E122">
            <v>0.98500001430511475</v>
          </cell>
          <cell r="F122">
            <v>3084602</v>
          </cell>
          <cell r="G122">
            <v>3024.156005859375</v>
          </cell>
          <cell r="H122">
            <v>120</v>
          </cell>
          <cell r="I122">
            <v>10952638.6859375</v>
          </cell>
        </row>
        <row r="123">
          <cell r="A123">
            <v>44552</v>
          </cell>
          <cell r="B123">
            <v>0.98600000143051147</v>
          </cell>
          <cell r="C123">
            <v>0.99299997091293335</v>
          </cell>
          <cell r="D123">
            <v>0.98600000143051147</v>
          </cell>
          <cell r="E123">
            <v>0.99099999666213989</v>
          </cell>
          <cell r="F123">
            <v>2327117</v>
          </cell>
          <cell r="G123">
            <v>2305.64208984375</v>
          </cell>
          <cell r="H123">
            <v>121</v>
          </cell>
          <cell r="I123">
            <v>10881353.382747933</v>
          </cell>
        </row>
        <row r="124">
          <cell r="A124">
            <v>44553</v>
          </cell>
          <cell r="B124">
            <v>0.99500000476837158</v>
          </cell>
          <cell r="C124">
            <v>0.99900001287460327</v>
          </cell>
          <cell r="D124">
            <v>0.99099999666213989</v>
          </cell>
          <cell r="E124">
            <v>0.99500000476837158</v>
          </cell>
          <cell r="F124">
            <v>3145225</v>
          </cell>
          <cell r="G124">
            <v>3126.48388671875</v>
          </cell>
          <cell r="H124">
            <v>122</v>
          </cell>
          <cell r="I124">
            <v>10817942.494364753</v>
          </cell>
        </row>
        <row r="125">
          <cell r="A125">
            <v>44554</v>
          </cell>
          <cell r="B125">
            <v>0.99400001764297485</v>
          </cell>
          <cell r="C125">
            <v>0.99400001764297485</v>
          </cell>
          <cell r="D125">
            <v>0.9779999852180481</v>
          </cell>
          <cell r="E125">
            <v>0.98199999332427979</v>
          </cell>
          <cell r="F125">
            <v>3182907</v>
          </cell>
          <cell r="G125">
            <v>3132.027099609375</v>
          </cell>
          <cell r="H125">
            <v>123</v>
          </cell>
          <cell r="I125">
            <v>10755869.035060976</v>
          </cell>
        </row>
        <row r="126">
          <cell r="A126">
            <v>44557</v>
          </cell>
          <cell r="B126">
            <v>0.98400002717971802</v>
          </cell>
          <cell r="C126">
            <v>0.98900002241134644</v>
          </cell>
          <cell r="D126">
            <v>0.98000001907348633</v>
          </cell>
          <cell r="E126">
            <v>0.98299998044967651</v>
          </cell>
          <cell r="F126">
            <v>1800311.875</v>
          </cell>
          <cell r="G126">
            <v>1771.0479736328125</v>
          </cell>
          <cell r="H126">
            <v>124</v>
          </cell>
          <cell r="I126">
            <v>10683646.799899194</v>
          </cell>
        </row>
        <row r="127">
          <cell r="A127">
            <v>44558</v>
          </cell>
          <cell r="B127">
            <v>0.9869999885559082</v>
          </cell>
          <cell r="C127">
            <v>0.99599999189376831</v>
          </cell>
          <cell r="D127">
            <v>0.98199999332427979</v>
          </cell>
          <cell r="E127">
            <v>0.99400001764297485</v>
          </cell>
          <cell r="F127">
            <v>4340008</v>
          </cell>
          <cell r="G127">
            <v>4296.35302734375</v>
          </cell>
          <cell r="H127">
            <v>125</v>
          </cell>
          <cell r="I127">
            <v>10632897.6895</v>
          </cell>
        </row>
        <row r="128">
          <cell r="A128">
            <v>44559</v>
          </cell>
          <cell r="B128">
            <v>0.99500000476837158</v>
          </cell>
          <cell r="C128">
            <v>0.99500000476837158</v>
          </cell>
          <cell r="D128">
            <v>0.98299998044967651</v>
          </cell>
          <cell r="E128">
            <v>0.98299998044967651</v>
          </cell>
          <cell r="F128">
            <v>3106204</v>
          </cell>
          <cell r="G128">
            <v>3066.179931640625</v>
          </cell>
          <cell r="H128">
            <v>126</v>
          </cell>
          <cell r="I128">
            <v>10573162.025297619</v>
          </cell>
        </row>
        <row r="129">
          <cell r="A129">
            <v>44560</v>
          </cell>
          <cell r="B129">
            <v>0.98299998044967651</v>
          </cell>
          <cell r="C129">
            <v>0.99400001764297485</v>
          </cell>
          <cell r="D129">
            <v>0.98299998044967651</v>
          </cell>
          <cell r="E129">
            <v>0.99000000953674316</v>
          </cell>
          <cell r="F129">
            <v>1774302.875</v>
          </cell>
          <cell r="G129">
            <v>1756.2440185546875</v>
          </cell>
          <cell r="H129">
            <v>127</v>
          </cell>
          <cell r="I129">
            <v>10503879.669783464</v>
          </cell>
        </row>
        <row r="130">
          <cell r="A130">
            <v>44561</v>
          </cell>
          <cell r="B130">
            <v>0.99500000476837158</v>
          </cell>
          <cell r="C130">
            <v>0.99500000476837158</v>
          </cell>
          <cell r="D130">
            <v>0.98600000143051147</v>
          </cell>
          <cell r="E130">
            <v>0.99199998378753662</v>
          </cell>
          <cell r="F130">
            <v>1988017</v>
          </cell>
          <cell r="G130">
            <v>1969.0880126953125</v>
          </cell>
          <cell r="H130">
            <v>128</v>
          </cell>
          <cell r="I130">
            <v>10437349.492675781</v>
          </cell>
        </row>
        <row r="131">
          <cell r="A131">
            <v>44565</v>
          </cell>
          <cell r="B131">
            <v>0.99199998378753662</v>
          </cell>
          <cell r="C131">
            <v>0.99599999189376831</v>
          </cell>
          <cell r="D131">
            <v>0.97600001096725464</v>
          </cell>
          <cell r="E131">
            <v>0.98299998044967651</v>
          </cell>
          <cell r="F131">
            <v>3473303</v>
          </cell>
          <cell r="G131">
            <v>3420.97705078125</v>
          </cell>
          <cell r="H131">
            <v>129</v>
          </cell>
          <cell r="I131">
            <v>10383364.636143411</v>
          </cell>
        </row>
        <row r="132">
          <cell r="A132">
            <v>44566</v>
          </cell>
          <cell r="B132">
            <v>0.97699999809265137</v>
          </cell>
          <cell r="C132">
            <v>0.97699999809265137</v>
          </cell>
          <cell r="D132">
            <v>0.95599997043609619</v>
          </cell>
          <cell r="E132">
            <v>0.96100002527236938</v>
          </cell>
          <cell r="F132">
            <v>5904303</v>
          </cell>
          <cell r="G132">
            <v>5693.3017578125</v>
          </cell>
          <cell r="H132">
            <v>130</v>
          </cell>
          <cell r="I132">
            <v>10348910.315865384</v>
          </cell>
        </row>
        <row r="133">
          <cell r="A133">
            <v>44567</v>
          </cell>
          <cell r="B133">
            <v>0.95599997043609619</v>
          </cell>
          <cell r="C133">
            <v>0.9570000171661377</v>
          </cell>
          <cell r="D133">
            <v>0.94300001859664917</v>
          </cell>
          <cell r="E133">
            <v>0.95200002193450928</v>
          </cell>
          <cell r="F133">
            <v>6038001</v>
          </cell>
          <cell r="G133">
            <v>5740.23486328125</v>
          </cell>
          <cell r="H133">
            <v>131</v>
          </cell>
          <cell r="I133">
            <v>10316002.611164123</v>
          </cell>
        </row>
        <row r="134">
          <cell r="A134">
            <v>44568</v>
          </cell>
          <cell r="B134">
            <v>0.95599997043609619</v>
          </cell>
          <cell r="C134">
            <v>0.95899999141693115</v>
          </cell>
          <cell r="D134">
            <v>0.94900000095367432</v>
          </cell>
          <cell r="E134">
            <v>0.94999998807907104</v>
          </cell>
          <cell r="F134">
            <v>2948303</v>
          </cell>
          <cell r="G134">
            <v>2812.489990234375</v>
          </cell>
          <cell r="H134">
            <v>132</v>
          </cell>
          <cell r="I134">
            <v>10260186.705018939</v>
          </cell>
        </row>
        <row r="135">
          <cell r="A135">
            <v>44571</v>
          </cell>
          <cell r="B135">
            <v>0.95300000905990601</v>
          </cell>
          <cell r="C135">
            <v>0.95399999618530273</v>
          </cell>
          <cell r="D135">
            <v>0.93800002336502075</v>
          </cell>
          <cell r="E135">
            <v>0.94999998807907104</v>
          </cell>
          <cell r="F135">
            <v>2877113</v>
          </cell>
          <cell r="G135">
            <v>2723.02392578125</v>
          </cell>
          <cell r="H135">
            <v>133</v>
          </cell>
          <cell r="I135">
            <v>10204674.872650376</v>
          </cell>
        </row>
        <row r="136">
          <cell r="A136">
            <v>44572</v>
          </cell>
          <cell r="B136">
            <v>0.94999998807907104</v>
          </cell>
          <cell r="C136">
            <v>0.95200002193450928</v>
          </cell>
          <cell r="D136">
            <v>0.93800002336502075</v>
          </cell>
          <cell r="E136">
            <v>0.93900001049041748</v>
          </cell>
          <cell r="F136">
            <v>4772900</v>
          </cell>
          <cell r="G136">
            <v>4504.2998046875</v>
          </cell>
          <cell r="H136">
            <v>134</v>
          </cell>
          <cell r="I136">
            <v>10164139.239272388</v>
          </cell>
        </row>
        <row r="137">
          <cell r="A137">
            <v>44573</v>
          </cell>
          <cell r="B137">
            <v>0.94700002670288086</v>
          </cell>
          <cell r="C137">
            <v>0.95200002193450928</v>
          </cell>
          <cell r="D137">
            <v>0.94300001859664917</v>
          </cell>
          <cell r="E137">
            <v>0.95200002193450928</v>
          </cell>
          <cell r="F137">
            <v>1687809</v>
          </cell>
          <cell r="G137">
            <v>1599.0799560546875</v>
          </cell>
          <cell r="H137">
            <v>135</v>
          </cell>
          <cell r="I137">
            <v>10101351.60787037</v>
          </cell>
        </row>
        <row r="138">
          <cell r="A138">
            <v>44574</v>
          </cell>
          <cell r="B138">
            <v>0.95200002193450928</v>
          </cell>
          <cell r="C138">
            <v>0.95300000905990601</v>
          </cell>
          <cell r="D138">
            <v>0.93500000238418579</v>
          </cell>
          <cell r="E138">
            <v>0.93599998950958252</v>
          </cell>
          <cell r="F138">
            <v>3237800</v>
          </cell>
          <cell r="G138">
            <v>3048.388916015625</v>
          </cell>
          <cell r="H138">
            <v>136</v>
          </cell>
          <cell r="I138">
            <v>10050884.31663603</v>
          </cell>
        </row>
        <row r="139">
          <cell r="A139">
            <v>44575</v>
          </cell>
          <cell r="B139">
            <v>0.94800001382827759</v>
          </cell>
          <cell r="C139">
            <v>0.94800001382827759</v>
          </cell>
          <cell r="D139">
            <v>0.93000000715255737</v>
          </cell>
          <cell r="E139">
            <v>0.93800002336502075</v>
          </cell>
          <cell r="F139">
            <v>1447505</v>
          </cell>
          <cell r="G139">
            <v>1356.9019775390625</v>
          </cell>
          <cell r="H139">
            <v>137</v>
          </cell>
          <cell r="I139">
            <v>9988085.9274635036</v>
          </cell>
        </row>
        <row r="140">
          <cell r="A140">
            <v>44578</v>
          </cell>
          <cell r="B140">
            <v>0.93800002336502075</v>
          </cell>
          <cell r="C140">
            <v>0.95499998331069946</v>
          </cell>
          <cell r="D140">
            <v>0.93800002336502075</v>
          </cell>
          <cell r="E140">
            <v>0.95300000905990601</v>
          </cell>
          <cell r="F140">
            <v>1462618</v>
          </cell>
          <cell r="G140">
            <v>1390.68994140625</v>
          </cell>
          <cell r="H140">
            <v>138</v>
          </cell>
          <cell r="I140">
            <v>9926307.1743659414</v>
          </cell>
        </row>
        <row r="141">
          <cell r="A141">
            <v>44579</v>
          </cell>
          <cell r="B141">
            <v>0.95899999141693115</v>
          </cell>
          <cell r="C141">
            <v>0.95899999141693115</v>
          </cell>
          <cell r="D141">
            <v>0.94700002670288086</v>
          </cell>
          <cell r="E141">
            <v>0.95399999618530273</v>
          </cell>
          <cell r="F141">
            <v>2637102</v>
          </cell>
          <cell r="G141">
            <v>2516.280029296875</v>
          </cell>
          <cell r="H141">
            <v>139</v>
          </cell>
          <cell r="I141">
            <v>9873866.8493705038</v>
          </cell>
        </row>
        <row r="142">
          <cell r="A142">
            <v>44580</v>
          </cell>
          <cell r="B142">
            <v>0.95800000429153442</v>
          </cell>
          <cell r="C142">
            <v>0.95800000429153442</v>
          </cell>
          <cell r="D142">
            <v>0.93300002813339233</v>
          </cell>
          <cell r="E142">
            <v>0.93900001049041748</v>
          </cell>
          <cell r="F142">
            <v>3376500</v>
          </cell>
          <cell r="G142">
            <v>3168.449951171875</v>
          </cell>
          <cell r="H142">
            <v>140</v>
          </cell>
          <cell r="I142">
            <v>9827457.0861607138</v>
          </cell>
        </row>
        <row r="143">
          <cell r="A143">
            <v>44581</v>
          </cell>
          <cell r="B143">
            <v>0.94099998474121094</v>
          </cell>
          <cell r="C143">
            <v>0.9440000057220459</v>
          </cell>
          <cell r="D143">
            <v>0.93500000238418579</v>
          </cell>
          <cell r="E143">
            <v>0.93900001049041748</v>
          </cell>
          <cell r="F143">
            <v>1368202</v>
          </cell>
          <cell r="G143">
            <v>1286.06201171875</v>
          </cell>
          <cell r="H143">
            <v>141</v>
          </cell>
          <cell r="I143">
            <v>9767462.3692375887</v>
          </cell>
        </row>
        <row r="144">
          <cell r="A144">
            <v>44582</v>
          </cell>
          <cell r="B144">
            <v>0.94700002670288086</v>
          </cell>
          <cell r="C144">
            <v>0.94700002670288086</v>
          </cell>
          <cell r="D144">
            <v>0.92500001192092896</v>
          </cell>
          <cell r="E144">
            <v>0.92699998617172241</v>
          </cell>
          <cell r="F144">
            <v>3362521</v>
          </cell>
          <cell r="G144">
            <v>3127.39404296875</v>
          </cell>
          <cell r="H144">
            <v>142</v>
          </cell>
          <cell r="I144">
            <v>9722357.1483274642</v>
          </cell>
        </row>
        <row r="145">
          <cell r="A145">
            <v>44585</v>
          </cell>
          <cell r="B145">
            <v>0.92699998617172241</v>
          </cell>
          <cell r="C145">
            <v>0.93599998950958252</v>
          </cell>
          <cell r="D145">
            <v>0.92299997806549072</v>
          </cell>
          <cell r="E145">
            <v>0.93300002813339233</v>
          </cell>
          <cell r="F145">
            <v>1527212</v>
          </cell>
          <cell r="G145">
            <v>1420.634033203125</v>
          </cell>
          <cell r="H145">
            <v>143</v>
          </cell>
          <cell r="I145">
            <v>9665048.4409965035</v>
          </cell>
        </row>
        <row r="146">
          <cell r="A146">
            <v>44586</v>
          </cell>
          <cell r="B146">
            <v>0.92100000381469727</v>
          </cell>
          <cell r="C146">
            <v>0.93500000238418579</v>
          </cell>
          <cell r="D146">
            <v>0.91399997472763062</v>
          </cell>
          <cell r="E146">
            <v>0.91399997472763062</v>
          </cell>
          <cell r="F146">
            <v>1894109</v>
          </cell>
          <cell r="G146">
            <v>1748.9329833984375</v>
          </cell>
          <cell r="H146">
            <v>144</v>
          </cell>
          <cell r="I146">
            <v>9611083.5837673619</v>
          </cell>
        </row>
        <row r="147">
          <cell r="A147">
            <v>44587</v>
          </cell>
          <cell r="B147">
            <v>0.91500002145767212</v>
          </cell>
          <cell r="C147">
            <v>0.92400002479553223</v>
          </cell>
          <cell r="D147">
            <v>0.90799999237060547</v>
          </cell>
          <cell r="E147">
            <v>0.92100000381469727</v>
          </cell>
          <cell r="F147">
            <v>1920309</v>
          </cell>
          <cell r="G147">
            <v>1765.64794921875</v>
          </cell>
          <cell r="H147">
            <v>145</v>
          </cell>
          <cell r="I147">
            <v>9558043.7590517234</v>
          </cell>
        </row>
        <row r="148">
          <cell r="A148">
            <v>44588</v>
          </cell>
          <cell r="B148">
            <v>0.91900002956390381</v>
          </cell>
          <cell r="C148">
            <v>0.91900002956390381</v>
          </cell>
          <cell r="D148">
            <v>0.89300000667572021</v>
          </cell>
          <cell r="E148">
            <v>0.89300000667572021</v>
          </cell>
          <cell r="F148">
            <v>2677822</v>
          </cell>
          <cell r="G148">
            <v>2423.487060546875</v>
          </cell>
          <cell r="H148">
            <v>146</v>
          </cell>
          <cell r="I148">
            <v>9510918.9524828773</v>
          </cell>
        </row>
        <row r="149">
          <cell r="A149">
            <v>44589</v>
          </cell>
          <cell r="B149">
            <v>0.90499997138977051</v>
          </cell>
          <cell r="C149">
            <v>0.90499997138977051</v>
          </cell>
          <cell r="D149">
            <v>0.88499999046325684</v>
          </cell>
          <cell r="E149">
            <v>0.89099997282028198</v>
          </cell>
          <cell r="F149">
            <v>2257005</v>
          </cell>
          <cell r="G149">
            <v>2018.9129638671875</v>
          </cell>
          <cell r="H149">
            <v>147</v>
          </cell>
          <cell r="I149">
            <v>9461572.5990646258</v>
          </cell>
        </row>
        <row r="150">
          <cell r="A150">
            <v>44599</v>
          </cell>
          <cell r="B150">
            <v>0.90700000524520874</v>
          </cell>
          <cell r="C150">
            <v>0.91100001335144043</v>
          </cell>
          <cell r="D150">
            <v>0.89200001955032349</v>
          </cell>
          <cell r="E150">
            <v>0.89300000667572021</v>
          </cell>
          <cell r="F150">
            <v>1191102</v>
          </cell>
          <cell r="G150">
            <v>1076.927001953125</v>
          </cell>
          <cell r="H150">
            <v>148</v>
          </cell>
          <cell r="I150">
            <v>9405691.0409628376</v>
          </cell>
        </row>
        <row r="151">
          <cell r="A151">
            <v>44600</v>
          </cell>
          <cell r="B151">
            <v>0.88999998569488525</v>
          </cell>
          <cell r="C151">
            <v>0.88999998569488525</v>
          </cell>
          <cell r="D151">
            <v>0.86100000143051147</v>
          </cell>
          <cell r="E151">
            <v>0.87699997425079346</v>
          </cell>
          <cell r="F151">
            <v>4656026</v>
          </cell>
          <cell r="G151">
            <v>4068.3359375</v>
          </cell>
          <cell r="H151">
            <v>149</v>
          </cell>
          <cell r="I151">
            <v>9373814.0943791941</v>
          </cell>
        </row>
        <row r="152">
          <cell r="A152">
            <v>44601</v>
          </cell>
          <cell r="B152">
            <v>0.87400001287460327</v>
          </cell>
          <cell r="C152">
            <v>0.88899999856948853</v>
          </cell>
          <cell r="D152">
            <v>0.87000000476837158</v>
          </cell>
          <cell r="E152">
            <v>0.8880000114440918</v>
          </cell>
          <cell r="F152">
            <v>1261603</v>
          </cell>
          <cell r="G152">
            <v>1109.7239990234375</v>
          </cell>
          <cell r="H152">
            <v>150</v>
          </cell>
          <cell r="I152">
            <v>9319732.6870833337</v>
          </cell>
        </row>
        <row r="153">
          <cell r="A153">
            <v>44602</v>
          </cell>
          <cell r="B153">
            <v>0.90100002288818359</v>
          </cell>
          <cell r="C153">
            <v>0.90100002288818359</v>
          </cell>
          <cell r="D153">
            <v>0.87000000476837158</v>
          </cell>
          <cell r="E153">
            <v>0.87699997425079346</v>
          </cell>
          <cell r="F153">
            <v>2198404</v>
          </cell>
          <cell r="G153">
            <v>1924.845947265625</v>
          </cell>
          <cell r="H153">
            <v>151</v>
          </cell>
          <cell r="I153">
            <v>9272571.569950331</v>
          </cell>
        </row>
        <row r="154">
          <cell r="A154">
            <v>44603</v>
          </cell>
          <cell r="B154">
            <v>0.87800002098083496</v>
          </cell>
          <cell r="C154">
            <v>0.87800002098083496</v>
          </cell>
          <cell r="D154">
            <v>0.85900002717971802</v>
          </cell>
          <cell r="E154">
            <v>0.86000001430511475</v>
          </cell>
          <cell r="F154">
            <v>2927609</v>
          </cell>
          <cell r="G154">
            <v>2549.548095703125</v>
          </cell>
          <cell r="H154">
            <v>152</v>
          </cell>
          <cell r="I154">
            <v>9230828.3951480258</v>
          </cell>
        </row>
        <row r="155">
          <cell r="A155">
            <v>44606</v>
          </cell>
          <cell r="B155">
            <v>0.8529999852180481</v>
          </cell>
          <cell r="C155">
            <v>0.86599999666213989</v>
          </cell>
          <cell r="D155">
            <v>0.85000002384185791</v>
          </cell>
          <cell r="E155">
            <v>0.85500001907348633</v>
          </cell>
          <cell r="F155">
            <v>2468311</v>
          </cell>
          <cell r="G155">
            <v>2110.842041015625</v>
          </cell>
          <cell r="H155">
            <v>153</v>
          </cell>
          <cell r="I155">
            <v>9186628.9350490198</v>
          </cell>
        </row>
        <row r="156">
          <cell r="A156">
            <v>44607</v>
          </cell>
          <cell r="B156">
            <v>0.86000001430511475</v>
          </cell>
          <cell r="C156">
            <v>0.875</v>
          </cell>
          <cell r="D156">
            <v>0.86000001430511475</v>
          </cell>
          <cell r="E156">
            <v>0.875</v>
          </cell>
          <cell r="F156">
            <v>775004</v>
          </cell>
          <cell r="G156">
            <v>674.23199462890625</v>
          </cell>
          <cell r="H156">
            <v>154</v>
          </cell>
          <cell r="I156">
            <v>9132007.9939123373</v>
          </cell>
        </row>
        <row r="157">
          <cell r="A157">
            <v>44608</v>
          </cell>
          <cell r="B157">
            <v>0.88200002908706665</v>
          </cell>
          <cell r="C157">
            <v>0.88200002908706665</v>
          </cell>
          <cell r="D157">
            <v>0.875</v>
          </cell>
          <cell r="E157">
            <v>0.87699997425079346</v>
          </cell>
          <cell r="F157">
            <v>880201.9375</v>
          </cell>
          <cell r="G157">
            <v>771.77801513671875</v>
          </cell>
          <cell r="H157">
            <v>155</v>
          </cell>
          <cell r="I157">
            <v>9078770.5354838707</v>
          </cell>
        </row>
        <row r="158">
          <cell r="A158">
            <v>44609</v>
          </cell>
          <cell r="B158">
            <v>0.87900000810623169</v>
          </cell>
          <cell r="C158">
            <v>0.88700002431869507</v>
          </cell>
          <cell r="D158">
            <v>0.87400001287460327</v>
          </cell>
          <cell r="E158">
            <v>0.88099998235702515</v>
          </cell>
          <cell r="F158">
            <v>712602</v>
          </cell>
          <cell r="G158">
            <v>627.53399658203125</v>
          </cell>
          <cell r="H158">
            <v>156</v>
          </cell>
          <cell r="I158">
            <v>9025141.25</v>
          </cell>
        </row>
        <row r="159">
          <cell r="A159">
            <v>44610</v>
          </cell>
          <cell r="B159">
            <v>0.87400001287460327</v>
          </cell>
          <cell r="C159">
            <v>0.87900000810623169</v>
          </cell>
          <cell r="D159">
            <v>0.87300002574920654</v>
          </cell>
          <cell r="E159">
            <v>0.87900000810623169</v>
          </cell>
          <cell r="F159">
            <v>536304</v>
          </cell>
          <cell r="G159">
            <v>469.42098999023437</v>
          </cell>
          <cell r="H159">
            <v>157</v>
          </cell>
          <cell r="I159">
            <v>8971072.2229299359</v>
          </cell>
        </row>
        <row r="160">
          <cell r="A160">
            <v>44613</v>
          </cell>
          <cell r="B160">
            <v>0.87800002098083496</v>
          </cell>
          <cell r="C160">
            <v>0.87900000810623169</v>
          </cell>
          <cell r="D160">
            <v>0.87400001287460327</v>
          </cell>
          <cell r="E160">
            <v>0.87699997425079346</v>
          </cell>
          <cell r="F160">
            <v>320901</v>
          </cell>
          <cell r="G160">
            <v>281.20199584960937</v>
          </cell>
          <cell r="H160">
            <v>158</v>
          </cell>
          <cell r="I160">
            <v>8916324.3037974685</v>
          </cell>
        </row>
        <row r="161">
          <cell r="A161">
            <v>44614</v>
          </cell>
          <cell r="B161">
            <v>0.875</v>
          </cell>
          <cell r="C161">
            <v>0.875</v>
          </cell>
          <cell r="D161">
            <v>0.86100000143051147</v>
          </cell>
          <cell r="E161">
            <v>0.86599999666213989</v>
          </cell>
          <cell r="F161">
            <v>2683700</v>
          </cell>
          <cell r="G161">
            <v>2322.748046875</v>
          </cell>
          <cell r="H161">
            <v>159</v>
          </cell>
          <cell r="I161">
            <v>8877125.4088050313</v>
          </cell>
        </row>
        <row r="162">
          <cell r="A162">
            <v>44615</v>
          </cell>
          <cell r="B162">
            <v>0.86900001764297485</v>
          </cell>
          <cell r="C162">
            <v>0.8880000114440918</v>
          </cell>
          <cell r="D162">
            <v>0.86900001764297485</v>
          </cell>
          <cell r="E162">
            <v>0.88700002431869507</v>
          </cell>
          <cell r="F162">
            <v>1673102.875</v>
          </cell>
          <cell r="G162">
            <v>1476.133056640625</v>
          </cell>
          <cell r="H162">
            <v>160</v>
          </cell>
          <cell r="I162">
            <v>8832100.2679687496</v>
          </cell>
        </row>
        <row r="163">
          <cell r="A163">
            <v>44616</v>
          </cell>
          <cell r="B163">
            <v>0.88700002431869507</v>
          </cell>
          <cell r="C163">
            <v>0.8880000114440918</v>
          </cell>
          <cell r="D163">
            <v>0.85799998044967651</v>
          </cell>
          <cell r="E163">
            <v>0.86900001764297485</v>
          </cell>
          <cell r="F163">
            <v>2679516</v>
          </cell>
          <cell r="G163">
            <v>2344.927978515625</v>
          </cell>
          <cell r="H163">
            <v>161</v>
          </cell>
          <cell r="I163">
            <v>8793885.4588509314</v>
          </cell>
        </row>
        <row r="164">
          <cell r="A164">
            <v>44617</v>
          </cell>
          <cell r="B164">
            <v>0.86599999666213989</v>
          </cell>
          <cell r="C164">
            <v>0.88999998569488525</v>
          </cell>
          <cell r="D164">
            <v>0.86599999666213989</v>
          </cell>
          <cell r="E164">
            <v>0.88300001621246338</v>
          </cell>
          <cell r="F164">
            <v>1296209</v>
          </cell>
          <cell r="G164">
            <v>1148.3599853515625</v>
          </cell>
          <cell r="H164">
            <v>162</v>
          </cell>
          <cell r="I164">
            <v>8747603.5054012351</v>
          </cell>
        </row>
        <row r="165">
          <cell r="A165">
            <v>44620</v>
          </cell>
          <cell r="B165">
            <v>0.87400001287460327</v>
          </cell>
          <cell r="C165">
            <v>0.88400000333786011</v>
          </cell>
          <cell r="D165">
            <v>0.87400001287460327</v>
          </cell>
          <cell r="E165">
            <v>0.88200002908706665</v>
          </cell>
          <cell r="F165">
            <v>906904</v>
          </cell>
          <cell r="G165">
            <v>799.25701904296875</v>
          </cell>
          <cell r="H165">
            <v>163</v>
          </cell>
          <cell r="I165">
            <v>8699501.0544478521</v>
          </cell>
        </row>
        <row r="166">
          <cell r="A166">
            <v>44621</v>
          </cell>
          <cell r="B166">
            <v>0.88099998235702515</v>
          </cell>
          <cell r="C166">
            <v>0.88599997758865356</v>
          </cell>
          <cell r="D166">
            <v>0.87800002098083496</v>
          </cell>
          <cell r="E166">
            <v>0.88300001621246338</v>
          </cell>
          <cell r="F166">
            <v>1023300</v>
          </cell>
          <cell r="G166">
            <v>901.9520263671875</v>
          </cell>
          <cell r="H166">
            <v>164</v>
          </cell>
          <cell r="I166">
            <v>8652694.9504573178</v>
          </cell>
        </row>
        <row r="167">
          <cell r="A167">
            <v>44622</v>
          </cell>
          <cell r="B167">
            <v>0.87400001287460327</v>
          </cell>
          <cell r="C167">
            <v>0.875</v>
          </cell>
          <cell r="D167">
            <v>0.86500000953674316</v>
          </cell>
          <cell r="E167">
            <v>0.87199997901916504</v>
          </cell>
          <cell r="F167">
            <v>3593001.25</v>
          </cell>
          <cell r="G167">
            <v>3125.152099609375</v>
          </cell>
          <cell r="H167">
            <v>165</v>
          </cell>
          <cell r="I167">
            <v>8622030.1401515156</v>
          </cell>
        </row>
        <row r="168">
          <cell r="A168">
            <v>44623</v>
          </cell>
          <cell r="B168">
            <v>0.87400001287460327</v>
          </cell>
          <cell r="C168">
            <v>0.87400001287460327</v>
          </cell>
          <cell r="D168">
            <v>0.86100000143051147</v>
          </cell>
          <cell r="E168">
            <v>0.8619999885559082</v>
          </cell>
          <cell r="F168">
            <v>904101</v>
          </cell>
          <cell r="G168">
            <v>780.48602294921875</v>
          </cell>
          <cell r="H168">
            <v>166</v>
          </cell>
          <cell r="I168">
            <v>8575536.5911144577</v>
          </cell>
        </row>
        <row r="169">
          <cell r="A169">
            <v>44624</v>
          </cell>
          <cell r="B169">
            <v>0.86000001430511475</v>
          </cell>
          <cell r="C169">
            <v>0.86100000143051147</v>
          </cell>
          <cell r="D169">
            <v>0.84700000286102295</v>
          </cell>
          <cell r="E169">
            <v>0.85000002384185791</v>
          </cell>
          <cell r="F169">
            <v>2099500</v>
          </cell>
          <cell r="G169">
            <v>1788.68603515625</v>
          </cell>
          <cell r="H169">
            <v>167</v>
          </cell>
          <cell r="I169">
            <v>8536757.9288922157</v>
          </cell>
        </row>
        <row r="170">
          <cell r="A170">
            <v>44627</v>
          </cell>
          <cell r="B170">
            <v>0.85199999809265137</v>
          </cell>
          <cell r="C170">
            <v>0.85199999809265137</v>
          </cell>
          <cell r="D170">
            <v>0.81199997663497925</v>
          </cell>
          <cell r="E170">
            <v>0.81400001049041748</v>
          </cell>
          <cell r="F170">
            <v>2547118</v>
          </cell>
          <cell r="G170">
            <v>2088.75390625</v>
          </cell>
          <cell r="H170">
            <v>168</v>
          </cell>
          <cell r="I170">
            <v>8501105.3102678563</v>
          </cell>
        </row>
        <row r="171">
          <cell r="A171">
            <v>44628</v>
          </cell>
          <cell r="B171">
            <v>0.81599998474121094</v>
          </cell>
          <cell r="C171">
            <v>0.81999999284744263</v>
          </cell>
          <cell r="D171">
            <v>0.79100000858306885</v>
          </cell>
          <cell r="E171">
            <v>0.79600000381469727</v>
          </cell>
          <cell r="F171">
            <v>1877014</v>
          </cell>
          <cell r="G171">
            <v>1509.1009521484375</v>
          </cell>
          <cell r="H171">
            <v>169</v>
          </cell>
          <cell r="I171">
            <v>8461909.5036982242</v>
          </cell>
        </row>
        <row r="172">
          <cell r="A172">
            <v>44629</v>
          </cell>
          <cell r="B172">
            <v>0.80000001192092896</v>
          </cell>
          <cell r="C172">
            <v>0.80199998617172241</v>
          </cell>
          <cell r="D172">
            <v>0.75900000333786011</v>
          </cell>
          <cell r="E172">
            <v>0.79000002145767212</v>
          </cell>
          <cell r="F172">
            <v>1891715</v>
          </cell>
          <cell r="G172">
            <v>1479.85205078125</v>
          </cell>
          <cell r="H172">
            <v>170</v>
          </cell>
          <cell r="I172">
            <v>8423261.3007352948</v>
          </cell>
        </row>
        <row r="173">
          <cell r="A173">
            <v>44630</v>
          </cell>
          <cell r="B173">
            <v>0.80000001192092896</v>
          </cell>
          <cell r="C173">
            <v>0.81499999761581421</v>
          </cell>
          <cell r="D173">
            <v>0.80000001192092896</v>
          </cell>
          <cell r="E173">
            <v>0.80900001525878906</v>
          </cell>
          <cell r="F173">
            <v>2855105</v>
          </cell>
          <cell r="G173">
            <v>2313.18505859375</v>
          </cell>
          <cell r="H173">
            <v>171</v>
          </cell>
          <cell r="I173">
            <v>8390698.9831871353</v>
          </cell>
        </row>
        <row r="174">
          <cell r="A174">
            <v>44631</v>
          </cell>
          <cell r="B174">
            <v>0.81400001049041748</v>
          </cell>
          <cell r="C174">
            <v>0.81400001049041748</v>
          </cell>
          <cell r="D174">
            <v>0.78799998760223389</v>
          </cell>
          <cell r="E174">
            <v>0.81199997663497925</v>
          </cell>
          <cell r="F174">
            <v>2379500</v>
          </cell>
          <cell r="G174">
            <v>1913.7049560546875</v>
          </cell>
          <cell r="H174">
            <v>172</v>
          </cell>
          <cell r="I174">
            <v>8355750.1518895347</v>
          </cell>
        </row>
        <row r="175">
          <cell r="A175">
            <v>44634</v>
          </cell>
          <cell r="B175">
            <v>0.81499999761581421</v>
          </cell>
          <cell r="C175">
            <v>0.81499999761581421</v>
          </cell>
          <cell r="D175">
            <v>0.78799998760223389</v>
          </cell>
          <cell r="E175">
            <v>0.78799998760223389</v>
          </cell>
          <cell r="F175">
            <v>925204</v>
          </cell>
          <cell r="G175">
            <v>736.51300048828125</v>
          </cell>
          <cell r="H175">
            <v>173</v>
          </cell>
          <cell r="I175">
            <v>8312799.0180635834</v>
          </cell>
        </row>
        <row r="176">
          <cell r="A176">
            <v>44635</v>
          </cell>
          <cell r="B176">
            <v>0.79699999094009399</v>
          </cell>
          <cell r="C176">
            <v>0.79699999094009399</v>
          </cell>
          <cell r="D176">
            <v>0.76200002431869507</v>
          </cell>
          <cell r="E176">
            <v>0.76200002431869507</v>
          </cell>
          <cell r="F176">
            <v>1554500</v>
          </cell>
          <cell r="G176">
            <v>1201.6419677734375</v>
          </cell>
          <cell r="H176">
            <v>174</v>
          </cell>
          <cell r="I176">
            <v>8273958.2191091953</v>
          </cell>
        </row>
        <row r="177">
          <cell r="A177">
            <v>44636</v>
          </cell>
          <cell r="B177">
            <v>0.7630000114440918</v>
          </cell>
          <cell r="C177">
            <v>0.7929999828338623</v>
          </cell>
          <cell r="D177">
            <v>0.75</v>
          </cell>
          <cell r="E177">
            <v>0.79000002145767212</v>
          </cell>
          <cell r="F177">
            <v>3271618</v>
          </cell>
          <cell r="G177">
            <v>2545.72509765625</v>
          </cell>
          <cell r="H177">
            <v>175</v>
          </cell>
          <cell r="I177">
            <v>8245373.4178571431</v>
          </cell>
        </row>
        <row r="178">
          <cell r="A178">
            <v>44637</v>
          </cell>
          <cell r="B178">
            <v>0.79799997806549072</v>
          </cell>
          <cell r="C178">
            <v>0.82499998807907104</v>
          </cell>
          <cell r="D178">
            <v>0.79799997806549072</v>
          </cell>
          <cell r="E178">
            <v>0.81000000238418579</v>
          </cell>
          <cell r="F178">
            <v>2188720</v>
          </cell>
          <cell r="G178">
            <v>1788.75</v>
          </cell>
          <cell r="H178">
            <v>176</v>
          </cell>
          <cell r="I178">
            <v>8210960.6143465908</v>
          </cell>
        </row>
        <row r="179">
          <cell r="A179">
            <v>44638</v>
          </cell>
          <cell r="B179">
            <v>0.81599998474121094</v>
          </cell>
          <cell r="C179">
            <v>0.81599998474121094</v>
          </cell>
          <cell r="D179">
            <v>0.80000001192092896</v>
          </cell>
          <cell r="E179">
            <v>0.81099998950958252</v>
          </cell>
          <cell r="F179">
            <v>827743</v>
          </cell>
          <cell r="G179">
            <v>666.7750244140625</v>
          </cell>
          <cell r="H179">
            <v>177</v>
          </cell>
          <cell r="I179">
            <v>8169247.5204802258</v>
          </cell>
        </row>
        <row r="180">
          <cell r="A180">
            <v>44641</v>
          </cell>
          <cell r="B180">
            <v>0.81400001049041748</v>
          </cell>
          <cell r="C180">
            <v>0.81999999284744263</v>
          </cell>
          <cell r="D180">
            <v>0.80699998140335083</v>
          </cell>
          <cell r="E180">
            <v>0.81400001049041748</v>
          </cell>
          <cell r="F180">
            <v>779401</v>
          </cell>
          <cell r="G180">
            <v>635.23602294921875</v>
          </cell>
          <cell r="H180">
            <v>178</v>
          </cell>
          <cell r="I180">
            <v>8127731.5287921345</v>
          </cell>
        </row>
        <row r="181">
          <cell r="A181">
            <v>44642</v>
          </cell>
          <cell r="B181">
            <v>0.81099998950958252</v>
          </cell>
          <cell r="C181">
            <v>0.81099998950958252</v>
          </cell>
          <cell r="D181">
            <v>0.8059999942779541</v>
          </cell>
          <cell r="E181">
            <v>0.80699998140335083</v>
          </cell>
          <cell r="F181">
            <v>1041201.9375</v>
          </cell>
          <cell r="G181">
            <v>841.54498291015625</v>
          </cell>
          <cell r="H181">
            <v>179</v>
          </cell>
          <cell r="I181">
            <v>8088141.9780027932</v>
          </cell>
        </row>
        <row r="182">
          <cell r="A182">
            <v>44643</v>
          </cell>
          <cell r="B182">
            <v>0.80900001525878906</v>
          </cell>
          <cell r="C182">
            <v>0.81599998474121094</v>
          </cell>
          <cell r="D182">
            <v>0.80400002002716064</v>
          </cell>
          <cell r="E182">
            <v>0.81400001049041748</v>
          </cell>
          <cell r="F182">
            <v>3580100</v>
          </cell>
          <cell r="G182">
            <v>2911.240966796875</v>
          </cell>
          <cell r="H182">
            <v>180</v>
          </cell>
          <cell r="I182">
            <v>8063097.300347222</v>
          </cell>
        </row>
        <row r="183">
          <cell r="A183">
            <v>44644</v>
          </cell>
          <cell r="B183">
            <v>0.80699998140335083</v>
          </cell>
          <cell r="C183">
            <v>0.81300002336502075</v>
          </cell>
          <cell r="D183">
            <v>0.80000001192092896</v>
          </cell>
          <cell r="E183">
            <v>0.80900001525878906</v>
          </cell>
          <cell r="F183">
            <v>1274100</v>
          </cell>
          <cell r="G183">
            <v>1026.7230224609375</v>
          </cell>
          <cell r="H183">
            <v>181</v>
          </cell>
          <cell r="I183">
            <v>8025589.0279696137</v>
          </cell>
        </row>
        <row r="184">
          <cell r="A184">
            <v>44645</v>
          </cell>
          <cell r="B184">
            <v>0.80900001525878906</v>
          </cell>
          <cell r="C184">
            <v>0.80900001525878906</v>
          </cell>
          <cell r="D184">
            <v>0.79100000858306885</v>
          </cell>
          <cell r="E184">
            <v>0.79100000858306885</v>
          </cell>
          <cell r="F184">
            <v>914900</v>
          </cell>
          <cell r="G184">
            <v>730.801025390625</v>
          </cell>
          <cell r="H184">
            <v>182</v>
          </cell>
          <cell r="I184">
            <v>7986519.3080357146</v>
          </cell>
        </row>
        <row r="185">
          <cell r="A185">
            <v>44648</v>
          </cell>
          <cell r="B185">
            <v>0.78899997472763062</v>
          </cell>
          <cell r="C185">
            <v>0.78899997472763062</v>
          </cell>
          <cell r="D185">
            <v>0.77499997615814209</v>
          </cell>
          <cell r="E185">
            <v>0.77899998426437378</v>
          </cell>
          <cell r="F185">
            <v>692703</v>
          </cell>
          <cell r="G185">
            <v>539.21502685546875</v>
          </cell>
          <cell r="H185">
            <v>183</v>
          </cell>
          <cell r="I185">
            <v>7946662.3883196721</v>
          </cell>
        </row>
        <row r="186">
          <cell r="A186">
            <v>44649</v>
          </cell>
          <cell r="B186">
            <v>0.78899997472763062</v>
          </cell>
          <cell r="C186">
            <v>0.78899997472763062</v>
          </cell>
          <cell r="D186">
            <v>0.7720000147819519</v>
          </cell>
          <cell r="E186">
            <v>0.77399998903274536</v>
          </cell>
          <cell r="F186">
            <v>881700</v>
          </cell>
          <cell r="G186">
            <v>687.166015625</v>
          </cell>
          <cell r="H186">
            <v>184</v>
          </cell>
          <cell r="I186">
            <v>7908265.8536005439</v>
          </cell>
        </row>
        <row r="187">
          <cell r="A187">
            <v>44650</v>
          </cell>
          <cell r="B187">
            <v>0.78100001811981201</v>
          </cell>
          <cell r="C187">
            <v>0.80000001192092896</v>
          </cell>
          <cell r="D187">
            <v>0.78100001811981201</v>
          </cell>
          <cell r="E187">
            <v>0.80000001192092896</v>
          </cell>
          <cell r="F187">
            <v>1145900</v>
          </cell>
          <cell r="G187">
            <v>904.89398193359375</v>
          </cell>
          <cell r="H187">
            <v>185</v>
          </cell>
          <cell r="I187">
            <v>7871712.5246621622</v>
          </cell>
        </row>
        <row r="188">
          <cell r="A188">
            <v>44651</v>
          </cell>
          <cell r="B188">
            <v>0.80099999904632568</v>
          </cell>
          <cell r="C188">
            <v>0.80099999904632568</v>
          </cell>
          <cell r="D188">
            <v>0.79000002145767212</v>
          </cell>
          <cell r="E188">
            <v>0.79199999570846558</v>
          </cell>
          <cell r="F188">
            <v>1401901</v>
          </cell>
          <cell r="G188">
            <v>1111.7139892578125</v>
          </cell>
          <cell r="H188">
            <v>186</v>
          </cell>
          <cell r="I188">
            <v>7836928.591733871</v>
          </cell>
        </row>
        <row r="189">
          <cell r="A189">
            <v>44652</v>
          </cell>
          <cell r="B189">
            <v>0.79400002956390381</v>
          </cell>
          <cell r="C189">
            <v>0.80199998617172241</v>
          </cell>
          <cell r="D189">
            <v>0.79400002956390381</v>
          </cell>
          <cell r="E189">
            <v>0.79799997806549072</v>
          </cell>
          <cell r="F189">
            <v>246701</v>
          </cell>
          <cell r="G189">
            <v>196.80499267578125</v>
          </cell>
          <cell r="H189">
            <v>187</v>
          </cell>
          <cell r="I189">
            <v>7796339.1393716577</v>
          </cell>
        </row>
        <row r="190">
          <cell r="A190">
            <v>44657</v>
          </cell>
          <cell r="B190">
            <v>0.79500001668930054</v>
          </cell>
          <cell r="C190">
            <v>0.79600000381469727</v>
          </cell>
          <cell r="D190">
            <v>0.78799998760223389</v>
          </cell>
          <cell r="E190">
            <v>0.79100000858306885</v>
          </cell>
          <cell r="F190">
            <v>802500</v>
          </cell>
          <cell r="G190">
            <v>634.76202392578125</v>
          </cell>
          <cell r="H190">
            <v>188</v>
          </cell>
          <cell r="I190">
            <v>7759137.8673537234</v>
          </cell>
        </row>
        <row r="191">
          <cell r="A191">
            <v>44658</v>
          </cell>
          <cell r="B191">
            <v>0.7850000262260437</v>
          </cell>
          <cell r="C191">
            <v>0.79000002145767212</v>
          </cell>
          <cell r="D191">
            <v>0.77899998426437378</v>
          </cell>
          <cell r="E191">
            <v>0.77999997138977051</v>
          </cell>
          <cell r="F191">
            <v>378901</v>
          </cell>
          <cell r="G191">
            <v>297.0830078125</v>
          </cell>
          <cell r="H191">
            <v>189</v>
          </cell>
          <cell r="I191">
            <v>7720088.9950396828</v>
          </cell>
        </row>
        <row r="192">
          <cell r="A192">
            <v>44659</v>
          </cell>
          <cell r="B192">
            <v>0.7839999794960022</v>
          </cell>
          <cell r="C192">
            <v>0.7839999794960022</v>
          </cell>
          <cell r="D192">
            <v>0.76999998092651367</v>
          </cell>
          <cell r="E192">
            <v>0.77799999713897705</v>
          </cell>
          <cell r="F192">
            <v>513700</v>
          </cell>
          <cell r="G192">
            <v>399.04800415039062</v>
          </cell>
          <cell r="H192">
            <v>190</v>
          </cell>
          <cell r="I192">
            <v>7682160.6319078943</v>
          </cell>
        </row>
        <row r="193">
          <cell r="A193">
            <v>44662</v>
          </cell>
          <cell r="B193">
            <v>0.78200000524520874</v>
          </cell>
          <cell r="C193">
            <v>0.78200000524520874</v>
          </cell>
          <cell r="D193">
            <v>0.74599999189376831</v>
          </cell>
          <cell r="E193">
            <v>0.74699997901916504</v>
          </cell>
          <cell r="F193">
            <v>1995908</v>
          </cell>
          <cell r="G193">
            <v>1498.2559814453125</v>
          </cell>
          <cell r="H193">
            <v>191</v>
          </cell>
          <cell r="I193">
            <v>7652389.6757198954</v>
          </cell>
        </row>
        <row r="194">
          <cell r="A194">
            <v>44663</v>
          </cell>
          <cell r="B194">
            <v>0.74699997901916504</v>
          </cell>
          <cell r="C194">
            <v>0.76099997758865356</v>
          </cell>
          <cell r="D194">
            <v>0.74199998378753662</v>
          </cell>
          <cell r="E194">
            <v>0.76099997758865356</v>
          </cell>
          <cell r="F194">
            <v>3429202</v>
          </cell>
          <cell r="G194">
            <v>2573.47412109375</v>
          </cell>
          <cell r="H194">
            <v>192</v>
          </cell>
          <cell r="I194">
            <v>7630393.9065755205</v>
          </cell>
        </row>
        <row r="195">
          <cell r="A195">
            <v>44664</v>
          </cell>
          <cell r="B195">
            <v>0.75199997425079346</v>
          </cell>
          <cell r="C195">
            <v>0.75999999046325684</v>
          </cell>
          <cell r="D195">
            <v>0.75</v>
          </cell>
          <cell r="E195">
            <v>0.75</v>
          </cell>
          <cell r="F195">
            <v>862409</v>
          </cell>
          <cell r="G195">
            <v>651.0250244140625</v>
          </cell>
          <cell r="H195">
            <v>193</v>
          </cell>
          <cell r="I195">
            <v>7595326.6272668391</v>
          </cell>
        </row>
        <row r="196">
          <cell r="A196">
            <v>44665</v>
          </cell>
          <cell r="B196">
            <v>0.75199997425079346</v>
          </cell>
          <cell r="C196">
            <v>0.75700002908706665</v>
          </cell>
          <cell r="D196">
            <v>0.74699997901916504</v>
          </cell>
          <cell r="E196">
            <v>0.75300002098083496</v>
          </cell>
          <cell r="F196">
            <v>4063216</v>
          </cell>
          <cell r="G196">
            <v>3053.993896484375</v>
          </cell>
          <cell r="H196">
            <v>194</v>
          </cell>
          <cell r="I196">
            <v>7577119.8714561854</v>
          </cell>
        </row>
        <row r="197">
          <cell r="A197">
            <v>44666</v>
          </cell>
          <cell r="B197">
            <v>0.74299997091293335</v>
          </cell>
          <cell r="C197">
            <v>0.75300002098083496</v>
          </cell>
          <cell r="D197">
            <v>0.73799997568130493</v>
          </cell>
          <cell r="E197">
            <v>0.74800002574920654</v>
          </cell>
          <cell r="F197">
            <v>2779301</v>
          </cell>
          <cell r="G197">
            <v>2068.803955078125</v>
          </cell>
          <cell r="H197">
            <v>195</v>
          </cell>
          <cell r="I197">
            <v>7552515.6721153846</v>
          </cell>
        </row>
        <row r="198">
          <cell r="A198">
            <v>44669</v>
          </cell>
          <cell r="B198">
            <v>0.75300002098083496</v>
          </cell>
          <cell r="C198">
            <v>0.75400000810623169</v>
          </cell>
          <cell r="D198">
            <v>0.73600000143051147</v>
          </cell>
          <cell r="E198">
            <v>0.75400000810623169</v>
          </cell>
          <cell r="F198">
            <v>3013102</v>
          </cell>
          <cell r="G198">
            <v>2258.364990234375</v>
          </cell>
          <cell r="H198">
            <v>196</v>
          </cell>
          <cell r="I198">
            <v>7529355.3982780613</v>
          </cell>
        </row>
        <row r="199">
          <cell r="A199">
            <v>44670</v>
          </cell>
          <cell r="B199">
            <v>0.75800001621246338</v>
          </cell>
          <cell r="C199">
            <v>0.75800001621246338</v>
          </cell>
          <cell r="D199">
            <v>0.74400001764297485</v>
          </cell>
          <cell r="E199">
            <v>0.74599999189376831</v>
          </cell>
          <cell r="F199">
            <v>1872500</v>
          </cell>
          <cell r="G199">
            <v>1398.3699951171875</v>
          </cell>
          <cell r="H199">
            <v>197</v>
          </cell>
          <cell r="I199">
            <v>7500640.3962563453</v>
          </cell>
        </row>
        <row r="200">
          <cell r="A200">
            <v>44671</v>
          </cell>
          <cell r="B200">
            <v>0.75800001621246338</v>
          </cell>
          <cell r="C200">
            <v>0.75800001621246338</v>
          </cell>
          <cell r="D200">
            <v>0.7279999852180481</v>
          </cell>
          <cell r="E200">
            <v>0.73100000619888306</v>
          </cell>
          <cell r="F200">
            <v>2084605.125</v>
          </cell>
          <cell r="G200">
            <v>1528.2230224609375</v>
          </cell>
          <cell r="H200">
            <v>198</v>
          </cell>
          <cell r="I200">
            <v>7473286.6827651514</v>
          </cell>
        </row>
        <row r="201">
          <cell r="A201">
            <v>44672</v>
          </cell>
          <cell r="B201">
            <v>0.73799997568130493</v>
          </cell>
          <cell r="C201">
            <v>0.73799997568130493</v>
          </cell>
          <cell r="D201">
            <v>0.70800000429153442</v>
          </cell>
          <cell r="E201">
            <v>0.70899999141693115</v>
          </cell>
          <cell r="F201">
            <v>2819701</v>
          </cell>
          <cell r="G201">
            <v>2022.1629638671875</v>
          </cell>
          <cell r="H201">
            <v>199</v>
          </cell>
          <cell r="I201">
            <v>7449901.8300879393</v>
          </cell>
        </row>
        <row r="202">
          <cell r="A202">
            <v>44673</v>
          </cell>
          <cell r="B202">
            <v>0.70499998331069946</v>
          </cell>
          <cell r="C202">
            <v>0.7160000205039978</v>
          </cell>
          <cell r="D202">
            <v>0.70200002193450928</v>
          </cell>
          <cell r="E202">
            <v>0.70899999141693115</v>
          </cell>
          <cell r="F202">
            <v>1129815</v>
          </cell>
          <cell r="G202">
            <v>802.17999267578125</v>
          </cell>
          <cell r="H202">
            <v>200</v>
          </cell>
          <cell r="I202">
            <v>7418301.3959374996</v>
          </cell>
        </row>
        <row r="203">
          <cell r="A203">
            <v>44676</v>
          </cell>
          <cell r="B203">
            <v>0.71299999952316284</v>
          </cell>
          <cell r="C203">
            <v>0.71299999952316284</v>
          </cell>
          <cell r="D203">
            <v>0.67100000381469727</v>
          </cell>
          <cell r="E203">
            <v>0.67299997806549072</v>
          </cell>
          <cell r="F203">
            <v>1799902</v>
          </cell>
          <cell r="G203">
            <v>1239.696044921875</v>
          </cell>
          <cell r="H203">
            <v>201</v>
          </cell>
          <cell r="I203">
            <v>7390349.1601368161</v>
          </cell>
        </row>
        <row r="204">
          <cell r="A204">
            <v>44677</v>
          </cell>
          <cell r="B204">
            <v>0.67000001668930054</v>
          </cell>
          <cell r="C204">
            <v>0.68000000715255737</v>
          </cell>
          <cell r="D204">
            <v>0.66100001335144043</v>
          </cell>
          <cell r="E204">
            <v>0.66100001335144043</v>
          </cell>
          <cell r="F204">
            <v>5469009</v>
          </cell>
          <cell r="G204">
            <v>3642.27392578125</v>
          </cell>
          <cell r="H204">
            <v>202</v>
          </cell>
          <cell r="I204">
            <v>7380837.5751856435</v>
          </cell>
        </row>
        <row r="205">
          <cell r="A205">
            <v>44678</v>
          </cell>
          <cell r="B205">
            <v>0.66200000047683716</v>
          </cell>
          <cell r="C205">
            <v>0.69300001859664917</v>
          </cell>
          <cell r="D205">
            <v>0.65399998426437378</v>
          </cell>
          <cell r="E205">
            <v>0.69300001859664917</v>
          </cell>
          <cell r="F205">
            <v>2363909</v>
          </cell>
          <cell r="G205">
            <v>1584.9010009765625</v>
          </cell>
          <cell r="H205">
            <v>203</v>
          </cell>
          <cell r="I205">
            <v>7356123.6413177336</v>
          </cell>
        </row>
        <row r="206">
          <cell r="A206">
            <v>44679</v>
          </cell>
          <cell r="B206">
            <v>0.68800002336502075</v>
          </cell>
          <cell r="C206">
            <v>0.69700002670288086</v>
          </cell>
          <cell r="D206">
            <v>0.68300002813339233</v>
          </cell>
          <cell r="E206">
            <v>0.68800002336502075</v>
          </cell>
          <cell r="F206">
            <v>2685504</v>
          </cell>
          <cell r="G206">
            <v>1844.656982421875</v>
          </cell>
          <cell r="H206">
            <v>204</v>
          </cell>
          <cell r="I206">
            <v>7333228.4469975494</v>
          </cell>
        </row>
        <row r="207">
          <cell r="A207">
            <v>44680</v>
          </cell>
          <cell r="B207">
            <v>0.6940000057220459</v>
          </cell>
          <cell r="C207">
            <v>0.71899998188018799</v>
          </cell>
          <cell r="D207">
            <v>0.68999999761581421</v>
          </cell>
          <cell r="E207">
            <v>0.71899998188018799</v>
          </cell>
          <cell r="F207">
            <v>2631500</v>
          </cell>
          <cell r="G207">
            <v>1869.6650390625</v>
          </cell>
          <cell r="H207">
            <v>205</v>
          </cell>
          <cell r="I207">
            <v>7310293.186280488</v>
          </cell>
        </row>
        <row r="208">
          <cell r="A208">
            <v>44686</v>
          </cell>
          <cell r="B208">
            <v>0.70999997854232788</v>
          </cell>
          <cell r="C208">
            <v>0.72500002384185791</v>
          </cell>
          <cell r="D208">
            <v>0.69099998474121094</v>
          </cell>
          <cell r="E208">
            <v>0.71799999475479126</v>
          </cell>
          <cell r="F208">
            <v>1139800</v>
          </cell>
          <cell r="G208">
            <v>811.74102783203125</v>
          </cell>
          <cell r="H208">
            <v>206</v>
          </cell>
          <cell r="I208">
            <v>7280339.3358616503</v>
          </cell>
        </row>
        <row r="209">
          <cell r="A209">
            <v>44687</v>
          </cell>
          <cell r="B209">
            <v>0.70999997854232788</v>
          </cell>
          <cell r="C209">
            <v>0.70999997854232788</v>
          </cell>
          <cell r="D209">
            <v>0.69800001382827759</v>
          </cell>
          <cell r="E209">
            <v>0.70300000905990601</v>
          </cell>
          <cell r="F209">
            <v>2513500</v>
          </cell>
          <cell r="G209">
            <v>1769.6669921875</v>
          </cell>
          <cell r="H209">
            <v>207</v>
          </cell>
          <cell r="I209">
            <v>7257311.1265096618</v>
          </cell>
        </row>
        <row r="210">
          <cell r="A210">
            <v>44690</v>
          </cell>
          <cell r="B210">
            <v>0.70599997043609619</v>
          </cell>
          <cell r="C210">
            <v>0.70599997043609619</v>
          </cell>
          <cell r="D210">
            <v>0.69099998474121094</v>
          </cell>
          <cell r="E210">
            <v>0.69300001859664917</v>
          </cell>
          <cell r="F210">
            <v>616500</v>
          </cell>
          <cell r="G210">
            <v>429.71099853515625</v>
          </cell>
          <cell r="H210">
            <v>208</v>
          </cell>
          <cell r="I210">
            <v>7225384.149939904</v>
          </cell>
        </row>
        <row r="211">
          <cell r="A211">
            <v>44691</v>
          </cell>
          <cell r="B211">
            <v>0.68599998950958252</v>
          </cell>
          <cell r="C211">
            <v>0.70499998331069946</v>
          </cell>
          <cell r="D211">
            <v>0.68199998140335083</v>
          </cell>
          <cell r="E211">
            <v>0.70499998331069946</v>
          </cell>
          <cell r="F211">
            <v>1282103</v>
          </cell>
          <cell r="G211">
            <v>893.8740234375</v>
          </cell>
          <cell r="H211">
            <v>209</v>
          </cell>
          <cell r="I211">
            <v>7196947.3980263155</v>
          </cell>
        </row>
        <row r="212">
          <cell r="A212">
            <v>44692</v>
          </cell>
          <cell r="B212">
            <v>0.70999997854232788</v>
          </cell>
          <cell r="C212">
            <v>0.7369999885559082</v>
          </cell>
          <cell r="D212">
            <v>0.70999997854232788</v>
          </cell>
          <cell r="E212">
            <v>0.72399997711181641</v>
          </cell>
          <cell r="F212">
            <v>2071917</v>
          </cell>
          <cell r="G212">
            <v>1497.9730224609375</v>
          </cell>
          <cell r="H212">
            <v>210</v>
          </cell>
          <cell r="I212">
            <v>7172542.4913690472</v>
          </cell>
        </row>
        <row r="213">
          <cell r="A213">
            <v>44693</v>
          </cell>
          <cell r="B213">
            <v>0.72000002861022949</v>
          </cell>
          <cell r="C213">
            <v>0.72699999809265137</v>
          </cell>
          <cell r="D213">
            <v>0.7160000205039978</v>
          </cell>
          <cell r="E213">
            <v>0.72299998998641968</v>
          </cell>
          <cell r="F213">
            <v>2552301</v>
          </cell>
          <cell r="G213">
            <v>1836.574951171875</v>
          </cell>
          <cell r="H213">
            <v>211</v>
          </cell>
          <cell r="I213">
            <v>7150645.6122630332</v>
          </cell>
        </row>
        <row r="214">
          <cell r="A214">
            <v>44694</v>
          </cell>
          <cell r="B214">
            <v>0.72399997711181641</v>
          </cell>
          <cell r="C214">
            <v>0.73000001907348633</v>
          </cell>
          <cell r="D214">
            <v>0.72100001573562622</v>
          </cell>
          <cell r="E214">
            <v>0.72699999809265137</v>
          </cell>
          <cell r="F214">
            <v>216601</v>
          </cell>
          <cell r="G214">
            <v>157.19999694824219</v>
          </cell>
          <cell r="H214">
            <v>212</v>
          </cell>
          <cell r="I214">
            <v>7117937.8546580188</v>
          </cell>
        </row>
        <row r="215">
          <cell r="A215">
            <v>44697</v>
          </cell>
          <cell r="B215">
            <v>0.73100000619888306</v>
          </cell>
          <cell r="C215">
            <v>0.7369999885559082</v>
          </cell>
          <cell r="D215">
            <v>0.72000002861022949</v>
          </cell>
          <cell r="E215">
            <v>0.72100001573562622</v>
          </cell>
          <cell r="F215">
            <v>4232100</v>
          </cell>
          <cell r="G215">
            <v>3077.431884765625</v>
          </cell>
          <cell r="H215">
            <v>213</v>
          </cell>
          <cell r="I215">
            <v>7104389.3201291077</v>
          </cell>
        </row>
        <row r="216">
          <cell r="A216">
            <v>44698</v>
          </cell>
          <cell r="B216">
            <v>0.72100001573562622</v>
          </cell>
          <cell r="C216">
            <v>0.73199999332427979</v>
          </cell>
          <cell r="D216">
            <v>0.71899998188018799</v>
          </cell>
          <cell r="E216">
            <v>0.73199999332427979</v>
          </cell>
          <cell r="F216">
            <v>3829205</v>
          </cell>
          <cell r="G216">
            <v>2781.59912109375</v>
          </cell>
          <cell r="H216">
            <v>214</v>
          </cell>
          <cell r="I216">
            <v>7089084.7205023365</v>
          </cell>
        </row>
        <row r="217">
          <cell r="A217">
            <v>44699</v>
          </cell>
          <cell r="B217">
            <v>0.73400002717971802</v>
          </cell>
          <cell r="C217">
            <v>0.73799997568130493</v>
          </cell>
          <cell r="D217">
            <v>0.73000001907348633</v>
          </cell>
          <cell r="E217">
            <v>0.73299998044967651</v>
          </cell>
          <cell r="F217">
            <v>1327301</v>
          </cell>
          <cell r="G217">
            <v>973.39599609375</v>
          </cell>
          <cell r="H217">
            <v>215</v>
          </cell>
          <cell r="I217">
            <v>7062285.7264534887</v>
          </cell>
        </row>
        <row r="218">
          <cell r="A218">
            <v>44700</v>
          </cell>
          <cell r="B218">
            <v>0.72600001096725464</v>
          </cell>
          <cell r="C218">
            <v>0.73400002717971802</v>
          </cell>
          <cell r="D218">
            <v>0.72299998998641968</v>
          </cell>
          <cell r="E218">
            <v>0.73400002717971802</v>
          </cell>
          <cell r="F218">
            <v>891500</v>
          </cell>
          <cell r="G218">
            <v>647.301025390625</v>
          </cell>
          <cell r="H218">
            <v>216</v>
          </cell>
          <cell r="I218">
            <v>7033717.2740162034</v>
          </cell>
        </row>
        <row r="219">
          <cell r="A219">
            <v>44701</v>
          </cell>
          <cell r="B219">
            <v>0.73799997568130493</v>
          </cell>
          <cell r="C219">
            <v>0.74800002574920654</v>
          </cell>
          <cell r="D219">
            <v>0.7369999885559082</v>
          </cell>
          <cell r="E219">
            <v>0.74599999189376831</v>
          </cell>
          <cell r="F219">
            <v>3326500</v>
          </cell>
          <cell r="G219">
            <v>2457.93896484375</v>
          </cell>
          <cell r="H219">
            <v>217</v>
          </cell>
          <cell r="I219">
            <v>7016633.3234447008</v>
          </cell>
        </row>
        <row r="220">
          <cell r="A220">
            <v>44704</v>
          </cell>
          <cell r="B220">
            <v>0.74299997091293335</v>
          </cell>
          <cell r="C220">
            <v>0.74400001764297485</v>
          </cell>
          <cell r="D220">
            <v>0.73600000143051147</v>
          </cell>
          <cell r="E220">
            <v>0.74299997091293335</v>
          </cell>
          <cell r="F220">
            <v>548300</v>
          </cell>
          <cell r="G220">
            <v>405.875</v>
          </cell>
          <cell r="H220">
            <v>218</v>
          </cell>
          <cell r="I220">
            <v>6986962.0696674315</v>
          </cell>
        </row>
        <row r="221">
          <cell r="A221">
            <v>44705</v>
          </cell>
          <cell r="B221">
            <v>0.73600000143051147</v>
          </cell>
          <cell r="C221">
            <v>0.74099999666213989</v>
          </cell>
          <cell r="D221">
            <v>0.71899998188018799</v>
          </cell>
          <cell r="E221">
            <v>0.71899998188018799</v>
          </cell>
          <cell r="F221">
            <v>2411500</v>
          </cell>
          <cell r="G221">
            <v>1762.8360595703125</v>
          </cell>
          <cell r="H221">
            <v>219</v>
          </cell>
          <cell r="I221">
            <v>6966069.54880137</v>
          </cell>
        </row>
        <row r="222">
          <cell r="A222">
            <v>44706</v>
          </cell>
          <cell r="B222">
            <v>0.72299998998641968</v>
          </cell>
          <cell r="C222">
            <v>0.72299998998641968</v>
          </cell>
          <cell r="D222">
            <v>0.71399998664855957</v>
          </cell>
          <cell r="E222">
            <v>0.72100001573562622</v>
          </cell>
          <cell r="F222">
            <v>2685700</v>
          </cell>
          <cell r="G222">
            <v>1931.02099609375</v>
          </cell>
          <cell r="H222">
            <v>220</v>
          </cell>
          <cell r="I222">
            <v>6946613.3235795451</v>
          </cell>
        </row>
        <row r="223">
          <cell r="A223">
            <v>44707</v>
          </cell>
          <cell r="B223">
            <v>0.7149999737739563</v>
          </cell>
          <cell r="C223">
            <v>0.73000001907348633</v>
          </cell>
          <cell r="D223">
            <v>0.71200001239776611</v>
          </cell>
          <cell r="E223">
            <v>0.72399997711181641</v>
          </cell>
          <cell r="F223">
            <v>652100</v>
          </cell>
          <cell r="G223">
            <v>467.6610107421875</v>
          </cell>
          <cell r="H223">
            <v>221</v>
          </cell>
          <cell r="I223">
            <v>6918131.3628393663</v>
          </cell>
        </row>
        <row r="224">
          <cell r="A224">
            <v>44708</v>
          </cell>
          <cell r="B224">
            <v>0.73400002717971802</v>
          </cell>
          <cell r="C224">
            <v>0.73799997568130493</v>
          </cell>
          <cell r="D224">
            <v>0.72200000286102295</v>
          </cell>
          <cell r="E224">
            <v>0.72399997711181641</v>
          </cell>
          <cell r="F224">
            <v>1500113</v>
          </cell>
          <cell r="G224">
            <v>1093.363037109375</v>
          </cell>
          <cell r="H224">
            <v>222</v>
          </cell>
          <cell r="I224">
            <v>6893725.8747184686</v>
          </cell>
        </row>
        <row r="225">
          <cell r="A225">
            <v>44711</v>
          </cell>
          <cell r="B225">
            <v>0.73100000619888306</v>
          </cell>
          <cell r="C225">
            <v>0.73500001430511475</v>
          </cell>
          <cell r="D225">
            <v>0.72600001096725464</v>
          </cell>
          <cell r="E225">
            <v>0.73299998044967651</v>
          </cell>
          <cell r="F225">
            <v>2272500</v>
          </cell>
          <cell r="G225">
            <v>1660.302978515625</v>
          </cell>
          <cell r="H225">
            <v>223</v>
          </cell>
          <cell r="I225">
            <v>6873002.888733184</v>
          </cell>
        </row>
        <row r="226">
          <cell r="A226">
            <v>44712</v>
          </cell>
          <cell r="B226">
            <v>0.73100000619888306</v>
          </cell>
          <cell r="C226">
            <v>0.74800002574920654</v>
          </cell>
          <cell r="D226">
            <v>0.72699999809265137</v>
          </cell>
          <cell r="E226">
            <v>0.74699997901916504</v>
          </cell>
          <cell r="F226">
            <v>1147010</v>
          </cell>
          <cell r="G226">
            <v>846.8280029296875</v>
          </cell>
          <cell r="H226">
            <v>224</v>
          </cell>
          <cell r="I226">
            <v>6847440.4204799104</v>
          </cell>
        </row>
        <row r="227">
          <cell r="A227">
            <v>44713</v>
          </cell>
          <cell r="B227">
            <v>0.74599999189376831</v>
          </cell>
          <cell r="C227">
            <v>0.75599998235702515</v>
          </cell>
          <cell r="D227">
            <v>0.74400001764297485</v>
          </cell>
          <cell r="E227">
            <v>0.75300002098083496</v>
          </cell>
          <cell r="F227">
            <v>2583514</v>
          </cell>
          <cell r="G227">
            <v>1943.5040283203125</v>
          </cell>
          <cell r="H227">
            <v>225</v>
          </cell>
          <cell r="I227">
            <v>6828489.6363888886</v>
          </cell>
        </row>
        <row r="228">
          <cell r="A228">
            <v>44714</v>
          </cell>
          <cell r="B228">
            <v>0.74800002574920654</v>
          </cell>
          <cell r="C228">
            <v>0.76200002431869507</v>
          </cell>
          <cell r="D228">
            <v>0.74800002574920654</v>
          </cell>
          <cell r="E228">
            <v>0.76200002431869507</v>
          </cell>
          <cell r="F228">
            <v>3690200</v>
          </cell>
          <cell r="G228">
            <v>2795.114990234375</v>
          </cell>
          <cell r="H228">
            <v>226</v>
          </cell>
          <cell r="I228">
            <v>6814603.3990597343</v>
          </cell>
        </row>
        <row r="229">
          <cell r="A229">
            <v>44718</v>
          </cell>
          <cell r="B229">
            <v>0.76700001955032349</v>
          </cell>
          <cell r="C229">
            <v>0.7850000262260437</v>
          </cell>
          <cell r="D229">
            <v>0.76599997282028198</v>
          </cell>
          <cell r="E229">
            <v>0.7850000262260437</v>
          </cell>
          <cell r="F229">
            <v>2723003</v>
          </cell>
          <cell r="G229">
            <v>2114.70703125</v>
          </cell>
          <cell r="H229">
            <v>227</v>
          </cell>
          <cell r="I229">
            <v>6796578.7276982376</v>
          </cell>
        </row>
        <row r="230">
          <cell r="A230">
            <v>44719</v>
          </cell>
          <cell r="B230">
            <v>0.78200000524520874</v>
          </cell>
          <cell r="C230">
            <v>0.78799998760223389</v>
          </cell>
          <cell r="D230">
            <v>0.77700001001358032</v>
          </cell>
          <cell r="E230">
            <v>0.78100001811981201</v>
          </cell>
          <cell r="F230">
            <v>4458000</v>
          </cell>
          <cell r="G230">
            <v>3497.881103515625</v>
          </cell>
          <cell r="H230">
            <v>228</v>
          </cell>
          <cell r="I230">
            <v>6786321.8034539474</v>
          </cell>
        </row>
        <row r="231">
          <cell r="A231">
            <v>44720</v>
          </cell>
          <cell r="B231">
            <v>0.77999997138977051</v>
          </cell>
          <cell r="C231">
            <v>0.78899997472763062</v>
          </cell>
          <cell r="D231">
            <v>0.77399998903274536</v>
          </cell>
          <cell r="E231">
            <v>0.78700000047683716</v>
          </cell>
          <cell r="F231">
            <v>2677606</v>
          </cell>
          <cell r="G231">
            <v>2101.0009765625</v>
          </cell>
          <cell r="H231">
            <v>229</v>
          </cell>
          <cell r="I231">
            <v>6768379.8130458519</v>
          </cell>
        </row>
        <row r="232">
          <cell r="A232">
            <v>44721</v>
          </cell>
          <cell r="B232">
            <v>0.79400002956390381</v>
          </cell>
          <cell r="C232">
            <v>0.79400002956390381</v>
          </cell>
          <cell r="D232">
            <v>0.76700001955032349</v>
          </cell>
          <cell r="E232">
            <v>0.76899999380111694</v>
          </cell>
          <cell r="F232">
            <v>1790700</v>
          </cell>
          <cell r="G232">
            <v>1381.47900390625</v>
          </cell>
          <cell r="H232">
            <v>230</v>
          </cell>
          <cell r="I232">
            <v>6746737.7269021738</v>
          </cell>
        </row>
        <row r="233">
          <cell r="A233">
            <v>44722</v>
          </cell>
          <cell r="B233">
            <v>0.75999999046325684</v>
          </cell>
          <cell r="C233">
            <v>0.78700000047683716</v>
          </cell>
          <cell r="D233">
            <v>0.75999999046325684</v>
          </cell>
          <cell r="E233">
            <v>0.78600001335144043</v>
          </cell>
          <cell r="F233">
            <v>1048300</v>
          </cell>
          <cell r="G233">
            <v>815.572021484375</v>
          </cell>
          <cell r="H233">
            <v>231</v>
          </cell>
          <cell r="I233">
            <v>6722069.165313853</v>
          </cell>
        </row>
        <row r="234">
          <cell r="A234">
            <v>44725</v>
          </cell>
          <cell r="B234">
            <v>0.77999997138977051</v>
          </cell>
          <cell r="C234">
            <v>0.78600001335144043</v>
          </cell>
          <cell r="D234">
            <v>0.77600002288818359</v>
          </cell>
          <cell r="E234">
            <v>0.7839999794960022</v>
          </cell>
          <cell r="F234">
            <v>1227400</v>
          </cell>
          <cell r="G234">
            <v>961.82098388671875</v>
          </cell>
          <cell r="H234">
            <v>232</v>
          </cell>
          <cell r="I234">
            <v>6698385.2464978453</v>
          </cell>
        </row>
        <row r="235">
          <cell r="A235">
            <v>44726</v>
          </cell>
          <cell r="B235">
            <v>0.77399998903274536</v>
          </cell>
          <cell r="C235">
            <v>0.78299999237060547</v>
          </cell>
          <cell r="D235">
            <v>0.75800001621246338</v>
          </cell>
          <cell r="E235">
            <v>0.78299999237060547</v>
          </cell>
          <cell r="F235">
            <v>2357103</v>
          </cell>
          <cell r="G235">
            <v>1811.18798828125</v>
          </cell>
          <cell r="H235">
            <v>233</v>
          </cell>
          <cell r="I235">
            <v>6679753.1338519314</v>
          </cell>
        </row>
        <row r="236">
          <cell r="A236">
            <v>44727</v>
          </cell>
          <cell r="B236">
            <v>0.78299999237060547</v>
          </cell>
          <cell r="C236">
            <v>0.80500000715255737</v>
          </cell>
          <cell r="D236">
            <v>0.78299999237060547</v>
          </cell>
          <cell r="E236">
            <v>0.7929999828338623</v>
          </cell>
          <cell r="F236">
            <v>2113600</v>
          </cell>
          <cell r="G236">
            <v>1684.7550048828125</v>
          </cell>
          <cell r="H236">
            <v>234</v>
          </cell>
          <cell r="I236">
            <v>6660239.65892094</v>
          </cell>
        </row>
        <row r="237">
          <cell r="A237">
            <v>44728</v>
          </cell>
          <cell r="B237">
            <v>0.79799997806549072</v>
          </cell>
          <cell r="C237">
            <v>0.80099999904632568</v>
          </cell>
          <cell r="D237">
            <v>0.79000002145767212</v>
          </cell>
          <cell r="E237">
            <v>0.79400002956390381</v>
          </cell>
          <cell r="F237">
            <v>1736786</v>
          </cell>
          <cell r="G237">
            <v>1382.72998046875</v>
          </cell>
          <cell r="H237">
            <v>235</v>
          </cell>
          <cell r="I237">
            <v>6639288.7922872342</v>
          </cell>
        </row>
        <row r="238">
          <cell r="A238">
            <v>44729</v>
          </cell>
          <cell r="B238">
            <v>0.79000002145767212</v>
          </cell>
          <cell r="C238">
            <v>0.81000000238418579</v>
          </cell>
          <cell r="D238">
            <v>0.78700000047683716</v>
          </cell>
          <cell r="E238">
            <v>0.80900001525878906</v>
          </cell>
          <cell r="F238">
            <v>1285101</v>
          </cell>
          <cell r="G238">
            <v>1021.2490234375</v>
          </cell>
          <cell r="H238">
            <v>236</v>
          </cell>
          <cell r="I238">
            <v>6616601.5558792371</v>
          </cell>
        </row>
        <row r="239">
          <cell r="A239">
            <v>44732</v>
          </cell>
          <cell r="B239">
            <v>0.81800001859664917</v>
          </cell>
          <cell r="C239">
            <v>0.82999998331069946</v>
          </cell>
          <cell r="D239">
            <v>0.81499999761581421</v>
          </cell>
          <cell r="E239">
            <v>0.82300001382827759</v>
          </cell>
          <cell r="F239">
            <v>4857802</v>
          </cell>
          <cell r="G239">
            <v>4005.39990234375</v>
          </cell>
          <cell r="H239">
            <v>237</v>
          </cell>
          <cell r="I239">
            <v>6609180.4607067509</v>
          </cell>
        </row>
        <row r="240">
          <cell r="A240">
            <v>44733</v>
          </cell>
          <cell r="B240">
            <v>0.82499998807907104</v>
          </cell>
          <cell r="C240">
            <v>0.82999998331069946</v>
          </cell>
          <cell r="D240">
            <v>0.81400001049041748</v>
          </cell>
          <cell r="E240">
            <v>0.82400000095367432</v>
          </cell>
          <cell r="F240">
            <v>5059200</v>
          </cell>
          <cell r="G240">
            <v>4166.759765625</v>
          </cell>
          <cell r="H240">
            <v>238</v>
          </cell>
          <cell r="I240">
            <v>6602667.937762605</v>
          </cell>
        </row>
        <row r="241">
          <cell r="A241">
            <v>44734</v>
          </cell>
          <cell r="B241">
            <v>0.82400000095367432</v>
          </cell>
          <cell r="C241">
            <v>0.82400000095367432</v>
          </cell>
          <cell r="D241">
            <v>0.81099998950958252</v>
          </cell>
          <cell r="E241">
            <v>0.81199997663497925</v>
          </cell>
          <cell r="F241">
            <v>1716301</v>
          </cell>
          <cell r="G241">
            <v>1400.303955078125</v>
          </cell>
          <cell r="H241">
            <v>239</v>
          </cell>
          <cell r="I241">
            <v>6582222.8878138075</v>
          </cell>
        </row>
        <row r="242">
          <cell r="A242">
            <v>44735</v>
          </cell>
          <cell r="B242">
            <v>0.81099998950958252</v>
          </cell>
          <cell r="C242">
            <v>0.82899999618530273</v>
          </cell>
          <cell r="D242">
            <v>0.80699998140335083</v>
          </cell>
          <cell r="E242">
            <v>0.82899999618530273</v>
          </cell>
          <cell r="F242">
            <v>1852300</v>
          </cell>
          <cell r="G242">
            <v>1515.281005859375</v>
          </cell>
          <cell r="H242">
            <v>240</v>
          </cell>
          <cell r="I242">
            <v>6562514.8757812502</v>
          </cell>
        </row>
        <row r="243">
          <cell r="A243">
            <v>44736</v>
          </cell>
          <cell r="B243">
            <v>0.83300000429153442</v>
          </cell>
          <cell r="C243">
            <v>0.84299999475479126</v>
          </cell>
          <cell r="D243">
            <v>0.8320000171661377</v>
          </cell>
          <cell r="E243">
            <v>0.84299999475479126</v>
          </cell>
          <cell r="F243">
            <v>2807903</v>
          </cell>
          <cell r="G243">
            <v>2359.35595703125</v>
          </cell>
          <cell r="H243">
            <v>241</v>
          </cell>
          <cell r="I243">
            <v>6546935.5733921165</v>
          </cell>
        </row>
        <row r="244">
          <cell r="A244">
            <v>44739</v>
          </cell>
          <cell r="B244">
            <v>0.84299999475479126</v>
          </cell>
          <cell r="C244">
            <v>0.85500001907348633</v>
          </cell>
          <cell r="D244">
            <v>0.84299999475479126</v>
          </cell>
          <cell r="E244">
            <v>0.85000002384185791</v>
          </cell>
          <cell r="F244">
            <v>2039614</v>
          </cell>
          <cell r="G244">
            <v>1735.9100341796875</v>
          </cell>
          <cell r="H244">
            <v>242</v>
          </cell>
          <cell r="I244">
            <v>6528310.2776342975</v>
          </cell>
        </row>
        <row r="245">
          <cell r="A245">
            <v>44740</v>
          </cell>
          <cell r="B245">
            <v>0.84600001573562622</v>
          </cell>
          <cell r="C245">
            <v>0.86000001430511475</v>
          </cell>
          <cell r="D245">
            <v>0.83700001239776611</v>
          </cell>
          <cell r="E245">
            <v>0.85699999332427979</v>
          </cell>
          <cell r="F245">
            <v>2219511</v>
          </cell>
          <cell r="G245">
            <v>1880.85302734375</v>
          </cell>
          <cell r="H245">
            <v>243</v>
          </cell>
          <cell r="I245">
            <v>6510578.5933641978</v>
          </cell>
        </row>
        <row r="246">
          <cell r="A246">
            <v>44741</v>
          </cell>
          <cell r="B246">
            <v>0.84799998998641968</v>
          </cell>
          <cell r="C246">
            <v>0.85799998044967651</v>
          </cell>
          <cell r="D246">
            <v>0.83600002527236938</v>
          </cell>
          <cell r="E246">
            <v>0.83600002527236938</v>
          </cell>
          <cell r="F246">
            <v>4249000</v>
          </cell>
          <cell r="G246">
            <v>3603.51806640625</v>
          </cell>
          <cell r="H246">
            <v>244</v>
          </cell>
          <cell r="I246">
            <v>6501309.8286372954</v>
          </cell>
        </row>
        <row r="247">
          <cell r="A247">
            <v>44742</v>
          </cell>
          <cell r="B247">
            <v>0.83600002527236938</v>
          </cell>
          <cell r="C247">
            <v>0.85199999809265137</v>
          </cell>
          <cell r="D247">
            <v>0.83600002527236938</v>
          </cell>
          <cell r="E247">
            <v>0.84500002861022949</v>
          </cell>
          <cell r="F247">
            <v>2764909</v>
          </cell>
          <cell r="G247">
            <v>2342.7900390625</v>
          </cell>
          <cell r="H247">
            <v>245</v>
          </cell>
          <cell r="I247">
            <v>6486059.213010204</v>
          </cell>
        </row>
        <row r="248">
          <cell r="A248">
            <v>44743</v>
          </cell>
          <cell r="B248">
            <v>0.8399999737739563</v>
          </cell>
          <cell r="C248">
            <v>0.84799998998641968</v>
          </cell>
          <cell r="D248">
            <v>0.83700001239776611</v>
          </cell>
          <cell r="E248">
            <v>0.83899998664855957</v>
          </cell>
          <cell r="F248">
            <v>1495244</v>
          </cell>
          <cell r="G248">
            <v>1261.9620361328125</v>
          </cell>
          <cell r="H248">
            <v>246</v>
          </cell>
          <cell r="I248">
            <v>6465771.3462906508</v>
          </cell>
        </row>
        <row r="249">
          <cell r="A249">
            <v>44746</v>
          </cell>
          <cell r="B249">
            <v>0.83600002527236938</v>
          </cell>
          <cell r="C249">
            <v>0.85000002384185791</v>
          </cell>
          <cell r="D249">
            <v>0.83499997854232788</v>
          </cell>
          <cell r="E249">
            <v>0.85000002384185791</v>
          </cell>
          <cell r="F249">
            <v>4170205.75</v>
          </cell>
          <cell r="G249">
            <v>3522.764892578125</v>
          </cell>
          <cell r="H249">
            <v>247</v>
          </cell>
          <cell r="I249">
            <v>6456477.5584514169</v>
          </cell>
        </row>
        <row r="250">
          <cell r="A250">
            <v>44747</v>
          </cell>
          <cell r="B250">
            <v>0.85500001907348633</v>
          </cell>
          <cell r="C250">
            <v>0.85799998044967651</v>
          </cell>
          <cell r="D250">
            <v>0.83300000429153442</v>
          </cell>
          <cell r="E250">
            <v>0.8399999737739563</v>
          </cell>
          <cell r="F250">
            <v>1786900</v>
          </cell>
          <cell r="G250">
            <v>1514.385009765625</v>
          </cell>
          <cell r="H250">
            <v>248</v>
          </cell>
          <cell r="I250">
            <v>6437648.6166834673</v>
          </cell>
        </row>
        <row r="251">
          <cell r="A251">
            <v>44748</v>
          </cell>
          <cell r="B251">
            <v>0.84500002861022949</v>
          </cell>
          <cell r="C251">
            <v>0.85000002384185791</v>
          </cell>
          <cell r="D251">
            <v>0.83300000429153442</v>
          </cell>
          <cell r="E251">
            <v>0.83899998664855957</v>
          </cell>
          <cell r="F251">
            <v>1508719</v>
          </cell>
          <cell r="G251">
            <v>1275.363037109375</v>
          </cell>
          <cell r="H251">
            <v>249</v>
          </cell>
          <cell r="I251">
            <v>6417853.7186244978</v>
          </cell>
        </row>
        <row r="252">
          <cell r="A252">
            <v>44749</v>
          </cell>
          <cell r="B252">
            <v>0.83899998664855957</v>
          </cell>
          <cell r="C252">
            <v>0.85199999809265137</v>
          </cell>
          <cell r="D252">
            <v>0.83700001239776611</v>
          </cell>
          <cell r="E252">
            <v>0.85000002384185791</v>
          </cell>
          <cell r="F252">
            <v>1476508</v>
          </cell>
          <cell r="G252">
            <v>1245.821044921875</v>
          </cell>
          <cell r="H252">
            <v>250</v>
          </cell>
          <cell r="I252">
            <v>6398088.3357499996</v>
          </cell>
        </row>
        <row r="253">
          <cell r="A253">
            <v>44750</v>
          </cell>
          <cell r="B253">
            <v>0.85500001907348633</v>
          </cell>
          <cell r="C253">
            <v>0.85699999332427979</v>
          </cell>
          <cell r="D253">
            <v>0.84299999475479126</v>
          </cell>
          <cell r="E253">
            <v>0.84299999475479126</v>
          </cell>
          <cell r="F253">
            <v>901509</v>
          </cell>
          <cell r="G253">
            <v>767.59698486328125</v>
          </cell>
          <cell r="H253">
            <v>251</v>
          </cell>
          <cell r="I253">
            <v>6376189.6132968124</v>
          </cell>
        </row>
        <row r="254">
          <cell r="A254">
            <v>44753</v>
          </cell>
          <cell r="B254">
            <v>0.84200000762939453</v>
          </cell>
          <cell r="C254">
            <v>0.84200000762939453</v>
          </cell>
          <cell r="D254">
            <v>0.82099997997283936</v>
          </cell>
          <cell r="E254">
            <v>0.82700002193450928</v>
          </cell>
          <cell r="F254">
            <v>2405029</v>
          </cell>
          <cell r="G254">
            <v>1991.8050537109375</v>
          </cell>
          <cell r="H254">
            <v>252</v>
          </cell>
          <cell r="I254">
            <v>6360431.0394345243</v>
          </cell>
        </row>
        <row r="255">
          <cell r="A255">
            <v>44754</v>
          </cell>
          <cell r="B255">
            <v>0.82599997520446777</v>
          </cell>
          <cell r="C255">
            <v>0.82899999618530273</v>
          </cell>
          <cell r="D255">
            <v>0.80900001525878906</v>
          </cell>
          <cell r="E255">
            <v>0.81300002336502075</v>
          </cell>
          <cell r="F255">
            <v>1544112</v>
          </cell>
          <cell r="G255">
            <v>1264.779052734375</v>
          </cell>
          <cell r="H255">
            <v>253</v>
          </cell>
          <cell r="I255">
            <v>6341394.2052865615</v>
          </cell>
        </row>
        <row r="256">
          <cell r="A256">
            <v>44755</v>
          </cell>
          <cell r="B256">
            <v>0.81400001049041748</v>
          </cell>
          <cell r="C256">
            <v>0.81999999284744263</v>
          </cell>
          <cell r="D256">
            <v>0.80400002002716064</v>
          </cell>
          <cell r="E256">
            <v>0.81800001859664917</v>
          </cell>
          <cell r="F256">
            <v>2543118</v>
          </cell>
          <cell r="G256">
            <v>2061.532958984375</v>
          </cell>
          <cell r="H256">
            <v>254</v>
          </cell>
          <cell r="I256">
            <v>6326440.3619586611</v>
          </cell>
        </row>
        <row r="257">
          <cell r="A257">
            <v>44756</v>
          </cell>
          <cell r="B257">
            <v>0.81599998474121094</v>
          </cell>
          <cell r="C257">
            <v>0.83799999952316284</v>
          </cell>
          <cell r="D257">
            <v>0.81599998474121094</v>
          </cell>
          <cell r="E257">
            <v>0.83099997043609619</v>
          </cell>
          <cell r="F257">
            <v>4239117</v>
          </cell>
          <cell r="G257">
            <v>3500.73388671875</v>
          </cell>
          <cell r="H257">
            <v>255</v>
          </cell>
          <cell r="I257">
            <v>6318254.7801470589</v>
          </cell>
        </row>
        <row r="258">
          <cell r="A258">
            <v>44757</v>
          </cell>
          <cell r="B258">
            <v>0.82700002193450928</v>
          </cell>
          <cell r="C258">
            <v>0.83799999952316284</v>
          </cell>
          <cell r="D258">
            <v>0.82099997997283936</v>
          </cell>
          <cell r="E258">
            <v>0.82099997997283936</v>
          </cell>
          <cell r="F258">
            <v>2385502</v>
          </cell>
          <cell r="G258">
            <v>1975.0770263671875</v>
          </cell>
          <cell r="H258">
            <v>256</v>
          </cell>
          <cell r="I258">
            <v>6302892.4645996094</v>
          </cell>
        </row>
        <row r="259">
          <cell r="A259">
            <v>44760</v>
          </cell>
          <cell r="B259">
            <v>0.81599998474121094</v>
          </cell>
          <cell r="C259">
            <v>0.82899999618530273</v>
          </cell>
          <cell r="D259">
            <v>0.81099998950958252</v>
          </cell>
          <cell r="E259">
            <v>0.82700002193450928</v>
          </cell>
          <cell r="F259">
            <v>2361910</v>
          </cell>
          <cell r="G259">
            <v>1948.583984375</v>
          </cell>
          <cell r="H259">
            <v>257</v>
          </cell>
          <cell r="I259">
            <v>6287557.9024805445</v>
          </cell>
        </row>
        <row r="260">
          <cell r="A260">
            <v>44761</v>
          </cell>
          <cell r="B260">
            <v>0.82499998807907104</v>
          </cell>
          <cell r="C260">
            <v>0.82599997520446777</v>
          </cell>
          <cell r="D260">
            <v>0.81699997186660767</v>
          </cell>
          <cell r="E260">
            <v>0.82099997997283936</v>
          </cell>
          <cell r="F260">
            <v>2960117</v>
          </cell>
          <cell r="G260">
            <v>2432.14599609375</v>
          </cell>
          <cell r="H260">
            <v>258</v>
          </cell>
          <cell r="I260">
            <v>6274660.8447189927</v>
          </cell>
        </row>
        <row r="261">
          <cell r="A261">
            <v>44762</v>
          </cell>
          <cell r="B261">
            <v>0.82400000095367432</v>
          </cell>
          <cell r="C261">
            <v>0.82700002193450928</v>
          </cell>
          <cell r="D261">
            <v>0.82099997997283936</v>
          </cell>
          <cell r="E261">
            <v>0.82300001382827759</v>
          </cell>
          <cell r="F261">
            <v>1896203.875</v>
          </cell>
          <cell r="G261">
            <v>1564.0279541015625</v>
          </cell>
          <cell r="H261">
            <v>259</v>
          </cell>
          <cell r="I261">
            <v>6257755.6054536682</v>
          </cell>
        </row>
        <row r="262">
          <cell r="A262">
            <v>44763</v>
          </cell>
          <cell r="B262">
            <v>0.82300001382827759</v>
          </cell>
          <cell r="C262">
            <v>0.82599997520446777</v>
          </cell>
          <cell r="D262">
            <v>0.81699997186660767</v>
          </cell>
          <cell r="E262">
            <v>0.81699997186660767</v>
          </cell>
          <cell r="F262">
            <v>1736700</v>
          </cell>
          <cell r="G262">
            <v>1429.3709716796875</v>
          </cell>
          <cell r="H262">
            <v>260</v>
          </cell>
          <cell r="I262">
            <v>6240366.9300480774</v>
          </cell>
        </row>
        <row r="263">
          <cell r="A263">
            <v>44764</v>
          </cell>
          <cell r="B263">
            <v>0.82200002670288086</v>
          </cell>
          <cell r="C263">
            <v>0.82400000095367432</v>
          </cell>
          <cell r="D263">
            <v>0.8059999942779541</v>
          </cell>
          <cell r="E263">
            <v>0.81400001049041748</v>
          </cell>
          <cell r="F263">
            <v>2481207</v>
          </cell>
          <cell r="G263">
            <v>2018.5589599609375</v>
          </cell>
          <cell r="H263">
            <v>261</v>
          </cell>
          <cell r="I263">
            <v>6225964.0184386969</v>
          </cell>
        </row>
        <row r="264">
          <cell r="A264">
            <v>44767</v>
          </cell>
          <cell r="B264">
            <v>0.81300002336502075</v>
          </cell>
          <cell r="C264">
            <v>0.81300002336502075</v>
          </cell>
          <cell r="D264">
            <v>0.80400002002716064</v>
          </cell>
          <cell r="E264">
            <v>0.80800002813339233</v>
          </cell>
          <cell r="F264">
            <v>1467200</v>
          </cell>
          <cell r="G264">
            <v>1185.1949462890625</v>
          </cell>
          <cell r="H264">
            <v>262</v>
          </cell>
          <cell r="I264">
            <v>6207800.7969942745</v>
          </cell>
        </row>
        <row r="265">
          <cell r="A265">
            <v>44768</v>
          </cell>
          <cell r="B265">
            <v>0.80800002813339233</v>
          </cell>
          <cell r="C265">
            <v>0.81400001049041748</v>
          </cell>
          <cell r="D265">
            <v>0.80299997329711914</v>
          </cell>
          <cell r="E265">
            <v>0.81000000238418579</v>
          </cell>
          <cell r="F265">
            <v>1790201</v>
          </cell>
          <cell r="G265">
            <v>1446.571044921875</v>
          </cell>
          <cell r="H265">
            <v>263</v>
          </cell>
          <cell r="I265">
            <v>6191003.8395912545</v>
          </cell>
        </row>
        <row r="266">
          <cell r="A266">
            <v>44769</v>
          </cell>
          <cell r="B266">
            <v>0.80500000715255737</v>
          </cell>
          <cell r="C266">
            <v>0.81000000238418579</v>
          </cell>
          <cell r="D266">
            <v>0.80400002002716064</v>
          </cell>
          <cell r="E266">
            <v>0.80800002813339233</v>
          </cell>
          <cell r="F266">
            <v>1215300</v>
          </cell>
          <cell r="G266">
            <v>981.36798095703125</v>
          </cell>
          <cell r="H266">
            <v>264</v>
          </cell>
          <cell r="I266">
            <v>6172156.4765625</v>
          </cell>
        </row>
        <row r="267">
          <cell r="A267">
            <v>44770</v>
          </cell>
          <cell r="B267">
            <v>0.81400001049041748</v>
          </cell>
          <cell r="C267">
            <v>0.8190000057220459</v>
          </cell>
          <cell r="D267">
            <v>0.80800002813339233</v>
          </cell>
          <cell r="E267">
            <v>0.81199997663497925</v>
          </cell>
          <cell r="F267">
            <v>1439700</v>
          </cell>
          <cell r="G267">
            <v>1170.04296875</v>
          </cell>
          <cell r="H267">
            <v>265</v>
          </cell>
          <cell r="I267">
            <v>6154298.1502358494</v>
          </cell>
        </row>
        <row r="268">
          <cell r="A268">
            <v>44771</v>
          </cell>
          <cell r="B268">
            <v>0.81099998950958252</v>
          </cell>
          <cell r="C268">
            <v>0.81300002336502075</v>
          </cell>
          <cell r="D268">
            <v>0.79900002479553223</v>
          </cell>
          <cell r="E268">
            <v>0.80099999904632568</v>
          </cell>
          <cell r="F268">
            <v>2184000</v>
          </cell>
          <cell r="G268">
            <v>1756.7760009765625</v>
          </cell>
          <cell r="H268">
            <v>266</v>
          </cell>
          <cell r="I268">
            <v>6139372.2173402254</v>
          </cell>
        </row>
        <row r="269">
          <cell r="A269">
            <v>44774</v>
          </cell>
          <cell r="B269">
            <v>0.79799997806549072</v>
          </cell>
          <cell r="C269">
            <v>0.81499999761581421</v>
          </cell>
          <cell r="D269">
            <v>0.7929999828338623</v>
          </cell>
          <cell r="E269">
            <v>0.81499999761581421</v>
          </cell>
          <cell r="F269">
            <v>2013700</v>
          </cell>
          <cell r="G269">
            <v>1614.844970703125</v>
          </cell>
          <cell r="H269">
            <v>267</v>
          </cell>
          <cell r="I269">
            <v>6123920.2614700375</v>
          </cell>
        </row>
        <row r="270">
          <cell r="A270">
            <v>44775</v>
          </cell>
          <cell r="B270">
            <v>0.80000001192092896</v>
          </cell>
          <cell r="C270">
            <v>0.8059999942779541</v>
          </cell>
          <cell r="D270">
            <v>0.79199999570846558</v>
          </cell>
          <cell r="E270">
            <v>0.80400002002716064</v>
          </cell>
          <cell r="F270">
            <v>1785101</v>
          </cell>
          <cell r="G270">
            <v>1428.43603515625</v>
          </cell>
          <cell r="H270">
            <v>268</v>
          </cell>
          <cell r="I270">
            <v>6107730.6373600746</v>
          </cell>
        </row>
        <row r="271">
          <cell r="A271">
            <v>44776</v>
          </cell>
          <cell r="B271">
            <v>0.78799998760223389</v>
          </cell>
          <cell r="C271">
            <v>0.82700002193450928</v>
          </cell>
          <cell r="D271">
            <v>0.7850000262260437</v>
          </cell>
          <cell r="E271">
            <v>0.78700000047683716</v>
          </cell>
          <cell r="F271">
            <v>3769500</v>
          </cell>
          <cell r="G271">
            <v>3015.47705078125</v>
          </cell>
          <cell r="H271">
            <v>269</v>
          </cell>
          <cell r="I271">
            <v>6099038.3301579924</v>
          </cell>
        </row>
        <row r="272">
          <cell r="A272">
            <v>44777</v>
          </cell>
          <cell r="B272">
            <v>0.79400002956390381</v>
          </cell>
          <cell r="C272">
            <v>0.79500001668930054</v>
          </cell>
          <cell r="D272">
            <v>0.7839999794960022</v>
          </cell>
          <cell r="E272">
            <v>0.78700000047683716</v>
          </cell>
          <cell r="F272">
            <v>3007700</v>
          </cell>
          <cell r="G272">
            <v>2376.217041015625</v>
          </cell>
          <cell r="H272">
            <v>270</v>
          </cell>
          <cell r="I272">
            <v>6087588.9289351851</v>
          </cell>
        </row>
        <row r="273">
          <cell r="A273">
            <v>44778</v>
          </cell>
          <cell r="B273">
            <v>0.79500001668930054</v>
          </cell>
          <cell r="C273">
            <v>0.80500000715255737</v>
          </cell>
          <cell r="D273">
            <v>0.79199999570846558</v>
          </cell>
          <cell r="E273">
            <v>0.80500000715255737</v>
          </cell>
          <cell r="F273">
            <v>2103402</v>
          </cell>
          <cell r="G273">
            <v>1679.14501953125</v>
          </cell>
          <cell r="H273">
            <v>271</v>
          </cell>
          <cell r="I273">
            <v>6072887.1321494468</v>
          </cell>
        </row>
        <row r="274">
          <cell r="A274">
            <v>44781</v>
          </cell>
          <cell r="B274">
            <v>0.80400002002716064</v>
          </cell>
          <cell r="C274">
            <v>0.80500000715255737</v>
          </cell>
          <cell r="D274">
            <v>0.80000001192092896</v>
          </cell>
          <cell r="E274">
            <v>0.80299997329711914</v>
          </cell>
          <cell r="F274">
            <v>2443100</v>
          </cell>
          <cell r="G274">
            <v>1960.866943359375</v>
          </cell>
          <cell r="H274">
            <v>272</v>
          </cell>
          <cell r="I274">
            <v>6059542.3265165444</v>
          </cell>
        </row>
        <row r="275">
          <cell r="A275">
            <v>44782</v>
          </cell>
          <cell r="B275">
            <v>0.80299997329711914</v>
          </cell>
          <cell r="C275">
            <v>0.80900001525878906</v>
          </cell>
          <cell r="D275">
            <v>0.80199998617172241</v>
          </cell>
          <cell r="E275">
            <v>0.80800002813339233</v>
          </cell>
          <cell r="F275">
            <v>1976400</v>
          </cell>
          <cell r="G275">
            <v>1594.093994140625</v>
          </cell>
          <cell r="H275">
            <v>273</v>
          </cell>
          <cell r="I275">
            <v>6044585.761217949</v>
          </cell>
        </row>
        <row r="276">
          <cell r="A276">
            <v>44783</v>
          </cell>
          <cell r="B276">
            <v>0.8059999942779541</v>
          </cell>
          <cell r="C276">
            <v>0.80699998140335083</v>
          </cell>
          <cell r="D276">
            <v>0.79400002956390381</v>
          </cell>
          <cell r="E276">
            <v>0.79600000381469727</v>
          </cell>
          <cell r="F276">
            <v>1248904</v>
          </cell>
          <cell r="G276">
            <v>1002.7080078125</v>
          </cell>
          <cell r="H276">
            <v>274</v>
          </cell>
          <cell r="I276">
            <v>6027083.2730383212</v>
          </cell>
        </row>
        <row r="277">
          <cell r="A277">
            <v>44784</v>
          </cell>
          <cell r="B277">
            <v>0.80000001192092896</v>
          </cell>
          <cell r="C277">
            <v>0.81599998474121094</v>
          </cell>
          <cell r="D277">
            <v>0.79799997806549072</v>
          </cell>
          <cell r="E277">
            <v>0.81599998474121094</v>
          </cell>
          <cell r="F277">
            <v>2788705</v>
          </cell>
          <cell r="G277">
            <v>2261.468994140625</v>
          </cell>
          <cell r="H277">
            <v>275</v>
          </cell>
          <cell r="I277">
            <v>6015307.3520454541</v>
          </cell>
        </row>
        <row r="278">
          <cell r="A278">
            <v>44785</v>
          </cell>
          <cell r="B278">
            <v>0.81599998474121094</v>
          </cell>
          <cell r="C278">
            <v>0.81699997186660767</v>
          </cell>
          <cell r="D278">
            <v>0.81000000238418579</v>
          </cell>
          <cell r="E278">
            <v>0.81000000238418579</v>
          </cell>
          <cell r="F278">
            <v>2712301</v>
          </cell>
          <cell r="G278">
            <v>2203.125</v>
          </cell>
          <cell r="H278">
            <v>276</v>
          </cell>
          <cell r="I278">
            <v>6003339.9377264492</v>
          </cell>
        </row>
        <row r="279">
          <cell r="A279">
            <v>44788</v>
          </cell>
          <cell r="B279">
            <v>0.81599998474121094</v>
          </cell>
          <cell r="C279">
            <v>0.81999999284744263</v>
          </cell>
          <cell r="D279">
            <v>0.81400001049041748</v>
          </cell>
          <cell r="E279">
            <v>0.81400001049041748</v>
          </cell>
          <cell r="F279">
            <v>3417704</v>
          </cell>
          <cell r="G279">
            <v>2782.947998046875</v>
          </cell>
          <cell r="H279">
            <v>277</v>
          </cell>
          <cell r="I279">
            <v>5994005.5119584836</v>
          </cell>
        </row>
        <row r="280">
          <cell r="A280">
            <v>44789</v>
          </cell>
          <cell r="B280">
            <v>0.81099998950958252</v>
          </cell>
          <cell r="C280">
            <v>0.82099997997283936</v>
          </cell>
          <cell r="D280">
            <v>0.81099998950958252</v>
          </cell>
          <cell r="E280">
            <v>0.81300002336502075</v>
          </cell>
          <cell r="F280">
            <v>659002</v>
          </cell>
          <cell r="G280">
            <v>537.9000244140625</v>
          </cell>
          <cell r="H280">
            <v>278</v>
          </cell>
          <cell r="I280">
            <v>5974814.8518435247</v>
          </cell>
        </row>
        <row r="281">
          <cell r="A281">
            <v>44790</v>
          </cell>
          <cell r="B281">
            <v>0.81300002336502075</v>
          </cell>
          <cell r="C281">
            <v>0.82700002193450928</v>
          </cell>
          <cell r="D281">
            <v>0.80900001525878906</v>
          </cell>
          <cell r="E281">
            <v>0.82599997520446777</v>
          </cell>
          <cell r="F281">
            <v>1264301</v>
          </cell>
          <cell r="G281">
            <v>1038.8409423828125</v>
          </cell>
          <cell r="H281">
            <v>279</v>
          </cell>
          <cell r="I281">
            <v>5957931.289650538</v>
          </cell>
        </row>
        <row r="282">
          <cell r="A282">
            <v>44791</v>
          </cell>
          <cell r="B282">
            <v>0.82499998807907104</v>
          </cell>
          <cell r="C282">
            <v>0.82700002193450928</v>
          </cell>
          <cell r="D282">
            <v>0.82200002670288086</v>
          </cell>
          <cell r="E282">
            <v>0.82200002670288086</v>
          </cell>
          <cell r="F282">
            <v>2662600</v>
          </cell>
          <cell r="G282">
            <v>2192.096923828125</v>
          </cell>
          <cell r="H282">
            <v>280</v>
          </cell>
          <cell r="I282">
            <v>5946162.2493303567</v>
          </cell>
        </row>
        <row r="283">
          <cell r="A283">
            <v>44792</v>
          </cell>
          <cell r="B283">
            <v>0.81999999284744263</v>
          </cell>
          <cell r="C283">
            <v>0.82200002670288086</v>
          </cell>
          <cell r="D283">
            <v>0.80900001525878906</v>
          </cell>
          <cell r="E283">
            <v>0.80900001525878906</v>
          </cell>
          <cell r="F283">
            <v>2245800</v>
          </cell>
          <cell r="G283">
            <v>1828.1500244140625</v>
          </cell>
          <cell r="H283">
            <v>281</v>
          </cell>
          <cell r="I283">
            <v>5932993.7004003562</v>
          </cell>
        </row>
        <row r="284">
          <cell r="A284">
            <v>44795</v>
          </cell>
          <cell r="B284">
            <v>0.80699998140335083</v>
          </cell>
          <cell r="C284">
            <v>0.81999999284744263</v>
          </cell>
          <cell r="D284">
            <v>0.8059999942779541</v>
          </cell>
          <cell r="E284">
            <v>0.81999999284744263</v>
          </cell>
          <cell r="F284">
            <v>1242402</v>
          </cell>
          <cell r="G284">
            <v>1012.343017578125</v>
          </cell>
          <cell r="H284">
            <v>282</v>
          </cell>
          <cell r="I284">
            <v>5916360.3964982266</v>
          </cell>
        </row>
        <row r="285">
          <cell r="A285">
            <v>44796</v>
          </cell>
          <cell r="B285">
            <v>0.82200002670288086</v>
          </cell>
          <cell r="C285">
            <v>0.82200002670288086</v>
          </cell>
          <cell r="D285">
            <v>0.81400001049041748</v>
          </cell>
          <cell r="E285">
            <v>0.81599998474121094</v>
          </cell>
          <cell r="F285">
            <v>2766812</v>
          </cell>
          <cell r="G285">
            <v>2261.160888671875</v>
          </cell>
          <cell r="H285">
            <v>283</v>
          </cell>
          <cell r="I285">
            <v>5905231.2502208482</v>
          </cell>
        </row>
        <row r="286">
          <cell r="A286">
            <v>44797</v>
          </cell>
          <cell r="B286">
            <v>0.81499999761581421</v>
          </cell>
          <cell r="C286">
            <v>0.81499999761581421</v>
          </cell>
          <cell r="D286">
            <v>0.78899997472763062</v>
          </cell>
          <cell r="E286">
            <v>0.78899997472763062</v>
          </cell>
          <cell r="F286">
            <v>1819400</v>
          </cell>
          <cell r="G286">
            <v>1462.2669677734375</v>
          </cell>
          <cell r="H286">
            <v>284</v>
          </cell>
          <cell r="I286">
            <v>5890844.5204665493</v>
          </cell>
        </row>
        <row r="287">
          <cell r="A287">
            <v>44798</v>
          </cell>
          <cell r="B287">
            <v>0.79000002145767212</v>
          </cell>
          <cell r="C287">
            <v>0.79199999570846558</v>
          </cell>
          <cell r="D287">
            <v>0.77999997138977051</v>
          </cell>
          <cell r="E287">
            <v>0.78899997472763062</v>
          </cell>
          <cell r="F287">
            <v>1528700</v>
          </cell>
          <cell r="G287">
            <v>1202.9169921875</v>
          </cell>
          <cell r="H287">
            <v>285</v>
          </cell>
          <cell r="I287">
            <v>5875538.7502192985</v>
          </cell>
        </row>
        <row r="288">
          <cell r="A288">
            <v>44799</v>
          </cell>
          <cell r="B288">
            <v>0.79000002145767212</v>
          </cell>
          <cell r="C288">
            <v>0.79500001668930054</v>
          </cell>
          <cell r="D288">
            <v>0.7850000262260437</v>
          </cell>
          <cell r="E288">
            <v>0.7850000262260437</v>
          </cell>
          <cell r="F288">
            <v>1858000</v>
          </cell>
          <cell r="G288">
            <v>1466.7509765625</v>
          </cell>
          <cell r="H288">
            <v>286</v>
          </cell>
          <cell r="I288">
            <v>5861491.4119318184</v>
          </cell>
        </row>
        <row r="289">
          <cell r="A289">
            <v>44802</v>
          </cell>
          <cell r="B289">
            <v>0.78200000524520874</v>
          </cell>
          <cell r="C289">
            <v>0.7839999794960022</v>
          </cell>
          <cell r="D289">
            <v>0.77499997615814209</v>
          </cell>
          <cell r="E289">
            <v>0.77999997138977051</v>
          </cell>
          <cell r="F289">
            <v>1066100</v>
          </cell>
          <cell r="G289">
            <v>832.19097900390625</v>
          </cell>
          <cell r="H289">
            <v>287</v>
          </cell>
          <cell r="I289">
            <v>5844782.7310540071</v>
          </cell>
        </row>
        <row r="290">
          <cell r="A290">
            <v>44803</v>
          </cell>
          <cell r="B290">
            <v>0.78100001811981201</v>
          </cell>
          <cell r="C290">
            <v>0.78299999237060547</v>
          </cell>
          <cell r="D290">
            <v>0.77399998903274536</v>
          </cell>
          <cell r="E290">
            <v>0.77799999713897705</v>
          </cell>
          <cell r="F290">
            <v>2732707</v>
          </cell>
          <cell r="G290">
            <v>2121.662109375</v>
          </cell>
          <cell r="H290">
            <v>288</v>
          </cell>
          <cell r="I290">
            <v>5833976.912543403</v>
          </cell>
        </row>
        <row r="291">
          <cell r="A291">
            <v>44804</v>
          </cell>
          <cell r="B291">
            <v>0.77499997615814209</v>
          </cell>
          <cell r="C291">
            <v>0.77499997615814209</v>
          </cell>
          <cell r="D291">
            <v>0.7630000114440918</v>
          </cell>
          <cell r="E291">
            <v>0.76499998569488525</v>
          </cell>
          <cell r="F291">
            <v>719700</v>
          </cell>
          <cell r="G291">
            <v>555.2960205078125</v>
          </cell>
          <cell r="H291">
            <v>289</v>
          </cell>
          <cell r="I291">
            <v>5816280.4526384082</v>
          </cell>
        </row>
        <row r="292">
          <cell r="A292">
            <v>44805</v>
          </cell>
          <cell r="B292">
            <v>0.76800000667572021</v>
          </cell>
          <cell r="C292">
            <v>0.77399998903274536</v>
          </cell>
          <cell r="D292">
            <v>0.76099997758865356</v>
          </cell>
          <cell r="E292">
            <v>0.76099997758865356</v>
          </cell>
          <cell r="F292">
            <v>2288400</v>
          </cell>
          <cell r="G292">
            <v>1760.092041015625</v>
          </cell>
          <cell r="H292">
            <v>290</v>
          </cell>
          <cell r="I292">
            <v>5804115.3476293106</v>
          </cell>
        </row>
        <row r="293">
          <cell r="A293">
            <v>44806</v>
          </cell>
          <cell r="B293">
            <v>0.76099997758865356</v>
          </cell>
          <cell r="C293">
            <v>0.76599997282028198</v>
          </cell>
          <cell r="D293">
            <v>0.75700002908706665</v>
          </cell>
          <cell r="E293">
            <v>0.75700002908706665</v>
          </cell>
          <cell r="F293">
            <v>2373000</v>
          </cell>
          <cell r="G293">
            <v>1803.68798828125</v>
          </cell>
          <cell r="H293">
            <v>291</v>
          </cell>
          <cell r="I293">
            <v>5792324.5732388319</v>
          </cell>
        </row>
        <row r="294">
          <cell r="A294">
            <v>44809</v>
          </cell>
          <cell r="B294">
            <v>0.75800001621246338</v>
          </cell>
          <cell r="C294">
            <v>0.75800001621246338</v>
          </cell>
          <cell r="D294">
            <v>0.75199997425079346</v>
          </cell>
          <cell r="E294">
            <v>0.75499999523162842</v>
          </cell>
          <cell r="F294">
            <v>3329000</v>
          </cell>
          <cell r="G294">
            <v>2512.873046875</v>
          </cell>
          <cell r="H294">
            <v>292</v>
          </cell>
          <cell r="I294">
            <v>5783888.5301797949</v>
          </cell>
        </row>
        <row r="295">
          <cell r="A295">
            <v>44810</v>
          </cell>
          <cell r="B295">
            <v>0.75400000810623169</v>
          </cell>
          <cell r="C295">
            <v>0.75999999046325684</v>
          </cell>
          <cell r="D295">
            <v>0.74900001287460327</v>
          </cell>
          <cell r="E295">
            <v>0.75900000333786011</v>
          </cell>
          <cell r="F295">
            <v>1944501</v>
          </cell>
          <cell r="G295">
            <v>1463.989013671875</v>
          </cell>
          <cell r="H295">
            <v>293</v>
          </cell>
          <cell r="I295">
            <v>5770784.8184726965</v>
          </cell>
        </row>
        <row r="296">
          <cell r="A296">
            <v>44811</v>
          </cell>
          <cell r="B296">
            <v>0.75900000333786011</v>
          </cell>
          <cell r="C296">
            <v>0.76999998092651367</v>
          </cell>
          <cell r="D296">
            <v>0.75900000333786011</v>
          </cell>
          <cell r="E296">
            <v>0.76499998569488525</v>
          </cell>
          <cell r="F296">
            <v>2308601</v>
          </cell>
          <cell r="G296">
            <v>1772.0279541015625</v>
          </cell>
          <cell r="H296">
            <v>294</v>
          </cell>
          <cell r="I296">
            <v>5759008.6830357146</v>
          </cell>
        </row>
        <row r="297">
          <cell r="A297">
            <v>44812</v>
          </cell>
          <cell r="B297">
            <v>0.76999998092651367</v>
          </cell>
          <cell r="C297">
            <v>0.76999998092651367</v>
          </cell>
          <cell r="D297">
            <v>0.75599998235702515</v>
          </cell>
          <cell r="E297">
            <v>0.75599998235702515</v>
          </cell>
          <cell r="F297">
            <v>1194800</v>
          </cell>
          <cell r="G297">
            <v>909.03302001953125</v>
          </cell>
          <cell r="H297">
            <v>295</v>
          </cell>
          <cell r="I297">
            <v>5743536.7891949154</v>
          </cell>
        </row>
        <row r="298">
          <cell r="A298">
            <v>44813</v>
          </cell>
          <cell r="B298">
            <v>0.75700002908706665</v>
          </cell>
          <cell r="C298">
            <v>0.76599997282028198</v>
          </cell>
          <cell r="D298">
            <v>0.75700002908706665</v>
          </cell>
          <cell r="E298">
            <v>0.76599997282028198</v>
          </cell>
          <cell r="F298">
            <v>763506</v>
          </cell>
          <cell r="G298">
            <v>580.97698974609375</v>
          </cell>
          <cell r="H298">
            <v>296</v>
          </cell>
          <cell r="I298">
            <v>5726712.3608530406</v>
          </cell>
        </row>
        <row r="299">
          <cell r="A299">
            <v>44817</v>
          </cell>
          <cell r="B299">
            <v>0.76999998092651367</v>
          </cell>
          <cell r="C299">
            <v>0.7720000147819519</v>
          </cell>
          <cell r="D299">
            <v>0.76800000667572021</v>
          </cell>
          <cell r="E299">
            <v>0.76899999380111694</v>
          </cell>
          <cell r="F299">
            <v>3126300</v>
          </cell>
          <cell r="G299">
            <v>2407.77587890625</v>
          </cell>
          <cell r="H299">
            <v>297</v>
          </cell>
          <cell r="I299">
            <v>5717956.7636784511</v>
          </cell>
        </row>
        <row r="300">
          <cell r="A300">
            <v>44818</v>
          </cell>
          <cell r="B300">
            <v>0.76899999380111694</v>
          </cell>
          <cell r="C300">
            <v>0.76899999380111694</v>
          </cell>
          <cell r="D300">
            <v>0.75499999523162842</v>
          </cell>
          <cell r="E300">
            <v>0.75800001621246338</v>
          </cell>
          <cell r="F300">
            <v>1951805.125</v>
          </cell>
          <cell r="G300">
            <v>1481.2509765625</v>
          </cell>
          <cell r="H300">
            <v>298</v>
          </cell>
          <cell r="I300">
            <v>5705318.6709312079</v>
          </cell>
        </row>
        <row r="301">
          <cell r="A301">
            <v>44819</v>
          </cell>
          <cell r="B301">
            <v>0.75199997425079346</v>
          </cell>
          <cell r="C301">
            <v>0.75199997425079346</v>
          </cell>
          <cell r="D301">
            <v>0.73500001430511475</v>
          </cell>
          <cell r="E301">
            <v>0.74199998378753662</v>
          </cell>
          <cell r="F301">
            <v>2490805</v>
          </cell>
          <cell r="G301">
            <v>1853.7550048828125</v>
          </cell>
          <cell r="H301">
            <v>299</v>
          </cell>
          <cell r="I301">
            <v>5694567.7890886292</v>
          </cell>
        </row>
        <row r="302">
          <cell r="A302">
            <v>44820</v>
          </cell>
          <cell r="B302">
            <v>0.74000000953674316</v>
          </cell>
          <cell r="C302">
            <v>0.74000000953674316</v>
          </cell>
          <cell r="D302">
            <v>0.72899997234344482</v>
          </cell>
          <cell r="E302">
            <v>0.72899997234344482</v>
          </cell>
          <cell r="F302">
            <v>1412605</v>
          </cell>
          <cell r="G302">
            <v>1038.10302734375</v>
          </cell>
          <cell r="H302">
            <v>300</v>
          </cell>
          <cell r="I302">
            <v>5680294.5797916669</v>
          </cell>
        </row>
        <row r="303">
          <cell r="A303">
            <v>44823</v>
          </cell>
          <cell r="B303">
            <v>0.72699999809265137</v>
          </cell>
          <cell r="C303">
            <v>0.73400002717971802</v>
          </cell>
          <cell r="D303">
            <v>0.72399997711181641</v>
          </cell>
          <cell r="E303">
            <v>0.7279999852180481</v>
          </cell>
          <cell r="F303">
            <v>2359600</v>
          </cell>
          <cell r="G303">
            <v>1718.0860595703125</v>
          </cell>
          <cell r="H303">
            <v>301</v>
          </cell>
          <cell r="I303">
            <v>5669262.3718853816</v>
          </cell>
        </row>
        <row r="304">
          <cell r="A304">
            <v>44824</v>
          </cell>
          <cell r="B304">
            <v>0.73199999332427979</v>
          </cell>
          <cell r="C304">
            <v>0.73500001430511475</v>
          </cell>
          <cell r="D304">
            <v>0.72600001096725464</v>
          </cell>
          <cell r="E304">
            <v>0.73000001907348633</v>
          </cell>
          <cell r="F304">
            <v>2352200</v>
          </cell>
          <cell r="G304">
            <v>1723.1519775390625</v>
          </cell>
          <cell r="H304">
            <v>302</v>
          </cell>
          <cell r="I304">
            <v>5658278.721647351</v>
          </cell>
        </row>
        <row r="305">
          <cell r="A305">
            <v>44825</v>
          </cell>
          <cell r="B305">
            <v>0.72600001096725464</v>
          </cell>
          <cell r="C305">
            <v>0.72600001096725464</v>
          </cell>
          <cell r="D305">
            <v>0.71899998188018799</v>
          </cell>
          <cell r="E305">
            <v>0.72100001573562622</v>
          </cell>
          <cell r="F305">
            <v>2098600</v>
          </cell>
          <cell r="G305">
            <v>1509.9429931640625</v>
          </cell>
          <cell r="H305">
            <v>303</v>
          </cell>
          <cell r="I305">
            <v>5646530.6070544552</v>
          </cell>
        </row>
        <row r="306">
          <cell r="A306">
            <v>44826</v>
          </cell>
          <cell r="B306">
            <v>0.71799999475479126</v>
          </cell>
          <cell r="C306">
            <v>0.72299998998641968</v>
          </cell>
          <cell r="D306">
            <v>0.71299999952316284</v>
          </cell>
          <cell r="E306">
            <v>0.71399998664855957</v>
          </cell>
          <cell r="F306">
            <v>1011500</v>
          </cell>
          <cell r="G306">
            <v>724.42498779296875</v>
          </cell>
          <cell r="H306">
            <v>304</v>
          </cell>
          <cell r="I306">
            <v>5631283.7958470397</v>
          </cell>
        </row>
        <row r="307">
          <cell r="A307">
            <v>44827</v>
          </cell>
          <cell r="B307">
            <v>0.7160000205039978</v>
          </cell>
          <cell r="C307">
            <v>0.7160000205039978</v>
          </cell>
          <cell r="D307">
            <v>0.70099997520446777</v>
          </cell>
          <cell r="E307">
            <v>0.70999997854232788</v>
          </cell>
          <cell r="F307">
            <v>1125500</v>
          </cell>
          <cell r="G307">
            <v>801.0460205078125</v>
          </cell>
          <cell r="H307">
            <v>305</v>
          </cell>
          <cell r="I307">
            <v>5616510.7342213113</v>
          </cell>
        </row>
        <row r="308">
          <cell r="A308">
            <v>44830</v>
          </cell>
          <cell r="B308">
            <v>0.7070000171661377</v>
          </cell>
          <cell r="C308">
            <v>0.71899998188018799</v>
          </cell>
          <cell r="D308">
            <v>0.70599997043609619</v>
          </cell>
          <cell r="E308">
            <v>0.70999997854232788</v>
          </cell>
          <cell r="F308">
            <v>429300</v>
          </cell>
          <cell r="G308">
            <v>305.89801025390625</v>
          </cell>
          <cell r="H308">
            <v>306</v>
          </cell>
          <cell r="I308">
            <v>5599559.0651552286</v>
          </cell>
        </row>
        <row r="309">
          <cell r="A309">
            <v>44831</v>
          </cell>
          <cell r="B309">
            <v>0.7070000171661377</v>
          </cell>
          <cell r="C309">
            <v>0.72299998998641968</v>
          </cell>
          <cell r="D309">
            <v>0.7070000171661377</v>
          </cell>
          <cell r="E309">
            <v>0.72299998998641968</v>
          </cell>
          <cell r="F309">
            <v>2066300</v>
          </cell>
          <cell r="G309">
            <v>1474.52001953125</v>
          </cell>
          <cell r="H309">
            <v>307</v>
          </cell>
          <cell r="I309">
            <v>5588050.0779723125</v>
          </cell>
        </row>
        <row r="310">
          <cell r="A310">
            <v>44832</v>
          </cell>
          <cell r="B310">
            <v>0.71899998188018799</v>
          </cell>
          <cell r="C310">
            <v>0.71899998188018799</v>
          </cell>
          <cell r="D310">
            <v>0.70599997043609619</v>
          </cell>
          <cell r="E310">
            <v>0.7070000171661377</v>
          </cell>
          <cell r="F310">
            <v>2303800</v>
          </cell>
          <cell r="G310">
            <v>1636.550048828125</v>
          </cell>
          <cell r="H310">
            <v>308</v>
          </cell>
          <cell r="I310">
            <v>5577386.928368507</v>
          </cell>
        </row>
        <row r="311">
          <cell r="A311">
            <v>44833</v>
          </cell>
          <cell r="B311">
            <v>0.71100002527236938</v>
          </cell>
          <cell r="C311">
            <v>0.7149999737739563</v>
          </cell>
          <cell r="D311">
            <v>0.70499998331069946</v>
          </cell>
          <cell r="E311">
            <v>0.70899999141693115</v>
          </cell>
          <cell r="F311">
            <v>2392801</v>
          </cell>
          <cell r="G311">
            <v>1700.7969970703125</v>
          </cell>
          <cell r="H311">
            <v>309</v>
          </cell>
          <cell r="I311">
            <v>5567080.8250404531</v>
          </cell>
        </row>
        <row r="312">
          <cell r="A312">
            <v>44834</v>
          </cell>
          <cell r="B312">
            <v>0.70599997043609619</v>
          </cell>
          <cell r="C312">
            <v>0.70599997043609619</v>
          </cell>
          <cell r="D312">
            <v>0.69599997997283936</v>
          </cell>
          <cell r="E312">
            <v>0.69599997997283936</v>
          </cell>
          <cell r="F312">
            <v>2128200</v>
          </cell>
          <cell r="G312">
            <v>1490.9100341796875</v>
          </cell>
          <cell r="H312">
            <v>310</v>
          </cell>
          <cell r="I312">
            <v>5555987.6610887097</v>
          </cell>
        </row>
        <row r="313">
          <cell r="A313">
            <v>44844</v>
          </cell>
          <cell r="B313">
            <v>0.69499999284744263</v>
          </cell>
          <cell r="C313">
            <v>0.69499999284744263</v>
          </cell>
          <cell r="D313">
            <v>0.67799997329711914</v>
          </cell>
          <cell r="E313">
            <v>0.67900002002716064</v>
          </cell>
          <cell r="F313">
            <v>2245002</v>
          </cell>
          <cell r="G313">
            <v>1540.2440185546875</v>
          </cell>
          <cell r="H313">
            <v>311</v>
          </cell>
          <cell r="I313">
            <v>5545341.4049437298</v>
          </cell>
        </row>
        <row r="314">
          <cell r="A314">
            <v>44845</v>
          </cell>
          <cell r="B314">
            <v>0.68400001525878906</v>
          </cell>
          <cell r="C314">
            <v>0.68599998950958252</v>
          </cell>
          <cell r="D314">
            <v>0.68000000715255737</v>
          </cell>
          <cell r="E314">
            <v>0.68400001525878906</v>
          </cell>
          <cell r="F314">
            <v>1981100</v>
          </cell>
          <cell r="G314">
            <v>1354.720947265625</v>
          </cell>
          <cell r="H314">
            <v>312</v>
          </cell>
          <cell r="I314">
            <v>5533917.554286859</v>
          </cell>
        </row>
        <row r="315">
          <cell r="A315">
            <v>44846</v>
          </cell>
          <cell r="B315">
            <v>0.68199998140335083</v>
          </cell>
          <cell r="C315">
            <v>0.70200002193450928</v>
          </cell>
          <cell r="D315">
            <v>0.67799997329711914</v>
          </cell>
          <cell r="E315">
            <v>0.70200002193450928</v>
          </cell>
          <cell r="F315">
            <v>3683321</v>
          </cell>
          <cell r="G315">
            <v>2556.885009765625</v>
          </cell>
          <cell r="H315">
            <v>313</v>
          </cell>
          <cell r="I315">
            <v>5528005.1052316297</v>
          </cell>
        </row>
        <row r="316">
          <cell r="A316">
            <v>44847</v>
          </cell>
          <cell r="B316">
            <v>0.72200000286102295</v>
          </cell>
          <cell r="C316">
            <v>0.72200000286102295</v>
          </cell>
          <cell r="D316">
            <v>0.70200002193450928</v>
          </cell>
          <cell r="E316">
            <v>0.70200002193450928</v>
          </cell>
          <cell r="F316">
            <v>2085700</v>
          </cell>
          <cell r="G316">
            <v>1470.1500244140625</v>
          </cell>
          <cell r="H316">
            <v>314</v>
          </cell>
          <cell r="I316">
            <v>5517042.3501194268</v>
          </cell>
        </row>
        <row r="317">
          <cell r="A317">
            <v>44848</v>
          </cell>
          <cell r="B317">
            <v>0.70099997520446777</v>
          </cell>
          <cell r="C317">
            <v>0.7279999852180481</v>
          </cell>
          <cell r="D317">
            <v>0.70099997520446777</v>
          </cell>
          <cell r="E317">
            <v>0.72500002384185791</v>
          </cell>
          <cell r="F317">
            <v>2803100</v>
          </cell>
          <cell r="G317">
            <v>2006.97998046875</v>
          </cell>
          <cell r="H317">
            <v>315</v>
          </cell>
          <cell r="I317">
            <v>5508426.6601190474</v>
          </cell>
        </row>
        <row r="318">
          <cell r="A318">
            <v>44851</v>
          </cell>
          <cell r="B318">
            <v>0.72899997234344482</v>
          </cell>
          <cell r="C318">
            <v>0.72899997234344482</v>
          </cell>
          <cell r="D318">
            <v>0.72000002861022949</v>
          </cell>
          <cell r="E318">
            <v>0.7279999852180481</v>
          </cell>
          <cell r="F318">
            <v>3419204</v>
          </cell>
          <cell r="G318">
            <v>2482.27392578125</v>
          </cell>
          <cell r="H318">
            <v>316</v>
          </cell>
          <cell r="I318">
            <v>5501815.1960047465</v>
          </cell>
        </row>
        <row r="319">
          <cell r="A319">
            <v>44852</v>
          </cell>
          <cell r="B319">
            <v>0.74199998378753662</v>
          </cell>
          <cell r="C319">
            <v>0.74199998378753662</v>
          </cell>
          <cell r="D319">
            <v>0.7279999852180481</v>
          </cell>
          <cell r="E319">
            <v>0.73100000619888306</v>
          </cell>
          <cell r="F319">
            <v>2292600</v>
          </cell>
          <cell r="G319">
            <v>1672.51904296875</v>
          </cell>
          <cell r="H319">
            <v>317</v>
          </cell>
          <cell r="I319">
            <v>5491691.4887618292</v>
          </cell>
        </row>
        <row r="320">
          <cell r="A320">
            <v>44853</v>
          </cell>
          <cell r="B320">
            <v>0.73000001907348633</v>
          </cell>
          <cell r="C320">
            <v>0.73400002717971802</v>
          </cell>
          <cell r="D320">
            <v>0.72399997711181641</v>
          </cell>
          <cell r="E320">
            <v>0.72399997711181641</v>
          </cell>
          <cell r="F320">
            <v>4453704</v>
          </cell>
          <cell r="G320">
            <v>3243.928955078125</v>
          </cell>
          <cell r="H320">
            <v>318</v>
          </cell>
          <cell r="I320">
            <v>5488427.3771619499</v>
          </cell>
        </row>
        <row r="321">
          <cell r="A321">
            <v>44854</v>
          </cell>
          <cell r="B321">
            <v>0.71700000762939453</v>
          </cell>
          <cell r="C321">
            <v>0.72399997711181641</v>
          </cell>
          <cell r="D321">
            <v>0.70899999141693115</v>
          </cell>
          <cell r="E321">
            <v>0.71700000762939453</v>
          </cell>
          <cell r="F321">
            <v>5247100</v>
          </cell>
          <cell r="G321">
            <v>3749.001953125</v>
          </cell>
          <cell r="H321">
            <v>319</v>
          </cell>
          <cell r="I321">
            <v>5487670.8650078373</v>
          </cell>
        </row>
        <row r="322">
          <cell r="A322">
            <v>44855</v>
          </cell>
          <cell r="B322">
            <v>0.71700000762939453</v>
          </cell>
          <cell r="C322">
            <v>0.71700000762939453</v>
          </cell>
          <cell r="D322">
            <v>0.71200001239776611</v>
          </cell>
          <cell r="E322">
            <v>0.7149999737739563</v>
          </cell>
          <cell r="F322">
            <v>3382502</v>
          </cell>
          <cell r="G322">
            <v>2419.902099609375</v>
          </cell>
          <cell r="H322">
            <v>320</v>
          </cell>
          <cell r="I322">
            <v>5481092.2123046871</v>
          </cell>
        </row>
        <row r="323">
          <cell r="A323">
            <v>44858</v>
          </cell>
          <cell r="B323">
            <v>0.71399998664855957</v>
          </cell>
          <cell r="C323">
            <v>0.72100001573562622</v>
          </cell>
          <cell r="D323">
            <v>0.69599997997283936</v>
          </cell>
          <cell r="E323">
            <v>0.70300000905990601</v>
          </cell>
          <cell r="F323">
            <v>2591900</v>
          </cell>
          <cell r="G323">
            <v>1839.9659423828125</v>
          </cell>
          <cell r="H323">
            <v>321</v>
          </cell>
          <cell r="I323">
            <v>5472091.6135124611</v>
          </cell>
        </row>
        <row r="324">
          <cell r="A324">
            <v>44859</v>
          </cell>
          <cell r="B324">
            <v>0.69800001382827759</v>
          </cell>
          <cell r="C324">
            <v>0.7070000171661377</v>
          </cell>
          <cell r="D324">
            <v>0.69099998474121094</v>
          </cell>
          <cell r="E324">
            <v>0.69800001382827759</v>
          </cell>
          <cell r="F324">
            <v>5515601</v>
          </cell>
          <cell r="G324">
            <v>3848.76708984375</v>
          </cell>
          <cell r="H324">
            <v>322</v>
          </cell>
          <cell r="I324">
            <v>5472226.7358307457</v>
          </cell>
        </row>
        <row r="325">
          <cell r="A325">
            <v>44860</v>
          </cell>
          <cell r="B325">
            <v>0.70300000905990601</v>
          </cell>
          <cell r="C325">
            <v>0.71799999475479126</v>
          </cell>
          <cell r="D325">
            <v>0.70200002193450928</v>
          </cell>
          <cell r="E325">
            <v>0.71299999952316284</v>
          </cell>
          <cell r="F325">
            <v>2935600</v>
          </cell>
          <cell r="G325">
            <v>2079.35595703125</v>
          </cell>
          <cell r="H325">
            <v>323</v>
          </cell>
          <cell r="I325">
            <v>5464373.402283282</v>
          </cell>
        </row>
        <row r="326">
          <cell r="A326">
            <v>44861</v>
          </cell>
          <cell r="B326">
            <v>0.71399998664855957</v>
          </cell>
          <cell r="C326">
            <v>0.7149999737739563</v>
          </cell>
          <cell r="D326">
            <v>0.7070000171661377</v>
          </cell>
          <cell r="E326">
            <v>0.7070000171661377</v>
          </cell>
          <cell r="F326">
            <v>3527200</v>
          </cell>
          <cell r="G326">
            <v>2511.2080078125</v>
          </cell>
          <cell r="H326">
            <v>324</v>
          </cell>
          <cell r="I326">
            <v>5458394.4720293209</v>
          </cell>
        </row>
        <row r="327">
          <cell r="A327">
            <v>44862</v>
          </cell>
          <cell r="B327">
            <v>0.70200002193450928</v>
          </cell>
          <cell r="C327">
            <v>0.70200002193450928</v>
          </cell>
          <cell r="D327">
            <v>0.6809999942779541</v>
          </cell>
          <cell r="E327">
            <v>0.68300002813339233</v>
          </cell>
          <cell r="F327">
            <v>3020700</v>
          </cell>
          <cell r="G327">
            <v>2104.006103515625</v>
          </cell>
          <cell r="H327">
            <v>325</v>
          </cell>
          <cell r="I327">
            <v>5450893.8736538459</v>
          </cell>
        </row>
        <row r="328">
          <cell r="A328">
            <v>44865</v>
          </cell>
          <cell r="B328">
            <v>0.68000000715255737</v>
          </cell>
          <cell r="C328">
            <v>0.69199997186660767</v>
          </cell>
          <cell r="D328">
            <v>0.67799997329711914</v>
          </cell>
          <cell r="E328">
            <v>0.68699997663497925</v>
          </cell>
          <cell r="F328">
            <v>3400007.75</v>
          </cell>
          <cell r="G328">
            <v>2326.47412109375</v>
          </cell>
          <cell r="H328">
            <v>326</v>
          </cell>
          <cell r="I328">
            <v>5444602.8119248468</v>
          </cell>
        </row>
        <row r="329">
          <cell r="A329">
            <v>44866</v>
          </cell>
          <cell r="B329">
            <v>0.68900001049041748</v>
          </cell>
          <cell r="C329">
            <v>0.70499998331069946</v>
          </cell>
          <cell r="D329">
            <v>0.68400001525878906</v>
          </cell>
          <cell r="E329">
            <v>0.70499998331069946</v>
          </cell>
          <cell r="F329">
            <v>4066501.25</v>
          </cell>
          <cell r="G329">
            <v>2806.73095703125</v>
          </cell>
          <cell r="H329">
            <v>327</v>
          </cell>
          <cell r="I329">
            <v>5440388.4340596329</v>
          </cell>
        </row>
        <row r="330">
          <cell r="A330">
            <v>44867</v>
          </cell>
          <cell r="B330">
            <v>0.70499998331069946</v>
          </cell>
          <cell r="C330">
            <v>0.72200000286102295</v>
          </cell>
          <cell r="D330">
            <v>0.70499998331069946</v>
          </cell>
          <cell r="E330">
            <v>0.71700000762939453</v>
          </cell>
          <cell r="F330">
            <v>3588100</v>
          </cell>
          <cell r="G330">
            <v>2554.7890625</v>
          </cell>
          <cell r="H330">
            <v>328</v>
          </cell>
          <cell r="I330">
            <v>5434741.213224085</v>
          </cell>
        </row>
        <row r="331">
          <cell r="A331">
            <v>44868</v>
          </cell>
          <cell r="B331">
            <v>0.71100002527236938</v>
          </cell>
          <cell r="C331">
            <v>0.7149999737739563</v>
          </cell>
          <cell r="D331">
            <v>0.70999997854232788</v>
          </cell>
          <cell r="E331">
            <v>0.71299999952316284</v>
          </cell>
          <cell r="F331">
            <v>2969101</v>
          </cell>
          <cell r="G331">
            <v>2118.14306640625</v>
          </cell>
          <cell r="H331">
            <v>329</v>
          </cell>
          <cell r="I331">
            <v>5427246.8660714282</v>
          </cell>
        </row>
        <row r="332">
          <cell r="A332">
            <v>44869</v>
          </cell>
          <cell r="B332">
            <v>0.7160000205039978</v>
          </cell>
          <cell r="C332">
            <v>0.73799997568130493</v>
          </cell>
          <cell r="D332">
            <v>0.7160000205039978</v>
          </cell>
          <cell r="E332">
            <v>0.73600000143051147</v>
          </cell>
          <cell r="F332">
            <v>3661902</v>
          </cell>
          <cell r="G332">
            <v>2657.242919921875</v>
          </cell>
          <cell r="H332">
            <v>330</v>
          </cell>
          <cell r="I332">
            <v>5421897.3361742422</v>
          </cell>
        </row>
        <row r="333">
          <cell r="A333">
            <v>44872</v>
          </cell>
          <cell r="B333">
            <v>0.73500001430511475</v>
          </cell>
          <cell r="C333">
            <v>0.73900002241134644</v>
          </cell>
          <cell r="D333">
            <v>0.73100000619888306</v>
          </cell>
          <cell r="E333">
            <v>0.73400002717971802</v>
          </cell>
          <cell r="F333">
            <v>2424500</v>
          </cell>
          <cell r="G333">
            <v>1782.22900390625</v>
          </cell>
          <cell r="H333">
            <v>331</v>
          </cell>
          <cell r="I333">
            <v>5412841.7550981874</v>
          </cell>
        </row>
        <row r="334">
          <cell r="A334">
            <v>44873</v>
          </cell>
          <cell r="B334">
            <v>0.73600000143051147</v>
          </cell>
          <cell r="C334">
            <v>0.73600000143051147</v>
          </cell>
          <cell r="D334">
            <v>0.72399997711181641</v>
          </cell>
          <cell r="E334">
            <v>0.72699999809265137</v>
          </cell>
          <cell r="F334">
            <v>2755801</v>
          </cell>
          <cell r="G334">
            <v>2007.2960205078125</v>
          </cell>
          <cell r="H334">
            <v>332</v>
          </cell>
          <cell r="I334">
            <v>5404838.620293675</v>
          </cell>
        </row>
        <row r="335">
          <cell r="A335">
            <v>44874</v>
          </cell>
          <cell r="B335">
            <v>0.73000001907348633</v>
          </cell>
          <cell r="C335">
            <v>0.73000001907348633</v>
          </cell>
          <cell r="D335">
            <v>0.72100001573562622</v>
          </cell>
          <cell r="E335">
            <v>0.72200000286102295</v>
          </cell>
          <cell r="F335">
            <v>2908406</v>
          </cell>
          <cell r="G335">
            <v>2104.299072265625</v>
          </cell>
          <cell r="H335">
            <v>333</v>
          </cell>
          <cell r="I335">
            <v>5397341.8256381378</v>
          </cell>
        </row>
        <row r="336">
          <cell r="A336">
            <v>44875</v>
          </cell>
          <cell r="B336">
            <v>0.72000002861022949</v>
          </cell>
          <cell r="C336">
            <v>0.72000002861022949</v>
          </cell>
          <cell r="D336">
            <v>0.70499998331069946</v>
          </cell>
          <cell r="E336">
            <v>0.70899999141693115</v>
          </cell>
          <cell r="F336">
            <v>3683300</v>
          </cell>
          <cell r="G336">
            <v>2612.735107421875</v>
          </cell>
          <cell r="H336">
            <v>334</v>
          </cell>
          <cell r="I336">
            <v>5392209.9638847308</v>
          </cell>
        </row>
        <row r="337">
          <cell r="A337">
            <v>44876</v>
          </cell>
          <cell r="B337">
            <v>0.72000002861022949</v>
          </cell>
          <cell r="C337">
            <v>0.73400002717971802</v>
          </cell>
          <cell r="D337">
            <v>0.72000002861022949</v>
          </cell>
          <cell r="E337">
            <v>0.72600001096725464</v>
          </cell>
          <cell r="F337">
            <v>3560304</v>
          </cell>
          <cell r="G337">
            <v>2588.037109375</v>
          </cell>
          <cell r="H337">
            <v>335</v>
          </cell>
          <cell r="I337">
            <v>5386741.5878731348</v>
          </cell>
        </row>
        <row r="338">
          <cell r="A338">
            <v>44879</v>
          </cell>
          <cell r="B338">
            <v>0.73400002717971802</v>
          </cell>
          <cell r="C338">
            <v>0.73400002717971802</v>
          </cell>
          <cell r="D338">
            <v>0.72100001573562622</v>
          </cell>
          <cell r="E338">
            <v>0.72399997711181641</v>
          </cell>
          <cell r="F338">
            <v>3003903</v>
          </cell>
          <cell r="G338">
            <v>2189.81298828125</v>
          </cell>
          <cell r="H338">
            <v>336</v>
          </cell>
          <cell r="I338">
            <v>5379649.8063616073</v>
          </cell>
        </row>
        <row r="339">
          <cell r="A339">
            <v>44880</v>
          </cell>
          <cell r="B339">
            <v>0.72500002384185791</v>
          </cell>
          <cell r="C339">
            <v>0.74299997091293335</v>
          </cell>
          <cell r="D339">
            <v>0.72200000286102295</v>
          </cell>
          <cell r="E339">
            <v>0.74299997091293335</v>
          </cell>
          <cell r="F339">
            <v>5722604</v>
          </cell>
          <cell r="G339">
            <v>4205.744140625</v>
          </cell>
          <cell r="H339">
            <v>337</v>
          </cell>
          <cell r="I339">
            <v>5380667.4745919881</v>
          </cell>
        </row>
        <row r="340">
          <cell r="A340">
            <v>44881</v>
          </cell>
          <cell r="B340">
            <v>0.74299997091293335</v>
          </cell>
          <cell r="C340">
            <v>0.74500000476837158</v>
          </cell>
          <cell r="D340">
            <v>0.73400002717971802</v>
          </cell>
          <cell r="E340">
            <v>0.73400002717971802</v>
          </cell>
          <cell r="F340">
            <v>1012900</v>
          </cell>
          <cell r="G340">
            <v>748.44000244140625</v>
          </cell>
          <cell r="H340">
            <v>338</v>
          </cell>
          <cell r="I340">
            <v>5367745.0856139055</v>
          </cell>
        </row>
        <row r="341">
          <cell r="A341">
            <v>44882</v>
          </cell>
          <cell r="B341">
            <v>0.73100000619888306</v>
          </cell>
          <cell r="C341">
            <v>0.73100000619888306</v>
          </cell>
          <cell r="D341">
            <v>0.72100001573562622</v>
          </cell>
          <cell r="E341">
            <v>0.73000001907348633</v>
          </cell>
          <cell r="F341">
            <v>3281900</v>
          </cell>
          <cell r="G341">
            <v>2381.821044921875</v>
          </cell>
          <cell r="H341">
            <v>339</v>
          </cell>
          <cell r="I341">
            <v>5361592.1502581118</v>
          </cell>
        </row>
        <row r="342">
          <cell r="A342">
            <v>44883</v>
          </cell>
          <cell r="B342">
            <v>0.73100000619888306</v>
          </cell>
          <cell r="C342">
            <v>0.73900002241134644</v>
          </cell>
          <cell r="D342">
            <v>0.73100000619888306</v>
          </cell>
          <cell r="E342">
            <v>0.73100000619888306</v>
          </cell>
          <cell r="F342">
            <v>2393401</v>
          </cell>
          <cell r="G342">
            <v>1758.56494140625</v>
          </cell>
          <cell r="H342">
            <v>340</v>
          </cell>
          <cell r="I342">
            <v>5352862.1762867644</v>
          </cell>
        </row>
        <row r="343">
          <cell r="A343">
            <v>44886</v>
          </cell>
          <cell r="B343">
            <v>0.72899997234344482</v>
          </cell>
          <cell r="C343">
            <v>0.72899997234344482</v>
          </cell>
          <cell r="D343">
            <v>0.72100001573562622</v>
          </cell>
          <cell r="E343">
            <v>0.72899997234344482</v>
          </cell>
          <cell r="F343">
            <v>3153102</v>
          </cell>
          <cell r="G343">
            <v>2289.886962890625</v>
          </cell>
          <cell r="H343">
            <v>341</v>
          </cell>
          <cell r="I343">
            <v>5346411.2666788856</v>
          </cell>
        </row>
        <row r="344">
          <cell r="A344">
            <v>44887</v>
          </cell>
          <cell r="B344">
            <v>0.72299998998641968</v>
          </cell>
          <cell r="C344">
            <v>0.72399997711181641</v>
          </cell>
          <cell r="D344">
            <v>0.7160000205039978</v>
          </cell>
          <cell r="E344">
            <v>0.7160000205039978</v>
          </cell>
          <cell r="F344">
            <v>3219613</v>
          </cell>
          <cell r="G344">
            <v>2322.748046875</v>
          </cell>
          <cell r="H344">
            <v>342</v>
          </cell>
          <cell r="I344">
            <v>5340192.5582967838</v>
          </cell>
        </row>
        <row r="345">
          <cell r="A345">
            <v>44888</v>
          </cell>
          <cell r="B345">
            <v>0.7160000205039978</v>
          </cell>
          <cell r="C345">
            <v>0.71899998188018799</v>
          </cell>
          <cell r="D345">
            <v>0.71100002527236938</v>
          </cell>
          <cell r="E345">
            <v>0.71700000762939453</v>
          </cell>
          <cell r="F345">
            <v>2462800</v>
          </cell>
          <cell r="G345">
            <v>1759.5560302734375</v>
          </cell>
          <cell r="H345">
            <v>343</v>
          </cell>
          <cell r="I345">
            <v>5331803.6587099126</v>
          </cell>
        </row>
        <row r="346">
          <cell r="A346">
            <v>44889</v>
          </cell>
          <cell r="B346">
            <v>0.72000002861022949</v>
          </cell>
          <cell r="C346">
            <v>0.72000002861022949</v>
          </cell>
          <cell r="D346">
            <v>0.71299999952316284</v>
          </cell>
          <cell r="E346">
            <v>0.71399998664855957</v>
          </cell>
          <cell r="F346">
            <v>2647100</v>
          </cell>
          <cell r="G346">
            <v>1893.616943359375</v>
          </cell>
          <cell r="H346">
            <v>344</v>
          </cell>
          <cell r="I346">
            <v>5323999.2876090119</v>
          </cell>
        </row>
        <row r="347">
          <cell r="A347">
            <v>44890</v>
          </cell>
          <cell r="B347">
            <v>0.7070000171661377</v>
          </cell>
          <cell r="C347">
            <v>0.72000002861022949</v>
          </cell>
          <cell r="D347">
            <v>0.7070000171661377</v>
          </cell>
          <cell r="E347">
            <v>0.70899999141693115</v>
          </cell>
          <cell r="F347">
            <v>1362800</v>
          </cell>
          <cell r="G347">
            <v>968.49102783203125</v>
          </cell>
          <cell r="H347">
            <v>345</v>
          </cell>
          <cell r="I347">
            <v>5312517.5505434787</v>
          </cell>
        </row>
        <row r="348">
          <cell r="A348">
            <v>44893</v>
          </cell>
          <cell r="B348">
            <v>0.70999997854232788</v>
          </cell>
          <cell r="C348">
            <v>0.70999997854232788</v>
          </cell>
          <cell r="D348">
            <v>0.6940000057220459</v>
          </cell>
          <cell r="E348">
            <v>0.70499998331069946</v>
          </cell>
          <cell r="F348">
            <v>2657600</v>
          </cell>
          <cell r="G348">
            <v>1855.81494140625</v>
          </cell>
          <cell r="H348">
            <v>346</v>
          </cell>
          <cell r="I348">
            <v>5304844.3784320811</v>
          </cell>
        </row>
        <row r="349">
          <cell r="A349">
            <v>44894</v>
          </cell>
          <cell r="B349">
            <v>0.70899999141693115</v>
          </cell>
          <cell r="C349">
            <v>0.72000002861022949</v>
          </cell>
          <cell r="D349">
            <v>0.70800000429153442</v>
          </cell>
          <cell r="E349">
            <v>0.71899998188018799</v>
          </cell>
          <cell r="F349">
            <v>2146700</v>
          </cell>
          <cell r="G349">
            <v>1530.8990478515625</v>
          </cell>
          <cell r="H349">
            <v>347</v>
          </cell>
          <cell r="I349">
            <v>5295743.0978025934</v>
          </cell>
        </row>
        <row r="350">
          <cell r="A350">
            <v>44895</v>
          </cell>
          <cell r="B350">
            <v>0.71899998188018799</v>
          </cell>
          <cell r="C350">
            <v>0.72399997711181641</v>
          </cell>
          <cell r="D350">
            <v>0.71899998188018799</v>
          </cell>
          <cell r="E350">
            <v>0.72000002861022949</v>
          </cell>
          <cell r="F350">
            <v>2516800</v>
          </cell>
          <cell r="G350">
            <v>1814.135986328125</v>
          </cell>
          <cell r="H350">
            <v>348</v>
          </cell>
          <cell r="I350">
            <v>5287757.6291307472</v>
          </cell>
        </row>
        <row r="351">
          <cell r="A351">
            <v>44896</v>
          </cell>
          <cell r="B351">
            <v>0.72899997234344482</v>
          </cell>
          <cell r="C351">
            <v>0.74000000953674316</v>
          </cell>
          <cell r="D351">
            <v>0.72899997234344482</v>
          </cell>
          <cell r="E351">
            <v>0.73400002717971802</v>
          </cell>
          <cell r="F351">
            <v>1514200</v>
          </cell>
          <cell r="G351">
            <v>1115.52001953125</v>
          </cell>
          <cell r="H351">
            <v>349</v>
          </cell>
          <cell r="I351">
            <v>5276945.1430873927</v>
          </cell>
        </row>
        <row r="352">
          <cell r="A352">
            <v>44897</v>
          </cell>
          <cell r="B352">
            <v>0.73299998044967651</v>
          </cell>
          <cell r="C352">
            <v>0.73500001430511475</v>
          </cell>
          <cell r="D352">
            <v>0.72899997234344482</v>
          </cell>
          <cell r="E352">
            <v>0.72899997234344482</v>
          </cell>
          <cell r="F352">
            <v>2813797</v>
          </cell>
          <cell r="G352">
            <v>2058.468017578125</v>
          </cell>
          <cell r="H352">
            <v>350</v>
          </cell>
          <cell r="I352">
            <v>5269907.5769642862</v>
          </cell>
        </row>
        <row r="353">
          <cell r="A353">
            <v>44900</v>
          </cell>
          <cell r="B353">
            <v>0.73199999332427979</v>
          </cell>
          <cell r="C353">
            <v>0.73500001430511475</v>
          </cell>
          <cell r="D353">
            <v>0.73000001907348633</v>
          </cell>
          <cell r="E353">
            <v>0.73500001430511475</v>
          </cell>
          <cell r="F353">
            <v>3264301</v>
          </cell>
          <cell r="G353">
            <v>2391.455078125</v>
          </cell>
          <cell r="H353">
            <v>351</v>
          </cell>
          <cell r="I353">
            <v>5264193.5981125357</v>
          </cell>
        </row>
        <row r="354">
          <cell r="A354">
            <v>44901</v>
          </cell>
          <cell r="B354">
            <v>0.73299998044967651</v>
          </cell>
          <cell r="C354">
            <v>0.74599999189376831</v>
          </cell>
          <cell r="D354">
            <v>0.73299998044967651</v>
          </cell>
          <cell r="E354">
            <v>0.74000000953674316</v>
          </cell>
          <cell r="F354">
            <v>1767300</v>
          </cell>
          <cell r="G354">
            <v>1305.98095703125</v>
          </cell>
          <cell r="H354">
            <v>352</v>
          </cell>
          <cell r="I354">
            <v>5254259.2412997158</v>
          </cell>
        </row>
        <row r="355">
          <cell r="A355">
            <v>44902</v>
          </cell>
          <cell r="B355">
            <v>0.74000000953674316</v>
          </cell>
          <cell r="C355">
            <v>0.75199997425079346</v>
          </cell>
          <cell r="D355">
            <v>0.74000000953674316</v>
          </cell>
          <cell r="E355">
            <v>0.74599999189376831</v>
          </cell>
          <cell r="F355">
            <v>2062507</v>
          </cell>
          <cell r="G355">
            <v>1538.0469970703125</v>
          </cell>
          <cell r="H355">
            <v>353</v>
          </cell>
          <cell r="I355">
            <v>5245217.4502478754</v>
          </cell>
        </row>
        <row r="356">
          <cell r="A356">
            <v>44903</v>
          </cell>
          <cell r="B356">
            <v>0.74199998378753662</v>
          </cell>
          <cell r="C356">
            <v>0.74800002574920654</v>
          </cell>
          <cell r="D356">
            <v>0.74199998378753662</v>
          </cell>
          <cell r="E356">
            <v>0.74400001764297485</v>
          </cell>
          <cell r="F356">
            <v>3449804</v>
          </cell>
          <cell r="G356">
            <v>2575.367919921875</v>
          </cell>
          <cell r="H356">
            <v>354</v>
          </cell>
          <cell r="I356">
            <v>5240145.6608403958</v>
          </cell>
        </row>
        <row r="357">
          <cell r="A357">
            <v>44904</v>
          </cell>
          <cell r="B357">
            <v>0.74400001764297485</v>
          </cell>
          <cell r="C357">
            <v>0.75099998712539673</v>
          </cell>
          <cell r="D357">
            <v>0.74400001764297485</v>
          </cell>
          <cell r="E357">
            <v>0.75</v>
          </cell>
          <cell r="F357">
            <v>4098100</v>
          </cell>
          <cell r="G357">
            <v>3059.9140625</v>
          </cell>
          <cell r="H357">
            <v>355</v>
          </cell>
          <cell r="I357">
            <v>5236928.6308098594</v>
          </cell>
        </row>
        <row r="358">
          <cell r="A358">
            <v>44907</v>
          </cell>
          <cell r="B358">
            <v>0.74500000476837158</v>
          </cell>
          <cell r="C358">
            <v>0.74900001287460327</v>
          </cell>
          <cell r="D358">
            <v>0.74400001764297485</v>
          </cell>
          <cell r="E358">
            <v>0.74699997901916504</v>
          </cell>
          <cell r="F358">
            <v>1660900</v>
          </cell>
          <cell r="G358">
            <v>1239.9219970703125</v>
          </cell>
          <cell r="H358">
            <v>356</v>
          </cell>
          <cell r="I358">
            <v>5226883.606566011</v>
          </cell>
        </row>
        <row r="359">
          <cell r="A359">
            <v>44908</v>
          </cell>
          <cell r="B359">
            <v>0.74599999189376831</v>
          </cell>
          <cell r="C359">
            <v>0.74599999189376831</v>
          </cell>
          <cell r="D359">
            <v>0.7369999885559082</v>
          </cell>
          <cell r="E359">
            <v>0.73799997568130493</v>
          </cell>
          <cell r="F359">
            <v>3002001</v>
          </cell>
          <cell r="G359">
            <v>2222.159912109375</v>
          </cell>
          <cell r="H359">
            <v>357</v>
          </cell>
          <cell r="I359">
            <v>5220651.4424019605</v>
          </cell>
        </row>
        <row r="360">
          <cell r="A360">
            <v>44909</v>
          </cell>
          <cell r="B360">
            <v>0.74000000953674316</v>
          </cell>
          <cell r="C360">
            <v>0.74000000953674316</v>
          </cell>
          <cell r="D360">
            <v>0.73500001430511475</v>
          </cell>
          <cell r="E360">
            <v>0.73500001430511475</v>
          </cell>
          <cell r="F360">
            <v>4652100</v>
          </cell>
          <cell r="G360">
            <v>3427.55908203125</v>
          </cell>
          <cell r="H360">
            <v>358</v>
          </cell>
          <cell r="I360">
            <v>5219063.3098812848</v>
          </cell>
        </row>
        <row r="361">
          <cell r="A361">
            <v>44910</v>
          </cell>
          <cell r="B361">
            <v>0.73900002241134644</v>
          </cell>
          <cell r="C361">
            <v>0.74299997091293335</v>
          </cell>
          <cell r="D361">
            <v>0.73500001430511475</v>
          </cell>
          <cell r="E361">
            <v>0.74299997091293335</v>
          </cell>
          <cell r="F361">
            <v>3350200</v>
          </cell>
          <cell r="G361">
            <v>2474.9130859375</v>
          </cell>
          <cell r="H361">
            <v>359</v>
          </cell>
          <cell r="I361">
            <v>5213857.5625</v>
          </cell>
        </row>
        <row r="362">
          <cell r="A362">
            <v>44911</v>
          </cell>
          <cell r="B362">
            <v>0.73799997568130493</v>
          </cell>
          <cell r="C362">
            <v>0.73799997568130493</v>
          </cell>
          <cell r="D362">
            <v>0.73500001430511475</v>
          </cell>
          <cell r="E362">
            <v>0.73600000143051147</v>
          </cell>
          <cell r="F362">
            <v>2607600</v>
          </cell>
          <cell r="G362">
            <v>1922.4029541015625</v>
          </cell>
          <cell r="H362">
            <v>360</v>
          </cell>
          <cell r="I362">
            <v>5206617.9581597224</v>
          </cell>
        </row>
        <row r="363">
          <cell r="A363">
            <v>44914</v>
          </cell>
          <cell r="B363">
            <v>0.74099999666213989</v>
          </cell>
          <cell r="C363">
            <v>0.74099999666213989</v>
          </cell>
          <cell r="D363">
            <v>0.72600001096725464</v>
          </cell>
          <cell r="E363">
            <v>0.72600001096725464</v>
          </cell>
          <cell r="F363">
            <v>3066702</v>
          </cell>
          <cell r="G363">
            <v>2247.702880859375</v>
          </cell>
          <cell r="H363">
            <v>361</v>
          </cell>
          <cell r="I363">
            <v>5200690.2131232684</v>
          </cell>
        </row>
        <row r="364">
          <cell r="A364">
            <v>44915</v>
          </cell>
          <cell r="B364">
            <v>0.72600001096725464</v>
          </cell>
          <cell r="C364">
            <v>0.7279999852180481</v>
          </cell>
          <cell r="D364">
            <v>0.7160000205039978</v>
          </cell>
          <cell r="E364">
            <v>0.71899998188018799</v>
          </cell>
          <cell r="F364">
            <v>3940700</v>
          </cell>
          <cell r="G364">
            <v>2847.77294921875</v>
          </cell>
          <cell r="H364">
            <v>362</v>
          </cell>
          <cell r="I364">
            <v>5197209.5771754142</v>
          </cell>
        </row>
        <row r="365">
          <cell r="A365">
            <v>44916</v>
          </cell>
          <cell r="B365">
            <v>0.72100001573562622</v>
          </cell>
          <cell r="C365">
            <v>0.72100001573562622</v>
          </cell>
          <cell r="D365">
            <v>0.71299999952316284</v>
          </cell>
          <cell r="E365">
            <v>0.7149999737739563</v>
          </cell>
          <cell r="F365">
            <v>2461800</v>
          </cell>
          <cell r="G365">
            <v>1768.2430419921875</v>
          </cell>
          <cell r="H365">
            <v>363</v>
          </cell>
          <cell r="I365">
            <v>5189674.013601928</v>
          </cell>
        </row>
        <row r="366">
          <cell r="A366">
            <v>44917</v>
          </cell>
          <cell r="B366">
            <v>0.71700000762939453</v>
          </cell>
          <cell r="C366">
            <v>0.72100001573562622</v>
          </cell>
          <cell r="D366">
            <v>0.71100002527236938</v>
          </cell>
          <cell r="E366">
            <v>0.71399998664855957</v>
          </cell>
          <cell r="F366">
            <v>3196400</v>
          </cell>
          <cell r="G366">
            <v>2294.62109375</v>
          </cell>
          <cell r="H366">
            <v>364</v>
          </cell>
          <cell r="I366">
            <v>5184197.9860920329</v>
          </cell>
        </row>
        <row r="367">
          <cell r="A367">
            <v>44918</v>
          </cell>
          <cell r="B367">
            <v>0.70899999141693115</v>
          </cell>
          <cell r="C367">
            <v>0.71299999952316284</v>
          </cell>
          <cell r="D367">
            <v>0.7070000171661377</v>
          </cell>
          <cell r="E367">
            <v>0.70999997854232788</v>
          </cell>
          <cell r="F367">
            <v>3038001</v>
          </cell>
          <cell r="G367">
            <v>2157.553955078125</v>
          </cell>
          <cell r="H367">
            <v>365</v>
          </cell>
          <cell r="I367">
            <v>5178317.9943493148</v>
          </cell>
        </row>
        <row r="368">
          <cell r="A368">
            <v>44921</v>
          </cell>
          <cell r="B368">
            <v>0.7070000171661377</v>
          </cell>
          <cell r="C368">
            <v>0.72100001573562622</v>
          </cell>
          <cell r="D368">
            <v>0.7070000171661377</v>
          </cell>
          <cell r="E368">
            <v>0.71899998188018799</v>
          </cell>
          <cell r="F368">
            <v>5080404</v>
          </cell>
          <cell r="G368">
            <v>3635.52587890625</v>
          </cell>
          <cell r="H368">
            <v>366</v>
          </cell>
          <cell r="I368">
            <v>5178050.4697745899</v>
          </cell>
        </row>
        <row r="369">
          <cell r="A369">
            <v>44922</v>
          </cell>
          <cell r="B369">
            <v>0.72200000286102295</v>
          </cell>
          <cell r="C369">
            <v>0.73000001907348633</v>
          </cell>
          <cell r="D369">
            <v>0.71899998188018799</v>
          </cell>
          <cell r="E369">
            <v>0.72899997234344482</v>
          </cell>
          <cell r="F369">
            <v>6773900</v>
          </cell>
          <cell r="G369">
            <v>4913.7880859375</v>
          </cell>
          <cell r="H369">
            <v>367</v>
          </cell>
          <cell r="I369">
            <v>5182398.8336171666</v>
          </cell>
        </row>
        <row r="370">
          <cell r="A370">
            <v>44923</v>
          </cell>
          <cell r="B370">
            <v>0.72399997711181641</v>
          </cell>
          <cell r="C370">
            <v>0.72399997711181641</v>
          </cell>
          <cell r="D370">
            <v>0.71700000762939453</v>
          </cell>
          <cell r="E370">
            <v>0.72100001573562622</v>
          </cell>
          <cell r="F370">
            <v>2380500</v>
          </cell>
          <cell r="G370">
            <v>1714.72998046875</v>
          </cell>
          <cell r="H370">
            <v>368</v>
          </cell>
          <cell r="I370">
            <v>5174784.9780910322</v>
          </cell>
        </row>
        <row r="371">
          <cell r="A371">
            <v>44924</v>
          </cell>
          <cell r="B371">
            <v>0.71700000762939453</v>
          </cell>
          <cell r="C371">
            <v>0.72600001096725464</v>
          </cell>
          <cell r="D371">
            <v>0.71700000762939453</v>
          </cell>
          <cell r="E371">
            <v>0.72299998998641968</v>
          </cell>
          <cell r="F371">
            <v>3941701.25</v>
          </cell>
          <cell r="G371">
            <v>2847.658935546875</v>
          </cell>
          <cell r="H371">
            <v>369</v>
          </cell>
          <cell r="I371">
            <v>5171443.2877710024</v>
          </cell>
        </row>
        <row r="372">
          <cell r="A372">
            <v>44925</v>
          </cell>
          <cell r="B372">
            <v>0.72500002384185791</v>
          </cell>
          <cell r="C372">
            <v>0.72699999809265137</v>
          </cell>
          <cell r="D372">
            <v>0.72100001573562622</v>
          </cell>
          <cell r="E372">
            <v>0.72299998998641968</v>
          </cell>
          <cell r="F372">
            <v>2041800</v>
          </cell>
          <cell r="G372">
            <v>1479.02197265625</v>
          </cell>
          <cell r="H372">
            <v>370</v>
          </cell>
          <cell r="I372">
            <v>5162984.7923986483</v>
          </cell>
        </row>
        <row r="373">
          <cell r="A373">
            <v>44929</v>
          </cell>
          <cell r="B373">
            <v>0.72000002861022949</v>
          </cell>
          <cell r="C373">
            <v>0.72899997234344482</v>
          </cell>
          <cell r="D373">
            <v>0.7149999737739563</v>
          </cell>
          <cell r="E373">
            <v>0.72899997234344482</v>
          </cell>
          <cell r="F373">
            <v>1565200</v>
          </cell>
          <cell r="G373">
            <v>1129.6409912109375</v>
          </cell>
          <cell r="H373">
            <v>371</v>
          </cell>
          <cell r="I373">
            <v>5153287.2592654983</v>
          </cell>
        </row>
        <row r="374">
          <cell r="A374">
            <v>44930</v>
          </cell>
          <cell r="B374">
            <v>0.72500002384185791</v>
          </cell>
          <cell r="C374">
            <v>0.7279999852180481</v>
          </cell>
          <cell r="D374">
            <v>0.72000002861022949</v>
          </cell>
          <cell r="E374">
            <v>0.72500002384185791</v>
          </cell>
          <cell r="F374">
            <v>1636900</v>
          </cell>
          <cell r="G374">
            <v>1184.56201171875</v>
          </cell>
          <cell r="H374">
            <v>372</v>
          </cell>
          <cell r="I374">
            <v>5143834.6053427421</v>
          </cell>
        </row>
        <row r="375">
          <cell r="A375">
            <v>44931</v>
          </cell>
          <cell r="B375">
            <v>0.72899997234344482</v>
          </cell>
          <cell r="C375">
            <v>0.74400001764297485</v>
          </cell>
          <cell r="D375">
            <v>0.7279999852180481</v>
          </cell>
          <cell r="E375">
            <v>0.74199998378753662</v>
          </cell>
          <cell r="F375">
            <v>1151000</v>
          </cell>
          <cell r="G375">
            <v>847.927001953125</v>
          </cell>
          <cell r="H375">
            <v>373</v>
          </cell>
          <cell r="I375">
            <v>5133129.9549262738</v>
          </cell>
        </row>
        <row r="376">
          <cell r="A376">
            <v>44932</v>
          </cell>
          <cell r="B376">
            <v>0.74000000953674316</v>
          </cell>
          <cell r="C376">
            <v>0.75099998712539673</v>
          </cell>
          <cell r="D376">
            <v>0.74000000953674316</v>
          </cell>
          <cell r="E376">
            <v>0.74500000476837158</v>
          </cell>
          <cell r="F376">
            <v>2536002</v>
          </cell>
          <cell r="G376">
            <v>1894.322998046875</v>
          </cell>
          <cell r="H376">
            <v>374</v>
          </cell>
          <cell r="I376">
            <v>5126185.7625334226</v>
          </cell>
        </row>
        <row r="377">
          <cell r="A377">
            <v>44935</v>
          </cell>
          <cell r="B377">
            <v>0.74599999189376831</v>
          </cell>
          <cell r="C377">
            <v>0.75199997425079346</v>
          </cell>
          <cell r="D377">
            <v>0.74599999189376831</v>
          </cell>
          <cell r="E377">
            <v>0.74699997901916504</v>
          </cell>
          <cell r="F377">
            <v>2679501</v>
          </cell>
          <cell r="G377">
            <v>2000.68994140625</v>
          </cell>
          <cell r="H377">
            <v>375</v>
          </cell>
          <cell r="I377">
            <v>5119661.2698333338</v>
          </cell>
        </row>
        <row r="378">
          <cell r="A378">
            <v>44936</v>
          </cell>
          <cell r="B378">
            <v>0.74599999189376831</v>
          </cell>
          <cell r="C378">
            <v>0.75499999523162842</v>
          </cell>
          <cell r="D378">
            <v>0.74400001764297485</v>
          </cell>
          <cell r="E378">
            <v>0.75300002098083496</v>
          </cell>
          <cell r="F378">
            <v>1321912</v>
          </cell>
          <cell r="G378">
            <v>988.56402587890625</v>
          </cell>
          <cell r="H378">
            <v>376</v>
          </cell>
          <cell r="I378">
            <v>5109560.872839096</v>
          </cell>
        </row>
        <row r="379">
          <cell r="A379">
            <v>44937</v>
          </cell>
          <cell r="B379">
            <v>0.75199997425079346</v>
          </cell>
          <cell r="C379">
            <v>0.75599998235702515</v>
          </cell>
          <cell r="D379">
            <v>0.74699997901916504</v>
          </cell>
          <cell r="E379">
            <v>0.74800002574920654</v>
          </cell>
          <cell r="F379">
            <v>2797004</v>
          </cell>
          <cell r="G379">
            <v>2105.48388671875</v>
          </cell>
          <cell r="H379">
            <v>377</v>
          </cell>
          <cell r="I379">
            <v>5103426.7697281167</v>
          </cell>
        </row>
        <row r="380">
          <cell r="A380">
            <v>44938</v>
          </cell>
          <cell r="B380">
            <v>0.75099998712539673</v>
          </cell>
          <cell r="C380">
            <v>0.75599998235702515</v>
          </cell>
          <cell r="D380">
            <v>0.74900001287460327</v>
          </cell>
          <cell r="E380">
            <v>0.75199997425079346</v>
          </cell>
          <cell r="F380">
            <v>2889600</v>
          </cell>
          <cell r="G380">
            <v>2174.404052734375</v>
          </cell>
          <cell r="H380">
            <v>378</v>
          </cell>
          <cell r="I380">
            <v>5097570.0851521166</v>
          </cell>
        </row>
        <row r="381">
          <cell r="A381">
            <v>44939</v>
          </cell>
          <cell r="B381">
            <v>0.77399998903274536</v>
          </cell>
          <cell r="C381">
            <v>0.77399998903274536</v>
          </cell>
          <cell r="D381">
            <v>0.74299997091293335</v>
          </cell>
          <cell r="E381">
            <v>0.75900000333786011</v>
          </cell>
          <cell r="F381">
            <v>2609100</v>
          </cell>
          <cell r="G381">
            <v>1971.1600341796875</v>
          </cell>
          <cell r="H381">
            <v>379</v>
          </cell>
          <cell r="I381">
            <v>5091004.2010224275</v>
          </cell>
        </row>
        <row r="382">
          <cell r="A382">
            <v>44942</v>
          </cell>
          <cell r="B382">
            <v>0.76099997758865356</v>
          </cell>
          <cell r="C382">
            <v>0.77799999713897705</v>
          </cell>
          <cell r="D382">
            <v>0.76099997758865356</v>
          </cell>
          <cell r="E382">
            <v>0.77300000190734863</v>
          </cell>
          <cell r="F382">
            <v>3660307</v>
          </cell>
          <cell r="G382">
            <v>2824.14404296875</v>
          </cell>
          <cell r="H382">
            <v>380</v>
          </cell>
          <cell r="I382">
            <v>5087239.2083881581</v>
          </cell>
        </row>
        <row r="383">
          <cell r="A383">
            <v>44943</v>
          </cell>
          <cell r="B383">
            <v>0.79500001668930054</v>
          </cell>
          <cell r="C383">
            <v>0.79500001668930054</v>
          </cell>
          <cell r="D383">
            <v>0.77300000190734863</v>
          </cell>
          <cell r="E383">
            <v>0.77499997615814209</v>
          </cell>
          <cell r="F383">
            <v>1479900</v>
          </cell>
          <cell r="G383">
            <v>1148.1639404296875</v>
          </cell>
          <cell r="H383">
            <v>381</v>
          </cell>
          <cell r="I383">
            <v>5077771.1264763782</v>
          </cell>
        </row>
        <row r="384">
          <cell r="A384">
            <v>44944</v>
          </cell>
          <cell r="B384">
            <v>0.77600002288818359</v>
          </cell>
          <cell r="C384">
            <v>0.78100001811981201</v>
          </cell>
          <cell r="D384">
            <v>0.77499997615814209</v>
          </cell>
          <cell r="E384">
            <v>0.77600002288818359</v>
          </cell>
          <cell r="F384">
            <v>5034005</v>
          </cell>
          <cell r="G384">
            <v>3914.56298828125</v>
          </cell>
          <cell r="H384">
            <v>382</v>
          </cell>
          <cell r="I384">
            <v>5077656.5554646598</v>
          </cell>
        </row>
        <row r="385">
          <cell r="A385">
            <v>44945</v>
          </cell>
          <cell r="B385">
            <v>0.77399998903274536</v>
          </cell>
          <cell r="C385">
            <v>0.78299999237060547</v>
          </cell>
          <cell r="D385">
            <v>0.77399998903274536</v>
          </cell>
          <cell r="E385">
            <v>0.78200000524520874</v>
          </cell>
          <cell r="F385">
            <v>1876500</v>
          </cell>
          <cell r="G385">
            <v>1461.1739501953125</v>
          </cell>
          <cell r="H385">
            <v>383</v>
          </cell>
          <cell r="I385">
            <v>5069298.4443537863</v>
          </cell>
        </row>
        <row r="386">
          <cell r="A386">
            <v>44946</v>
          </cell>
          <cell r="B386">
            <v>0.78299999237060547</v>
          </cell>
          <cell r="C386">
            <v>0.78799998760223389</v>
          </cell>
          <cell r="D386">
            <v>0.78299999237060547</v>
          </cell>
          <cell r="E386">
            <v>0.78700000047683716</v>
          </cell>
          <cell r="F386">
            <v>6181202</v>
          </cell>
          <cell r="G386">
            <v>4860.455078125</v>
          </cell>
          <cell r="H386">
            <v>384</v>
          </cell>
          <cell r="I386">
            <v>5072194.0265299482</v>
          </cell>
        </row>
        <row r="387">
          <cell r="A387">
            <v>44956</v>
          </cell>
          <cell r="B387">
            <v>0.78700000047683716</v>
          </cell>
          <cell r="C387">
            <v>0.81000000238418579</v>
          </cell>
          <cell r="D387">
            <v>0.78700000047683716</v>
          </cell>
          <cell r="E387">
            <v>0.79799997806549072</v>
          </cell>
          <cell r="F387">
            <v>2619200</v>
          </cell>
          <cell r="G387">
            <v>2099.212890625</v>
          </cell>
          <cell r="H387">
            <v>385</v>
          </cell>
          <cell r="I387">
            <v>5065822.6134740263</v>
          </cell>
        </row>
        <row r="388">
          <cell r="A388">
            <v>44957</v>
          </cell>
          <cell r="B388">
            <v>0.80000001192092896</v>
          </cell>
          <cell r="C388">
            <v>0.80000001192092896</v>
          </cell>
          <cell r="D388">
            <v>0.78799998760223389</v>
          </cell>
          <cell r="E388">
            <v>0.78899997472763062</v>
          </cell>
          <cell r="F388">
            <v>2396100</v>
          </cell>
          <cell r="G388">
            <v>1900.77001953125</v>
          </cell>
          <cell r="H388">
            <v>386</v>
          </cell>
          <cell r="I388">
            <v>5058906.2336463733</v>
          </cell>
        </row>
        <row r="389">
          <cell r="A389">
            <v>44958</v>
          </cell>
          <cell r="B389">
            <v>0.78799998760223389</v>
          </cell>
          <cell r="C389">
            <v>0.80000001192092896</v>
          </cell>
          <cell r="D389">
            <v>0.78799998760223389</v>
          </cell>
          <cell r="E389">
            <v>0.79900002479553223</v>
          </cell>
          <cell r="F389">
            <v>2298500</v>
          </cell>
          <cell r="G389">
            <v>1828.115966796875</v>
          </cell>
          <cell r="H389">
            <v>387</v>
          </cell>
          <cell r="I389">
            <v>5051773.4010012923</v>
          </cell>
        </row>
        <row r="390">
          <cell r="A390">
            <v>44959</v>
          </cell>
          <cell r="B390">
            <v>0.80099999904632568</v>
          </cell>
          <cell r="C390">
            <v>0.80199998617172241</v>
          </cell>
          <cell r="D390">
            <v>0.79400002956390381</v>
          </cell>
          <cell r="E390">
            <v>0.79500001668930054</v>
          </cell>
          <cell r="F390">
            <v>1222000</v>
          </cell>
          <cell r="G390">
            <v>974.9000244140625</v>
          </cell>
          <cell r="H390">
            <v>388</v>
          </cell>
          <cell r="I390">
            <v>5041902.8509987118</v>
          </cell>
        </row>
        <row r="391">
          <cell r="A391">
            <v>44960</v>
          </cell>
          <cell r="B391">
            <v>0.79199999570846558</v>
          </cell>
          <cell r="C391">
            <v>0.79199999570846558</v>
          </cell>
          <cell r="D391">
            <v>0.78100001811981201</v>
          </cell>
          <cell r="E391">
            <v>0.79100000858306885</v>
          </cell>
          <cell r="F391">
            <v>2231500</v>
          </cell>
          <cell r="G391">
            <v>1757.35205078125</v>
          </cell>
          <cell r="H391">
            <v>389</v>
          </cell>
          <cell r="I391">
            <v>5034678.1650064271</v>
          </cell>
        </row>
        <row r="392">
          <cell r="A392">
            <v>44963</v>
          </cell>
          <cell r="B392">
            <v>0.78299999237060547</v>
          </cell>
          <cell r="C392">
            <v>0.7850000262260437</v>
          </cell>
          <cell r="D392">
            <v>0.77600002288818359</v>
          </cell>
          <cell r="E392">
            <v>0.77700001001358032</v>
          </cell>
          <cell r="F392">
            <v>653500</v>
          </cell>
          <cell r="G392">
            <v>509.80899047851562</v>
          </cell>
          <cell r="H392">
            <v>390</v>
          </cell>
          <cell r="I392">
            <v>5023444.3748397436</v>
          </cell>
        </row>
        <row r="393">
          <cell r="A393">
            <v>44964</v>
          </cell>
          <cell r="B393">
            <v>0.78299999237060547</v>
          </cell>
          <cell r="C393">
            <v>0.7839999794960022</v>
          </cell>
          <cell r="D393">
            <v>0.77700001001358032</v>
          </cell>
          <cell r="E393">
            <v>0.77999997138977051</v>
          </cell>
          <cell r="F393">
            <v>1518500</v>
          </cell>
          <cell r="G393">
            <v>1184.8780517578125</v>
          </cell>
          <cell r="H393">
            <v>391</v>
          </cell>
          <cell r="I393">
            <v>5014480.3227301789</v>
          </cell>
        </row>
        <row r="394">
          <cell r="A394">
            <v>44965</v>
          </cell>
          <cell r="B394">
            <v>0.77999997138977051</v>
          </cell>
          <cell r="C394">
            <v>0.78100001811981201</v>
          </cell>
          <cell r="D394">
            <v>0.77600002288818359</v>
          </cell>
          <cell r="E394">
            <v>0.77700001001358032</v>
          </cell>
          <cell r="F394">
            <v>1171112</v>
          </cell>
          <cell r="G394">
            <v>912.447021484375</v>
          </cell>
          <cell r="H394">
            <v>392</v>
          </cell>
          <cell r="I394">
            <v>5004675.8117028065</v>
          </cell>
        </row>
        <row r="395">
          <cell r="A395">
            <v>44966</v>
          </cell>
          <cell r="B395">
            <v>0.77399998903274536</v>
          </cell>
          <cell r="C395">
            <v>0.78799998760223389</v>
          </cell>
          <cell r="D395">
            <v>0.77399998903274536</v>
          </cell>
          <cell r="E395">
            <v>0.78799998760223389</v>
          </cell>
          <cell r="F395">
            <v>1557100</v>
          </cell>
          <cell r="G395">
            <v>1221.449951171875</v>
          </cell>
          <cell r="H395">
            <v>393</v>
          </cell>
          <cell r="I395">
            <v>4995903.354166667</v>
          </cell>
        </row>
        <row r="396">
          <cell r="A396">
            <v>44967</v>
          </cell>
          <cell r="B396">
            <v>0.78799998760223389</v>
          </cell>
          <cell r="C396">
            <v>0.78799998760223389</v>
          </cell>
          <cell r="D396">
            <v>0.77899998426437378</v>
          </cell>
          <cell r="E396">
            <v>0.7839999794960022</v>
          </cell>
          <cell r="F396">
            <v>2219900</v>
          </cell>
          <cell r="G396">
            <v>1734.8929443359375</v>
          </cell>
          <cell r="H396">
            <v>394</v>
          </cell>
          <cell r="I396">
            <v>4988857.6603743657</v>
          </cell>
        </row>
        <row r="397">
          <cell r="A397">
            <v>44970</v>
          </cell>
          <cell r="B397">
            <v>0.78100001811981201</v>
          </cell>
          <cell r="C397">
            <v>0.79000002145767212</v>
          </cell>
          <cell r="D397">
            <v>0.78100001811981201</v>
          </cell>
          <cell r="E397">
            <v>0.78899997472763062</v>
          </cell>
          <cell r="F397">
            <v>2053500</v>
          </cell>
          <cell r="G397">
            <v>1613.4949951171875</v>
          </cell>
          <cell r="H397">
            <v>395</v>
          </cell>
          <cell r="I397">
            <v>4981426.375158228</v>
          </cell>
        </row>
        <row r="398">
          <cell r="A398">
            <v>44971</v>
          </cell>
          <cell r="B398">
            <v>0.79199999570846558</v>
          </cell>
          <cell r="C398">
            <v>0.79199999570846558</v>
          </cell>
          <cell r="D398">
            <v>0.78299999237060547</v>
          </cell>
          <cell r="E398">
            <v>0.78700000047683716</v>
          </cell>
          <cell r="F398">
            <v>1283308</v>
          </cell>
          <cell r="G398">
            <v>1008.1619873046875</v>
          </cell>
          <cell r="H398">
            <v>396</v>
          </cell>
          <cell r="I398">
            <v>4972087.6923926771</v>
          </cell>
        </row>
        <row r="399">
          <cell r="A399">
            <v>44972</v>
          </cell>
          <cell r="B399">
            <v>0.78799998760223389</v>
          </cell>
          <cell r="C399">
            <v>0.79100000858306885</v>
          </cell>
          <cell r="D399">
            <v>0.7839999794960022</v>
          </cell>
          <cell r="E399">
            <v>0.78600001335144043</v>
          </cell>
          <cell r="F399">
            <v>854601</v>
          </cell>
          <cell r="G399">
            <v>671.81597900390625</v>
          </cell>
          <cell r="H399">
            <v>397</v>
          </cell>
          <cell r="I399">
            <v>4961716.1893891692</v>
          </cell>
        </row>
        <row r="400">
          <cell r="A400">
            <v>44973</v>
          </cell>
          <cell r="B400">
            <v>0.79100000858306885</v>
          </cell>
          <cell r="C400">
            <v>0.79199999570846558</v>
          </cell>
          <cell r="D400">
            <v>0.7720000147819519</v>
          </cell>
          <cell r="E400">
            <v>0.77799999713897705</v>
          </cell>
          <cell r="F400">
            <v>1755000</v>
          </cell>
          <cell r="G400">
            <v>1372.9659423828125</v>
          </cell>
          <cell r="H400">
            <v>398</v>
          </cell>
          <cell r="I400">
            <v>4953659.1135364324</v>
          </cell>
        </row>
        <row r="401">
          <cell r="A401">
            <v>44974</v>
          </cell>
          <cell r="B401">
            <v>0.77499997615814209</v>
          </cell>
          <cell r="C401">
            <v>0.77499997615814209</v>
          </cell>
          <cell r="D401">
            <v>0.75999999046325684</v>
          </cell>
          <cell r="E401">
            <v>0.76099997758865356</v>
          </cell>
          <cell r="F401">
            <v>3067106</v>
          </cell>
          <cell r="G401">
            <v>2349.093017578125</v>
          </cell>
          <cell r="H401">
            <v>399</v>
          </cell>
          <cell r="I401">
            <v>4948930.9102443606</v>
          </cell>
        </row>
        <row r="402">
          <cell r="A402">
            <v>44977</v>
          </cell>
          <cell r="B402">
            <v>0.75800001621246338</v>
          </cell>
          <cell r="C402">
            <v>0.77499997615814209</v>
          </cell>
          <cell r="D402">
            <v>0.75599998235702515</v>
          </cell>
          <cell r="E402">
            <v>0.77399998903274536</v>
          </cell>
          <cell r="F402">
            <v>956200</v>
          </cell>
          <cell r="G402">
            <v>735.38299560546875</v>
          </cell>
          <cell r="H402">
            <v>400</v>
          </cell>
          <cell r="I402">
            <v>4938949.08296875</v>
          </cell>
        </row>
        <row r="403">
          <cell r="A403">
            <v>44978</v>
          </cell>
          <cell r="B403">
            <v>0.77399998903274536</v>
          </cell>
          <cell r="C403">
            <v>0.77700001001358032</v>
          </cell>
          <cell r="D403">
            <v>0.76999998092651367</v>
          </cell>
          <cell r="E403">
            <v>0.77399998903274536</v>
          </cell>
          <cell r="F403">
            <v>1222500</v>
          </cell>
          <cell r="G403">
            <v>944.00799560546875</v>
          </cell>
          <cell r="H403">
            <v>401</v>
          </cell>
          <cell r="I403">
            <v>4929681.1301433919</v>
          </cell>
        </row>
        <row r="404">
          <cell r="A404">
            <v>44979</v>
          </cell>
          <cell r="B404">
            <v>0.76999998092651367</v>
          </cell>
          <cell r="C404">
            <v>0.77100002765655518</v>
          </cell>
          <cell r="D404">
            <v>0.76700001955032349</v>
          </cell>
          <cell r="E404">
            <v>0.76800000667572021</v>
          </cell>
          <cell r="F404">
            <v>1488800</v>
          </cell>
          <cell r="G404">
            <v>1145.47900390625</v>
          </cell>
          <cell r="H404">
            <v>402</v>
          </cell>
          <cell r="I404">
            <v>4921121.7243470149</v>
          </cell>
        </row>
        <row r="405">
          <cell r="A405">
            <v>44980</v>
          </cell>
          <cell r="B405">
            <v>0.7720000147819519</v>
          </cell>
          <cell r="C405">
            <v>0.77399998903274536</v>
          </cell>
          <cell r="D405">
            <v>0.76700001955032349</v>
          </cell>
          <cell r="E405">
            <v>0.76700001955032349</v>
          </cell>
          <cell r="F405">
            <v>1037301.9375</v>
          </cell>
          <cell r="G405">
            <v>799.7540283203125</v>
          </cell>
          <cell r="H405">
            <v>403</v>
          </cell>
          <cell r="I405">
            <v>4911484.4544044668</v>
          </cell>
        </row>
        <row r="406">
          <cell r="A406">
            <v>44981</v>
          </cell>
          <cell r="B406">
            <v>0.76800000667572021</v>
          </cell>
          <cell r="C406">
            <v>0.76899999380111694</v>
          </cell>
          <cell r="D406">
            <v>0.76099997758865356</v>
          </cell>
          <cell r="E406">
            <v>0.76499998569488525</v>
          </cell>
          <cell r="F406">
            <v>1018601</v>
          </cell>
          <cell r="G406">
            <v>779.92901611328125</v>
          </cell>
          <cell r="H406">
            <v>404</v>
          </cell>
          <cell r="I406">
            <v>4901848.6042698016</v>
          </cell>
        </row>
        <row r="407">
          <cell r="A407">
            <v>44984</v>
          </cell>
          <cell r="B407">
            <v>0.75900000333786011</v>
          </cell>
          <cell r="C407">
            <v>0.76099997758865356</v>
          </cell>
          <cell r="D407">
            <v>0.75599998235702515</v>
          </cell>
          <cell r="E407">
            <v>0.75700002908706665</v>
          </cell>
          <cell r="F407">
            <v>2463800</v>
          </cell>
          <cell r="G407">
            <v>1870.217041015625</v>
          </cell>
          <cell r="H407">
            <v>405</v>
          </cell>
          <cell r="I407">
            <v>4895828.7311728392</v>
          </cell>
        </row>
        <row r="408">
          <cell r="A408">
            <v>44985</v>
          </cell>
          <cell r="B408">
            <v>0.7630000114440918</v>
          </cell>
          <cell r="C408">
            <v>0.7630000114440918</v>
          </cell>
          <cell r="D408">
            <v>0.75900000333786011</v>
          </cell>
          <cell r="E408">
            <v>0.7630000114440918</v>
          </cell>
          <cell r="F408">
            <v>699600</v>
          </cell>
          <cell r="G408">
            <v>532.60498046875</v>
          </cell>
          <cell r="H408">
            <v>406</v>
          </cell>
          <cell r="I408">
            <v>4885493.1924261088</v>
          </cell>
        </row>
        <row r="409">
          <cell r="A409">
            <v>44986</v>
          </cell>
          <cell r="B409">
            <v>0.7630000114440918</v>
          </cell>
          <cell r="C409">
            <v>0.77499997615814209</v>
          </cell>
          <cell r="D409">
            <v>0.7630000114440918</v>
          </cell>
          <cell r="E409">
            <v>0.77300000190734863</v>
          </cell>
          <cell r="F409">
            <v>1724202</v>
          </cell>
          <cell r="G409">
            <v>1327.5670166015625</v>
          </cell>
          <cell r="H409">
            <v>407</v>
          </cell>
          <cell r="I409">
            <v>4877725.8921990171</v>
          </cell>
        </row>
        <row r="410">
          <cell r="A410">
            <v>44987</v>
          </cell>
          <cell r="B410">
            <v>0.77100002765655518</v>
          </cell>
          <cell r="C410">
            <v>0.77499997615814209</v>
          </cell>
          <cell r="D410">
            <v>0.76599997282028198</v>
          </cell>
          <cell r="E410">
            <v>0.76599997282028198</v>
          </cell>
          <cell r="F410">
            <v>1815200</v>
          </cell>
          <cell r="G410">
            <v>1400.39697265625</v>
          </cell>
          <cell r="H410">
            <v>408</v>
          </cell>
          <cell r="I410">
            <v>4870219.7012867648</v>
          </cell>
        </row>
        <row r="411">
          <cell r="A411">
            <v>44988</v>
          </cell>
          <cell r="B411">
            <v>0.77100002765655518</v>
          </cell>
          <cell r="C411">
            <v>0.77100002765655518</v>
          </cell>
          <cell r="D411">
            <v>0.76499998569488525</v>
          </cell>
          <cell r="E411">
            <v>0.76800000667572021</v>
          </cell>
          <cell r="F411">
            <v>332900</v>
          </cell>
          <cell r="G411">
            <v>256.22299194335937</v>
          </cell>
          <cell r="H411">
            <v>409</v>
          </cell>
          <cell r="I411">
            <v>4859126.0100855744</v>
          </cell>
        </row>
        <row r="412">
          <cell r="A412">
            <v>44991</v>
          </cell>
          <cell r="B412">
            <v>0.76499998569488525</v>
          </cell>
          <cell r="C412">
            <v>0.76899999380111694</v>
          </cell>
          <cell r="D412">
            <v>0.75999999046325684</v>
          </cell>
          <cell r="E412">
            <v>0.76899999380111694</v>
          </cell>
          <cell r="F412">
            <v>3717800</v>
          </cell>
          <cell r="G412">
            <v>2838.031982421875</v>
          </cell>
          <cell r="H412">
            <v>410</v>
          </cell>
          <cell r="I412">
            <v>4856342.2881097561</v>
          </cell>
        </row>
        <row r="413">
          <cell r="A413">
            <v>44992</v>
          </cell>
          <cell r="B413">
            <v>0.76899999380111694</v>
          </cell>
          <cell r="C413">
            <v>0.76899999380111694</v>
          </cell>
          <cell r="D413">
            <v>0.75400000810623169</v>
          </cell>
          <cell r="E413">
            <v>0.75599998235702515</v>
          </cell>
          <cell r="F413">
            <v>2807500</v>
          </cell>
          <cell r="G413">
            <v>2146.64404296875</v>
          </cell>
          <cell r="H413">
            <v>411</v>
          </cell>
          <cell r="I413">
            <v>4851357.2703771293</v>
          </cell>
        </row>
        <row r="414">
          <cell r="A414">
            <v>44993</v>
          </cell>
          <cell r="B414">
            <v>0.75400000810623169</v>
          </cell>
          <cell r="C414">
            <v>0.75400000810623169</v>
          </cell>
          <cell r="D414">
            <v>0.74900001287460327</v>
          </cell>
          <cell r="E414">
            <v>0.75199997425079346</v>
          </cell>
          <cell r="F414">
            <v>2423100</v>
          </cell>
          <cell r="G414">
            <v>1820.1920166015625</v>
          </cell>
          <cell r="H414">
            <v>412</v>
          </cell>
          <cell r="I414">
            <v>4845463.4420509711</v>
          </cell>
        </row>
        <row r="415">
          <cell r="A415">
            <v>44994</v>
          </cell>
          <cell r="B415">
            <v>0.75199997425079346</v>
          </cell>
          <cell r="C415">
            <v>0.75700002908706665</v>
          </cell>
          <cell r="D415">
            <v>0.75099998712539673</v>
          </cell>
          <cell r="E415">
            <v>0.75400000810623169</v>
          </cell>
          <cell r="F415">
            <v>1194801</v>
          </cell>
          <cell r="G415">
            <v>901.9959716796875</v>
          </cell>
          <cell r="H415">
            <v>413</v>
          </cell>
          <cell r="I415">
            <v>4836624.065677966</v>
          </cell>
        </row>
        <row r="416">
          <cell r="A416">
            <v>44995</v>
          </cell>
          <cell r="B416">
            <v>0.75400000810623169</v>
          </cell>
          <cell r="C416">
            <v>0.75400000810623169</v>
          </cell>
          <cell r="D416">
            <v>0.74599999189376831</v>
          </cell>
          <cell r="E416">
            <v>0.74800002574920654</v>
          </cell>
          <cell r="F416">
            <v>3065800</v>
          </cell>
          <cell r="G416">
            <v>2295.97705078125</v>
          </cell>
          <cell r="H416">
            <v>414</v>
          </cell>
          <cell r="I416">
            <v>4832346.7128623184</v>
          </cell>
        </row>
        <row r="417">
          <cell r="A417">
            <v>44998</v>
          </cell>
          <cell r="B417">
            <v>0.74500000476837158</v>
          </cell>
          <cell r="C417">
            <v>0.75</v>
          </cell>
          <cell r="D417">
            <v>0.74299997091293335</v>
          </cell>
          <cell r="E417">
            <v>0.74900001287460327</v>
          </cell>
          <cell r="F417">
            <v>1219303</v>
          </cell>
          <cell r="G417">
            <v>911.2979736328125</v>
          </cell>
          <cell r="H417">
            <v>415</v>
          </cell>
          <cell r="I417">
            <v>4823640.5834337352</v>
          </cell>
        </row>
        <row r="418">
          <cell r="A418">
            <v>44999</v>
          </cell>
          <cell r="B418">
            <v>0.74900001287460327</v>
          </cell>
          <cell r="C418">
            <v>0.74900001287460327</v>
          </cell>
          <cell r="D418">
            <v>0.73400002717971802</v>
          </cell>
          <cell r="E418">
            <v>0.74299997091293335</v>
          </cell>
          <cell r="F418">
            <v>244204</v>
          </cell>
          <cell r="G418">
            <v>180.80299377441406</v>
          </cell>
          <cell r="H418">
            <v>416</v>
          </cell>
          <cell r="I418">
            <v>4812632.322415865</v>
          </cell>
        </row>
        <row r="419">
          <cell r="A419">
            <v>45000</v>
          </cell>
          <cell r="B419">
            <v>0.74699997901916504</v>
          </cell>
          <cell r="C419">
            <v>0.75099998712539673</v>
          </cell>
          <cell r="D419">
            <v>0.74099999666213989</v>
          </cell>
          <cell r="E419">
            <v>0.74199998378753662</v>
          </cell>
          <cell r="F419">
            <v>2845969</v>
          </cell>
          <cell r="G419">
            <v>2120.841064453125</v>
          </cell>
          <cell r="H419">
            <v>417</v>
          </cell>
          <cell r="I419">
            <v>4807916.1034172662</v>
          </cell>
        </row>
        <row r="420">
          <cell r="A420">
            <v>45001</v>
          </cell>
          <cell r="B420">
            <v>0.73799997568130493</v>
          </cell>
          <cell r="C420">
            <v>0.73799997568130493</v>
          </cell>
          <cell r="D420">
            <v>0.7279999852180481</v>
          </cell>
          <cell r="E420">
            <v>0.73000001907348633</v>
          </cell>
          <cell r="F420">
            <v>1216716</v>
          </cell>
          <cell r="G420">
            <v>893.90997314453125</v>
          </cell>
          <cell r="H420">
            <v>418</v>
          </cell>
          <cell r="I420">
            <v>4799324.7156100478</v>
          </cell>
        </row>
        <row r="421">
          <cell r="A421">
            <v>45002</v>
          </cell>
          <cell r="B421">
            <v>0.7369999885559082</v>
          </cell>
          <cell r="C421">
            <v>0.74099999666213989</v>
          </cell>
          <cell r="D421">
            <v>0.73000001907348633</v>
          </cell>
          <cell r="E421">
            <v>0.73000001907348633</v>
          </cell>
          <cell r="F421">
            <v>2325807</v>
          </cell>
          <cell r="G421">
            <v>1709.5550537109375</v>
          </cell>
          <cell r="H421">
            <v>419</v>
          </cell>
          <cell r="I421">
            <v>4793421.3320405725</v>
          </cell>
        </row>
        <row r="422">
          <cell r="A422">
            <v>45005</v>
          </cell>
          <cell r="B422">
            <v>0.73199999332427979</v>
          </cell>
          <cell r="C422">
            <v>0.74000000953674316</v>
          </cell>
          <cell r="D422">
            <v>0.73100000619888306</v>
          </cell>
          <cell r="E422">
            <v>0.73100000619888306</v>
          </cell>
          <cell r="F422">
            <v>3156704</v>
          </cell>
          <cell r="G422">
            <v>2323.39697265625</v>
          </cell>
          <cell r="H422">
            <v>420</v>
          </cell>
          <cell r="I422">
            <v>4789524.386011905</v>
          </cell>
        </row>
        <row r="423">
          <cell r="A423">
            <v>45006</v>
          </cell>
          <cell r="B423">
            <v>0.73600000143051147</v>
          </cell>
          <cell r="C423">
            <v>0.74299997091293335</v>
          </cell>
          <cell r="D423">
            <v>0.73500001430511475</v>
          </cell>
          <cell r="E423">
            <v>0.74299997091293335</v>
          </cell>
          <cell r="F423">
            <v>3195000</v>
          </cell>
          <cell r="G423">
            <v>2362.77490234375</v>
          </cell>
          <cell r="H423">
            <v>421</v>
          </cell>
          <cell r="I423">
            <v>4785736.9171615206</v>
          </cell>
        </row>
        <row r="424">
          <cell r="A424">
            <v>45007</v>
          </cell>
          <cell r="B424">
            <v>0.74699997901916504</v>
          </cell>
          <cell r="C424">
            <v>0.75199997425079346</v>
          </cell>
          <cell r="D424">
            <v>0.74699997901916504</v>
          </cell>
          <cell r="E424">
            <v>0.75</v>
          </cell>
          <cell r="F424">
            <v>1591900</v>
          </cell>
          <cell r="G424">
            <v>1192.31396484375</v>
          </cell>
          <cell r="H424">
            <v>422</v>
          </cell>
          <cell r="I424">
            <v>4778168.583234597</v>
          </cell>
        </row>
        <row r="425">
          <cell r="A425">
            <v>45008</v>
          </cell>
          <cell r="B425">
            <v>0.74900001287460327</v>
          </cell>
          <cell r="C425">
            <v>0.75999999046325684</v>
          </cell>
          <cell r="D425">
            <v>0.74900001287460327</v>
          </cell>
          <cell r="E425">
            <v>0.75999999046325684</v>
          </cell>
          <cell r="F425">
            <v>1783313.125</v>
          </cell>
          <cell r="G425">
            <v>1345.2340087890625</v>
          </cell>
          <cell r="H425">
            <v>423</v>
          </cell>
          <cell r="I425">
            <v>4771088.5466903076</v>
          </cell>
        </row>
        <row r="426">
          <cell r="A426">
            <v>45009</v>
          </cell>
          <cell r="B426">
            <v>0.75999999046325684</v>
          </cell>
          <cell r="C426">
            <v>0.76200002431869507</v>
          </cell>
          <cell r="D426">
            <v>0.75700002908706665</v>
          </cell>
          <cell r="E426">
            <v>0.76200002431869507</v>
          </cell>
          <cell r="F426">
            <v>1272500</v>
          </cell>
          <cell r="G426">
            <v>968.11798095703125</v>
          </cell>
          <cell r="H426">
            <v>424</v>
          </cell>
          <cell r="I426">
            <v>4762837.1586084906</v>
          </cell>
        </row>
        <row r="427">
          <cell r="A427">
            <v>45012</v>
          </cell>
          <cell r="B427">
            <v>0.76099997758865356</v>
          </cell>
          <cell r="C427">
            <v>0.76399999856948853</v>
          </cell>
          <cell r="D427">
            <v>0.75700002908706665</v>
          </cell>
          <cell r="E427">
            <v>0.7630000114440918</v>
          </cell>
          <cell r="F427">
            <v>1645105.125</v>
          </cell>
          <cell r="G427">
            <v>1253.782958984375</v>
          </cell>
          <cell r="H427">
            <v>425</v>
          </cell>
          <cell r="I427">
            <v>4755501.3185294122</v>
          </cell>
        </row>
        <row r="428">
          <cell r="A428">
            <v>45013</v>
          </cell>
          <cell r="B428">
            <v>0.76099997758865356</v>
          </cell>
          <cell r="C428">
            <v>0.76099997758865356</v>
          </cell>
          <cell r="D428">
            <v>0.75300002098083496</v>
          </cell>
          <cell r="E428">
            <v>0.75300002098083496</v>
          </cell>
          <cell r="F428">
            <v>2560200</v>
          </cell>
          <cell r="G428">
            <v>1938.916015625</v>
          </cell>
          <cell r="H428">
            <v>426</v>
          </cell>
          <cell r="I428">
            <v>4750348.0290492959</v>
          </cell>
        </row>
        <row r="429">
          <cell r="A429">
            <v>45014</v>
          </cell>
          <cell r="B429">
            <v>0.75700002908706665</v>
          </cell>
          <cell r="C429">
            <v>0.76099997758865356</v>
          </cell>
          <cell r="D429">
            <v>0.75599998235702515</v>
          </cell>
          <cell r="E429">
            <v>0.76099997758865356</v>
          </cell>
          <cell r="F429">
            <v>5493502</v>
          </cell>
          <cell r="G429">
            <v>4164.5908203125</v>
          </cell>
          <cell r="H429">
            <v>427</v>
          </cell>
          <cell r="I429">
            <v>4752088.4364754101</v>
          </cell>
        </row>
        <row r="430">
          <cell r="A430">
            <v>45015</v>
          </cell>
          <cell r="B430">
            <v>0.75900000333786011</v>
          </cell>
          <cell r="C430">
            <v>0.76499998569488525</v>
          </cell>
          <cell r="D430">
            <v>0.75700002908706665</v>
          </cell>
          <cell r="E430">
            <v>0.76499998569488525</v>
          </cell>
          <cell r="F430">
            <v>1849000</v>
          </cell>
          <cell r="G430">
            <v>1407.4630126953125</v>
          </cell>
          <cell r="H430">
            <v>428</v>
          </cell>
          <cell r="I430">
            <v>4745305.5195677569</v>
          </cell>
        </row>
        <row r="431">
          <cell r="A431">
            <v>45016</v>
          </cell>
          <cell r="B431">
            <v>0.76499998569488525</v>
          </cell>
          <cell r="C431">
            <v>0.7720000147819519</v>
          </cell>
          <cell r="D431">
            <v>0.76499998569488525</v>
          </cell>
          <cell r="E431">
            <v>0.77100002765655518</v>
          </cell>
          <cell r="F431">
            <v>1673001</v>
          </cell>
          <cell r="G431">
            <v>1286.60498046875</v>
          </cell>
          <cell r="H431">
            <v>429</v>
          </cell>
          <cell r="I431">
            <v>4738143.9705710951</v>
          </cell>
        </row>
        <row r="432">
          <cell r="A432">
            <v>45019</v>
          </cell>
          <cell r="B432">
            <v>0.77400000000000002</v>
          </cell>
          <cell r="C432">
            <v>0.77900000000000003</v>
          </cell>
          <cell r="D432">
            <v>0.77300000000000002</v>
          </cell>
          <cell r="E432">
            <v>0.77800000000000002</v>
          </cell>
          <cell r="F432">
            <v>2424301</v>
          </cell>
          <cell r="G432">
            <v>1879142.88</v>
          </cell>
          <cell r="H432">
            <v>430</v>
          </cell>
          <cell r="I432">
            <v>4732762.9404069772</v>
          </cell>
        </row>
        <row r="433">
          <cell r="A433">
            <v>45020</v>
          </cell>
          <cell r="B433">
            <v>0.77500000000000002</v>
          </cell>
          <cell r="C433">
            <v>0.77500000000000002</v>
          </cell>
          <cell r="D433">
            <v>0.76700000000000002</v>
          </cell>
          <cell r="E433">
            <v>0.77200000000000002</v>
          </cell>
          <cell r="F433">
            <v>3434956</v>
          </cell>
          <cell r="G433">
            <v>2643943</v>
          </cell>
          <cell r="H433">
            <v>431</v>
          </cell>
          <cell r="I433">
            <v>4729751.7874129927</v>
          </cell>
        </row>
        <row r="434">
          <cell r="A434">
            <v>45022</v>
          </cell>
          <cell r="B434">
            <v>0.76600000000000001</v>
          </cell>
          <cell r="C434">
            <v>0.77600000000000002</v>
          </cell>
          <cell r="D434">
            <v>0.76600000000000001</v>
          </cell>
          <cell r="E434">
            <v>0.77500000000000002</v>
          </cell>
          <cell r="F434">
            <v>2342103</v>
          </cell>
          <cell r="G434">
            <v>1810911.38</v>
          </cell>
          <cell r="H434">
            <v>432</v>
          </cell>
          <cell r="I434">
            <v>4724224.8226273144</v>
          </cell>
        </row>
        <row r="435">
          <cell r="A435">
            <v>45023</v>
          </cell>
          <cell r="B435">
            <v>0.77500000000000002</v>
          </cell>
          <cell r="C435">
            <v>0.78600000000000003</v>
          </cell>
          <cell r="D435">
            <v>0.77500000000000002</v>
          </cell>
          <cell r="E435">
            <v>0.78400000000000003</v>
          </cell>
          <cell r="F435">
            <v>3182218</v>
          </cell>
          <cell r="G435">
            <v>2494053</v>
          </cell>
          <cell r="H435">
            <v>433</v>
          </cell>
          <cell r="I435">
            <v>4720663.6059468826</v>
          </cell>
        </row>
        <row r="436">
          <cell r="A436">
            <v>45026</v>
          </cell>
          <cell r="B436">
            <v>0.78400000000000003</v>
          </cell>
          <cell r="C436">
            <v>0.78800000000000003</v>
          </cell>
          <cell r="D436">
            <v>0.77900000000000003</v>
          </cell>
          <cell r="E436">
            <v>0.78100000000000003</v>
          </cell>
          <cell r="F436">
            <v>3654903</v>
          </cell>
          <cell r="G436">
            <v>2871418.75</v>
          </cell>
          <cell r="H436">
            <v>434</v>
          </cell>
          <cell r="I436">
            <v>4718207.936347926</v>
          </cell>
        </row>
        <row r="437">
          <cell r="A437">
            <v>45027</v>
          </cell>
          <cell r="B437">
            <v>0.78100000000000003</v>
          </cell>
          <cell r="C437">
            <v>0.78700000000000003</v>
          </cell>
          <cell r="D437">
            <v>0.77900000000000003</v>
          </cell>
          <cell r="E437">
            <v>0.78200000000000003</v>
          </cell>
          <cell r="F437">
            <v>1594800</v>
          </cell>
          <cell r="G437">
            <v>1248547.5</v>
          </cell>
          <cell r="H437">
            <v>435</v>
          </cell>
          <cell r="I437">
            <v>4711027.6882183906</v>
          </cell>
        </row>
        <row r="438">
          <cell r="A438">
            <v>45028</v>
          </cell>
          <cell r="B438">
            <v>0.78100000000000003</v>
          </cell>
          <cell r="C438">
            <v>0.78600000000000003</v>
          </cell>
          <cell r="D438">
            <v>0.78100000000000003</v>
          </cell>
          <cell r="E438">
            <v>0.78300000000000003</v>
          </cell>
          <cell r="F438">
            <v>2168020</v>
          </cell>
          <cell r="G438">
            <v>1697468.38</v>
          </cell>
          <cell r="H438">
            <v>436</v>
          </cell>
          <cell r="I438">
            <v>4705195.1017775228</v>
          </cell>
        </row>
        <row r="439">
          <cell r="A439">
            <v>45029</v>
          </cell>
          <cell r="B439">
            <v>0.77400000000000002</v>
          </cell>
          <cell r="C439">
            <v>0.77500000000000002</v>
          </cell>
          <cell r="D439">
            <v>0.76800000000000002</v>
          </cell>
          <cell r="E439">
            <v>0.76900000000000002</v>
          </cell>
          <cell r="F439">
            <v>1556601</v>
          </cell>
          <cell r="G439">
            <v>1199176.8799999999</v>
          </cell>
          <cell r="H439">
            <v>437</v>
          </cell>
          <cell r="I439">
            <v>4697990.0809496567</v>
          </cell>
        </row>
        <row r="440">
          <cell r="A440">
            <v>45030</v>
          </cell>
          <cell r="B440">
            <v>0.77800000000000002</v>
          </cell>
          <cell r="C440">
            <v>0.77800000000000002</v>
          </cell>
          <cell r="D440">
            <v>0.77100000000000002</v>
          </cell>
          <cell r="E440">
            <v>0.77400000000000002</v>
          </cell>
          <cell r="F440">
            <v>627000</v>
          </cell>
          <cell r="G440">
            <v>484354.09</v>
          </cell>
          <cell r="H440">
            <v>438</v>
          </cell>
          <cell r="I440">
            <v>4688695.5830479451</v>
          </cell>
        </row>
        <row r="441">
          <cell r="A441">
            <v>45033</v>
          </cell>
          <cell r="B441">
            <v>0.77300000000000002</v>
          </cell>
          <cell r="C441">
            <v>0.77700000000000002</v>
          </cell>
          <cell r="D441">
            <v>0.77300000000000002</v>
          </cell>
          <cell r="E441">
            <v>0.77700000000000002</v>
          </cell>
          <cell r="F441">
            <v>1589040</v>
          </cell>
          <cell r="G441">
            <v>1232148.5</v>
          </cell>
          <cell r="H441">
            <v>439</v>
          </cell>
          <cell r="I441">
            <v>4681634.8641799549</v>
          </cell>
        </row>
        <row r="442">
          <cell r="A442">
            <v>45034</v>
          </cell>
          <cell r="B442">
            <v>0.77700000000000002</v>
          </cell>
          <cell r="C442">
            <v>0.78200000000000003</v>
          </cell>
          <cell r="D442">
            <v>0.77700000000000002</v>
          </cell>
          <cell r="E442">
            <v>0.78</v>
          </cell>
          <cell r="F442">
            <v>1538800</v>
          </cell>
          <cell r="G442">
            <v>1200914.25</v>
          </cell>
          <cell r="H442">
            <v>440</v>
          </cell>
          <cell r="I442">
            <v>4674492.0576704545</v>
          </cell>
        </row>
        <row r="443">
          <cell r="A443">
            <v>45035</v>
          </cell>
          <cell r="B443">
            <v>0.77700000000000002</v>
          </cell>
          <cell r="C443">
            <v>0.77800000000000002</v>
          </cell>
          <cell r="D443">
            <v>0.77100000000000002</v>
          </cell>
          <cell r="E443">
            <v>0.77300000000000002</v>
          </cell>
          <cell r="F443">
            <v>2686200</v>
          </cell>
          <cell r="G443">
            <v>2082108.5</v>
          </cell>
          <cell r="H443">
            <v>441</v>
          </cell>
          <cell r="I443">
            <v>4669983.4589002272</v>
          </cell>
        </row>
        <row r="444">
          <cell r="A444">
            <v>45036</v>
          </cell>
          <cell r="B444">
            <v>0.77300000000000002</v>
          </cell>
          <cell r="C444">
            <v>0.77300000000000002</v>
          </cell>
          <cell r="D444">
            <v>0.76700000000000002</v>
          </cell>
          <cell r="E444">
            <v>0.76900000000000002</v>
          </cell>
          <cell r="F444">
            <v>2455600</v>
          </cell>
          <cell r="G444">
            <v>1888839.13</v>
          </cell>
          <cell r="H444">
            <v>442</v>
          </cell>
          <cell r="I444">
            <v>4664973.5415723985</v>
          </cell>
        </row>
        <row r="445">
          <cell r="A445">
            <v>45037</v>
          </cell>
          <cell r="B445">
            <v>0.77400000000000002</v>
          </cell>
          <cell r="C445">
            <v>0.77400000000000002</v>
          </cell>
          <cell r="D445">
            <v>0.754</v>
          </cell>
          <cell r="E445">
            <v>0.755</v>
          </cell>
          <cell r="F445">
            <v>1505700</v>
          </cell>
          <cell r="G445">
            <v>1156530</v>
          </cell>
          <cell r="H445">
            <v>443</v>
          </cell>
          <cell r="I445">
            <v>4657841.9985891646</v>
          </cell>
        </row>
        <row r="446">
          <cell r="A446">
            <v>45040</v>
          </cell>
          <cell r="B446">
            <v>0.755</v>
          </cell>
          <cell r="C446">
            <v>0.755</v>
          </cell>
          <cell r="D446">
            <v>0.745</v>
          </cell>
          <cell r="E446">
            <v>0.745</v>
          </cell>
          <cell r="F446">
            <v>1583000</v>
          </cell>
          <cell r="G446">
            <v>1190050.5</v>
          </cell>
          <cell r="H446">
            <v>444</v>
          </cell>
          <cell r="I446">
            <v>4650916.6787725221</v>
          </cell>
        </row>
        <row r="447">
          <cell r="A447">
            <v>45041</v>
          </cell>
          <cell r="B447">
            <v>0.747</v>
          </cell>
          <cell r="C447">
            <v>0.747</v>
          </cell>
          <cell r="D447">
            <v>0.72899999999999998</v>
          </cell>
          <cell r="E447">
            <v>0.73599999999999999</v>
          </cell>
          <cell r="F447">
            <v>2309800</v>
          </cell>
          <cell r="G447">
            <v>1703117.13</v>
          </cell>
          <cell r="H447">
            <v>445</v>
          </cell>
          <cell r="I447">
            <v>4645655.7424157299</v>
          </cell>
        </row>
        <row r="448">
          <cell r="A448">
            <v>45042</v>
          </cell>
          <cell r="B448">
            <v>0.73199999999999998</v>
          </cell>
          <cell r="C448">
            <v>0.745</v>
          </cell>
          <cell r="D448">
            <v>0.73099999999999998</v>
          </cell>
          <cell r="E448">
            <v>0.74</v>
          </cell>
          <cell r="F448">
            <v>984000</v>
          </cell>
          <cell r="G448">
            <v>726577.88</v>
          </cell>
          <cell r="H448">
            <v>446</v>
          </cell>
          <cell r="I448">
            <v>4637445.7519618832</v>
          </cell>
        </row>
        <row r="449">
          <cell r="A449">
            <v>45043</v>
          </cell>
          <cell r="B449">
            <v>0.74199999999999999</v>
          </cell>
          <cell r="C449">
            <v>0.748</v>
          </cell>
          <cell r="D449">
            <v>0.74199999999999999</v>
          </cell>
          <cell r="E449">
            <v>0.746</v>
          </cell>
          <cell r="F449">
            <v>2219001</v>
          </cell>
          <cell r="G449">
            <v>1652428.5</v>
          </cell>
          <cell r="H449">
            <v>447</v>
          </cell>
          <cell r="I449">
            <v>4632035.3610178968</v>
          </cell>
        </row>
        <row r="450">
          <cell r="A450">
            <v>45044</v>
          </cell>
          <cell r="B450">
            <v>0.75</v>
          </cell>
          <cell r="C450">
            <v>0.75099998712539673</v>
          </cell>
          <cell r="D450">
            <v>0.74699997901916504</v>
          </cell>
          <cell r="E450">
            <v>0.75099998712539673</v>
          </cell>
          <cell r="F450">
            <v>1925900</v>
          </cell>
          <cell r="G450">
            <v>1925900</v>
          </cell>
          <cell r="H450">
            <v>448</v>
          </cell>
          <cell r="I450">
            <v>4625994.8803013396</v>
          </cell>
        </row>
        <row r="451">
          <cell r="A451">
            <v>45050</v>
          </cell>
          <cell r="B451">
            <v>0.74699997901916504</v>
          </cell>
          <cell r="C451">
            <v>0.74699997901916504</v>
          </cell>
          <cell r="D451">
            <v>0.74099999666213989</v>
          </cell>
          <cell r="E451">
            <v>0.74199998378753662</v>
          </cell>
          <cell r="F451">
            <v>1058500</v>
          </cell>
          <cell r="G451">
            <v>10585</v>
          </cell>
          <cell r="H451">
            <v>449</v>
          </cell>
          <cell r="I451">
            <v>4618049.4574053455</v>
          </cell>
        </row>
        <row r="452">
          <cell r="A452">
            <v>45051</v>
          </cell>
          <cell r="B452">
            <v>0.74000000953674316</v>
          </cell>
          <cell r="C452">
            <v>0.74000000953674316</v>
          </cell>
          <cell r="D452">
            <v>0.73000001907348633</v>
          </cell>
          <cell r="E452">
            <v>0.73400002717971802</v>
          </cell>
          <cell r="F452">
            <v>1972200</v>
          </cell>
          <cell r="G452">
            <v>19722</v>
          </cell>
          <cell r="H452">
            <v>450</v>
          </cell>
          <cell r="I452">
            <v>4612169.7919444442</v>
          </cell>
        </row>
        <row r="453">
          <cell r="A453">
            <v>45054</v>
          </cell>
          <cell r="B453">
            <v>0.73500001430511475</v>
          </cell>
          <cell r="C453">
            <v>0.73799997568130493</v>
          </cell>
          <cell r="D453">
            <v>0.73400002717971802</v>
          </cell>
          <cell r="E453">
            <v>0.73500001430511475</v>
          </cell>
          <cell r="F453">
            <v>1697402.875</v>
          </cell>
          <cell r="G453">
            <v>16974.029296875</v>
          </cell>
          <cell r="H453">
            <v>451</v>
          </cell>
          <cell r="I453">
            <v>4605706.8941241689</v>
          </cell>
        </row>
        <row r="454">
          <cell r="A454">
            <v>45055</v>
          </cell>
          <cell r="B454">
            <v>0.74199998378753662</v>
          </cell>
          <cell r="C454">
            <v>0.74199998378753662</v>
          </cell>
          <cell r="D454">
            <v>0.7279999852180481</v>
          </cell>
          <cell r="E454">
            <v>0.7279999852180481</v>
          </cell>
          <cell r="F454">
            <v>1804107</v>
          </cell>
          <cell r="G454">
            <v>18041.0703125</v>
          </cell>
          <cell r="H454">
            <v>452</v>
          </cell>
          <cell r="I454">
            <v>4599508.6642699111</v>
          </cell>
        </row>
        <row r="455">
          <cell r="A455">
            <v>45056</v>
          </cell>
          <cell r="B455">
            <v>0.72699999809265137</v>
          </cell>
          <cell r="C455">
            <v>0.73299998044967651</v>
          </cell>
          <cell r="D455">
            <v>0.72399997711181641</v>
          </cell>
          <cell r="E455">
            <v>0.73199999332427979</v>
          </cell>
          <cell r="F455">
            <v>1982402.875</v>
          </cell>
          <cell r="G455">
            <v>19824.029296875</v>
          </cell>
          <cell r="H455">
            <v>453</v>
          </cell>
          <cell r="I455">
            <v>4593731.3887969097</v>
          </cell>
        </row>
        <row r="456">
          <cell r="A456">
            <v>45057</v>
          </cell>
          <cell r="B456">
            <v>0.73299998044967651</v>
          </cell>
          <cell r="C456">
            <v>0.73900002241134644</v>
          </cell>
          <cell r="D456">
            <v>0.73299998044967651</v>
          </cell>
          <cell r="E456">
            <v>0.73400002717971802</v>
          </cell>
          <cell r="F456">
            <v>994305.9375</v>
          </cell>
          <cell r="G456">
            <v>9943.0595703125</v>
          </cell>
          <cell r="H456">
            <v>454</v>
          </cell>
          <cell r="I456">
            <v>4585803.138904185</v>
          </cell>
        </row>
        <row r="457">
          <cell r="A457">
            <v>45058</v>
          </cell>
          <cell r="B457">
            <v>0.73500001430511475</v>
          </cell>
          <cell r="C457">
            <v>0.73500001430511475</v>
          </cell>
          <cell r="D457">
            <v>0.72600001096725464</v>
          </cell>
          <cell r="E457">
            <v>0.72600001096725464</v>
          </cell>
          <cell r="F457">
            <v>746000</v>
          </cell>
          <cell r="G457">
            <v>7460</v>
          </cell>
          <cell r="H457">
            <v>455</v>
          </cell>
          <cell r="I457">
            <v>4577364.0111263739</v>
          </cell>
        </row>
        <row r="458">
          <cell r="A458">
            <v>45061</v>
          </cell>
          <cell r="B458">
            <v>0.7279999852180481</v>
          </cell>
          <cell r="C458">
            <v>0.73900002241134644</v>
          </cell>
          <cell r="D458">
            <v>0.7279999852180481</v>
          </cell>
          <cell r="E458">
            <v>0.73900002241134644</v>
          </cell>
          <cell r="F458">
            <v>2252000</v>
          </cell>
          <cell r="G458">
            <v>22520</v>
          </cell>
          <cell r="H458">
            <v>456</v>
          </cell>
          <cell r="I458">
            <v>4572264.528645833</v>
          </cell>
        </row>
        <row r="459">
          <cell r="A459">
            <v>45062</v>
          </cell>
          <cell r="B459">
            <v>0.73799997568130493</v>
          </cell>
          <cell r="C459">
            <v>0.74000000953674316</v>
          </cell>
          <cell r="D459">
            <v>0.73299998044967651</v>
          </cell>
          <cell r="E459">
            <v>0.73600000143051147</v>
          </cell>
          <cell r="F459">
            <v>1420902</v>
          </cell>
          <cell r="G459">
            <v>14209.01953125</v>
          </cell>
          <cell r="H459">
            <v>457</v>
          </cell>
          <cell r="I459">
            <v>4565368.7681892775</v>
          </cell>
        </row>
        <row r="460">
          <cell r="A460">
            <v>45063</v>
          </cell>
          <cell r="B460">
            <v>0.73600000143051147</v>
          </cell>
          <cell r="C460">
            <v>0.7369999885559082</v>
          </cell>
          <cell r="D460">
            <v>0.73299998044967651</v>
          </cell>
          <cell r="E460">
            <v>0.7369999885559082</v>
          </cell>
          <cell r="F460">
            <v>423604.96875</v>
          </cell>
          <cell r="G460">
            <v>4236.0498046875</v>
          </cell>
          <cell r="H460">
            <v>458</v>
          </cell>
          <cell r="I460">
            <v>4556325.615788755</v>
          </cell>
        </row>
        <row r="461">
          <cell r="A461">
            <v>45064</v>
          </cell>
          <cell r="B461">
            <v>0.73900002241134644</v>
          </cell>
          <cell r="C461">
            <v>0.74000000953674316</v>
          </cell>
          <cell r="D461">
            <v>0.73299998044967651</v>
          </cell>
          <cell r="E461">
            <v>0.7369999885559082</v>
          </cell>
          <cell r="F461">
            <v>2057301</v>
          </cell>
          <cell r="G461">
            <v>20573.009765625</v>
          </cell>
          <cell r="H461">
            <v>459</v>
          </cell>
          <cell r="I461">
            <v>4550881.1177151417</v>
          </cell>
        </row>
        <row r="462">
          <cell r="A462">
            <v>45065</v>
          </cell>
          <cell r="B462">
            <v>0.7369999885559082</v>
          </cell>
          <cell r="C462">
            <v>0.74299997091293335</v>
          </cell>
          <cell r="D462">
            <v>0.7369999885559082</v>
          </cell>
          <cell r="E462">
            <v>0.73900002241134644</v>
          </cell>
          <cell r="F462">
            <v>895813.9375</v>
          </cell>
          <cell r="G462">
            <v>8958.1396484375</v>
          </cell>
          <cell r="H462">
            <v>460</v>
          </cell>
          <cell r="I462">
            <v>4542935.3194972826</v>
          </cell>
        </row>
        <row r="463">
          <cell r="A463">
            <v>45068</v>
          </cell>
          <cell r="B463">
            <v>0.73900002241134644</v>
          </cell>
          <cell r="C463">
            <v>0.74299997091293335</v>
          </cell>
          <cell r="D463">
            <v>0.73500001430511475</v>
          </cell>
          <cell r="E463">
            <v>0.74000000953674316</v>
          </cell>
          <cell r="F463">
            <v>1001900</v>
          </cell>
          <cell r="G463">
            <v>10019</v>
          </cell>
          <cell r="H463">
            <v>461</v>
          </cell>
          <cell r="I463">
            <v>4535254.1148996744</v>
          </cell>
        </row>
        <row r="464">
          <cell r="A464">
            <v>45069</v>
          </cell>
          <cell r="B464">
            <v>0.74099999666213989</v>
          </cell>
          <cell r="C464">
            <v>0.74099999666213989</v>
          </cell>
          <cell r="D464">
            <v>0.73400002717971802</v>
          </cell>
          <cell r="E464">
            <v>0.73400002717971802</v>
          </cell>
          <cell r="F464">
            <v>288600</v>
          </cell>
          <cell r="G464">
            <v>2886</v>
          </cell>
          <cell r="H464">
            <v>462</v>
          </cell>
          <cell r="I464">
            <v>4526062.2228760822</v>
          </cell>
        </row>
        <row r="465">
          <cell r="A465">
            <v>45070</v>
          </cell>
          <cell r="B465">
            <v>0.72899997234344482</v>
          </cell>
          <cell r="C465">
            <v>0.73400002717971802</v>
          </cell>
          <cell r="D465">
            <v>0.7279999852180481</v>
          </cell>
          <cell r="E465">
            <v>0.7279999852180481</v>
          </cell>
          <cell r="F465">
            <v>857200</v>
          </cell>
          <cell r="G465">
            <v>8572</v>
          </cell>
          <cell r="H465">
            <v>463</v>
          </cell>
          <cell r="I465">
            <v>4518138.1144033475</v>
          </cell>
        </row>
        <row r="466">
          <cell r="A466">
            <v>45071</v>
          </cell>
          <cell r="B466">
            <v>0.72899997234344482</v>
          </cell>
          <cell r="C466">
            <v>0.73199999332427979</v>
          </cell>
          <cell r="D466">
            <v>0.72399997711181641</v>
          </cell>
          <cell r="E466">
            <v>0.73000001907348633</v>
          </cell>
          <cell r="F466">
            <v>1715300</v>
          </cell>
          <cell r="G466">
            <v>17153</v>
          </cell>
          <cell r="H466">
            <v>464</v>
          </cell>
          <cell r="I466">
            <v>4512097.515018858</v>
          </cell>
        </row>
        <row r="467">
          <cell r="A467">
            <v>45072</v>
          </cell>
          <cell r="B467">
            <v>0.72299998998641968</v>
          </cell>
          <cell r="C467">
            <v>0.7279999852180481</v>
          </cell>
          <cell r="D467">
            <v>0.72000002861022949</v>
          </cell>
          <cell r="E467">
            <v>0.72699999809265137</v>
          </cell>
          <cell r="F467">
            <v>772200</v>
          </cell>
          <cell r="G467">
            <v>7722</v>
          </cell>
          <cell r="H467">
            <v>465</v>
          </cell>
          <cell r="I467">
            <v>4504054.7246639784</v>
          </cell>
        </row>
        <row r="468">
          <cell r="A468">
            <v>45075</v>
          </cell>
          <cell r="B468">
            <v>0.72399997711181641</v>
          </cell>
          <cell r="C468">
            <v>0.72399997711181641</v>
          </cell>
          <cell r="D468">
            <v>0.71700000762939453</v>
          </cell>
          <cell r="E468">
            <v>0.71799999475479126</v>
          </cell>
          <cell r="F468">
            <v>1938114</v>
          </cell>
          <cell r="G468">
            <v>19381.140625</v>
          </cell>
          <cell r="H468">
            <v>466</v>
          </cell>
          <cell r="I468">
            <v>4498548.4140960304</v>
          </cell>
        </row>
        <row r="469">
          <cell r="A469">
            <v>45076</v>
          </cell>
          <cell r="B469">
            <v>0.72100001573562622</v>
          </cell>
          <cell r="C469">
            <v>0.72500002384185791</v>
          </cell>
          <cell r="D469">
            <v>0.7149999737739563</v>
          </cell>
          <cell r="E469">
            <v>0.72500002384185791</v>
          </cell>
          <cell r="F469">
            <v>919800</v>
          </cell>
          <cell r="G469">
            <v>9198</v>
          </cell>
          <cell r="H469">
            <v>467</v>
          </cell>
          <cell r="I469">
            <v>4490885.1412607068</v>
          </cell>
        </row>
        <row r="470">
          <cell r="A470">
            <v>45077</v>
          </cell>
          <cell r="B470">
            <v>0.72100001573562622</v>
          </cell>
          <cell r="C470">
            <v>0.72299998998641968</v>
          </cell>
          <cell r="D470">
            <v>0.7160000205039978</v>
          </cell>
          <cell r="E470">
            <v>0.72000002861022949</v>
          </cell>
          <cell r="F470">
            <v>1602700</v>
          </cell>
          <cell r="G470">
            <v>16027</v>
          </cell>
          <cell r="H470">
            <v>468</v>
          </cell>
          <cell r="I470">
            <v>4484713.805488782</v>
          </cell>
        </row>
        <row r="471">
          <cell r="A471">
            <v>45078</v>
          </cell>
          <cell r="B471">
            <v>0.7160000205039978</v>
          </cell>
          <cell r="C471">
            <v>0.7279999852180481</v>
          </cell>
          <cell r="D471">
            <v>0.7160000205039978</v>
          </cell>
          <cell r="E471">
            <v>0.72399997711181641</v>
          </cell>
          <cell r="F471">
            <v>5649100</v>
          </cell>
          <cell r="G471">
            <v>56491</v>
          </cell>
          <cell r="H471">
            <v>469</v>
          </cell>
          <cell r="I471">
            <v>4487196.5052638594</v>
          </cell>
        </row>
        <row r="472">
          <cell r="A472">
            <v>45079</v>
          </cell>
          <cell r="B472">
            <v>0.72899997234344482</v>
          </cell>
          <cell r="C472">
            <v>0.73500001430511475</v>
          </cell>
          <cell r="D472">
            <v>0.7279999852180481</v>
          </cell>
          <cell r="E472">
            <v>0.73500001430511475</v>
          </cell>
          <cell r="F472">
            <v>1584000</v>
          </cell>
          <cell r="G472">
            <v>15840</v>
          </cell>
          <cell r="H472">
            <v>470</v>
          </cell>
          <cell r="I472">
            <v>4481019.4914228721</v>
          </cell>
        </row>
        <row r="473">
          <cell r="A473">
            <v>45082</v>
          </cell>
          <cell r="B473">
            <v>0.73500001430511475</v>
          </cell>
          <cell r="C473">
            <v>0.73500001430511475</v>
          </cell>
          <cell r="D473">
            <v>0.72699999809265137</v>
          </cell>
          <cell r="E473">
            <v>0.73000001907348633</v>
          </cell>
          <cell r="F473">
            <v>1425400</v>
          </cell>
          <cell r="G473">
            <v>14254</v>
          </cell>
          <cell r="H473">
            <v>471</v>
          </cell>
          <cell r="I473">
            <v>4474531.9765790869</v>
          </cell>
        </row>
        <row r="474">
          <cell r="A474">
            <v>45083</v>
          </cell>
          <cell r="B474">
            <v>0.72600001096725464</v>
          </cell>
          <cell r="C474">
            <v>0.72899997234344482</v>
          </cell>
          <cell r="D474">
            <v>0.71899998188018799</v>
          </cell>
          <cell r="E474">
            <v>0.71899998188018799</v>
          </cell>
          <cell r="F474">
            <v>2938513</v>
          </cell>
          <cell r="G474">
            <v>29385.130859375</v>
          </cell>
          <cell r="H474">
            <v>472</v>
          </cell>
          <cell r="I474">
            <v>4471277.6990863346</v>
          </cell>
        </row>
        <row r="475">
          <cell r="A475">
            <v>45084</v>
          </cell>
          <cell r="B475">
            <v>0.71899998188018799</v>
          </cell>
          <cell r="C475">
            <v>0.71899998188018799</v>
          </cell>
          <cell r="D475">
            <v>0.71200001239776611</v>
          </cell>
          <cell r="E475">
            <v>0.71299999952316284</v>
          </cell>
          <cell r="F475">
            <v>770500</v>
          </cell>
          <cell r="G475">
            <v>7705</v>
          </cell>
          <cell r="H475">
            <v>473</v>
          </cell>
          <cell r="I475">
            <v>4463453.6447542282</v>
          </cell>
        </row>
        <row r="476">
          <cell r="A476">
            <v>45085</v>
          </cell>
          <cell r="B476">
            <v>0.71399998664855957</v>
          </cell>
          <cell r="C476">
            <v>0.71899998188018799</v>
          </cell>
          <cell r="D476">
            <v>0.71100002527236938</v>
          </cell>
          <cell r="E476">
            <v>0.7160000205039978</v>
          </cell>
          <cell r="F476">
            <v>2520500</v>
          </cell>
          <cell r="G476">
            <v>25205</v>
          </cell>
          <cell r="H476">
            <v>474</v>
          </cell>
          <cell r="I476">
            <v>4459354.5864319624</v>
          </cell>
        </row>
        <row r="477">
          <cell r="A477">
            <v>45086</v>
          </cell>
          <cell r="B477">
            <v>0.71700000762939453</v>
          </cell>
          <cell r="C477">
            <v>0.71899998188018799</v>
          </cell>
          <cell r="D477">
            <v>0.71399998664855957</v>
          </cell>
          <cell r="E477">
            <v>0.71899998188018799</v>
          </cell>
          <cell r="F477">
            <v>2008602.875</v>
          </cell>
          <cell r="G477">
            <v>20086.029296875</v>
          </cell>
          <cell r="H477">
            <v>475</v>
          </cell>
          <cell r="I477">
            <v>4454195.109144737</v>
          </cell>
        </row>
        <row r="478">
          <cell r="A478">
            <v>45089</v>
          </cell>
          <cell r="B478">
            <v>0.72100001573562622</v>
          </cell>
          <cell r="C478">
            <v>0.73100000619888306</v>
          </cell>
          <cell r="D478">
            <v>0.71799999475479126</v>
          </cell>
          <cell r="E478">
            <v>0.7279999852180481</v>
          </cell>
          <cell r="F478">
            <v>3438700</v>
          </cell>
          <cell r="G478">
            <v>34387</v>
          </cell>
          <cell r="H478">
            <v>476</v>
          </cell>
          <cell r="I478">
            <v>4452061.716058298</v>
          </cell>
        </row>
        <row r="479">
          <cell r="A479">
            <v>45090</v>
          </cell>
          <cell r="B479">
            <v>0.71700000762939453</v>
          </cell>
          <cell r="C479">
            <v>0.73600000143051147</v>
          </cell>
          <cell r="D479">
            <v>0.71700000762939453</v>
          </cell>
          <cell r="E479">
            <v>0.73500001430511475</v>
          </cell>
          <cell r="F479">
            <v>2970470</v>
          </cell>
          <cell r="G479">
            <v>29704.69921875</v>
          </cell>
          <cell r="H479">
            <v>477</v>
          </cell>
          <cell r="I479">
            <v>4448955.6537604826</v>
          </cell>
        </row>
        <row r="480">
          <cell r="A480">
            <v>45091</v>
          </cell>
          <cell r="B480">
            <v>0.7369999885559082</v>
          </cell>
          <cell r="C480">
            <v>0.73900002241134644</v>
          </cell>
          <cell r="D480">
            <v>0.73600000143051147</v>
          </cell>
          <cell r="E480">
            <v>0.7369999885559082</v>
          </cell>
          <cell r="F480">
            <v>2196000</v>
          </cell>
          <cell r="G480">
            <v>21960</v>
          </cell>
          <cell r="H480">
            <v>478</v>
          </cell>
          <cell r="I480">
            <v>4444242.3574137026</v>
          </cell>
        </row>
        <row r="481">
          <cell r="A481">
            <v>45092</v>
          </cell>
          <cell r="B481">
            <v>0.74000000953674316</v>
          </cell>
          <cell r="C481">
            <v>0.75499999523162842</v>
          </cell>
          <cell r="D481">
            <v>0.73900002241134644</v>
          </cell>
          <cell r="E481">
            <v>0.75499999523162842</v>
          </cell>
          <cell r="F481">
            <v>2319500</v>
          </cell>
          <cell r="G481">
            <v>23195</v>
          </cell>
          <cell r="H481">
            <v>479</v>
          </cell>
          <cell r="I481">
            <v>4439806.5696111694</v>
          </cell>
        </row>
        <row r="482">
          <cell r="A482">
            <v>45093</v>
          </cell>
          <cell r="B482">
            <v>0.75599998235702515</v>
          </cell>
          <cell r="C482">
            <v>0.76700001955032349</v>
          </cell>
          <cell r="D482">
            <v>0.75499999523162842</v>
          </cell>
          <cell r="E482">
            <v>0.76599997282028198</v>
          </cell>
          <cell r="F482">
            <v>4359900</v>
          </cell>
          <cell r="G482">
            <v>43599</v>
          </cell>
          <cell r="H482">
            <v>480</v>
          </cell>
          <cell r="I482">
            <v>4439640.0975911459</v>
          </cell>
        </row>
        <row r="483">
          <cell r="A483">
            <v>45096</v>
          </cell>
          <cell r="B483">
            <v>0.76700001955032349</v>
          </cell>
          <cell r="C483">
            <v>0.76700001955032349</v>
          </cell>
          <cell r="D483">
            <v>0.76200002431869507</v>
          </cell>
          <cell r="E483">
            <v>0.76599997282028198</v>
          </cell>
          <cell r="F483">
            <v>4514824</v>
          </cell>
          <cell r="G483">
            <v>45148.23828125</v>
          </cell>
          <cell r="H483">
            <v>481</v>
          </cell>
          <cell r="I483">
            <v>4439796.4050805615</v>
          </cell>
        </row>
        <row r="484">
          <cell r="A484">
            <v>45097</v>
          </cell>
          <cell r="B484">
            <v>0.76599997282028198</v>
          </cell>
          <cell r="C484">
            <v>0.77399998903274536</v>
          </cell>
          <cell r="D484">
            <v>0.76599997282028198</v>
          </cell>
          <cell r="E484">
            <v>0.77300000190734863</v>
          </cell>
          <cell r="F484">
            <v>2357700</v>
          </cell>
          <cell r="G484">
            <v>23577</v>
          </cell>
          <cell r="H484">
            <v>482</v>
          </cell>
          <cell r="I484">
            <v>4435476.702995332</v>
          </cell>
        </row>
        <row r="485">
          <cell r="A485">
            <v>45098</v>
          </cell>
          <cell r="B485">
            <v>0.77300000190734863</v>
          </cell>
          <cell r="C485">
            <v>0.77300000190734863</v>
          </cell>
          <cell r="D485">
            <v>0.75999999046325684</v>
          </cell>
          <cell r="E485">
            <v>0.75999999046325684</v>
          </cell>
          <cell r="F485">
            <v>3288543</v>
          </cell>
          <cell r="G485">
            <v>32885.4296875</v>
          </cell>
          <cell r="H485">
            <v>483</v>
          </cell>
          <cell r="I485">
            <v>4433102.0990553834</v>
          </cell>
        </row>
        <row r="486">
          <cell r="A486">
            <v>45103</v>
          </cell>
          <cell r="B486">
            <v>0.75700002908706665</v>
          </cell>
          <cell r="C486">
            <v>0.75800001621246338</v>
          </cell>
          <cell r="D486">
            <v>0.74599999189376831</v>
          </cell>
          <cell r="E486">
            <v>0.74800002574920654</v>
          </cell>
          <cell r="F486">
            <v>2561305</v>
          </cell>
          <cell r="G486">
            <v>25613.05078125</v>
          </cell>
          <cell r="H486">
            <v>484</v>
          </cell>
          <cell r="I486">
            <v>4429234.7496771691</v>
          </cell>
        </row>
        <row r="487">
          <cell r="A487">
            <v>45104</v>
          </cell>
          <cell r="B487">
            <v>0.74900001287460327</v>
          </cell>
          <cell r="C487">
            <v>0.75599998235702515</v>
          </cell>
          <cell r="D487">
            <v>0.74800002574920654</v>
          </cell>
          <cell r="E487">
            <v>0.75499999523162842</v>
          </cell>
          <cell r="F487">
            <v>2626617</v>
          </cell>
          <cell r="G487">
            <v>26266.169921875</v>
          </cell>
          <cell r="H487">
            <v>485</v>
          </cell>
          <cell r="I487">
            <v>4425518.012048969</v>
          </cell>
        </row>
        <row r="488">
          <cell r="A488">
            <v>45105</v>
          </cell>
          <cell r="B488">
            <v>0.75499999523162842</v>
          </cell>
          <cell r="C488">
            <v>0.75499999523162842</v>
          </cell>
          <cell r="D488">
            <v>0.74199998378753662</v>
          </cell>
          <cell r="E488">
            <v>0.74800002574920654</v>
          </cell>
          <cell r="F488">
            <v>2682320</v>
          </cell>
          <cell r="G488">
            <v>26823.19921875</v>
          </cell>
          <cell r="H488">
            <v>486</v>
          </cell>
          <cell r="I488">
            <v>4421931.1848636828</v>
          </cell>
        </row>
        <row r="489">
          <cell r="A489">
            <v>45106</v>
          </cell>
          <cell r="B489">
            <v>0.75</v>
          </cell>
          <cell r="C489">
            <v>0.75099998712539673</v>
          </cell>
          <cell r="D489">
            <v>0.74400001764297485</v>
          </cell>
          <cell r="E489">
            <v>0.74900001287460327</v>
          </cell>
          <cell r="F489">
            <v>2050200</v>
          </cell>
          <cell r="G489">
            <v>20502</v>
          </cell>
          <cell r="H489">
            <v>487</v>
          </cell>
          <cell r="I489">
            <v>4417061.1002951749</v>
          </cell>
        </row>
        <row r="490">
          <cell r="A490">
            <v>45107</v>
          </cell>
          <cell r="B490">
            <v>0.74599999189376831</v>
          </cell>
          <cell r="C490">
            <v>0.75700002908706665</v>
          </cell>
          <cell r="D490">
            <v>0.74599999189376831</v>
          </cell>
          <cell r="E490">
            <v>0.75499999523162842</v>
          </cell>
          <cell r="F490">
            <v>2280700</v>
          </cell>
          <cell r="G490">
            <v>22807</v>
          </cell>
          <cell r="H490">
            <v>488</v>
          </cell>
          <cell r="I490">
            <v>4412683.3111552252</v>
          </cell>
        </row>
        <row r="491">
          <cell r="A491">
            <v>45110</v>
          </cell>
          <cell r="B491">
            <v>0.75199997425079346</v>
          </cell>
          <cell r="C491">
            <v>0.76499998569488525</v>
          </cell>
          <cell r="D491">
            <v>0.75199997425079346</v>
          </cell>
          <cell r="E491">
            <v>0.75900000333786011</v>
          </cell>
          <cell r="F491">
            <v>4327200</v>
          </cell>
          <cell r="G491">
            <v>43272</v>
          </cell>
          <cell r="H491">
            <v>489</v>
          </cell>
          <cell r="I491">
            <v>4412508.4986579753</v>
          </cell>
        </row>
        <row r="492">
          <cell r="A492">
            <v>45111</v>
          </cell>
          <cell r="B492">
            <v>0.75700002908706665</v>
          </cell>
          <cell r="C492">
            <v>0.76399999856948853</v>
          </cell>
          <cell r="D492">
            <v>0.75700002908706665</v>
          </cell>
          <cell r="E492">
            <v>0.7630000114440918</v>
          </cell>
          <cell r="F492">
            <v>2623001</v>
          </cell>
          <cell r="G492">
            <v>26230.009765625</v>
          </cell>
          <cell r="H492">
            <v>490</v>
          </cell>
          <cell r="I492">
            <v>4408856.4425382651</v>
          </cell>
        </row>
        <row r="493">
          <cell r="A493">
            <v>45112</v>
          </cell>
          <cell r="B493">
            <v>0.7630000114440918</v>
          </cell>
          <cell r="C493">
            <v>0.7630000114440918</v>
          </cell>
          <cell r="D493">
            <v>0.75700002908706665</v>
          </cell>
          <cell r="E493">
            <v>0.75800001621246338</v>
          </cell>
          <cell r="F493">
            <v>3790700</v>
          </cell>
          <cell r="G493">
            <v>37907</v>
          </cell>
          <cell r="H493">
            <v>491</v>
          </cell>
          <cell r="I493">
            <v>4407597.4681135435</v>
          </cell>
        </row>
        <row r="494">
          <cell r="A494">
            <v>45113</v>
          </cell>
          <cell r="B494">
            <v>0.75800001621246338</v>
          </cell>
          <cell r="C494">
            <v>0.75900000333786011</v>
          </cell>
          <cell r="D494">
            <v>0.75199997425079346</v>
          </cell>
          <cell r="E494">
            <v>0.75300002098083496</v>
          </cell>
          <cell r="F494">
            <v>2061201</v>
          </cell>
          <cell r="G494">
            <v>20612.009765625</v>
          </cell>
          <cell r="H494">
            <v>492</v>
          </cell>
          <cell r="I494">
            <v>4402828.3696011174</v>
          </cell>
        </row>
        <row r="495">
          <cell r="A495">
            <v>45114</v>
          </cell>
          <cell r="B495">
            <v>0.74800002574920654</v>
          </cell>
          <cell r="C495">
            <v>0.74900001287460327</v>
          </cell>
          <cell r="D495">
            <v>0.74400001764297485</v>
          </cell>
          <cell r="E495">
            <v>0.74599999189376831</v>
          </cell>
          <cell r="F495">
            <v>2546700</v>
          </cell>
          <cell r="G495">
            <v>25467</v>
          </cell>
          <cell r="H495">
            <v>493</v>
          </cell>
          <cell r="I495">
            <v>4399063.403334179</v>
          </cell>
        </row>
        <row r="496">
          <cell r="A496">
            <v>45117</v>
          </cell>
          <cell r="B496">
            <v>0.74599999189376831</v>
          </cell>
          <cell r="C496">
            <v>0.75300002098083496</v>
          </cell>
          <cell r="D496">
            <v>0.74599999189376831</v>
          </cell>
          <cell r="E496">
            <v>0.75</v>
          </cell>
          <cell r="F496">
            <v>2755700</v>
          </cell>
          <cell r="G496">
            <v>27557</v>
          </cell>
          <cell r="H496">
            <v>494</v>
          </cell>
          <cell r="I496">
            <v>4395736.7567687249</v>
          </cell>
        </row>
        <row r="497">
          <cell r="A497">
            <v>45118</v>
          </cell>
          <cell r="B497">
            <v>0.75</v>
          </cell>
          <cell r="C497">
            <v>0.75800001621246338</v>
          </cell>
          <cell r="D497">
            <v>0.75</v>
          </cell>
          <cell r="E497">
            <v>0.75700002908706665</v>
          </cell>
          <cell r="F497">
            <v>2417402</v>
          </cell>
          <cell r="G497">
            <v>24174.01953125</v>
          </cell>
          <cell r="H497">
            <v>495</v>
          </cell>
          <cell r="I497">
            <v>4391740.1208964642</v>
          </cell>
        </row>
        <row r="498">
          <cell r="A498">
            <v>45119</v>
          </cell>
          <cell r="B498">
            <v>0.75800001621246338</v>
          </cell>
          <cell r="C498">
            <v>0.75800001621246338</v>
          </cell>
          <cell r="D498">
            <v>0.75</v>
          </cell>
          <cell r="E498">
            <v>0.75</v>
          </cell>
          <cell r="F498">
            <v>1800601</v>
          </cell>
          <cell r="G498">
            <v>18006.009765625</v>
          </cell>
          <cell r="H498">
            <v>496</v>
          </cell>
          <cell r="I498">
            <v>4386516.0500882054</v>
          </cell>
        </row>
        <row r="499">
          <cell r="A499">
            <v>45120</v>
          </cell>
          <cell r="B499">
            <v>0.75</v>
          </cell>
          <cell r="C499">
            <v>0.7630000114440918</v>
          </cell>
          <cell r="D499">
            <v>0.75</v>
          </cell>
          <cell r="E499">
            <v>0.7630000114440918</v>
          </cell>
          <cell r="F499">
            <v>2210004</v>
          </cell>
          <cell r="G499">
            <v>22100.0390625</v>
          </cell>
          <cell r="H499">
            <v>497</v>
          </cell>
          <cell r="I499">
            <v>4382136.7501886319</v>
          </cell>
        </row>
        <row r="500">
          <cell r="A500">
            <v>45121</v>
          </cell>
          <cell r="B500">
            <v>0.76099997758865356</v>
          </cell>
          <cell r="C500">
            <v>0.76200002431869507</v>
          </cell>
          <cell r="D500">
            <v>0.75900000333786011</v>
          </cell>
          <cell r="E500">
            <v>0.75900000333786011</v>
          </cell>
          <cell r="F500">
            <v>1423302</v>
          </cell>
          <cell r="G500">
            <v>14233.01953125</v>
          </cell>
          <cell r="H500">
            <v>498</v>
          </cell>
          <cell r="I500">
            <v>4376195.3149472894</v>
          </cell>
        </row>
        <row r="501">
          <cell r="A501">
            <v>45124</v>
          </cell>
          <cell r="B501">
            <v>0.75599998235702515</v>
          </cell>
          <cell r="C501">
            <v>0.75800001621246338</v>
          </cell>
          <cell r="D501">
            <v>0.75499999523162842</v>
          </cell>
          <cell r="E501">
            <v>0.75599998235702515</v>
          </cell>
          <cell r="F501">
            <v>3941809</v>
          </cell>
          <cell r="G501">
            <v>39418.08984375</v>
          </cell>
          <cell r="H501">
            <v>499</v>
          </cell>
          <cell r="I501">
            <v>4375324.80129008</v>
          </cell>
        </row>
        <row r="502">
          <cell r="A502">
            <v>45125</v>
          </cell>
          <cell r="B502">
            <v>0.75599998235702515</v>
          </cell>
          <cell r="C502">
            <v>0.75599998235702515</v>
          </cell>
          <cell r="D502">
            <v>0.75199997425079346</v>
          </cell>
          <cell r="E502">
            <v>0.75300002098083496</v>
          </cell>
          <cell r="F502">
            <v>1428600</v>
          </cell>
          <cell r="G502">
            <v>14286</v>
          </cell>
          <cell r="H502">
            <v>500</v>
          </cell>
          <cell r="I502">
            <v>4369431.3516875003</v>
          </cell>
        </row>
        <row r="503">
          <cell r="A503">
            <v>45126</v>
          </cell>
          <cell r="B503">
            <v>0.75300002098083496</v>
          </cell>
          <cell r="C503">
            <v>0.75400000810623169</v>
          </cell>
          <cell r="D503">
            <v>0.74699997901916504</v>
          </cell>
          <cell r="E503">
            <v>0.75</v>
          </cell>
          <cell r="F503">
            <v>1650910</v>
          </cell>
          <cell r="G503">
            <v>16509.099609375</v>
          </cell>
          <cell r="H503">
            <v>501</v>
          </cell>
          <cell r="I503">
            <v>4364005.1613647705</v>
          </cell>
        </row>
        <row r="504">
          <cell r="A504">
            <v>45127</v>
          </cell>
          <cell r="B504">
            <v>0.75199997425079346</v>
          </cell>
          <cell r="C504">
            <v>0.75400000810623169</v>
          </cell>
          <cell r="D504">
            <v>0.74000000953674316</v>
          </cell>
          <cell r="E504">
            <v>0.74199998378753662</v>
          </cell>
          <cell r="F504">
            <v>2022802</v>
          </cell>
          <cell r="G504">
            <v>20228.01953125</v>
          </cell>
          <cell r="H504">
            <v>502</v>
          </cell>
          <cell r="I504">
            <v>4359341.4100473104</v>
          </cell>
        </row>
        <row r="505">
          <cell r="A505">
            <v>45128</v>
          </cell>
          <cell r="B505">
            <v>0.74000000953674316</v>
          </cell>
          <cell r="C505">
            <v>0.74699997901916504</v>
          </cell>
          <cell r="D505">
            <v>0.73799997568130493</v>
          </cell>
          <cell r="E505">
            <v>0.74000000953674316</v>
          </cell>
          <cell r="F505">
            <v>1567600</v>
          </cell>
          <cell r="G505">
            <v>15676</v>
          </cell>
          <cell r="H505">
            <v>503</v>
          </cell>
          <cell r="I505">
            <v>4353791.2283175942</v>
          </cell>
        </row>
        <row r="506">
          <cell r="A506">
            <v>45131</v>
          </cell>
          <cell r="B506">
            <v>0.74199998378753662</v>
          </cell>
          <cell r="C506">
            <v>0.74199998378753662</v>
          </cell>
          <cell r="D506">
            <v>0.73400002717971802</v>
          </cell>
          <cell r="E506">
            <v>0.73500001430511475</v>
          </cell>
          <cell r="F506">
            <v>1049800</v>
          </cell>
          <cell r="G506">
            <v>10498</v>
          </cell>
          <cell r="H506">
            <v>504</v>
          </cell>
          <cell r="I506">
            <v>4347235.6901661707</v>
          </cell>
        </row>
        <row r="507">
          <cell r="A507">
            <v>45132</v>
          </cell>
          <cell r="B507">
            <v>0.74699997901916504</v>
          </cell>
          <cell r="C507">
            <v>0.75300002098083496</v>
          </cell>
          <cell r="D507">
            <v>0.74599999189376831</v>
          </cell>
          <cell r="E507">
            <v>0.75300002098083496</v>
          </cell>
          <cell r="F507">
            <v>3738700</v>
          </cell>
          <cell r="G507">
            <v>37387</v>
          </cell>
          <cell r="H507">
            <v>505</v>
          </cell>
          <cell r="I507">
            <v>4346030.6689975243</v>
          </cell>
        </row>
        <row r="508">
          <cell r="A508">
            <v>45133</v>
          </cell>
          <cell r="B508">
            <v>0.74900001287460327</v>
          </cell>
          <cell r="C508">
            <v>0.75</v>
          </cell>
          <cell r="D508">
            <v>0.74800002574920654</v>
          </cell>
          <cell r="E508">
            <v>0.74800002574920654</v>
          </cell>
          <cell r="F508">
            <v>1144400</v>
          </cell>
          <cell r="G508">
            <v>11444</v>
          </cell>
          <cell r="H508">
            <v>506</v>
          </cell>
          <cell r="I508">
            <v>4339703.335659585</v>
          </cell>
        </row>
        <row r="509">
          <cell r="A509">
            <v>45134</v>
          </cell>
          <cell r="B509">
            <v>0.74699997901916504</v>
          </cell>
          <cell r="C509">
            <v>0.75199997425079346</v>
          </cell>
          <cell r="D509">
            <v>0.74599999189376831</v>
          </cell>
          <cell r="E509">
            <v>0.74599999189376831</v>
          </cell>
          <cell r="F509">
            <v>1466100</v>
          </cell>
          <cell r="G509">
            <v>14661</v>
          </cell>
          <cell r="H509">
            <v>507</v>
          </cell>
          <cell r="I509">
            <v>4334035.4789817557</v>
          </cell>
        </row>
        <row r="510">
          <cell r="A510">
            <v>45135</v>
          </cell>
          <cell r="B510">
            <v>0.74400001764297485</v>
          </cell>
          <cell r="C510">
            <v>0.75900000333786011</v>
          </cell>
          <cell r="D510">
            <v>0.74400001764297485</v>
          </cell>
          <cell r="E510">
            <v>0.75800001621246338</v>
          </cell>
          <cell r="F510">
            <v>2266102</v>
          </cell>
          <cell r="G510">
            <v>22661.01953125</v>
          </cell>
          <cell r="H510">
            <v>508</v>
          </cell>
          <cell r="I510">
            <v>4329964.7437869096</v>
          </cell>
        </row>
        <row r="511">
          <cell r="A511">
            <v>45138</v>
          </cell>
          <cell r="B511">
            <v>0.75400000810623169</v>
          </cell>
          <cell r="C511">
            <v>0.77100002765655518</v>
          </cell>
          <cell r="D511">
            <v>0.75400000810623169</v>
          </cell>
          <cell r="E511">
            <v>0.76099997758865356</v>
          </cell>
          <cell r="F511">
            <v>2111506</v>
          </cell>
          <cell r="G511">
            <v>21115.060546875</v>
          </cell>
          <cell r="H511">
            <v>509</v>
          </cell>
          <cell r="I511">
            <v>4325606.2786714146</v>
          </cell>
        </row>
        <row r="512">
          <cell r="A512">
            <v>45139</v>
          </cell>
          <cell r="B512">
            <v>0.75900000333786011</v>
          </cell>
          <cell r="C512">
            <v>0.7630000114440918</v>
          </cell>
          <cell r="D512">
            <v>0.75700002908706665</v>
          </cell>
          <cell r="E512">
            <v>0.75900000333786011</v>
          </cell>
          <cell r="F512">
            <v>1168500</v>
          </cell>
          <cell r="G512">
            <v>11685</v>
          </cell>
          <cell r="H512">
            <v>510</v>
          </cell>
          <cell r="I512">
            <v>4319415.8742034314</v>
          </cell>
        </row>
        <row r="513">
          <cell r="A513">
            <v>45140</v>
          </cell>
          <cell r="B513">
            <v>0.75999999046325684</v>
          </cell>
          <cell r="C513">
            <v>0.75999999046325684</v>
          </cell>
          <cell r="D513">
            <v>0.75499999523162842</v>
          </cell>
          <cell r="E513">
            <v>0.75599998235702515</v>
          </cell>
          <cell r="F513">
            <v>195700</v>
          </cell>
          <cell r="G513">
            <v>1957</v>
          </cell>
          <cell r="H513">
            <v>511</v>
          </cell>
          <cell r="I513">
            <v>4311345.9801247558</v>
          </cell>
        </row>
        <row r="514">
          <cell r="A514">
            <v>45141</v>
          </cell>
          <cell r="B514">
            <v>0.75499999523162842</v>
          </cell>
          <cell r="C514">
            <v>0.76099997758865356</v>
          </cell>
          <cell r="D514">
            <v>0.75499999523162842</v>
          </cell>
          <cell r="E514">
            <v>0.75999999046325684</v>
          </cell>
          <cell r="F514">
            <v>195700</v>
          </cell>
          <cell r="G514">
            <v>1957</v>
          </cell>
          <cell r="H514">
            <v>512</v>
          </cell>
          <cell r="I514">
            <v>4303307.6090698242</v>
          </cell>
        </row>
        <row r="515">
          <cell r="A515">
            <v>45142</v>
          </cell>
          <cell r="B515">
            <v>0.76700001955032349</v>
          </cell>
          <cell r="C515">
            <v>0.76999998092651367</v>
          </cell>
          <cell r="D515">
            <v>0.76200002431869507</v>
          </cell>
          <cell r="E515">
            <v>0.76700001955032349</v>
          </cell>
          <cell r="F515">
            <v>1707300</v>
          </cell>
          <cell r="G515">
            <v>17073</v>
          </cell>
          <cell r="H515">
            <v>513</v>
          </cell>
          <cell r="I515">
            <v>4298247.1653874265</v>
          </cell>
        </row>
        <row r="516">
          <cell r="A516">
            <v>45145</v>
          </cell>
          <cell r="B516">
            <v>0.76800000667572021</v>
          </cell>
          <cell r="C516">
            <v>0.76800000667572021</v>
          </cell>
          <cell r="D516">
            <v>0.75700002908706665</v>
          </cell>
          <cell r="E516">
            <v>0.75800001621246338</v>
          </cell>
          <cell r="F516">
            <v>434900</v>
          </cell>
          <cell r="G516">
            <v>4349</v>
          </cell>
          <cell r="H516">
            <v>514</v>
          </cell>
          <cell r="I516">
            <v>4290730.9257660508</v>
          </cell>
        </row>
        <row r="517">
          <cell r="A517">
            <v>45146</v>
          </cell>
          <cell r="B517">
            <v>0.75999999046325684</v>
          </cell>
          <cell r="C517">
            <v>0.76099997758865356</v>
          </cell>
          <cell r="D517">
            <v>0.75599998235702515</v>
          </cell>
          <cell r="E517">
            <v>0.75700002908706665</v>
          </cell>
          <cell r="F517">
            <v>1843000</v>
          </cell>
          <cell r="G517">
            <v>18430</v>
          </cell>
          <cell r="H517">
            <v>515</v>
          </cell>
          <cell r="I517">
            <v>4285978.0501820389</v>
          </cell>
        </row>
        <row r="518">
          <cell r="A518">
            <v>45147</v>
          </cell>
          <cell r="B518">
            <v>0.75499999523162842</v>
          </cell>
          <cell r="C518">
            <v>0.75599998235702515</v>
          </cell>
          <cell r="D518">
            <v>0.75099998712539673</v>
          </cell>
          <cell r="E518">
            <v>0.75199997425079346</v>
          </cell>
          <cell r="F518">
            <v>2687648</v>
          </cell>
          <cell r="G518">
            <v>26876.48046875</v>
          </cell>
          <cell r="H518">
            <v>516</v>
          </cell>
          <cell r="I518">
            <v>4282880.5113250967</v>
          </cell>
        </row>
        <row r="519">
          <cell r="A519">
            <v>45148</v>
          </cell>
          <cell r="B519">
            <v>0.75400000810623169</v>
          </cell>
          <cell r="C519">
            <v>0.75499999523162842</v>
          </cell>
          <cell r="D519">
            <v>0.74800002574920654</v>
          </cell>
          <cell r="E519">
            <v>0.75400000810623169</v>
          </cell>
          <cell r="F519">
            <v>1424702</v>
          </cell>
          <cell r="G519">
            <v>14247.01953125</v>
          </cell>
          <cell r="H519">
            <v>517</v>
          </cell>
          <cell r="I519">
            <v>4277352.1196204061</v>
          </cell>
        </row>
        <row r="520">
          <cell r="A520">
            <v>45149</v>
          </cell>
          <cell r="B520">
            <v>0.75199997425079346</v>
          </cell>
          <cell r="C520">
            <v>0.75199997425079346</v>
          </cell>
          <cell r="D520">
            <v>0.73900002241134644</v>
          </cell>
          <cell r="E520">
            <v>0.73900002241134644</v>
          </cell>
          <cell r="F520">
            <v>877800</v>
          </cell>
          <cell r="G520">
            <v>8778</v>
          </cell>
          <cell r="H520">
            <v>518</v>
          </cell>
          <cell r="I520">
            <v>4270789.2776906369</v>
          </cell>
        </row>
        <row r="521">
          <cell r="A521">
            <v>45152</v>
          </cell>
          <cell r="B521">
            <v>0.74000000953674316</v>
          </cell>
          <cell r="C521">
            <v>0.74000000953674316</v>
          </cell>
          <cell r="D521">
            <v>0.72299998998641968</v>
          </cell>
          <cell r="E521">
            <v>0.73299998044967651</v>
          </cell>
          <cell r="F521">
            <v>2439943</v>
          </cell>
          <cell r="G521">
            <v>24399.4296875</v>
          </cell>
          <cell r="H521">
            <v>519</v>
          </cell>
          <cell r="I521">
            <v>4267261.6355370907</v>
          </cell>
        </row>
        <row r="522">
          <cell r="A522">
            <v>45153</v>
          </cell>
          <cell r="B522">
            <v>0.73100000619888306</v>
          </cell>
          <cell r="C522">
            <v>0.73100000619888306</v>
          </cell>
          <cell r="D522">
            <v>0.72100001573562622</v>
          </cell>
          <cell r="E522">
            <v>0.72500002384185791</v>
          </cell>
          <cell r="F522">
            <v>1750403.875</v>
          </cell>
          <cell r="G522">
            <v>17504.0390625</v>
          </cell>
          <cell r="H522">
            <v>520</v>
          </cell>
          <cell r="I522">
            <v>4262421.5244591348</v>
          </cell>
        </row>
        <row r="523">
          <cell r="A523">
            <v>45154</v>
          </cell>
          <cell r="B523">
            <v>0.72600001096725464</v>
          </cell>
          <cell r="C523">
            <v>0.72699999809265137</v>
          </cell>
          <cell r="D523">
            <v>0.72000002861022949</v>
          </cell>
          <cell r="E523">
            <v>0.72000002861022949</v>
          </cell>
          <cell r="F523">
            <v>323801</v>
          </cell>
          <cell r="G523">
            <v>3238.010009765625</v>
          </cell>
          <cell r="H523">
            <v>521</v>
          </cell>
          <cell r="I523">
            <v>4254861.7921665069</v>
          </cell>
        </row>
        <row r="524">
          <cell r="A524">
            <v>45155</v>
          </cell>
          <cell r="B524">
            <v>0.71899998188018799</v>
          </cell>
          <cell r="C524">
            <v>0.72500002384185791</v>
          </cell>
          <cell r="D524">
            <v>0.71299999952316284</v>
          </cell>
          <cell r="E524">
            <v>0.72399997711181641</v>
          </cell>
          <cell r="F524">
            <v>937500</v>
          </cell>
          <cell r="G524">
            <v>9375</v>
          </cell>
          <cell r="H524">
            <v>522</v>
          </cell>
          <cell r="I524">
            <v>4248506.6929477965</v>
          </cell>
        </row>
        <row r="525">
          <cell r="A525">
            <v>45156</v>
          </cell>
          <cell r="B525">
            <v>0.72399997711181641</v>
          </cell>
          <cell r="C525">
            <v>0.72600001096725464</v>
          </cell>
          <cell r="D525">
            <v>0.7149999737739563</v>
          </cell>
          <cell r="E525">
            <v>0.7149999737739563</v>
          </cell>
          <cell r="F525">
            <v>999313</v>
          </cell>
          <cell r="G525">
            <v>9993.1298828125</v>
          </cell>
          <cell r="H525">
            <v>523</v>
          </cell>
          <cell r="I525">
            <v>4242294.0855043018</v>
          </cell>
        </row>
        <row r="526">
          <cell r="A526">
            <v>45159</v>
          </cell>
          <cell r="B526">
            <v>0.71200001239776611</v>
          </cell>
          <cell r="C526">
            <v>0.7149999737739563</v>
          </cell>
          <cell r="D526">
            <v>0.70599997043609619</v>
          </cell>
          <cell r="E526">
            <v>0.70599997043609619</v>
          </cell>
          <cell r="F526">
            <v>946000</v>
          </cell>
          <cell r="G526">
            <v>9460</v>
          </cell>
          <cell r="H526">
            <v>524</v>
          </cell>
          <cell r="I526">
            <v>4236003.4479365461</v>
          </cell>
        </row>
        <row r="527">
          <cell r="A527">
            <v>45160</v>
          </cell>
          <cell r="B527">
            <v>0.7070000171661377</v>
          </cell>
          <cell r="C527">
            <v>0.70999997854232788</v>
          </cell>
          <cell r="D527">
            <v>0.69700002670288086</v>
          </cell>
          <cell r="E527">
            <v>0.70800000429153442</v>
          </cell>
          <cell r="F527">
            <v>1811300</v>
          </cell>
          <cell r="G527">
            <v>18113</v>
          </cell>
          <cell r="H527">
            <v>525</v>
          </cell>
          <cell r="I527">
            <v>4231384.9651785716</v>
          </cell>
        </row>
        <row r="528">
          <cell r="A528">
            <v>45161</v>
          </cell>
          <cell r="B528">
            <v>0.70399999618530273</v>
          </cell>
          <cell r="C528">
            <v>0.70399999618530273</v>
          </cell>
          <cell r="D528">
            <v>0.69300001859664917</v>
          </cell>
          <cell r="E528">
            <v>0.69300001859664917</v>
          </cell>
          <cell r="F528">
            <v>1334701</v>
          </cell>
          <cell r="G528">
            <v>13347.009765625</v>
          </cell>
          <cell r="H528">
            <v>526</v>
          </cell>
          <cell r="I528">
            <v>4225877.9614424901</v>
          </cell>
        </row>
        <row r="529">
          <cell r="A529">
            <v>45162</v>
          </cell>
          <cell r="B529">
            <v>0.69599997997283936</v>
          </cell>
          <cell r="C529">
            <v>0.7070000171661377</v>
          </cell>
          <cell r="D529">
            <v>0.69599997997283936</v>
          </cell>
          <cell r="E529">
            <v>0.70200002193450928</v>
          </cell>
          <cell r="F529">
            <v>1755400</v>
          </cell>
          <cell r="G529">
            <v>17554</v>
          </cell>
          <cell r="H529">
            <v>527</v>
          </cell>
          <cell r="I529">
            <v>4221190.147473909</v>
          </cell>
        </row>
        <row r="530">
          <cell r="A530">
            <v>45163</v>
          </cell>
          <cell r="B530">
            <v>0.69700002670288086</v>
          </cell>
          <cell r="C530">
            <v>0.69700002670288086</v>
          </cell>
          <cell r="D530">
            <v>0.68699997663497925</v>
          </cell>
          <cell r="E530">
            <v>0.68699997663497925</v>
          </cell>
          <cell r="F530">
            <v>4130100</v>
          </cell>
          <cell r="G530">
            <v>41301</v>
          </cell>
          <cell r="H530">
            <v>528</v>
          </cell>
          <cell r="I530">
            <v>4221017.628255208</v>
          </cell>
        </row>
        <row r="531">
          <cell r="A531">
            <v>45166</v>
          </cell>
          <cell r="B531">
            <v>0.71100002527236938</v>
          </cell>
          <cell r="C531">
            <v>0.7279999852180481</v>
          </cell>
          <cell r="D531">
            <v>0.69599997997283936</v>
          </cell>
          <cell r="E531">
            <v>0.69800001382827759</v>
          </cell>
          <cell r="F531">
            <v>4080600</v>
          </cell>
          <cell r="G531">
            <v>40806</v>
          </cell>
          <cell r="H531">
            <v>529</v>
          </cell>
          <cell r="I531">
            <v>4220752.1885042535</v>
          </cell>
        </row>
        <row r="532">
          <cell r="A532">
            <v>45167</v>
          </cell>
          <cell r="B532">
            <v>0.69599997997283936</v>
          </cell>
          <cell r="C532">
            <v>0.7160000205039978</v>
          </cell>
          <cell r="D532">
            <v>0.69599997997283936</v>
          </cell>
          <cell r="E532">
            <v>0.71100002527236938</v>
          </cell>
          <cell r="F532">
            <v>3433200</v>
          </cell>
          <cell r="G532">
            <v>34332</v>
          </cell>
          <cell r="H532">
            <v>530</v>
          </cell>
          <cell r="I532">
            <v>4219266.2409787737</v>
          </cell>
        </row>
        <row r="533">
          <cell r="A533">
            <v>45168</v>
          </cell>
          <cell r="B533">
            <v>0.7149999737739563</v>
          </cell>
          <cell r="C533">
            <v>0.72299998998641968</v>
          </cell>
          <cell r="D533">
            <v>0.71399998664855957</v>
          </cell>
          <cell r="E533">
            <v>0.71799999475479126</v>
          </cell>
          <cell r="F533">
            <v>3097306</v>
          </cell>
          <cell r="G533">
            <v>30973.060546875</v>
          </cell>
          <cell r="H533">
            <v>531</v>
          </cell>
          <cell r="I533">
            <v>4217153.3215042371</v>
          </cell>
        </row>
        <row r="534">
          <cell r="A534">
            <v>45169</v>
          </cell>
          <cell r="B534">
            <v>0.7160000205039978</v>
          </cell>
          <cell r="C534">
            <v>0.71799999475479126</v>
          </cell>
          <cell r="D534">
            <v>0.71299999952316284</v>
          </cell>
          <cell r="E534">
            <v>0.71399998664855957</v>
          </cell>
          <cell r="F534">
            <v>3152600</v>
          </cell>
          <cell r="G534">
            <v>31526</v>
          </cell>
          <cell r="H534">
            <v>532</v>
          </cell>
          <cell r="I534">
            <v>4215152.2814262221</v>
          </cell>
        </row>
        <row r="535">
          <cell r="A535">
            <v>45170</v>
          </cell>
          <cell r="B535">
            <v>0.7160000205039978</v>
          </cell>
          <cell r="C535">
            <v>0.72100001573562622</v>
          </cell>
          <cell r="D535">
            <v>0.7149999737739563</v>
          </cell>
          <cell r="E535">
            <v>0.71700000762939453</v>
          </cell>
          <cell r="F535">
            <v>6276518</v>
          </cell>
          <cell r="G535">
            <v>62765.1796875</v>
          </cell>
          <cell r="H535">
            <v>533</v>
          </cell>
          <cell r="I535">
            <v>4219019.7593222326</v>
          </cell>
        </row>
        <row r="536">
          <cell r="A536">
            <v>45173</v>
          </cell>
          <cell r="B536">
            <v>0.71799999475479126</v>
          </cell>
          <cell r="C536">
            <v>0.72399997711181641</v>
          </cell>
          <cell r="D536">
            <v>0.71700000762939453</v>
          </cell>
          <cell r="E536">
            <v>0.72399997711181641</v>
          </cell>
          <cell r="F536">
            <v>1394301</v>
          </cell>
          <cell r="G536">
            <v>13943.009765625</v>
          </cell>
          <cell r="H536">
            <v>534</v>
          </cell>
          <cell r="I536">
            <v>4213730.0238178838</v>
          </cell>
        </row>
        <row r="537">
          <cell r="A537">
            <v>45174</v>
          </cell>
          <cell r="B537">
            <v>0.72600001096725464</v>
          </cell>
          <cell r="C537">
            <v>0.72600001096725464</v>
          </cell>
          <cell r="D537">
            <v>0.71899998188018799</v>
          </cell>
          <cell r="E537">
            <v>0.71899998188018799</v>
          </cell>
          <cell r="F537">
            <v>3168303</v>
          </cell>
          <cell r="G537">
            <v>31683.029296875</v>
          </cell>
          <cell r="H537">
            <v>535</v>
          </cell>
          <cell r="I537">
            <v>4211775.9546144856</v>
          </cell>
        </row>
        <row r="538">
          <cell r="A538">
            <v>45175</v>
          </cell>
          <cell r="B538">
            <v>0.7149999737739563</v>
          </cell>
          <cell r="C538">
            <v>0.71700000762939453</v>
          </cell>
          <cell r="D538">
            <v>0.71299999952316284</v>
          </cell>
          <cell r="E538">
            <v>0.71700000762939453</v>
          </cell>
          <cell r="F538">
            <v>2825200</v>
          </cell>
          <cell r="G538">
            <v>28252</v>
          </cell>
          <cell r="H538">
            <v>536</v>
          </cell>
          <cell r="I538">
            <v>4209189.0591767728</v>
          </cell>
        </row>
        <row r="539">
          <cell r="A539">
            <v>45176</v>
          </cell>
          <cell r="B539">
            <v>0.71200001239776611</v>
          </cell>
          <cell r="C539">
            <v>0.71200001239776611</v>
          </cell>
          <cell r="D539">
            <v>0.70099997520446777</v>
          </cell>
          <cell r="E539">
            <v>0.70099997520446777</v>
          </cell>
          <cell r="F539">
            <v>5462600</v>
          </cell>
          <cell r="G539">
            <v>54626</v>
          </cell>
          <cell r="H539">
            <v>537</v>
          </cell>
          <cell r="I539">
            <v>4211523.157763035</v>
          </cell>
        </row>
        <row r="540">
          <cell r="A540">
            <v>45177</v>
          </cell>
          <cell r="B540">
            <v>0.70099997520446777</v>
          </cell>
          <cell r="C540">
            <v>0.70099997520446777</v>
          </cell>
          <cell r="D540">
            <v>0.6940000057220459</v>
          </cell>
          <cell r="E540">
            <v>0.69800001382827759</v>
          </cell>
          <cell r="F540">
            <v>4803900</v>
          </cell>
          <cell r="G540">
            <v>48039</v>
          </cell>
          <cell r="H540">
            <v>538</v>
          </cell>
          <cell r="I540">
            <v>4212624.2299605021</v>
          </cell>
        </row>
        <row r="541">
          <cell r="A541">
            <v>45180</v>
          </cell>
          <cell r="B541">
            <v>0.69999998807907104</v>
          </cell>
          <cell r="C541">
            <v>0.7070000171661377</v>
          </cell>
          <cell r="D541">
            <v>0.69599997997283936</v>
          </cell>
          <cell r="E541">
            <v>0.70300000905990601</v>
          </cell>
          <cell r="F541">
            <v>5004800</v>
          </cell>
          <cell r="G541">
            <v>50048</v>
          </cell>
          <cell r="H541">
            <v>539</v>
          </cell>
          <cell r="I541">
            <v>4214093.9438195731</v>
          </cell>
        </row>
        <row r="542">
          <cell r="A542">
            <v>45181</v>
          </cell>
          <cell r="B542">
            <v>0.70399999618530273</v>
          </cell>
          <cell r="C542">
            <v>0.70599997043609619</v>
          </cell>
          <cell r="D542">
            <v>0.70099997520446777</v>
          </cell>
          <cell r="E542">
            <v>0.70300000905990601</v>
          </cell>
          <cell r="F542">
            <v>2089600</v>
          </cell>
          <cell r="G542">
            <v>20896</v>
          </cell>
          <cell r="H542">
            <v>540</v>
          </cell>
          <cell r="I542">
            <v>4210159.6957754632</v>
          </cell>
        </row>
        <row r="543">
          <cell r="A543">
            <v>45182</v>
          </cell>
          <cell r="B543">
            <v>0.70099997520446777</v>
          </cell>
          <cell r="C543">
            <v>0.70099997520446777</v>
          </cell>
          <cell r="D543">
            <v>0.69099998474121094</v>
          </cell>
          <cell r="E543">
            <v>0.69499999284744263</v>
          </cell>
          <cell r="F543">
            <v>2751816</v>
          </cell>
          <cell r="G543">
            <v>27518.16015625</v>
          </cell>
          <cell r="H543">
            <v>541</v>
          </cell>
          <cell r="I543">
            <v>4207464.0512361368</v>
          </cell>
        </row>
        <row r="544">
          <cell r="A544">
            <v>45183</v>
          </cell>
          <cell r="B544">
            <v>0.69499999284744263</v>
          </cell>
          <cell r="C544">
            <v>0.69499999284744263</v>
          </cell>
          <cell r="D544">
            <v>0.68699997663497925</v>
          </cell>
          <cell r="E544">
            <v>0.68900001049041748</v>
          </cell>
          <cell r="F544">
            <v>4087902</v>
          </cell>
          <cell r="G544">
            <v>40879.01953125</v>
          </cell>
          <cell r="H544">
            <v>542</v>
          </cell>
          <cell r="I544">
            <v>4207243.4570456641</v>
          </cell>
        </row>
        <row r="545">
          <cell r="A545">
            <v>45184</v>
          </cell>
          <cell r="B545">
            <v>0.69099998474121094</v>
          </cell>
          <cell r="C545">
            <v>0.69099998474121094</v>
          </cell>
          <cell r="D545">
            <v>0.68199998140335083</v>
          </cell>
          <cell r="E545">
            <v>0.68300002813339233</v>
          </cell>
          <cell r="F545">
            <v>2740800</v>
          </cell>
          <cell r="G545">
            <v>27408</v>
          </cell>
          <cell r="H545">
            <v>543</v>
          </cell>
          <cell r="I545">
            <v>4204542.8245280851</v>
          </cell>
        </row>
        <row r="546">
          <cell r="A546">
            <v>45187</v>
          </cell>
          <cell r="B546">
            <v>0.68300002813339233</v>
          </cell>
          <cell r="C546">
            <v>0.69300001859664917</v>
          </cell>
          <cell r="D546">
            <v>0.68300002813339233</v>
          </cell>
          <cell r="E546">
            <v>0.68800002336502075</v>
          </cell>
          <cell r="F546">
            <v>3551100</v>
          </cell>
          <cell r="G546">
            <v>35511</v>
          </cell>
          <cell r="H546">
            <v>544</v>
          </cell>
          <cell r="I546">
            <v>4203341.6428653495</v>
          </cell>
        </row>
        <row r="547">
          <cell r="A547">
            <v>45188</v>
          </cell>
          <cell r="B547">
            <v>0.68699997663497925</v>
          </cell>
          <cell r="C547">
            <v>0.68699997663497925</v>
          </cell>
          <cell r="D547">
            <v>0.6809999942779541</v>
          </cell>
          <cell r="E547">
            <v>0.68400001525878906</v>
          </cell>
          <cell r="F547">
            <v>2608300</v>
          </cell>
          <cell r="G547">
            <v>26083</v>
          </cell>
          <cell r="H547">
            <v>545</v>
          </cell>
          <cell r="I547">
            <v>4200414.9609518349</v>
          </cell>
        </row>
        <row r="548">
          <cell r="A548">
            <v>45189</v>
          </cell>
          <cell r="B548">
            <v>0.68400001525878906</v>
          </cell>
          <cell r="C548">
            <v>0.68400001525878906</v>
          </cell>
          <cell r="D548">
            <v>0.68000000715255737</v>
          </cell>
          <cell r="E548">
            <v>0.6809999942779541</v>
          </cell>
          <cell r="F548">
            <v>2154100</v>
          </cell>
          <cell r="G548">
            <v>21541</v>
          </cell>
          <cell r="H548">
            <v>546</v>
          </cell>
          <cell r="I548">
            <v>4196667.1313530216</v>
          </cell>
        </row>
        <row r="549">
          <cell r="A549">
            <v>45190</v>
          </cell>
          <cell r="B549">
            <v>0.6809999942779541</v>
          </cell>
          <cell r="C549">
            <v>0.6809999942779541</v>
          </cell>
          <cell r="D549">
            <v>0.67500001192092896</v>
          </cell>
          <cell r="E549">
            <v>0.67599999904632568</v>
          </cell>
          <cell r="F549">
            <v>2342901</v>
          </cell>
          <cell r="G549">
            <v>23429.009765625</v>
          </cell>
          <cell r="H549">
            <v>547</v>
          </cell>
          <cell r="I549">
            <v>4193278.162191499</v>
          </cell>
        </row>
        <row r="550">
          <cell r="A550">
            <v>45191</v>
          </cell>
          <cell r="B550">
            <v>0.67500001192092896</v>
          </cell>
          <cell r="C550">
            <v>0.68999999761581421</v>
          </cell>
          <cell r="D550">
            <v>0.67500001192092896</v>
          </cell>
          <cell r="E550">
            <v>0.68999999761581421</v>
          </cell>
          <cell r="F550">
            <v>3491900</v>
          </cell>
          <cell r="G550">
            <v>34919</v>
          </cell>
          <cell r="H550">
            <v>548</v>
          </cell>
          <cell r="I550">
            <v>4191998.2750342153</v>
          </cell>
        </row>
        <row r="551">
          <cell r="A551">
            <v>45194</v>
          </cell>
          <cell r="B551">
            <v>0.68699997663497925</v>
          </cell>
          <cell r="C551">
            <v>0.68800002336502075</v>
          </cell>
          <cell r="D551">
            <v>0.68500000238418579</v>
          </cell>
          <cell r="E551">
            <v>0.68599998950958252</v>
          </cell>
          <cell r="F551">
            <v>2189500</v>
          </cell>
          <cell r="G551">
            <v>21895</v>
          </cell>
          <cell r="H551">
            <v>549</v>
          </cell>
          <cell r="I551">
            <v>4188350.7371926229</v>
          </cell>
        </row>
        <row r="552">
          <cell r="A552">
            <v>45195</v>
          </cell>
          <cell r="B552">
            <v>0.68800002336502075</v>
          </cell>
          <cell r="C552">
            <v>0.68800002336502075</v>
          </cell>
          <cell r="D552">
            <v>0.68199998140335083</v>
          </cell>
          <cell r="E552">
            <v>0.68300002813339233</v>
          </cell>
          <cell r="F552">
            <v>2279100</v>
          </cell>
          <cell r="G552">
            <v>22791</v>
          </cell>
          <cell r="H552">
            <v>550</v>
          </cell>
          <cell r="I552">
            <v>4184879.372215909</v>
          </cell>
        </row>
        <row r="553">
          <cell r="A553">
            <v>45196</v>
          </cell>
          <cell r="B553">
            <v>0.68199998140335083</v>
          </cell>
          <cell r="C553">
            <v>0.69099998474121094</v>
          </cell>
          <cell r="D553">
            <v>0.68199998140335083</v>
          </cell>
          <cell r="E553">
            <v>0.68599998950958252</v>
          </cell>
          <cell r="F553">
            <v>1982514</v>
          </cell>
          <cell r="G553">
            <v>19825.140625</v>
          </cell>
          <cell r="H553">
            <v>551</v>
          </cell>
          <cell r="I553">
            <v>4180882.3388725044</v>
          </cell>
        </row>
        <row r="554">
          <cell r="A554">
            <v>45197</v>
          </cell>
          <cell r="B554">
            <v>0.68699997663497925</v>
          </cell>
          <cell r="C554">
            <v>0.68699997663497925</v>
          </cell>
          <cell r="D554">
            <v>0.68300002813339233</v>
          </cell>
          <cell r="E554">
            <v>0.68500000238418579</v>
          </cell>
          <cell r="F554">
            <v>1644900</v>
          </cell>
          <cell r="G554">
            <v>16449</v>
          </cell>
          <cell r="H554">
            <v>552</v>
          </cell>
          <cell r="I554">
            <v>4176288.16796875</v>
          </cell>
        </row>
        <row r="555">
          <cell r="A555">
            <v>45208</v>
          </cell>
          <cell r="B555">
            <v>0.68000000715255737</v>
          </cell>
          <cell r="C555">
            <v>0.68800002336502075</v>
          </cell>
          <cell r="D555">
            <v>0.67799997329711914</v>
          </cell>
          <cell r="E555">
            <v>0.68599998950958252</v>
          </cell>
          <cell r="F555">
            <v>3470304</v>
          </cell>
          <cell r="G555">
            <v>34703.0390625</v>
          </cell>
          <cell r="H555">
            <v>553</v>
          </cell>
          <cell r="I555">
            <v>4175011.523903707</v>
          </cell>
        </row>
        <row r="556">
          <cell r="A556">
            <v>45209</v>
          </cell>
          <cell r="B556">
            <v>0.69499999284744263</v>
          </cell>
          <cell r="C556">
            <v>0.69499999284744263</v>
          </cell>
          <cell r="D556">
            <v>0.6809999942779541</v>
          </cell>
          <cell r="E556">
            <v>0.6809999942779541</v>
          </cell>
          <cell r="F556">
            <v>3837805</v>
          </cell>
          <cell r="G556">
            <v>38378.05078125</v>
          </cell>
          <cell r="H556">
            <v>554</v>
          </cell>
          <cell r="I556">
            <v>4174402.8478677799</v>
          </cell>
        </row>
        <row r="557">
          <cell r="A557">
            <v>45210</v>
          </cell>
          <cell r="B557">
            <v>0.68500000238418579</v>
          </cell>
          <cell r="C557">
            <v>0.68999999761581421</v>
          </cell>
          <cell r="D557">
            <v>0.68500000238418579</v>
          </cell>
          <cell r="E557">
            <v>0.68599998950958252</v>
          </cell>
          <cell r="F557">
            <v>3807500</v>
          </cell>
          <cell r="G557">
            <v>38075</v>
          </cell>
          <cell r="H557">
            <v>555</v>
          </cell>
          <cell r="I557">
            <v>4173741.7616554056</v>
          </cell>
        </row>
        <row r="558">
          <cell r="A558">
            <v>45211</v>
          </cell>
          <cell r="B558">
            <v>0.68999999761581421</v>
          </cell>
          <cell r="C558">
            <v>0.69099998474121094</v>
          </cell>
          <cell r="D558">
            <v>0.68500000238418579</v>
          </cell>
          <cell r="E558">
            <v>0.68999999761581421</v>
          </cell>
          <cell r="F558">
            <v>2504100</v>
          </cell>
          <cell r="G558">
            <v>25041</v>
          </cell>
          <cell r="H558">
            <v>556</v>
          </cell>
          <cell r="I558">
            <v>4170738.8088466725</v>
          </cell>
        </row>
        <row r="559">
          <cell r="A559">
            <v>45212</v>
          </cell>
          <cell r="B559">
            <v>0.68999999761581421</v>
          </cell>
          <cell r="C559">
            <v>0.68999999761581421</v>
          </cell>
          <cell r="D559">
            <v>0.67900002002716064</v>
          </cell>
          <cell r="E559">
            <v>0.68199998140335083</v>
          </cell>
          <cell r="F559">
            <v>4214900</v>
          </cell>
          <cell r="G559">
            <v>42149</v>
          </cell>
          <cell r="H559">
            <v>557</v>
          </cell>
          <cell r="I559">
            <v>4170818.092852334</v>
          </cell>
        </row>
        <row r="560">
          <cell r="A560">
            <v>45215</v>
          </cell>
          <cell r="B560">
            <v>0.68000000715255737</v>
          </cell>
          <cell r="C560">
            <v>0.68000000715255737</v>
          </cell>
          <cell r="D560">
            <v>0.67000001668930054</v>
          </cell>
          <cell r="E560">
            <v>0.67199999094009399</v>
          </cell>
          <cell r="F560">
            <v>3185100</v>
          </cell>
          <cell r="G560">
            <v>31851</v>
          </cell>
          <cell r="H560">
            <v>558</v>
          </cell>
          <cell r="I560">
            <v>4169051.5729726702</v>
          </cell>
        </row>
        <row r="561">
          <cell r="A561">
            <v>45216</v>
          </cell>
          <cell r="B561">
            <v>0.67199999094009399</v>
          </cell>
          <cell r="C561">
            <v>0.67400002479553223</v>
          </cell>
          <cell r="D561">
            <v>0.67000001668930054</v>
          </cell>
          <cell r="E561">
            <v>0.67199999094009399</v>
          </cell>
          <cell r="F561">
            <v>3367605.75</v>
          </cell>
          <cell r="G561">
            <v>33676.05859375</v>
          </cell>
          <cell r="H561">
            <v>559</v>
          </cell>
          <cell r="I561">
            <v>4167617.8595147585</v>
          </cell>
        </row>
        <row r="562">
          <cell r="A562">
            <v>45217</v>
          </cell>
          <cell r="B562">
            <v>0.67199999094009399</v>
          </cell>
          <cell r="C562">
            <v>0.67199999094009399</v>
          </cell>
          <cell r="D562">
            <v>0.66399997472763062</v>
          </cell>
          <cell r="E562">
            <v>0.66500002145767212</v>
          </cell>
          <cell r="F562">
            <v>4342700</v>
          </cell>
          <cell r="G562">
            <v>43427</v>
          </cell>
          <cell r="H562">
            <v>560</v>
          </cell>
          <cell r="I562">
            <v>4167930.5061941966</v>
          </cell>
        </row>
        <row r="563">
          <cell r="A563">
            <v>45218</v>
          </cell>
          <cell r="B563">
            <v>0.6600000262260437</v>
          </cell>
          <cell r="C563">
            <v>0.66299998760223389</v>
          </cell>
          <cell r="D563">
            <v>0.65399998426437378</v>
          </cell>
          <cell r="E563">
            <v>0.65399998426437378</v>
          </cell>
          <cell r="F563">
            <v>2865108</v>
          </cell>
          <cell r="G563">
            <v>28651.080078125</v>
          </cell>
          <cell r="H563">
            <v>561</v>
          </cell>
          <cell r="I563">
            <v>4165608.1844362747</v>
          </cell>
        </row>
        <row r="564">
          <cell r="A564">
            <v>45219</v>
          </cell>
          <cell r="B564">
            <v>0.65200001001358032</v>
          </cell>
          <cell r="C564">
            <v>0.65399998426437378</v>
          </cell>
          <cell r="D564">
            <v>0.64499998092651367</v>
          </cell>
          <cell r="E564">
            <v>0.64999997615814209</v>
          </cell>
          <cell r="F564">
            <v>3652507.75</v>
          </cell>
          <cell r="G564">
            <v>36525.078125</v>
          </cell>
          <cell r="H564">
            <v>562</v>
          </cell>
          <cell r="I564">
            <v>4164695.1943394127</v>
          </cell>
        </row>
        <row r="565">
          <cell r="A565">
            <v>45222</v>
          </cell>
          <cell r="B565">
            <v>0.64499998092651367</v>
          </cell>
          <cell r="C565">
            <v>0.64600002765655518</v>
          </cell>
          <cell r="D565">
            <v>0.63700002431869507</v>
          </cell>
          <cell r="E565">
            <v>0.63899999856948853</v>
          </cell>
          <cell r="F565">
            <v>2503606</v>
          </cell>
          <cell r="G565">
            <v>25036.060546875</v>
          </cell>
          <cell r="H565">
            <v>563</v>
          </cell>
          <cell r="I565">
            <v>4161744.769482682</v>
          </cell>
        </row>
        <row r="566">
          <cell r="A566">
            <v>45223</v>
          </cell>
          <cell r="B566">
            <v>0.64099997282028198</v>
          </cell>
          <cell r="C566">
            <v>0.64600002765655518</v>
          </cell>
          <cell r="D566">
            <v>0.63599997758865356</v>
          </cell>
          <cell r="E566">
            <v>0.64200001955032349</v>
          </cell>
          <cell r="F566">
            <v>3562200</v>
          </cell>
          <cell r="G566">
            <v>35622</v>
          </cell>
          <cell r="H566">
            <v>564</v>
          </cell>
          <cell r="I566">
            <v>4160681.7468417552</v>
          </cell>
        </row>
        <row r="567">
          <cell r="A567">
            <v>45224</v>
          </cell>
          <cell r="B567">
            <v>0.6470000147819519</v>
          </cell>
          <cell r="C567">
            <v>0.64999997615814209</v>
          </cell>
          <cell r="D567">
            <v>0.64300000667572021</v>
          </cell>
          <cell r="E567">
            <v>0.64300000667572021</v>
          </cell>
          <cell r="F567">
            <v>2452600</v>
          </cell>
          <cell r="G567">
            <v>24526</v>
          </cell>
          <cell r="H567">
            <v>565</v>
          </cell>
          <cell r="I567">
            <v>4157658.5933075221</v>
          </cell>
        </row>
        <row r="568">
          <cell r="A568">
            <v>45225</v>
          </cell>
          <cell r="B568">
            <v>0.63999998569488525</v>
          </cell>
          <cell r="C568">
            <v>0.64399999380111694</v>
          </cell>
          <cell r="D568">
            <v>0.63499999046325684</v>
          </cell>
          <cell r="E568">
            <v>0.64399999380111694</v>
          </cell>
          <cell r="F568">
            <v>1588519</v>
          </cell>
          <cell r="G568">
            <v>15885.1904296875</v>
          </cell>
          <cell r="H568">
            <v>566</v>
          </cell>
          <cell r="I568">
            <v>4153119.4774182863</v>
          </cell>
        </row>
        <row r="569">
          <cell r="A569">
            <v>45226</v>
          </cell>
          <cell r="B569">
            <v>0.64300000667572021</v>
          </cell>
          <cell r="C569">
            <v>0.66200000047683716</v>
          </cell>
          <cell r="D569">
            <v>0.64300000667572021</v>
          </cell>
          <cell r="E569">
            <v>0.6589999794960022</v>
          </cell>
          <cell r="F569">
            <v>3387300</v>
          </cell>
          <cell r="G569">
            <v>33873</v>
          </cell>
          <cell r="H569">
            <v>567</v>
          </cell>
          <cell r="I569">
            <v>4151768.8257826278</v>
          </cell>
        </row>
        <row r="570">
          <cell r="A570">
            <v>45229</v>
          </cell>
          <cell r="B570">
            <v>0.6600000262260437</v>
          </cell>
          <cell r="C570">
            <v>0.67100000381469727</v>
          </cell>
          <cell r="D570">
            <v>0.6600000262260437</v>
          </cell>
          <cell r="E570">
            <v>0.67000001668930054</v>
          </cell>
          <cell r="F570">
            <v>4676300</v>
          </cell>
          <cell r="G570">
            <v>46763</v>
          </cell>
          <cell r="H570">
            <v>568</v>
          </cell>
          <cell r="I570">
            <v>4152692.2961597713</v>
          </cell>
        </row>
        <row r="571">
          <cell r="A571">
            <v>45230</v>
          </cell>
          <cell r="B571">
            <v>0.67699998617172241</v>
          </cell>
          <cell r="C571">
            <v>0.67699998617172241</v>
          </cell>
          <cell r="D571">
            <v>0.64800000190734863</v>
          </cell>
          <cell r="E571">
            <v>0.66299998760223389</v>
          </cell>
          <cell r="F571">
            <v>3279702</v>
          </cell>
          <cell r="G571">
            <v>32797.01953125</v>
          </cell>
          <cell r="H571">
            <v>569</v>
          </cell>
          <cell r="I571">
            <v>4151158.042563708</v>
          </cell>
        </row>
        <row r="572">
          <cell r="A572">
            <v>45231</v>
          </cell>
          <cell r="B572">
            <v>0.6600000262260437</v>
          </cell>
          <cell r="C572">
            <v>0.66299998760223389</v>
          </cell>
          <cell r="D572">
            <v>0.65700000524520874</v>
          </cell>
          <cell r="E572">
            <v>0.6600000262260437</v>
          </cell>
          <cell r="F572">
            <v>2258500</v>
          </cell>
          <cell r="G572">
            <v>22585</v>
          </cell>
          <cell r="H572">
            <v>570</v>
          </cell>
          <cell r="I572">
            <v>4147837.5898574563</v>
          </cell>
        </row>
        <row r="573">
          <cell r="A573">
            <v>45232</v>
          </cell>
          <cell r="B573">
            <v>0.66299998760223389</v>
          </cell>
          <cell r="C573">
            <v>0.66399997472763062</v>
          </cell>
          <cell r="D573">
            <v>0.65399998426437378</v>
          </cell>
          <cell r="E573">
            <v>0.65399998426437378</v>
          </cell>
          <cell r="F573">
            <v>2110200</v>
          </cell>
          <cell r="G573">
            <v>21102</v>
          </cell>
          <cell r="H573">
            <v>571</v>
          </cell>
          <cell r="I573">
            <v>4144269.0476685641</v>
          </cell>
        </row>
        <row r="574">
          <cell r="A574">
            <v>45233</v>
          </cell>
          <cell r="B574">
            <v>0.65799999237060547</v>
          </cell>
          <cell r="C574">
            <v>0.66399997472763062</v>
          </cell>
          <cell r="D574">
            <v>0.65799999237060547</v>
          </cell>
          <cell r="E574">
            <v>0.66299998760223389</v>
          </cell>
          <cell r="F574">
            <v>2500506</v>
          </cell>
          <cell r="G574">
            <v>25005.060546875</v>
          </cell>
          <cell r="H574">
            <v>572</v>
          </cell>
          <cell r="I574">
            <v>4141395.3360467656</v>
          </cell>
        </row>
        <row r="575">
          <cell r="A575">
            <v>45236</v>
          </cell>
          <cell r="B575">
            <v>0.66699999570846558</v>
          </cell>
          <cell r="C575">
            <v>0.68000000715255737</v>
          </cell>
          <cell r="D575">
            <v>0.66699999570846558</v>
          </cell>
          <cell r="E575">
            <v>0.67900002002716064</v>
          </cell>
          <cell r="F575">
            <v>4370708</v>
          </cell>
          <cell r="G575">
            <v>43707.078125</v>
          </cell>
          <cell r="H575">
            <v>573</v>
          </cell>
          <cell r="I575">
            <v>4141795.5326679754</v>
          </cell>
        </row>
        <row r="576">
          <cell r="A576">
            <v>45237</v>
          </cell>
          <cell r="B576">
            <v>0.67900002002716064</v>
          </cell>
          <cell r="C576">
            <v>0.67900002002716064</v>
          </cell>
          <cell r="D576">
            <v>0.67400002479553223</v>
          </cell>
          <cell r="E576">
            <v>0.67799997329711914</v>
          </cell>
          <cell r="F576">
            <v>1463012</v>
          </cell>
          <cell r="G576">
            <v>14630.1201171875</v>
          </cell>
          <cell r="H576">
            <v>574</v>
          </cell>
          <cell r="I576">
            <v>4137128.6624020035</v>
          </cell>
        </row>
        <row r="577">
          <cell r="A577">
            <v>45238</v>
          </cell>
          <cell r="B577">
            <v>0.67699998617172241</v>
          </cell>
          <cell r="C577">
            <v>0.68000000715255737</v>
          </cell>
          <cell r="D577">
            <v>0.67400002479553223</v>
          </cell>
          <cell r="E577">
            <v>0.67699998617172241</v>
          </cell>
          <cell r="F577">
            <v>4474600</v>
          </cell>
          <cell r="G577">
            <v>44746</v>
          </cell>
          <cell r="H577">
            <v>575</v>
          </cell>
          <cell r="I577">
            <v>4137715.5690760869</v>
          </cell>
        </row>
        <row r="578">
          <cell r="A578">
            <v>45239</v>
          </cell>
          <cell r="B578">
            <v>0.67900002002716064</v>
          </cell>
          <cell r="C578">
            <v>0.68000000715255737</v>
          </cell>
          <cell r="D578">
            <v>0.67500001192092896</v>
          </cell>
          <cell r="E578">
            <v>0.67799997329711914</v>
          </cell>
          <cell r="F578">
            <v>3878505.75</v>
          </cell>
          <cell r="G578">
            <v>38785.05859375</v>
          </cell>
          <cell r="H578">
            <v>576</v>
          </cell>
          <cell r="I578">
            <v>4137265.5520290798</v>
          </cell>
        </row>
        <row r="579">
          <cell r="A579">
            <v>45240</v>
          </cell>
          <cell r="B579">
            <v>0.67500001192092896</v>
          </cell>
          <cell r="C579">
            <v>0.67500001192092896</v>
          </cell>
          <cell r="D579">
            <v>0.67100000381469727</v>
          </cell>
          <cell r="E579">
            <v>0.67400002479553223</v>
          </cell>
          <cell r="F579">
            <v>4207200</v>
          </cell>
          <cell r="G579">
            <v>42072</v>
          </cell>
          <cell r="H579">
            <v>577</v>
          </cell>
          <cell r="I579">
            <v>4137386.7555784229</v>
          </cell>
        </row>
        <row r="580">
          <cell r="A580">
            <v>45243</v>
          </cell>
          <cell r="B580">
            <v>0.67299997806549072</v>
          </cell>
          <cell r="C580">
            <v>0.67699998617172241</v>
          </cell>
          <cell r="D580">
            <v>0.67000001668930054</v>
          </cell>
          <cell r="E580">
            <v>0.67199999094009399</v>
          </cell>
          <cell r="F580">
            <v>3385907</v>
          </cell>
          <cell r="G580">
            <v>33859.0703125</v>
          </cell>
          <cell r="H580">
            <v>578</v>
          </cell>
          <cell r="I580">
            <v>4136086.6175929932</v>
          </cell>
        </row>
        <row r="581">
          <cell r="A581">
            <v>45244</v>
          </cell>
          <cell r="B581">
            <v>0.67500001192092896</v>
          </cell>
          <cell r="C581">
            <v>0.67699998617172241</v>
          </cell>
          <cell r="D581">
            <v>0.67000001668930054</v>
          </cell>
          <cell r="E581">
            <v>0.67199999094009399</v>
          </cell>
          <cell r="F581">
            <v>4337600</v>
          </cell>
          <cell r="G581">
            <v>43376</v>
          </cell>
          <cell r="H581">
            <v>579</v>
          </cell>
          <cell r="I581">
            <v>4136434.6545228842</v>
          </cell>
        </row>
        <row r="582">
          <cell r="A582">
            <v>45245</v>
          </cell>
          <cell r="B582">
            <v>0.68000000715255737</v>
          </cell>
          <cell r="C582">
            <v>0.6809999942779541</v>
          </cell>
          <cell r="D582">
            <v>0.67599999904632568</v>
          </cell>
          <cell r="E582">
            <v>0.67799997329711914</v>
          </cell>
          <cell r="F582">
            <v>3713200</v>
          </cell>
          <cell r="G582">
            <v>37132</v>
          </cell>
          <cell r="H582">
            <v>580</v>
          </cell>
          <cell r="I582">
            <v>4135704.9396012933</v>
          </cell>
        </row>
        <row r="583">
          <cell r="A583">
            <v>45246</v>
          </cell>
          <cell r="B583">
            <v>0.67699998617172241</v>
          </cell>
          <cell r="C583">
            <v>0.67699998617172241</v>
          </cell>
          <cell r="D583">
            <v>0.6679999828338623</v>
          </cell>
          <cell r="E583">
            <v>0.6679999828338623</v>
          </cell>
          <cell r="F583">
            <v>3441800</v>
          </cell>
          <cell r="G583">
            <v>34418</v>
          </cell>
          <cell r="H583">
            <v>581</v>
          </cell>
          <cell r="I583">
            <v>4134510.610961704</v>
          </cell>
        </row>
        <row r="584">
          <cell r="A584">
            <v>45247</v>
          </cell>
          <cell r="B584">
            <v>0.66699999570846558</v>
          </cell>
          <cell r="C584">
            <v>0.67000001668930054</v>
          </cell>
          <cell r="D584">
            <v>0.66600000858306885</v>
          </cell>
          <cell r="E584">
            <v>0.66900002956390381</v>
          </cell>
          <cell r="F584">
            <v>3699800</v>
          </cell>
          <cell r="G584">
            <v>36998</v>
          </cell>
          <cell r="H584">
            <v>582</v>
          </cell>
          <cell r="I584">
            <v>4133763.6855133162</v>
          </cell>
        </row>
        <row r="585">
          <cell r="A585">
            <v>45250</v>
          </cell>
          <cell r="B585">
            <v>0.6679999828338623</v>
          </cell>
          <cell r="C585">
            <v>0.67500001192092896</v>
          </cell>
          <cell r="D585">
            <v>0.66500002145767212</v>
          </cell>
          <cell r="E585">
            <v>0.67199999094009399</v>
          </cell>
          <cell r="F585">
            <v>4373000</v>
          </cell>
          <cell r="G585">
            <v>43730</v>
          </cell>
          <cell r="H585">
            <v>583</v>
          </cell>
          <cell r="I585">
            <v>4134174.039397513</v>
          </cell>
        </row>
        <row r="586">
          <cell r="A586">
            <v>45251</v>
          </cell>
          <cell r="B586">
            <v>0.67400002479553223</v>
          </cell>
          <cell r="C586">
            <v>0.67799997329711914</v>
          </cell>
          <cell r="D586">
            <v>0.66900002956390381</v>
          </cell>
          <cell r="E586">
            <v>0.67100000381469727</v>
          </cell>
          <cell r="F586">
            <v>2959412</v>
          </cell>
          <cell r="G586">
            <v>29594.119140625</v>
          </cell>
          <cell r="H586">
            <v>584</v>
          </cell>
          <cell r="I586">
            <v>4132162.4605629281</v>
          </cell>
        </row>
        <row r="587">
          <cell r="A587">
            <v>45252</v>
          </cell>
          <cell r="B587">
            <v>0.66699999570846558</v>
          </cell>
          <cell r="C587">
            <v>0.6679999828338623</v>
          </cell>
          <cell r="D587">
            <v>0.6589999794960022</v>
          </cell>
          <cell r="E587">
            <v>0.6600000262260437</v>
          </cell>
          <cell r="F587">
            <v>4265800</v>
          </cell>
          <cell r="G587">
            <v>42658</v>
          </cell>
          <cell r="H587">
            <v>585</v>
          </cell>
          <cell r="I587">
            <v>4132390.9008012819</v>
          </cell>
        </row>
        <row r="588">
          <cell r="A588">
            <v>45253</v>
          </cell>
          <cell r="B588">
            <v>0.65499997138977051</v>
          </cell>
          <cell r="C588">
            <v>0.66399997472763062</v>
          </cell>
          <cell r="D588">
            <v>0.65499997138977051</v>
          </cell>
          <cell r="E588">
            <v>0.66399997472763062</v>
          </cell>
          <cell r="F588">
            <v>3177202</v>
          </cell>
          <cell r="G588">
            <v>31772.01953125</v>
          </cell>
          <cell r="H588">
            <v>586</v>
          </cell>
          <cell r="I588">
            <v>4130760.8856122014</v>
          </cell>
        </row>
        <row r="589">
          <cell r="A589">
            <v>45254</v>
          </cell>
          <cell r="B589">
            <v>0.66399997472763062</v>
          </cell>
          <cell r="C589">
            <v>0.66399997472763062</v>
          </cell>
          <cell r="D589">
            <v>0.65600001811981201</v>
          </cell>
          <cell r="E589">
            <v>0.65700000524520874</v>
          </cell>
          <cell r="F589">
            <v>4421200</v>
          </cell>
          <cell r="G589">
            <v>44212</v>
          </cell>
          <cell r="H589">
            <v>587</v>
          </cell>
          <cell r="I589">
            <v>4131255.671156303</v>
          </cell>
        </row>
        <row r="590">
          <cell r="A590">
            <v>45257</v>
          </cell>
          <cell r="B590">
            <v>0.65499997138977051</v>
          </cell>
          <cell r="C590">
            <v>0.65499997138977051</v>
          </cell>
          <cell r="D590">
            <v>0.64999997615814209</v>
          </cell>
          <cell r="E590">
            <v>0.65499997138977051</v>
          </cell>
          <cell r="F590">
            <v>4541400</v>
          </cell>
          <cell r="G590">
            <v>45414</v>
          </cell>
          <cell r="H590">
            <v>588</v>
          </cell>
          <cell r="I590">
            <v>4131953.1955250851</v>
          </cell>
        </row>
        <row r="591">
          <cell r="A591">
            <v>45258</v>
          </cell>
          <cell r="B591">
            <v>0.65399998426437378</v>
          </cell>
          <cell r="C591">
            <v>0.6600000262260437</v>
          </cell>
          <cell r="D591">
            <v>0.65299999713897705</v>
          </cell>
          <cell r="E591">
            <v>0.6589999794960022</v>
          </cell>
          <cell r="F591">
            <v>4431206</v>
          </cell>
          <cell r="G591">
            <v>44312.05859375</v>
          </cell>
          <cell r="H591">
            <v>589</v>
          </cell>
          <cell r="I591">
            <v>4132461.2648026315</v>
          </cell>
        </row>
        <row r="592">
          <cell r="A592">
            <v>45259</v>
          </cell>
          <cell r="B592">
            <v>0.65600001811981201</v>
          </cell>
          <cell r="C592">
            <v>0.65700000524520874</v>
          </cell>
          <cell r="D592">
            <v>0.65100002288818359</v>
          </cell>
          <cell r="E592">
            <v>0.65200001001358032</v>
          </cell>
          <cell r="F592">
            <v>2555400</v>
          </cell>
          <cell r="G592">
            <v>25554</v>
          </cell>
          <cell r="H592">
            <v>590</v>
          </cell>
          <cell r="I592">
            <v>4129788.2796080508</v>
          </cell>
        </row>
        <row r="593">
          <cell r="A593">
            <v>45260</v>
          </cell>
          <cell r="B593">
            <v>0.65100002288818359</v>
          </cell>
          <cell r="C593">
            <v>0.65499997138977051</v>
          </cell>
          <cell r="D593">
            <v>0.64800000190734863</v>
          </cell>
          <cell r="E593">
            <v>0.65100002288818359</v>
          </cell>
          <cell r="F593">
            <v>3444800</v>
          </cell>
          <cell r="G593">
            <v>34448</v>
          </cell>
          <cell r="H593">
            <v>591</v>
          </cell>
          <cell r="I593">
            <v>4128629.2469860404</v>
          </cell>
        </row>
        <row r="594">
          <cell r="A594">
            <v>45261</v>
          </cell>
          <cell r="B594">
            <v>0.64800000190734863</v>
          </cell>
          <cell r="C594">
            <v>0.65100002288818359</v>
          </cell>
          <cell r="D594">
            <v>0.64200001955032349</v>
          </cell>
          <cell r="E594">
            <v>0.64899998903274536</v>
          </cell>
          <cell r="F594">
            <v>4693500</v>
          </cell>
          <cell r="G594">
            <v>46935</v>
          </cell>
          <cell r="H594">
            <v>592</v>
          </cell>
          <cell r="I594">
            <v>4129583.420555321</v>
          </cell>
        </row>
        <row r="595">
          <cell r="A595">
            <v>45264</v>
          </cell>
          <cell r="B595">
            <v>0.64499998092651367</v>
          </cell>
          <cell r="C595">
            <v>0.64800000190734863</v>
          </cell>
          <cell r="D595">
            <v>0.64300000667572021</v>
          </cell>
          <cell r="E595">
            <v>0.64300000667572021</v>
          </cell>
          <cell r="F595">
            <v>4336800</v>
          </cell>
          <cell r="G595">
            <v>43368</v>
          </cell>
          <cell r="H595">
            <v>593</v>
          </cell>
          <cell r="I595">
            <v>4129932.8582946882</v>
          </cell>
        </row>
        <row r="596">
          <cell r="A596">
            <v>45265</v>
          </cell>
          <cell r="B596">
            <v>0.63999998569488525</v>
          </cell>
          <cell r="C596">
            <v>0.63999998569488525</v>
          </cell>
          <cell r="D596">
            <v>0.62999999523162842</v>
          </cell>
          <cell r="E596">
            <v>0.62999999523162842</v>
          </cell>
          <cell r="F596">
            <v>3056000</v>
          </cell>
          <cell r="G596">
            <v>30560</v>
          </cell>
          <cell r="H596">
            <v>594</v>
          </cell>
          <cell r="I596">
            <v>4128124.890519781</v>
          </cell>
        </row>
        <row r="597">
          <cell r="A597">
            <v>45266</v>
          </cell>
          <cell r="B597">
            <v>0.62999999523162842</v>
          </cell>
          <cell r="C597">
            <v>0.63700002431869507</v>
          </cell>
          <cell r="D597">
            <v>0.62900000810623169</v>
          </cell>
          <cell r="E597">
            <v>0.63300001621246338</v>
          </cell>
          <cell r="F597">
            <v>4830800</v>
          </cell>
          <cell r="G597">
            <v>48308</v>
          </cell>
          <cell r="H597">
            <v>595</v>
          </cell>
          <cell r="I597">
            <v>4129305.8570903363</v>
          </cell>
        </row>
        <row r="598">
          <cell r="A598">
            <v>45267</v>
          </cell>
          <cell r="B598">
            <v>0.63200002908706665</v>
          </cell>
          <cell r="C598">
            <v>0.63400000333786011</v>
          </cell>
          <cell r="D598">
            <v>0.62800002098083496</v>
          </cell>
          <cell r="E598">
            <v>0.63200002908706665</v>
          </cell>
          <cell r="F598">
            <v>5383005</v>
          </cell>
          <cell r="G598">
            <v>53830.05078125</v>
          </cell>
          <cell r="H598">
            <v>596</v>
          </cell>
          <cell r="I598">
            <v>4131409.3791421978</v>
          </cell>
        </row>
        <row r="599">
          <cell r="A599">
            <v>45268</v>
          </cell>
          <cell r="B599">
            <v>0.63499999046325684</v>
          </cell>
          <cell r="C599">
            <v>0.63599997758865356</v>
          </cell>
          <cell r="D599">
            <v>0.63200002908706665</v>
          </cell>
          <cell r="E599">
            <v>0.63499999046325684</v>
          </cell>
          <cell r="F599">
            <v>3773400</v>
          </cell>
          <cell r="G599">
            <v>37734</v>
          </cell>
          <cell r="H599">
            <v>597</v>
          </cell>
          <cell r="I599">
            <v>4130809.6984401173</v>
          </cell>
        </row>
        <row r="600">
          <cell r="A600">
            <v>45271</v>
          </cell>
          <cell r="B600">
            <v>0.63599997758865356</v>
          </cell>
          <cell r="C600">
            <v>0.64499998092651367</v>
          </cell>
          <cell r="D600">
            <v>0.62800002098083496</v>
          </cell>
          <cell r="E600">
            <v>0.64399999380111694</v>
          </cell>
          <cell r="F600">
            <v>3656300</v>
          </cell>
          <cell r="G600">
            <v>36563</v>
          </cell>
          <cell r="H600">
            <v>598</v>
          </cell>
          <cell r="I600">
            <v>4130016.2039611205</v>
          </cell>
        </row>
        <row r="601">
          <cell r="A601">
            <v>45272</v>
          </cell>
          <cell r="B601">
            <v>0.64300000667572021</v>
          </cell>
          <cell r="C601">
            <v>0.64499998092651367</v>
          </cell>
          <cell r="D601">
            <v>0.64099997282028198</v>
          </cell>
          <cell r="E601">
            <v>0.64300000667572021</v>
          </cell>
          <cell r="F601">
            <v>3545300</v>
          </cell>
          <cell r="G601">
            <v>35453</v>
          </cell>
          <cell r="H601">
            <v>599</v>
          </cell>
          <cell r="I601">
            <v>4129040.050031302</v>
          </cell>
        </row>
        <row r="602">
          <cell r="A602">
            <v>45273</v>
          </cell>
          <cell r="B602">
            <v>0.63999998569488525</v>
          </cell>
          <cell r="C602">
            <v>0.64099997282028198</v>
          </cell>
          <cell r="D602">
            <v>0.63499999046325684</v>
          </cell>
          <cell r="E602">
            <v>0.63499999046325684</v>
          </cell>
          <cell r="F602">
            <v>5078000</v>
          </cell>
          <cell r="G602">
            <v>50780</v>
          </cell>
          <cell r="H602">
            <v>600</v>
          </cell>
          <cell r="I602">
            <v>4130621.6499479166</v>
          </cell>
        </row>
        <row r="603">
          <cell r="A603">
            <v>45274</v>
          </cell>
          <cell r="B603">
            <v>0.63999998569488525</v>
          </cell>
          <cell r="C603">
            <v>0.64200001955032349</v>
          </cell>
          <cell r="D603">
            <v>0.63099998235702515</v>
          </cell>
          <cell r="E603">
            <v>0.63099998235702515</v>
          </cell>
          <cell r="F603">
            <v>3375400</v>
          </cell>
          <cell r="G603">
            <v>33754</v>
          </cell>
          <cell r="H603">
            <v>601</v>
          </cell>
          <cell r="I603">
            <v>4129365.0415453413</v>
          </cell>
        </row>
        <row r="604">
          <cell r="A604">
            <v>45275</v>
          </cell>
          <cell r="B604">
            <v>0.63499999046325684</v>
          </cell>
          <cell r="C604">
            <v>0.63599997758865356</v>
          </cell>
          <cell r="D604">
            <v>0.62699997425079346</v>
          </cell>
          <cell r="E604">
            <v>0.62800002098083496</v>
          </cell>
          <cell r="F604">
            <v>4696708</v>
          </cell>
          <cell r="G604">
            <v>46967.078125</v>
          </cell>
          <cell r="H604">
            <v>602</v>
          </cell>
          <cell r="I604">
            <v>4130307.4717088873</v>
          </cell>
        </row>
        <row r="605">
          <cell r="A605">
            <v>45278</v>
          </cell>
          <cell r="B605">
            <v>0.625</v>
          </cell>
          <cell r="C605">
            <v>0.62599998712539673</v>
          </cell>
          <cell r="D605">
            <v>0.62000000476837158</v>
          </cell>
          <cell r="E605">
            <v>0.62099999189376831</v>
          </cell>
          <cell r="F605">
            <v>3207900</v>
          </cell>
          <cell r="G605">
            <v>32079</v>
          </cell>
          <cell r="H605">
            <v>603</v>
          </cell>
          <cell r="I605">
            <v>4128777.7744092038</v>
          </cell>
        </row>
        <row r="606">
          <cell r="A606">
            <v>45279</v>
          </cell>
          <cell r="B606">
            <v>0.61799997091293335</v>
          </cell>
          <cell r="C606">
            <v>0.62400001287460327</v>
          </cell>
          <cell r="D606">
            <v>0.61799997091293335</v>
          </cell>
          <cell r="E606">
            <v>0.62099999189376831</v>
          </cell>
          <cell r="F606">
            <v>4697300</v>
          </cell>
          <cell r="G606">
            <v>46973</v>
          </cell>
          <cell r="H606">
            <v>604</v>
          </cell>
          <cell r="I606">
            <v>4129719.0363721028</v>
          </cell>
        </row>
        <row r="607">
          <cell r="A607">
            <v>45280</v>
          </cell>
          <cell r="B607">
            <v>0.62099999189376831</v>
          </cell>
          <cell r="C607">
            <v>0.62199997901916504</v>
          </cell>
          <cell r="D607">
            <v>0.61299997568130493</v>
          </cell>
          <cell r="E607">
            <v>0.61400002241134644</v>
          </cell>
          <cell r="F607">
            <v>3285503</v>
          </cell>
          <cell r="G607">
            <v>32855.03125</v>
          </cell>
          <cell r="H607">
            <v>605</v>
          </cell>
          <cell r="I607">
            <v>4128323.6379648759</v>
          </cell>
        </row>
        <row r="608">
          <cell r="A608">
            <v>45281</v>
          </cell>
          <cell r="B608">
            <v>0.61400002241134644</v>
          </cell>
          <cell r="C608">
            <v>0.62400001287460327</v>
          </cell>
          <cell r="D608">
            <v>0.6119999885559082</v>
          </cell>
          <cell r="E608">
            <v>0.62199997901916504</v>
          </cell>
          <cell r="F608">
            <v>5557500</v>
          </cell>
          <cell r="G608">
            <v>55575</v>
          </cell>
          <cell r="H608">
            <v>606</v>
          </cell>
          <cell r="I608">
            <v>4130682.0147999176</v>
          </cell>
        </row>
        <row r="609">
          <cell r="A609">
            <v>45282</v>
          </cell>
          <cell r="B609">
            <v>0.62000000476837158</v>
          </cell>
          <cell r="C609">
            <v>0.62699997425079346</v>
          </cell>
          <cell r="D609">
            <v>0.61799997091293335</v>
          </cell>
          <cell r="E609">
            <v>0.62199997901916504</v>
          </cell>
          <cell r="F609">
            <v>4980000</v>
          </cell>
          <cell r="G609">
            <v>49800</v>
          </cell>
          <cell r="H609">
            <v>607</v>
          </cell>
          <cell r="I609">
            <v>4132081.2207063427</v>
          </cell>
        </row>
        <row r="610">
          <cell r="A610">
            <v>45285</v>
          </cell>
          <cell r="B610">
            <v>0.62300002574920654</v>
          </cell>
          <cell r="C610">
            <v>0.62599998712539673</v>
          </cell>
          <cell r="D610">
            <v>0.62199997901916504</v>
          </cell>
          <cell r="E610">
            <v>0.62599998712539673</v>
          </cell>
          <cell r="F610">
            <v>3893100</v>
          </cell>
          <cell r="G610">
            <v>38931</v>
          </cell>
          <cell r="H610">
            <v>608</v>
          </cell>
          <cell r="I610">
            <v>4131688.1594880759</v>
          </cell>
        </row>
        <row r="611">
          <cell r="A611">
            <v>45286</v>
          </cell>
          <cell r="B611">
            <v>0.62199997901916504</v>
          </cell>
          <cell r="C611">
            <v>0.62199997901916504</v>
          </cell>
          <cell r="D611">
            <v>0.61599999666213989</v>
          </cell>
          <cell r="E611">
            <v>0.61900001764297485</v>
          </cell>
          <cell r="F611">
            <v>3500900</v>
          </cell>
          <cell r="G611">
            <v>35009</v>
          </cell>
          <cell r="H611">
            <v>609</v>
          </cell>
          <cell r="I611">
            <v>4130652.3825431033</v>
          </cell>
        </row>
        <row r="612">
          <cell r="A612">
            <v>45287</v>
          </cell>
          <cell r="B612">
            <v>0.61900001764297485</v>
          </cell>
          <cell r="C612">
            <v>0.62199997901916504</v>
          </cell>
          <cell r="D612">
            <v>0.61699998378753662</v>
          </cell>
          <cell r="E612">
            <v>0.62099999189376831</v>
          </cell>
          <cell r="F612">
            <v>4099801.25</v>
          </cell>
          <cell r="G612">
            <v>40998.01171875</v>
          </cell>
          <cell r="H612">
            <v>610</v>
          </cell>
          <cell r="I612">
            <v>4130601.8069159836</v>
          </cell>
        </row>
        <row r="613">
          <cell r="A613">
            <v>45288</v>
          </cell>
          <cell r="B613">
            <v>0.62099999189376831</v>
          </cell>
          <cell r="C613">
            <v>0.64200001955032349</v>
          </cell>
          <cell r="D613">
            <v>0.62099999189376831</v>
          </cell>
          <cell r="E613">
            <v>0.63899999856948853</v>
          </cell>
          <cell r="F613">
            <v>5897900</v>
          </cell>
          <cell r="G613">
            <v>58979</v>
          </cell>
          <cell r="H613">
            <v>611</v>
          </cell>
          <cell r="I613">
            <v>4133494.2753171031</v>
          </cell>
        </row>
        <row r="614">
          <cell r="A614">
            <v>45289</v>
          </cell>
          <cell r="B614">
            <v>0.64099997282028198</v>
          </cell>
          <cell r="C614">
            <v>0.64600002765655518</v>
          </cell>
          <cell r="D614">
            <v>0.64099997282028198</v>
          </cell>
          <cell r="E614">
            <v>0.64499998092651367</v>
          </cell>
          <cell r="F614">
            <v>5609700</v>
          </cell>
          <cell r="G614">
            <v>56097</v>
          </cell>
          <cell r="H614">
            <v>612</v>
          </cell>
          <cell r="I614">
            <v>4135906.376174428</v>
          </cell>
        </row>
        <row r="615">
          <cell r="A615">
            <v>45293</v>
          </cell>
          <cell r="B615">
            <v>0.64499998092651367</v>
          </cell>
          <cell r="C615">
            <v>0.64499998092651367</v>
          </cell>
          <cell r="D615">
            <v>0.63400000333786011</v>
          </cell>
          <cell r="E615">
            <v>0.63499999046325684</v>
          </cell>
          <cell r="F615">
            <v>3965712</v>
          </cell>
          <cell r="G615">
            <v>39657.12109375</v>
          </cell>
          <cell r="H615">
            <v>613</v>
          </cell>
          <cell r="I615">
            <v>4135628.7344514681</v>
          </cell>
        </row>
        <row r="616">
          <cell r="A616">
            <v>45294</v>
          </cell>
          <cell r="B616">
            <v>0.63099998235702515</v>
          </cell>
          <cell r="C616">
            <v>0.63300001621246338</v>
          </cell>
          <cell r="D616">
            <v>0.625</v>
          </cell>
          <cell r="E616">
            <v>0.62800002098083496</v>
          </cell>
          <cell r="F616">
            <v>5324003</v>
          </cell>
          <cell r="G616">
            <v>53240.03125</v>
          </cell>
          <cell r="H616">
            <v>614</v>
          </cell>
          <cell r="I616">
            <v>4137564.1974246744</v>
          </cell>
        </row>
        <row r="617">
          <cell r="A617">
            <v>45295</v>
          </cell>
          <cell r="B617">
            <v>0.62599998712539673</v>
          </cell>
          <cell r="C617">
            <v>0.62599998712539673</v>
          </cell>
          <cell r="D617">
            <v>0.61599999666213989</v>
          </cell>
          <cell r="E617">
            <v>0.62099999189376831</v>
          </cell>
          <cell r="F617">
            <v>4827800</v>
          </cell>
          <cell r="G617">
            <v>48278</v>
          </cell>
          <cell r="H617">
            <v>615</v>
          </cell>
          <cell r="I617">
            <v>4138686.5320630083</v>
          </cell>
        </row>
        <row r="618">
          <cell r="A618">
            <v>45296</v>
          </cell>
          <cell r="B618">
            <v>0.61799997091293335</v>
          </cell>
          <cell r="C618">
            <v>0.625</v>
          </cell>
          <cell r="D618">
            <v>0.6119999885559082</v>
          </cell>
          <cell r="E618">
            <v>0.61400002241134644</v>
          </cell>
          <cell r="F618">
            <v>5069000</v>
          </cell>
          <cell r="G618">
            <v>50690</v>
          </cell>
          <cell r="H618">
            <v>616</v>
          </cell>
          <cell r="I618">
            <v>4140196.7811992695</v>
          </cell>
        </row>
        <row r="619">
          <cell r="A619">
            <v>45299</v>
          </cell>
          <cell r="B619">
            <v>0.61400002241134644</v>
          </cell>
          <cell r="C619">
            <v>0.61699998378753662</v>
          </cell>
          <cell r="D619">
            <v>0.60600000619888306</v>
          </cell>
          <cell r="E619">
            <v>0.60699999332427979</v>
          </cell>
          <cell r="F619">
            <v>3375707</v>
          </cell>
          <cell r="G619">
            <v>33757.0703125</v>
          </cell>
          <cell r="H619">
            <v>617</v>
          </cell>
          <cell r="I619">
            <v>4138957.7377937599</v>
          </cell>
        </row>
        <row r="620">
          <cell r="A620">
            <v>45300</v>
          </cell>
          <cell r="B620">
            <v>0.60500001907348633</v>
          </cell>
          <cell r="C620">
            <v>0.6119999885559082</v>
          </cell>
          <cell r="D620">
            <v>0.6029999852180481</v>
          </cell>
          <cell r="E620">
            <v>0.60699999332427979</v>
          </cell>
          <cell r="F620">
            <v>4566301</v>
          </cell>
          <cell r="G620">
            <v>45663.01171875</v>
          </cell>
          <cell r="H620">
            <v>618</v>
          </cell>
          <cell r="I620">
            <v>4139649.2317455499</v>
          </cell>
        </row>
        <row r="621">
          <cell r="A621">
            <v>45301</v>
          </cell>
          <cell r="B621">
            <v>0.60500001907348633</v>
          </cell>
          <cell r="C621">
            <v>0.60799998044967651</v>
          </cell>
          <cell r="D621">
            <v>0.59899997711181641</v>
          </cell>
          <cell r="E621">
            <v>0.6029999852180481</v>
          </cell>
          <cell r="F621">
            <v>1888100</v>
          </cell>
          <cell r="G621">
            <v>18881</v>
          </cell>
          <cell r="H621">
            <v>619</v>
          </cell>
          <cell r="I621">
            <v>4136011.8339559776</v>
          </cell>
        </row>
        <row r="622">
          <cell r="A622">
            <v>45302</v>
          </cell>
          <cell r="B622">
            <v>0.60100001096725464</v>
          </cell>
          <cell r="C622">
            <v>0.61400002241134644</v>
          </cell>
          <cell r="D622">
            <v>0.60100001096725464</v>
          </cell>
          <cell r="E622">
            <v>0.61000001430511475</v>
          </cell>
          <cell r="F622">
            <v>4264900</v>
          </cell>
          <cell r="G622">
            <v>42649</v>
          </cell>
          <cell r="H622">
            <v>620</v>
          </cell>
          <cell r="I622">
            <v>4136219.7180947582</v>
          </cell>
        </row>
        <row r="623">
          <cell r="A623">
            <v>45303</v>
          </cell>
          <cell r="B623">
            <v>0.61100000143051147</v>
          </cell>
          <cell r="C623">
            <v>0.6119999885559082</v>
          </cell>
          <cell r="D623">
            <v>0.60500001907348633</v>
          </cell>
          <cell r="E623">
            <v>0.60600000619888306</v>
          </cell>
          <cell r="F623">
            <v>5015500</v>
          </cell>
          <cell r="G623">
            <v>50155</v>
          </cell>
          <cell r="H623">
            <v>621</v>
          </cell>
          <cell r="I623">
            <v>4137635.6283715782</v>
          </cell>
        </row>
        <row r="624">
          <cell r="A624">
            <v>45306</v>
          </cell>
          <cell r="B624">
            <v>0.60199999809265137</v>
          </cell>
          <cell r="C624">
            <v>0.60900002717971802</v>
          </cell>
          <cell r="D624">
            <v>0.59899997711181641</v>
          </cell>
          <cell r="E624">
            <v>0.6029999852180481</v>
          </cell>
          <cell r="F624">
            <v>2965998</v>
          </cell>
          <cell r="G624">
            <v>29659.98046875</v>
          </cell>
          <cell r="H624">
            <v>622</v>
          </cell>
          <cell r="I624">
            <v>4135751.9665896301</v>
          </cell>
        </row>
        <row r="625">
          <cell r="A625">
            <v>45307</v>
          </cell>
          <cell r="B625">
            <v>0.60000002384185791</v>
          </cell>
          <cell r="C625">
            <v>0.60699999332427979</v>
          </cell>
          <cell r="D625">
            <v>0.59799998998641968</v>
          </cell>
          <cell r="E625">
            <v>0.60600000619888306</v>
          </cell>
          <cell r="F625">
            <v>4803000</v>
          </cell>
          <cell r="G625">
            <v>48030</v>
          </cell>
          <cell r="H625">
            <v>623</v>
          </cell>
          <cell r="I625">
            <v>4136822.9907203051</v>
          </cell>
        </row>
        <row r="626">
          <cell r="A626">
            <v>45308</v>
          </cell>
          <cell r="B626">
            <v>0.60199999809265137</v>
          </cell>
          <cell r="C626">
            <v>0.6029999852180481</v>
          </cell>
          <cell r="D626">
            <v>0.59200000762939453</v>
          </cell>
          <cell r="E626">
            <v>0.59299999475479126</v>
          </cell>
          <cell r="F626">
            <v>6739621</v>
          </cell>
          <cell r="G626">
            <v>67396.2109375</v>
          </cell>
          <cell r="H626">
            <v>624</v>
          </cell>
          <cell r="I626">
            <v>4140994.141376202</v>
          </cell>
        </row>
        <row r="627">
          <cell r="A627">
            <v>45309</v>
          </cell>
          <cell r="B627">
            <v>0.59399998188018799</v>
          </cell>
          <cell r="C627">
            <v>0.60100001096725464</v>
          </cell>
          <cell r="D627">
            <v>0.58399999141693115</v>
          </cell>
          <cell r="E627">
            <v>0.60100001096725464</v>
          </cell>
          <cell r="F627">
            <v>5042200</v>
          </cell>
          <cell r="G627">
            <v>50422</v>
          </cell>
          <cell r="H627">
            <v>625</v>
          </cell>
          <cell r="I627">
            <v>4142436.07075</v>
          </cell>
        </row>
        <row r="628">
          <cell r="A628">
            <v>45310</v>
          </cell>
          <cell r="B628">
            <v>0.60000002384185791</v>
          </cell>
          <cell r="C628">
            <v>0.60399997234344482</v>
          </cell>
          <cell r="D628">
            <v>0.59700000286102295</v>
          </cell>
          <cell r="E628">
            <v>0.60100001096725464</v>
          </cell>
          <cell r="F628">
            <v>6041001</v>
          </cell>
          <cell r="G628">
            <v>60410.01171875</v>
          </cell>
          <cell r="H628">
            <v>626</v>
          </cell>
          <cell r="I628">
            <v>4145468.9220746807</v>
          </cell>
        </row>
        <row r="629">
          <cell r="A629">
            <v>45313</v>
          </cell>
          <cell r="B629">
            <v>0.59500002861022949</v>
          </cell>
          <cell r="C629">
            <v>0.59899997711181641</v>
          </cell>
          <cell r="D629">
            <v>0.58099997043609619</v>
          </cell>
          <cell r="E629">
            <v>0.58499997854232788</v>
          </cell>
          <cell r="F629">
            <v>6227601</v>
          </cell>
          <cell r="G629">
            <v>62276.01171875</v>
          </cell>
          <cell r="H629">
            <v>627</v>
          </cell>
          <cell r="I629">
            <v>4148789.7068879586</v>
          </cell>
        </row>
        <row r="630">
          <cell r="A630">
            <v>45314</v>
          </cell>
          <cell r="B630">
            <v>0.5820000171661377</v>
          </cell>
          <cell r="C630">
            <v>0.59299999475479126</v>
          </cell>
          <cell r="D630">
            <v>0.57999998331069946</v>
          </cell>
          <cell r="E630">
            <v>0.5899999737739563</v>
          </cell>
          <cell r="F630">
            <v>6997200</v>
          </cell>
          <cell r="G630">
            <v>69972</v>
          </cell>
          <cell r="H630">
            <v>628</v>
          </cell>
          <cell r="I630">
            <v>4153325.3920680732</v>
          </cell>
        </row>
        <row r="631">
          <cell r="A631">
            <v>45315</v>
          </cell>
          <cell r="B631">
            <v>0.59700000286102295</v>
          </cell>
          <cell r="C631">
            <v>0.59700000286102295</v>
          </cell>
          <cell r="D631">
            <v>0.57700002193450928</v>
          </cell>
          <cell r="E631">
            <v>0.59299999475479126</v>
          </cell>
          <cell r="F631">
            <v>10120701</v>
          </cell>
          <cell r="G631">
            <v>101207.0078125</v>
          </cell>
          <cell r="H631">
            <v>629</v>
          </cell>
          <cell r="I631">
            <v>4162812.4757054849</v>
          </cell>
        </row>
        <row r="632">
          <cell r="A632">
            <v>45316</v>
          </cell>
          <cell r="B632">
            <v>0.59200000762939453</v>
          </cell>
          <cell r="C632">
            <v>0.60199999809265137</v>
          </cell>
          <cell r="D632">
            <v>0.58799999952316284</v>
          </cell>
          <cell r="E632">
            <v>0.60000002384185791</v>
          </cell>
          <cell r="F632">
            <v>9728400</v>
          </cell>
          <cell r="G632">
            <v>97284</v>
          </cell>
          <cell r="H632">
            <v>630</v>
          </cell>
          <cell r="I632">
            <v>4171646.7416170635</v>
          </cell>
        </row>
        <row r="633">
          <cell r="A633">
            <v>45317</v>
          </cell>
          <cell r="B633">
            <v>0.59899997711181641</v>
          </cell>
          <cell r="C633">
            <v>0.60000002384185791</v>
          </cell>
          <cell r="D633">
            <v>0.59399998188018799</v>
          </cell>
          <cell r="E633">
            <v>0.59500002861022949</v>
          </cell>
          <cell r="F633">
            <v>7842006</v>
          </cell>
          <cell r="G633">
            <v>78420.0625</v>
          </cell>
          <cell r="H633">
            <v>631</v>
          </cell>
          <cell r="I633">
            <v>4177463.475782488</v>
          </cell>
        </row>
        <row r="634">
          <cell r="A634">
            <v>45320</v>
          </cell>
          <cell r="B634">
            <v>0.59399998188018799</v>
          </cell>
          <cell r="C634">
            <v>0.59399998188018799</v>
          </cell>
          <cell r="D634">
            <v>0.57999998331069946</v>
          </cell>
          <cell r="E634">
            <v>0.58099997043609619</v>
          </cell>
          <cell r="F634">
            <v>9681100</v>
          </cell>
          <cell r="G634">
            <v>96811</v>
          </cell>
          <cell r="H634">
            <v>632</v>
          </cell>
          <cell r="I634">
            <v>4186171.761422073</v>
          </cell>
        </row>
        <row r="635">
          <cell r="A635">
            <v>45321</v>
          </cell>
          <cell r="B635">
            <v>0.57700002193450928</v>
          </cell>
          <cell r="C635">
            <v>0.57999998331069946</v>
          </cell>
          <cell r="D635">
            <v>0.56599998474121094</v>
          </cell>
          <cell r="E635">
            <v>0.56599998474121094</v>
          </cell>
          <cell r="F635">
            <v>8327102.5</v>
          </cell>
          <cell r="G635">
            <v>83271.0234375</v>
          </cell>
          <cell r="H635">
            <v>633</v>
          </cell>
          <cell r="I635">
            <v>4192713.5161433648</v>
          </cell>
        </row>
        <row r="636">
          <cell r="A636">
            <v>45322</v>
          </cell>
          <cell r="B636">
            <v>0.56599998474121094</v>
          </cell>
          <cell r="C636">
            <v>0.56800001859664917</v>
          </cell>
          <cell r="D636">
            <v>0.55900001525878906</v>
          </cell>
          <cell r="E636">
            <v>0.56099998950958252</v>
          </cell>
          <cell r="F636">
            <v>10787006</v>
          </cell>
          <cell r="G636">
            <v>107870.0625</v>
          </cell>
          <cell r="H636">
            <v>634</v>
          </cell>
          <cell r="I636">
            <v>4203114.608389196</v>
          </cell>
        </row>
        <row r="637">
          <cell r="A637">
            <v>45323</v>
          </cell>
          <cell r="B637">
            <v>0.55900001525878906</v>
          </cell>
          <cell r="C637">
            <v>0.57300001382827759</v>
          </cell>
          <cell r="D637">
            <v>0.55800002813339233</v>
          </cell>
          <cell r="E637">
            <v>0.56599998474121094</v>
          </cell>
          <cell r="F637">
            <v>10827400</v>
          </cell>
          <cell r="G637">
            <v>108274</v>
          </cell>
          <cell r="H637">
            <v>635</v>
          </cell>
          <cell r="I637">
            <v>4213546.5538877957</v>
          </cell>
        </row>
        <row r="638">
          <cell r="A638">
            <v>45324</v>
          </cell>
          <cell r="B638">
            <v>0.56699997186660767</v>
          </cell>
          <cell r="C638">
            <v>0.56699997186660767</v>
          </cell>
          <cell r="D638">
            <v>0.54100000858306885</v>
          </cell>
          <cell r="E638">
            <v>0.55500000715255737</v>
          </cell>
          <cell r="F638">
            <v>11178911</v>
          </cell>
          <cell r="G638">
            <v>111789.109375</v>
          </cell>
          <cell r="H638">
            <v>636</v>
          </cell>
          <cell r="I638">
            <v>4224498.3847779091</v>
          </cell>
        </row>
        <row r="639">
          <cell r="A639">
            <v>45327</v>
          </cell>
          <cell r="B639">
            <v>0.55199998617172241</v>
          </cell>
          <cell r="C639">
            <v>0.56699997186660767</v>
          </cell>
          <cell r="D639">
            <v>0.53600001335144043</v>
          </cell>
          <cell r="E639">
            <v>0.55699998140335083</v>
          </cell>
          <cell r="F639">
            <v>8916004</v>
          </cell>
          <cell r="G639">
            <v>89160.0390625</v>
          </cell>
          <cell r="H639">
            <v>637</v>
          </cell>
          <cell r="I639">
            <v>4231863.3857437205</v>
          </cell>
        </row>
        <row r="640">
          <cell r="A640">
            <v>45328</v>
          </cell>
          <cell r="B640">
            <v>0.55699998140335083</v>
          </cell>
          <cell r="C640">
            <v>0.58600002527236938</v>
          </cell>
          <cell r="D640">
            <v>0.55699998140335083</v>
          </cell>
          <cell r="E640">
            <v>0.58600002527236938</v>
          </cell>
          <cell r="F640">
            <v>3233203</v>
          </cell>
          <cell r="G640">
            <v>32332.029296875</v>
          </cell>
          <cell r="H640">
            <v>638</v>
          </cell>
          <cell r="I640">
            <v>4230298.0873334641</v>
          </cell>
        </row>
        <row r="641">
          <cell r="A641">
            <v>45329</v>
          </cell>
          <cell r="B641">
            <v>0.58700001239776611</v>
          </cell>
          <cell r="C641">
            <v>0.59700000286102295</v>
          </cell>
          <cell r="D641">
            <v>0.58700001239776611</v>
          </cell>
          <cell r="E641">
            <v>0.59299999475479126</v>
          </cell>
          <cell r="F641">
            <v>3352401.25</v>
          </cell>
          <cell r="G641">
            <v>33524.01171875</v>
          </cell>
          <cell r="H641">
            <v>639</v>
          </cell>
          <cell r="I641">
            <v>4228924.2268681535</v>
          </cell>
        </row>
        <row r="642">
          <cell r="A642">
            <v>45330</v>
          </cell>
          <cell r="B642">
            <v>0.59799998998641968</v>
          </cell>
          <cell r="C642">
            <v>0.60900002717971802</v>
          </cell>
          <cell r="D642">
            <v>0.59799998998641968</v>
          </cell>
          <cell r="E642">
            <v>0.6029999852180481</v>
          </cell>
          <cell r="F642">
            <v>3180900</v>
          </cell>
          <cell r="G642">
            <v>31809</v>
          </cell>
          <cell r="H642">
            <v>640</v>
          </cell>
          <cell r="I642">
            <v>4227286.6890136721</v>
          </cell>
        </row>
        <row r="643">
          <cell r="A643">
            <v>45341</v>
          </cell>
          <cell r="B643">
            <v>0.6029999852180481</v>
          </cell>
          <cell r="C643">
            <v>0.6119999885559082</v>
          </cell>
          <cell r="D643">
            <v>0.60199999809265137</v>
          </cell>
          <cell r="E643">
            <v>0.60799998044967651</v>
          </cell>
          <cell r="F643">
            <v>5854300</v>
          </cell>
          <cell r="G643">
            <v>58543</v>
          </cell>
          <cell r="H643">
            <v>641</v>
          </cell>
          <cell r="I643">
            <v>4229824.9313085023</v>
          </cell>
        </row>
        <row r="644">
          <cell r="A644">
            <v>45342</v>
          </cell>
          <cell r="B644">
            <v>0.6029999852180481</v>
          </cell>
          <cell r="C644">
            <v>0.61000001430511475</v>
          </cell>
          <cell r="D644">
            <v>0.60100001096725464</v>
          </cell>
          <cell r="E644">
            <v>0.60799998044967651</v>
          </cell>
          <cell r="F644">
            <v>10238000</v>
          </cell>
          <cell r="G644">
            <v>102380</v>
          </cell>
          <cell r="H644">
            <v>642</v>
          </cell>
          <cell r="I644">
            <v>4239183.4594528815</v>
          </cell>
        </row>
        <row r="645">
          <cell r="A645">
            <v>45343</v>
          </cell>
          <cell r="B645">
            <v>0.60199999809265137</v>
          </cell>
          <cell r="C645">
            <v>0.62099999189376831</v>
          </cell>
          <cell r="D645">
            <v>0.60199999809265137</v>
          </cell>
          <cell r="E645">
            <v>0.6119999885559082</v>
          </cell>
          <cell r="F645">
            <v>9091401</v>
          </cell>
          <cell r="G645">
            <v>90914.0078125</v>
          </cell>
          <cell r="H645">
            <v>643</v>
          </cell>
          <cell r="I645">
            <v>4246729.6764677297</v>
          </cell>
        </row>
        <row r="646">
          <cell r="A646">
            <v>45344</v>
          </cell>
          <cell r="B646">
            <v>0.61599999666213989</v>
          </cell>
          <cell r="C646">
            <v>0.61799997091293335</v>
          </cell>
          <cell r="D646">
            <v>0.61299997568130493</v>
          </cell>
          <cell r="E646">
            <v>0.61599999666213989</v>
          </cell>
          <cell r="F646">
            <v>10295603</v>
          </cell>
          <cell r="G646">
            <v>102956.03125</v>
          </cell>
          <cell r="H646">
            <v>644</v>
          </cell>
          <cell r="I646">
            <v>4256122.3369079968</v>
          </cell>
        </row>
        <row r="647">
          <cell r="A647">
            <v>45345</v>
          </cell>
          <cell r="B647">
            <v>0.61699998378753662</v>
          </cell>
          <cell r="C647">
            <v>0.62000000476837158</v>
          </cell>
          <cell r="D647">
            <v>0.61299997568130493</v>
          </cell>
          <cell r="E647">
            <v>0.61699998378753662</v>
          </cell>
          <cell r="F647">
            <v>6596800</v>
          </cell>
          <cell r="G647">
            <v>65968</v>
          </cell>
          <cell r="H647">
            <v>645</v>
          </cell>
          <cell r="I647">
            <v>4259751.294525194</v>
          </cell>
        </row>
        <row r="648">
          <cell r="A648">
            <v>45348</v>
          </cell>
          <cell r="B648">
            <v>0.61799997091293335</v>
          </cell>
          <cell r="C648">
            <v>0.62300002574920654</v>
          </cell>
          <cell r="D648">
            <v>0.61699998378753662</v>
          </cell>
          <cell r="E648">
            <v>0.61799997091293335</v>
          </cell>
          <cell r="F648">
            <v>10448900</v>
          </cell>
          <cell r="G648">
            <v>104489</v>
          </cell>
          <cell r="H648">
            <v>646</v>
          </cell>
          <cell r="I648">
            <v>4269332.0200754646</v>
          </cell>
        </row>
        <row r="649">
          <cell r="A649">
            <v>45349</v>
          </cell>
          <cell r="B649">
            <v>0.61599999666213989</v>
          </cell>
          <cell r="C649">
            <v>0.63099998235702515</v>
          </cell>
          <cell r="D649">
            <v>0.61599999666213989</v>
          </cell>
          <cell r="E649">
            <v>0.63099998235702515</v>
          </cell>
          <cell r="F649">
            <v>11199801</v>
          </cell>
          <cell r="G649">
            <v>111998.0078125</v>
          </cell>
          <cell r="H649">
            <v>647</v>
          </cell>
          <cell r="I649">
            <v>4280043.7186534004</v>
          </cell>
        </row>
        <row r="650">
          <cell r="A650">
            <v>45350</v>
          </cell>
          <cell r="B650">
            <v>0.63300001621246338</v>
          </cell>
          <cell r="C650">
            <v>0.63999998569488525</v>
          </cell>
          <cell r="D650">
            <v>0.61699998378753662</v>
          </cell>
          <cell r="E650">
            <v>0.61799997091293335</v>
          </cell>
          <cell r="F650">
            <v>12024119</v>
          </cell>
          <cell r="G650">
            <v>120241.1875</v>
          </cell>
          <cell r="H650">
            <v>648</v>
          </cell>
          <cell r="I650">
            <v>4291994.4521122687</v>
          </cell>
        </row>
        <row r="651">
          <cell r="A651">
            <v>45351</v>
          </cell>
          <cell r="B651">
            <v>0.62199997901916504</v>
          </cell>
          <cell r="C651">
            <v>0.6380000114440918</v>
          </cell>
          <cell r="D651">
            <v>0.62199997901916504</v>
          </cell>
          <cell r="E651">
            <v>0.6380000114440918</v>
          </cell>
          <cell r="F651">
            <v>12736000</v>
          </cell>
          <cell r="G651">
            <v>127360</v>
          </cell>
          <cell r="H651">
            <v>649</v>
          </cell>
          <cell r="I651">
            <v>4305005.2464849772</v>
          </cell>
        </row>
        <row r="652">
          <cell r="A652">
            <v>45352</v>
          </cell>
          <cell r="B652">
            <v>0.63899999856948853</v>
          </cell>
          <cell r="C652">
            <v>0.64899998903274536</v>
          </cell>
          <cell r="D652">
            <v>0.6380000114440918</v>
          </cell>
          <cell r="E652">
            <v>0.64800000190734863</v>
          </cell>
          <cell r="F652">
            <v>7985700</v>
          </cell>
          <cell r="G652">
            <v>79857</v>
          </cell>
          <cell r="H652">
            <v>650</v>
          </cell>
          <cell r="I652">
            <v>4310667.8537980765</v>
          </cell>
        </row>
        <row r="653">
          <cell r="A653">
            <v>45355</v>
          </cell>
          <cell r="B653">
            <v>0.64800000190734863</v>
          </cell>
          <cell r="C653">
            <v>0.65399998426437378</v>
          </cell>
          <cell r="D653">
            <v>0.64499998092651367</v>
          </cell>
          <cell r="E653">
            <v>0.64899998903274536</v>
          </cell>
          <cell r="F653">
            <v>6837400</v>
          </cell>
          <cell r="G653">
            <v>68374</v>
          </cell>
          <cell r="H653">
            <v>651</v>
          </cell>
          <cell r="I653">
            <v>4314549.1627784176</v>
          </cell>
        </row>
        <row r="654">
          <cell r="A654">
            <v>45356</v>
          </cell>
          <cell r="B654">
            <v>0.64499998092651367</v>
          </cell>
          <cell r="C654">
            <v>0.64999997615814209</v>
          </cell>
          <cell r="D654">
            <v>0.64300000667572021</v>
          </cell>
          <cell r="E654">
            <v>0.64899998903274536</v>
          </cell>
          <cell r="F654">
            <v>6104100</v>
          </cell>
          <cell r="G654">
            <v>61041</v>
          </cell>
          <cell r="H654">
            <v>652</v>
          </cell>
          <cell r="I654">
            <v>4317293.8726514569</v>
          </cell>
        </row>
        <row r="655">
          <cell r="A655">
            <v>45357</v>
          </cell>
          <cell r="B655">
            <v>0.64600002765655518</v>
          </cell>
          <cell r="C655">
            <v>0.65299999713897705</v>
          </cell>
          <cell r="D655">
            <v>0.64200001955032349</v>
          </cell>
          <cell r="E655">
            <v>0.6470000147819519</v>
          </cell>
          <cell r="F655">
            <v>9097800</v>
          </cell>
          <cell r="G655">
            <v>90978</v>
          </cell>
          <cell r="H655">
            <v>653</v>
          </cell>
          <cell r="I655">
            <v>4324614.7089873664</v>
          </cell>
        </row>
        <row r="656">
          <cell r="A656">
            <v>45358</v>
          </cell>
          <cell r="B656">
            <v>0.6470000147819519</v>
          </cell>
          <cell r="C656">
            <v>0.65100002288818359</v>
          </cell>
          <cell r="D656">
            <v>0.6380000114440918</v>
          </cell>
          <cell r="E656">
            <v>0.6380000114440918</v>
          </cell>
          <cell r="F656">
            <v>8184200</v>
          </cell>
          <cell r="G656">
            <v>81842</v>
          </cell>
          <cell r="H656">
            <v>654</v>
          </cell>
          <cell r="I656">
            <v>4330516.215548547</v>
          </cell>
        </row>
        <row r="657">
          <cell r="A657">
            <v>45359</v>
          </cell>
          <cell r="B657">
            <v>0.64200001955032349</v>
          </cell>
          <cell r="C657">
            <v>0.64499998092651367</v>
          </cell>
          <cell r="D657">
            <v>0.63400000333786011</v>
          </cell>
          <cell r="E657">
            <v>0.64399999380111694</v>
          </cell>
          <cell r="F657">
            <v>8433300</v>
          </cell>
          <cell r="G657">
            <v>84333</v>
          </cell>
          <cell r="H657">
            <v>655</v>
          </cell>
          <cell r="I657">
            <v>4336780.0075858776</v>
          </cell>
        </row>
        <row r="658">
          <cell r="A658">
            <v>45362</v>
          </cell>
          <cell r="B658">
            <v>0.6470000147819519</v>
          </cell>
          <cell r="C658">
            <v>0.66200000047683716</v>
          </cell>
          <cell r="D658">
            <v>0.64600002765655518</v>
          </cell>
          <cell r="E658">
            <v>0.66200000047683716</v>
          </cell>
          <cell r="F658">
            <v>8367000</v>
          </cell>
          <cell r="G658">
            <v>83670</v>
          </cell>
          <cell r="H658">
            <v>656</v>
          </cell>
          <cell r="I658">
            <v>4342923.6356230946</v>
          </cell>
        </row>
        <row r="659">
          <cell r="A659">
            <v>45363</v>
          </cell>
          <cell r="B659">
            <v>0.66200000047683716</v>
          </cell>
          <cell r="C659">
            <v>0.66600000858306885</v>
          </cell>
          <cell r="D659">
            <v>0.65799999237060547</v>
          </cell>
          <cell r="E659">
            <v>0.66399997472763062</v>
          </cell>
          <cell r="F659">
            <v>9596400</v>
          </cell>
          <cell r="G659">
            <v>95964</v>
          </cell>
          <cell r="H659">
            <v>657</v>
          </cell>
          <cell r="I659">
            <v>4350919.7944729831</v>
          </cell>
        </row>
        <row r="660">
          <cell r="A660">
            <v>45364</v>
          </cell>
          <cell r="B660">
            <v>0.66600000858306885</v>
          </cell>
          <cell r="C660">
            <v>0.66699999570846558</v>
          </cell>
          <cell r="D660">
            <v>0.66100001335144043</v>
          </cell>
          <cell r="E660">
            <v>0.66200000047683716</v>
          </cell>
          <cell r="F660">
            <v>7583700</v>
          </cell>
          <cell r="G660">
            <v>75837</v>
          </cell>
          <cell r="H660">
            <v>658</v>
          </cell>
          <cell r="I660">
            <v>4355832.8342990121</v>
          </cell>
        </row>
        <row r="661">
          <cell r="A661">
            <v>45365</v>
          </cell>
          <cell r="B661">
            <v>0.65799999237060547</v>
          </cell>
          <cell r="C661">
            <v>0.6679999828338623</v>
          </cell>
          <cell r="D661">
            <v>0.65600001811981201</v>
          </cell>
          <cell r="E661">
            <v>0.6589999794960022</v>
          </cell>
          <cell r="F661">
            <v>6283300</v>
          </cell>
          <cell r="G661">
            <v>62833</v>
          </cell>
          <cell r="H661">
            <v>659</v>
          </cell>
          <cell r="I661">
            <v>4358757.6706657819</v>
          </cell>
        </row>
        <row r="662">
          <cell r="A662">
            <v>45366</v>
          </cell>
          <cell r="B662">
            <v>0.65200001001358032</v>
          </cell>
          <cell r="C662">
            <v>0.6600000262260437</v>
          </cell>
          <cell r="D662">
            <v>0.64899998903274536</v>
          </cell>
          <cell r="E662">
            <v>0.6600000262260437</v>
          </cell>
          <cell r="F662">
            <v>8597202</v>
          </cell>
          <cell r="G662">
            <v>85972.0234375</v>
          </cell>
          <cell r="H662">
            <v>660</v>
          </cell>
          <cell r="I662">
            <v>4365179.5560132572</v>
          </cell>
        </row>
        <row r="663">
          <cell r="A663">
            <v>45369</v>
          </cell>
          <cell r="B663">
            <v>0.66500002145767212</v>
          </cell>
          <cell r="C663">
            <v>0.67000001668930054</v>
          </cell>
          <cell r="D663">
            <v>0.66299998760223389</v>
          </cell>
          <cell r="E663">
            <v>0.67000001668930054</v>
          </cell>
          <cell r="F663">
            <v>9510701</v>
          </cell>
          <cell r="G663">
            <v>95107.0078125</v>
          </cell>
          <cell r="H663">
            <v>661</v>
          </cell>
          <cell r="I663">
            <v>4372964.0060041603</v>
          </cell>
        </row>
        <row r="664">
          <cell r="A664">
            <v>45370</v>
          </cell>
          <cell r="B664">
            <v>0.66699999570846558</v>
          </cell>
          <cell r="C664">
            <v>0.67000001668930054</v>
          </cell>
          <cell r="D664">
            <v>0.66399997472763062</v>
          </cell>
          <cell r="E664">
            <v>0.66399997472763062</v>
          </cell>
          <cell r="F664">
            <v>4593200</v>
          </cell>
          <cell r="G664">
            <v>45932</v>
          </cell>
          <cell r="H664">
            <v>662</v>
          </cell>
          <cell r="I664">
            <v>4373296.6887745466</v>
          </cell>
        </row>
        <row r="665">
          <cell r="A665">
            <v>45371</v>
          </cell>
          <cell r="B665">
            <v>0.66600000858306885</v>
          </cell>
          <cell r="C665">
            <v>0.66600000858306885</v>
          </cell>
          <cell r="D665">
            <v>0.66100001335144043</v>
          </cell>
          <cell r="E665">
            <v>0.66299998760223389</v>
          </cell>
          <cell r="F665">
            <v>7983400</v>
          </cell>
          <cell r="G665">
            <v>79834</v>
          </cell>
          <cell r="H665">
            <v>663</v>
          </cell>
          <cell r="I665">
            <v>4378741.7918080697</v>
          </cell>
        </row>
        <row r="666">
          <cell r="A666">
            <v>45372</v>
          </cell>
          <cell r="B666">
            <v>0.66600000858306885</v>
          </cell>
          <cell r="C666">
            <v>0.66600000858306885</v>
          </cell>
          <cell r="D666">
            <v>0.6600000262260437</v>
          </cell>
          <cell r="E666">
            <v>0.6600000262260437</v>
          </cell>
          <cell r="F666">
            <v>9111000</v>
          </cell>
          <cell r="G666">
            <v>91110</v>
          </cell>
          <cell r="H666">
            <v>664</v>
          </cell>
          <cell r="I666">
            <v>4385868.686699925</v>
          </cell>
        </row>
        <row r="667">
          <cell r="A667">
            <v>45373</v>
          </cell>
          <cell r="B667">
            <v>0.65700000524520874</v>
          </cell>
          <cell r="C667">
            <v>0.6589999794960022</v>
          </cell>
          <cell r="D667">
            <v>0.64899998903274536</v>
          </cell>
          <cell r="E667">
            <v>0.65499997138977051</v>
          </cell>
          <cell r="F667">
            <v>9943601</v>
          </cell>
          <cell r="G667">
            <v>99436.0078125</v>
          </cell>
          <cell r="H667">
            <v>665</v>
          </cell>
          <cell r="I667">
            <v>4394226.178900376</v>
          </cell>
        </row>
        <row r="668">
          <cell r="A668">
            <v>45376</v>
          </cell>
          <cell r="B668">
            <v>0.65399998426437378</v>
          </cell>
          <cell r="C668">
            <v>0.65799999237060547</v>
          </cell>
          <cell r="D668">
            <v>0.64600002765655518</v>
          </cell>
          <cell r="E668">
            <v>0.64600002765655518</v>
          </cell>
          <cell r="F668">
            <v>7009100</v>
          </cell>
          <cell r="G668">
            <v>70091</v>
          </cell>
          <cell r="H668">
            <v>666</v>
          </cell>
          <cell r="I668">
            <v>4398152.4158689938</v>
          </cell>
        </row>
        <row r="669">
          <cell r="A669">
            <v>45377</v>
          </cell>
          <cell r="B669">
            <v>0.64999997615814209</v>
          </cell>
          <cell r="C669">
            <v>0.65399998426437378</v>
          </cell>
          <cell r="D669">
            <v>0.64399999380111694</v>
          </cell>
          <cell r="E669">
            <v>0.65200001001358032</v>
          </cell>
          <cell r="F669">
            <v>8737911</v>
          </cell>
          <cell r="G669">
            <v>87379.109375</v>
          </cell>
          <cell r="H669">
            <v>667</v>
          </cell>
          <cell r="I669">
            <v>4404658.8005528487</v>
          </cell>
        </row>
        <row r="670">
          <cell r="A670">
            <v>45378</v>
          </cell>
          <cell r="B670">
            <v>0.6470000147819519</v>
          </cell>
          <cell r="C670">
            <v>0.64800000190734863</v>
          </cell>
          <cell r="D670">
            <v>0.63700002431869507</v>
          </cell>
          <cell r="E670">
            <v>0.63700002431869507</v>
          </cell>
          <cell r="F670">
            <v>8944000</v>
          </cell>
          <cell r="G670">
            <v>89440</v>
          </cell>
          <cell r="H670">
            <v>668</v>
          </cell>
          <cell r="I670">
            <v>4411454.2215101048</v>
          </cell>
        </row>
        <row r="671">
          <cell r="A671">
            <v>45379</v>
          </cell>
          <cell r="B671">
            <v>0.63700002431869507</v>
          </cell>
          <cell r="C671">
            <v>0.65100002288818359</v>
          </cell>
          <cell r="D671">
            <v>0.63599997758865356</v>
          </cell>
          <cell r="E671">
            <v>0.64600002765655518</v>
          </cell>
          <cell r="F671">
            <v>8218500</v>
          </cell>
          <cell r="G671">
            <v>82185</v>
          </cell>
          <cell r="H671">
            <v>669</v>
          </cell>
          <cell r="I671">
            <v>4417144.8728979817</v>
          </cell>
        </row>
        <row r="672">
          <cell r="A672">
            <v>45380</v>
          </cell>
          <cell r="B672">
            <v>0.64499998092651367</v>
          </cell>
          <cell r="C672">
            <v>0.6470000147819519</v>
          </cell>
          <cell r="D672">
            <v>0.64200001955032349</v>
          </cell>
          <cell r="E672">
            <v>0.64600002765655518</v>
          </cell>
          <cell r="F672">
            <v>8545319</v>
          </cell>
          <cell r="G672">
            <v>85453.1875</v>
          </cell>
          <cell r="H672">
            <v>670</v>
          </cell>
          <cell r="I672">
            <v>4423306.3268190296</v>
          </cell>
        </row>
        <row r="673">
          <cell r="A673">
            <v>45383</v>
          </cell>
          <cell r="B673">
            <v>0.64600002765655518</v>
          </cell>
          <cell r="C673">
            <v>0.66399997472763062</v>
          </cell>
          <cell r="D673">
            <v>0.63999998569488525</v>
          </cell>
          <cell r="E673">
            <v>0.66399997472763062</v>
          </cell>
          <cell r="F673">
            <v>9247900</v>
          </cell>
          <cell r="G673">
            <v>92479</v>
          </cell>
          <cell r="H673">
            <v>671</v>
          </cell>
          <cell r="I673">
            <v>4430496.4813245153</v>
          </cell>
        </row>
        <row r="674">
          <cell r="A674">
            <v>45384</v>
          </cell>
          <cell r="B674">
            <v>0.66200000047683716</v>
          </cell>
          <cell r="C674">
            <v>0.66200000047683716</v>
          </cell>
          <cell r="D674">
            <v>0.65799999237060547</v>
          </cell>
          <cell r="E674">
            <v>0.6600000262260437</v>
          </cell>
          <cell r="F674">
            <v>8738600</v>
          </cell>
          <cell r="G674">
            <v>87386</v>
          </cell>
          <cell r="H674">
            <v>672</v>
          </cell>
          <cell r="I674">
            <v>4436907.3496558778</v>
          </cell>
        </row>
        <row r="675">
          <cell r="A675">
            <v>45385</v>
          </cell>
          <cell r="B675">
            <v>0.65600001811981201</v>
          </cell>
          <cell r="C675">
            <v>0.6600000262260437</v>
          </cell>
          <cell r="D675">
            <v>0.65399998426437378</v>
          </cell>
          <cell r="E675">
            <v>0.65799999237060547</v>
          </cell>
          <cell r="F675">
            <v>16424300</v>
          </cell>
          <cell r="G675">
            <v>164243</v>
          </cell>
          <cell r="H675">
            <v>673</v>
          </cell>
          <cell r="I675">
            <v>4454719.2258079499</v>
          </cell>
        </row>
        <row r="676">
          <cell r="A676">
            <v>45390</v>
          </cell>
          <cell r="B676">
            <v>0.65200001001358032</v>
          </cell>
          <cell r="C676">
            <v>0.65600001811981201</v>
          </cell>
          <cell r="D676">
            <v>0.6470000147819519</v>
          </cell>
          <cell r="E676">
            <v>0.6470000147819519</v>
          </cell>
          <cell r="F676">
            <v>16469700</v>
          </cell>
          <cell r="G676">
            <v>164697</v>
          </cell>
          <cell r="H676">
            <v>674</v>
          </cell>
          <cell r="I676">
            <v>4472545.6067785611</v>
          </cell>
        </row>
        <row r="677">
          <cell r="A677">
            <v>45391</v>
          </cell>
          <cell r="B677">
            <v>0.64399999380111694</v>
          </cell>
          <cell r="C677">
            <v>0.64999997615814209</v>
          </cell>
          <cell r="D677">
            <v>0.64399999380111694</v>
          </cell>
          <cell r="E677">
            <v>0.64899998903274536</v>
          </cell>
          <cell r="F677">
            <v>728100</v>
          </cell>
          <cell r="G677">
            <v>7281</v>
          </cell>
          <cell r="H677">
            <v>675</v>
          </cell>
          <cell r="I677">
            <v>4466998.2799537033</v>
          </cell>
        </row>
        <row r="678">
          <cell r="A678">
            <v>45392</v>
          </cell>
          <cell r="B678">
            <v>0.64899998903274536</v>
          </cell>
          <cell r="C678">
            <v>0.64899998903274536</v>
          </cell>
          <cell r="D678">
            <v>0.63700002431869507</v>
          </cell>
          <cell r="E678">
            <v>0.63899999856948853</v>
          </cell>
          <cell r="F678">
            <v>6117912</v>
          </cell>
          <cell r="G678">
            <v>61179.12109375</v>
          </cell>
          <cell r="H678">
            <v>676</v>
          </cell>
          <cell r="I678">
            <v>4469440.4600129435</v>
          </cell>
        </row>
        <row r="679">
          <cell r="A679">
            <v>45393</v>
          </cell>
          <cell r="B679">
            <v>0.63899999856948853</v>
          </cell>
          <cell r="C679">
            <v>0.64300000667572021</v>
          </cell>
          <cell r="D679">
            <v>0.6380000114440918</v>
          </cell>
          <cell r="E679">
            <v>0.63999998569488525</v>
          </cell>
          <cell r="F679">
            <v>1937000</v>
          </cell>
          <cell r="G679">
            <v>19370</v>
          </cell>
          <cell r="H679">
            <v>677</v>
          </cell>
          <cell r="I679">
            <v>4465699.7798652146</v>
          </cell>
        </row>
        <row r="680">
          <cell r="A680">
            <v>45394</v>
          </cell>
          <cell r="B680">
            <v>0.64099997282028198</v>
          </cell>
          <cell r="C680">
            <v>0.64099997282028198</v>
          </cell>
          <cell r="D680">
            <v>0.63400000333786011</v>
          </cell>
          <cell r="E680">
            <v>0.63400000333786011</v>
          </cell>
          <cell r="F680">
            <v>7925000</v>
          </cell>
          <cell r="G680">
            <v>79250</v>
          </cell>
          <cell r="H680">
            <v>678</v>
          </cell>
          <cell r="I680">
            <v>4470801.9925792776</v>
          </cell>
        </row>
        <row r="681">
          <cell r="A681">
            <v>45397</v>
          </cell>
          <cell r="B681">
            <v>0.64200001955032349</v>
          </cell>
          <cell r="C681">
            <v>0.64800000190734863</v>
          </cell>
          <cell r="D681">
            <v>0.63599997758865356</v>
          </cell>
          <cell r="E681">
            <v>0.64600002765655518</v>
          </cell>
          <cell r="F681">
            <v>8349600</v>
          </cell>
          <cell r="G681">
            <v>83496</v>
          </cell>
          <cell r="H681">
            <v>679</v>
          </cell>
          <cell r="I681">
            <v>4476514.5080541233</v>
          </cell>
        </row>
        <row r="682">
          <cell r="A682">
            <v>45398</v>
          </cell>
          <cell r="B682">
            <v>0.64300000667572021</v>
          </cell>
          <cell r="C682">
            <v>0.6470000147819519</v>
          </cell>
          <cell r="D682">
            <v>0.63700002431869507</v>
          </cell>
          <cell r="E682">
            <v>0.6380000114440918</v>
          </cell>
          <cell r="F682">
            <v>9089702</v>
          </cell>
          <cell r="G682">
            <v>90897.0234375</v>
          </cell>
          <cell r="H682">
            <v>680</v>
          </cell>
          <cell r="I682">
            <v>4483298.6073069852</v>
          </cell>
        </row>
        <row r="683">
          <cell r="A683">
            <v>45399</v>
          </cell>
          <cell r="B683">
            <v>0.6380000114440918</v>
          </cell>
          <cell r="C683">
            <v>0.64999997615814209</v>
          </cell>
          <cell r="D683">
            <v>0.6380000114440918</v>
          </cell>
          <cell r="E683">
            <v>0.64899998903274536</v>
          </cell>
          <cell r="F683">
            <v>9119901</v>
          </cell>
          <cell r="G683">
            <v>91199.0078125</v>
          </cell>
          <cell r="H683">
            <v>681</v>
          </cell>
          <cell r="I683">
            <v>4490107.1277074153</v>
          </cell>
        </row>
        <row r="684">
          <cell r="A684">
            <v>45400</v>
          </cell>
          <cell r="B684">
            <v>0.64600002765655518</v>
          </cell>
          <cell r="C684">
            <v>0.65499997138977051</v>
          </cell>
          <cell r="D684">
            <v>0.64600002765655518</v>
          </cell>
          <cell r="E684">
            <v>0.64899998903274536</v>
          </cell>
          <cell r="F684">
            <v>8730900</v>
          </cell>
          <cell r="G684">
            <v>87309</v>
          </cell>
          <cell r="H684">
            <v>682</v>
          </cell>
          <cell r="I684">
            <v>4496325.2990744133</v>
          </cell>
        </row>
        <row r="685">
          <cell r="A685">
            <v>45401</v>
          </cell>
          <cell r="B685">
            <v>0.64899998903274536</v>
          </cell>
          <cell r="C685">
            <v>0.64899998903274536</v>
          </cell>
          <cell r="D685">
            <v>0.63499999046325684</v>
          </cell>
          <cell r="E685">
            <v>0.63999998569488525</v>
          </cell>
          <cell r="F685">
            <v>7076000</v>
          </cell>
          <cell r="G685">
            <v>70760</v>
          </cell>
          <cell r="H685">
            <v>683</v>
          </cell>
          <cell r="I685">
            <v>4500102.2752104681</v>
          </cell>
        </row>
        <row r="686">
          <cell r="A686">
            <v>45404</v>
          </cell>
          <cell r="B686">
            <v>0.6380000114440918</v>
          </cell>
          <cell r="C686">
            <v>0.64300000667572021</v>
          </cell>
          <cell r="D686">
            <v>0.63700002431869507</v>
          </cell>
          <cell r="E686">
            <v>0.6380000114440918</v>
          </cell>
          <cell r="F686">
            <v>7219300</v>
          </cell>
          <cell r="G686">
            <v>72193</v>
          </cell>
          <cell r="H686">
            <v>684</v>
          </cell>
          <cell r="I686">
            <v>4504077.7104806285</v>
          </cell>
        </row>
        <row r="687">
          <cell r="A687">
            <v>45405</v>
          </cell>
          <cell r="B687">
            <v>0.63899999856948853</v>
          </cell>
          <cell r="C687">
            <v>0.64099997282028198</v>
          </cell>
          <cell r="D687">
            <v>0.62900000810623169</v>
          </cell>
          <cell r="E687">
            <v>0.63499999046325684</v>
          </cell>
          <cell r="F687">
            <v>8243300</v>
          </cell>
          <cell r="G687">
            <v>82433</v>
          </cell>
          <cell r="H687">
            <v>685</v>
          </cell>
          <cell r="I687">
            <v>4509536.4291514596</v>
          </cell>
        </row>
        <row r="688">
          <cell r="A688">
            <v>45406</v>
          </cell>
          <cell r="B688">
            <v>0.63400000333786011</v>
          </cell>
          <cell r="C688">
            <v>0.63700002431869507</v>
          </cell>
          <cell r="D688">
            <v>0.62999999523162842</v>
          </cell>
          <cell r="E688">
            <v>0.63599997758865356</v>
          </cell>
          <cell r="F688">
            <v>4167401.25</v>
          </cell>
          <cell r="G688">
            <v>41674.01171875</v>
          </cell>
          <cell r="H688">
            <v>686</v>
          </cell>
          <cell r="I688">
            <v>4509037.6898232503</v>
          </cell>
        </row>
        <row r="689">
          <cell r="A689">
            <v>45407</v>
          </cell>
          <cell r="B689">
            <v>0.63300001621246338</v>
          </cell>
          <cell r="C689">
            <v>0.64200001955032349</v>
          </cell>
          <cell r="D689">
            <v>0.63200002908706665</v>
          </cell>
          <cell r="E689">
            <v>0.63700002431869507</v>
          </cell>
          <cell r="F689">
            <v>1688207</v>
          </cell>
          <cell r="G689">
            <v>16882.0703125</v>
          </cell>
          <cell r="H689">
            <v>687</v>
          </cell>
          <cell r="I689">
            <v>4504931.6771743083</v>
          </cell>
        </row>
        <row r="690">
          <cell r="A690">
            <v>45408</v>
          </cell>
          <cell r="B690">
            <v>0.64300000667572021</v>
          </cell>
          <cell r="C690">
            <v>0.65200001001358032</v>
          </cell>
          <cell r="D690">
            <v>0.64099997282028198</v>
          </cell>
          <cell r="E690">
            <v>0.65200001001358032</v>
          </cell>
          <cell r="F690">
            <v>3923000</v>
          </cell>
          <cell r="G690">
            <v>39230</v>
          </cell>
          <cell r="H690">
            <v>688</v>
          </cell>
          <cell r="I690">
            <v>4504085.8462481834</v>
          </cell>
        </row>
        <row r="691">
          <cell r="A691">
            <v>45411</v>
          </cell>
          <cell r="B691">
            <v>0.64999997615814209</v>
          </cell>
          <cell r="C691">
            <v>0.67299997806549072</v>
          </cell>
          <cell r="D691">
            <v>0.64999997615814209</v>
          </cell>
          <cell r="E691">
            <v>0.66900002956390381</v>
          </cell>
          <cell r="F691">
            <v>4791402</v>
          </cell>
          <cell r="G691">
            <v>47914.01953125</v>
          </cell>
          <cell r="H691">
            <v>689</v>
          </cell>
          <cell r="I691">
            <v>4504502.8508254718</v>
          </cell>
        </row>
        <row r="692">
          <cell r="A692">
            <v>45412</v>
          </cell>
          <cell r="B692">
            <v>0.66699999570846558</v>
          </cell>
          <cell r="C692">
            <v>0.66900002956390381</v>
          </cell>
          <cell r="D692">
            <v>0.66399997472763062</v>
          </cell>
          <cell r="E692">
            <v>0.66399997472763062</v>
          </cell>
          <cell r="F692">
            <v>5195700</v>
          </cell>
          <cell r="G692">
            <v>51957</v>
          </cell>
          <cell r="H692">
            <v>690</v>
          </cell>
          <cell r="I692">
            <v>4505504.5858242754</v>
          </cell>
        </row>
        <row r="693">
          <cell r="A693">
            <v>45418</v>
          </cell>
          <cell r="B693">
            <v>0.67000001668930054</v>
          </cell>
          <cell r="C693">
            <v>0.68000000715255737</v>
          </cell>
          <cell r="D693">
            <v>0.67000001668930054</v>
          </cell>
          <cell r="E693">
            <v>0.68000000715255737</v>
          </cell>
          <cell r="F693">
            <v>8195301</v>
          </cell>
          <cell r="G693">
            <v>81953.0078125</v>
          </cell>
          <cell r="H693">
            <v>691</v>
          </cell>
          <cell r="I693">
            <v>4510844.3780300291</v>
          </cell>
        </row>
        <row r="694">
          <cell r="A694">
            <v>45419</v>
          </cell>
          <cell r="B694">
            <v>0.68000000715255737</v>
          </cell>
          <cell r="C694">
            <v>0.68300002813339233</v>
          </cell>
          <cell r="D694">
            <v>0.67299997806549072</v>
          </cell>
          <cell r="E694">
            <v>0.67400002479553223</v>
          </cell>
          <cell r="F694">
            <v>8909300</v>
          </cell>
          <cell r="G694">
            <v>89093</v>
          </cell>
          <cell r="H694">
            <v>692</v>
          </cell>
          <cell r="I694">
            <v>4517200.52777276</v>
          </cell>
        </row>
        <row r="695">
          <cell r="A695">
            <v>45420</v>
          </cell>
          <cell r="B695">
            <v>0.6679999828338623</v>
          </cell>
          <cell r="C695">
            <v>0.67199999094009399</v>
          </cell>
          <cell r="D695">
            <v>0.66399997472763062</v>
          </cell>
          <cell r="E695">
            <v>0.66600000858306885</v>
          </cell>
          <cell r="F695">
            <v>6778700</v>
          </cell>
          <cell r="G695">
            <v>67787</v>
          </cell>
          <cell r="H695">
            <v>693</v>
          </cell>
          <cell r="I695">
            <v>4520463.8747745315</v>
          </cell>
        </row>
        <row r="696">
          <cell r="A696">
            <v>45421</v>
          </cell>
          <cell r="B696">
            <v>0.66900002956390381</v>
          </cell>
          <cell r="C696">
            <v>0.67799997329711914</v>
          </cell>
          <cell r="D696">
            <v>0.6679999828338623</v>
          </cell>
          <cell r="E696">
            <v>0.67599999904632568</v>
          </cell>
          <cell r="F696">
            <v>10373100</v>
          </cell>
          <cell r="G696">
            <v>103731</v>
          </cell>
          <cell r="H696">
            <v>694</v>
          </cell>
          <cell r="I696">
            <v>4528897.0680385446</v>
          </cell>
        </row>
        <row r="697">
          <cell r="A697">
            <v>45422</v>
          </cell>
          <cell r="B697">
            <v>0.67199999094009399</v>
          </cell>
          <cell r="C697">
            <v>0.67599999904632568</v>
          </cell>
          <cell r="D697">
            <v>0.66699999570846558</v>
          </cell>
          <cell r="E697">
            <v>0.67000001668930054</v>
          </cell>
          <cell r="F697">
            <v>10443000</v>
          </cell>
          <cell r="G697">
            <v>104430</v>
          </cell>
          <cell r="H697">
            <v>695</v>
          </cell>
          <cell r="I697">
            <v>4537406.5686600721</v>
          </cell>
        </row>
        <row r="698">
          <cell r="A698">
            <v>45425</v>
          </cell>
          <cell r="B698">
            <v>0.66299998760223389</v>
          </cell>
          <cell r="C698">
            <v>0.67100000381469727</v>
          </cell>
          <cell r="D698">
            <v>0.66200000047683716</v>
          </cell>
          <cell r="E698">
            <v>0.66600000858306885</v>
          </cell>
          <cell r="F698">
            <v>9810500</v>
          </cell>
          <cell r="G698">
            <v>98105</v>
          </cell>
          <cell r="H698">
            <v>696</v>
          </cell>
          <cell r="I698">
            <v>4544982.8523257906</v>
          </cell>
        </row>
        <row r="699">
          <cell r="A699">
            <v>45426</v>
          </cell>
          <cell r="B699">
            <v>0.67000001668930054</v>
          </cell>
          <cell r="C699">
            <v>0.67199999094009399</v>
          </cell>
          <cell r="D699">
            <v>0.66299998760223389</v>
          </cell>
          <cell r="E699">
            <v>0.66500002145767212</v>
          </cell>
          <cell r="F699">
            <v>12997100</v>
          </cell>
          <cell r="G699">
            <v>129971</v>
          </cell>
          <cell r="H699">
            <v>697</v>
          </cell>
          <cell r="I699">
            <v>4557109.2757801292</v>
          </cell>
        </row>
        <row r="700">
          <cell r="A700">
            <v>45427</v>
          </cell>
          <cell r="B700">
            <v>0.66600000858306885</v>
          </cell>
          <cell r="C700">
            <v>0.66699999570846558</v>
          </cell>
          <cell r="D700">
            <v>0.66100001335144043</v>
          </cell>
          <cell r="E700">
            <v>0.66200000047683716</v>
          </cell>
          <cell r="F700">
            <v>6398400</v>
          </cell>
          <cell r="G700">
            <v>63984</v>
          </cell>
          <cell r="H700">
            <v>698</v>
          </cell>
          <cell r="I700">
            <v>4559747.228107092</v>
          </cell>
        </row>
        <row r="701">
          <cell r="A701">
            <v>45428</v>
          </cell>
          <cell r="B701">
            <v>0.65799999237060547</v>
          </cell>
          <cell r="C701">
            <v>0.66900002956390381</v>
          </cell>
          <cell r="D701">
            <v>0.65799999237060547</v>
          </cell>
          <cell r="E701">
            <v>0.66399997472763062</v>
          </cell>
          <cell r="F701">
            <v>9605490</v>
          </cell>
          <cell r="G701">
            <v>96054.8984375</v>
          </cell>
          <cell r="H701">
            <v>699</v>
          </cell>
          <cell r="I701">
            <v>4566965.7442328325</v>
          </cell>
        </row>
        <row r="702">
          <cell r="A702">
            <v>45429</v>
          </cell>
          <cell r="B702">
            <v>0.66299998760223389</v>
          </cell>
          <cell r="C702">
            <v>0.66600000858306885</v>
          </cell>
          <cell r="D702">
            <v>0.6589999794960022</v>
          </cell>
          <cell r="E702">
            <v>0.66600000858306885</v>
          </cell>
          <cell r="F702">
            <v>6779702.5</v>
          </cell>
          <cell r="G702">
            <v>67797.0234375</v>
          </cell>
          <cell r="H702">
            <v>700</v>
          </cell>
          <cell r="I702">
            <v>4570126.7967410712</v>
          </cell>
        </row>
        <row r="703">
          <cell r="A703">
            <v>45432</v>
          </cell>
          <cell r="B703">
            <v>0.6679999828338623</v>
          </cell>
          <cell r="C703">
            <v>0.67100000381469727</v>
          </cell>
          <cell r="D703">
            <v>0.66500002145767212</v>
          </cell>
          <cell r="E703">
            <v>0.6679999828338623</v>
          </cell>
          <cell r="F703">
            <v>8507600</v>
          </cell>
          <cell r="G703">
            <v>85076</v>
          </cell>
          <cell r="H703">
            <v>701</v>
          </cell>
          <cell r="I703">
            <v>4575743.7342635524</v>
          </cell>
        </row>
        <row r="704">
          <cell r="A704">
            <v>45433</v>
          </cell>
          <cell r="B704">
            <v>0.66699999570846558</v>
          </cell>
          <cell r="C704">
            <v>0.66699999570846558</v>
          </cell>
          <cell r="D704">
            <v>0.66200000047683716</v>
          </cell>
          <cell r="E704">
            <v>0.66299998760223389</v>
          </cell>
          <cell r="F704">
            <v>6708800</v>
          </cell>
          <cell r="G704">
            <v>67088</v>
          </cell>
          <cell r="H704">
            <v>702</v>
          </cell>
          <cell r="I704">
            <v>4578782.2759526353</v>
          </cell>
        </row>
        <row r="705">
          <cell r="A705">
            <v>45434</v>
          </cell>
          <cell r="B705">
            <v>0.66299998760223389</v>
          </cell>
          <cell r="C705">
            <v>0.67000001668930054</v>
          </cell>
          <cell r="D705">
            <v>0.66200000047683716</v>
          </cell>
          <cell r="E705">
            <v>0.66900002956390381</v>
          </cell>
          <cell r="F705">
            <v>8331500</v>
          </cell>
          <cell r="G705">
            <v>83315</v>
          </cell>
          <cell r="H705">
            <v>703</v>
          </cell>
          <cell r="I705">
            <v>4584120.4234975111</v>
          </cell>
        </row>
        <row r="706">
          <cell r="A706">
            <v>45435</v>
          </cell>
          <cell r="B706">
            <v>0.66699999570846558</v>
          </cell>
          <cell r="C706">
            <v>0.66699999570846558</v>
          </cell>
          <cell r="D706">
            <v>0.6589999794960022</v>
          </cell>
          <cell r="E706">
            <v>0.6600000262260437</v>
          </cell>
          <cell r="F706">
            <v>4191901.25</v>
          </cell>
          <cell r="G706">
            <v>41919.01171875</v>
          </cell>
          <cell r="H706">
            <v>704</v>
          </cell>
          <cell r="I706">
            <v>4583563.2939897021</v>
          </cell>
        </row>
        <row r="707">
          <cell r="A707">
            <v>45436</v>
          </cell>
          <cell r="B707">
            <v>0.65799999237060547</v>
          </cell>
          <cell r="C707">
            <v>0.66200000047683716</v>
          </cell>
          <cell r="D707">
            <v>0.65100002288818359</v>
          </cell>
          <cell r="E707">
            <v>0.65200001001358032</v>
          </cell>
          <cell r="F707">
            <v>5598501</v>
          </cell>
          <cell r="G707">
            <v>55985.01171875</v>
          </cell>
          <cell r="H707">
            <v>705</v>
          </cell>
          <cell r="I707">
            <v>4585002.921941489</v>
          </cell>
        </row>
        <row r="708">
          <cell r="A708">
            <v>45439</v>
          </cell>
          <cell r="B708">
            <v>0.65399998426437378</v>
          </cell>
          <cell r="C708">
            <v>0.65600001811981201</v>
          </cell>
          <cell r="D708">
            <v>0.64899998903274536</v>
          </cell>
          <cell r="E708">
            <v>0.65600001811981201</v>
          </cell>
          <cell r="F708">
            <v>6298900</v>
          </cell>
          <cell r="G708">
            <v>62989</v>
          </cell>
          <cell r="H708">
            <v>706</v>
          </cell>
          <cell r="I708">
            <v>4587430.5381993623</v>
          </cell>
        </row>
        <row r="709">
          <cell r="A709">
            <v>45440</v>
          </cell>
          <cell r="B709">
            <v>0.65399998426437378</v>
          </cell>
          <cell r="C709">
            <v>0.65399998426437378</v>
          </cell>
          <cell r="D709">
            <v>0.6470000147819519</v>
          </cell>
          <cell r="E709">
            <v>0.64800000190734863</v>
          </cell>
          <cell r="F709">
            <v>7606403</v>
          </cell>
          <cell r="G709">
            <v>76064.03125</v>
          </cell>
          <cell r="H709">
            <v>707</v>
          </cell>
          <cell r="I709">
            <v>4591700.6548355725</v>
          </cell>
        </row>
        <row r="710">
          <cell r="A710">
            <v>45441</v>
          </cell>
          <cell r="B710">
            <v>0.65299999713897705</v>
          </cell>
          <cell r="C710">
            <v>0.65399998426437378</v>
          </cell>
          <cell r="D710">
            <v>0.64899998903274536</v>
          </cell>
          <cell r="E710">
            <v>0.64999997615814209</v>
          </cell>
          <cell r="F710">
            <v>9143600</v>
          </cell>
          <cell r="G710">
            <v>91436</v>
          </cell>
          <cell r="H710">
            <v>708</v>
          </cell>
          <cell r="I710">
            <v>4598129.891198799</v>
          </cell>
        </row>
        <row r="711">
          <cell r="A711">
            <v>45442</v>
          </cell>
          <cell r="B711">
            <v>0.64899998903274536</v>
          </cell>
          <cell r="C711">
            <v>0.65399998426437378</v>
          </cell>
          <cell r="D711">
            <v>0.64899998903274536</v>
          </cell>
          <cell r="E711">
            <v>0.65200001001358032</v>
          </cell>
          <cell r="F711">
            <v>8721807</v>
          </cell>
          <cell r="G711">
            <v>87218.0703125</v>
          </cell>
          <cell r="H711">
            <v>709</v>
          </cell>
          <cell r="I711">
            <v>4603946.0789404092</v>
          </cell>
        </row>
        <row r="712">
          <cell r="A712">
            <v>45443</v>
          </cell>
          <cell r="B712">
            <v>0.65399998426437378</v>
          </cell>
          <cell r="C712">
            <v>0.65700000524520874</v>
          </cell>
          <cell r="D712">
            <v>0.64999997615814209</v>
          </cell>
          <cell r="E712">
            <v>0.64999997615814209</v>
          </cell>
          <cell r="F712">
            <v>6567000</v>
          </cell>
          <cell r="G712">
            <v>65670</v>
          </cell>
          <cell r="H712">
            <v>710</v>
          </cell>
          <cell r="I712">
            <v>4606710.9436179576</v>
          </cell>
        </row>
        <row r="713">
          <cell r="A713">
            <v>45446</v>
          </cell>
          <cell r="B713">
            <v>0.64800000190734863</v>
          </cell>
          <cell r="C713">
            <v>0.65700000524520874</v>
          </cell>
          <cell r="D713">
            <v>0.64600002765655518</v>
          </cell>
          <cell r="E713">
            <v>0.65399998426437378</v>
          </cell>
          <cell r="F713">
            <v>8643300</v>
          </cell>
          <cell r="G713">
            <v>86433</v>
          </cell>
          <cell r="H713">
            <v>711</v>
          </cell>
          <cell r="I713">
            <v>4612388.2840629397</v>
          </cell>
        </row>
        <row r="714">
          <cell r="A714">
            <v>45447</v>
          </cell>
          <cell r="B714">
            <v>0.65399998426437378</v>
          </cell>
          <cell r="C714">
            <v>0.66299998760223389</v>
          </cell>
          <cell r="D714">
            <v>0.65200001001358032</v>
          </cell>
          <cell r="E714">
            <v>0.66200000047683716</v>
          </cell>
          <cell r="F714">
            <v>10209700</v>
          </cell>
          <cell r="G714">
            <v>102097</v>
          </cell>
          <cell r="H714">
            <v>712</v>
          </cell>
          <cell r="I714">
            <v>4620249.6769224014</v>
          </cell>
        </row>
        <row r="715">
          <cell r="A715">
            <v>45448</v>
          </cell>
          <cell r="B715">
            <v>0.66100001335144043</v>
          </cell>
          <cell r="C715">
            <v>0.66699999570846558</v>
          </cell>
          <cell r="D715">
            <v>0.6589999794960022</v>
          </cell>
          <cell r="E715">
            <v>0.6589999794960022</v>
          </cell>
          <cell r="F715">
            <v>7692509.5</v>
          </cell>
          <cell r="G715">
            <v>76925.09375</v>
          </cell>
          <cell r="H715">
            <v>713</v>
          </cell>
          <cell r="I715">
            <v>4624558.5967303645</v>
          </cell>
        </row>
        <row r="716">
          <cell r="A716">
            <v>45449</v>
          </cell>
          <cell r="B716">
            <v>0.6589999794960022</v>
          </cell>
          <cell r="C716">
            <v>0.66600000858306885</v>
          </cell>
          <cell r="D716">
            <v>0.65799999237060547</v>
          </cell>
          <cell r="E716">
            <v>0.65799999237060547</v>
          </cell>
          <cell r="F716">
            <v>5600600</v>
          </cell>
          <cell r="G716">
            <v>56006</v>
          </cell>
          <cell r="H716">
            <v>714</v>
          </cell>
          <cell r="I716">
            <v>4625925.6014968483</v>
          </cell>
        </row>
        <row r="717">
          <cell r="A717">
            <v>45450</v>
          </cell>
          <cell r="B717">
            <v>0.66900002956390381</v>
          </cell>
          <cell r="C717">
            <v>0.66900002956390381</v>
          </cell>
          <cell r="D717">
            <v>0.64200001955032349</v>
          </cell>
          <cell r="E717">
            <v>0.64999997615814209</v>
          </cell>
          <cell r="F717">
            <v>6978200</v>
          </cell>
          <cell r="G717">
            <v>69782</v>
          </cell>
          <cell r="H717">
            <v>715</v>
          </cell>
          <cell r="I717">
            <v>4629215.4957604893</v>
          </cell>
        </row>
        <row r="718">
          <cell r="A718">
            <v>45454</v>
          </cell>
          <cell r="B718">
            <v>0.64600002765655518</v>
          </cell>
          <cell r="C718">
            <v>0.65100002288818359</v>
          </cell>
          <cell r="D718">
            <v>0.64300000667572021</v>
          </cell>
          <cell r="E718">
            <v>0.64999997615814209</v>
          </cell>
          <cell r="F718">
            <v>7925500</v>
          </cell>
          <cell r="G718">
            <v>79255</v>
          </cell>
          <cell r="H718">
            <v>716</v>
          </cell>
          <cell r="I718">
            <v>4633819.2450680863</v>
          </cell>
        </row>
        <row r="719">
          <cell r="A719">
            <v>45455</v>
          </cell>
          <cell r="B719">
            <v>0.64899998903274536</v>
          </cell>
          <cell r="C719">
            <v>0.65299999713897705</v>
          </cell>
          <cell r="D719">
            <v>0.64899998903274536</v>
          </cell>
          <cell r="E719">
            <v>0.64999997615814209</v>
          </cell>
          <cell r="F719">
            <v>7330306</v>
          </cell>
          <cell r="G719">
            <v>73303.0625</v>
          </cell>
          <cell r="H719">
            <v>717</v>
          </cell>
          <cell r="I719">
            <v>4637580.0355212688</v>
          </cell>
        </row>
        <row r="720">
          <cell r="A720">
            <v>45456</v>
          </cell>
          <cell r="B720">
            <v>0.65100002288818359</v>
          </cell>
          <cell r="C720">
            <v>0.65600001811981201</v>
          </cell>
          <cell r="D720">
            <v>0.64800000190734863</v>
          </cell>
          <cell r="E720">
            <v>0.64899998903274536</v>
          </cell>
          <cell r="F720">
            <v>6396090</v>
          </cell>
          <cell r="G720">
            <v>63960.8984375</v>
          </cell>
          <cell r="H720">
            <v>718</v>
          </cell>
          <cell r="I720">
            <v>4640029.2137447773</v>
          </cell>
        </row>
        <row r="721">
          <cell r="A721">
            <v>45457</v>
          </cell>
          <cell r="B721">
            <v>0.6470000147819519</v>
          </cell>
          <cell r="C721">
            <v>0.65600001811981201</v>
          </cell>
          <cell r="D721">
            <v>0.64499998092651367</v>
          </cell>
          <cell r="E721">
            <v>0.65600001811981201</v>
          </cell>
          <cell r="F721">
            <v>9069805</v>
          </cell>
          <cell r="G721">
            <v>90698.046875</v>
          </cell>
          <cell r="H721">
            <v>719</v>
          </cell>
          <cell r="I721">
            <v>4646190.2370914463</v>
          </cell>
        </row>
        <row r="722">
          <cell r="A722">
            <v>45460</v>
          </cell>
          <cell r="B722">
            <v>0.65200001001358032</v>
          </cell>
          <cell r="C722">
            <v>0.6600000262260437</v>
          </cell>
          <cell r="D722">
            <v>0.65200001001358032</v>
          </cell>
          <cell r="E722">
            <v>0.65799999237060547</v>
          </cell>
          <cell r="F722">
            <v>7950501</v>
          </cell>
          <cell r="G722">
            <v>79505.0078125</v>
          </cell>
          <cell r="H722">
            <v>720</v>
          </cell>
          <cell r="I722">
            <v>4650779.5575954858</v>
          </cell>
        </row>
        <row r="723">
          <cell r="A723">
            <v>45461</v>
          </cell>
          <cell r="B723">
            <v>0.6600000262260437</v>
          </cell>
          <cell r="C723">
            <v>0.66299998760223389</v>
          </cell>
          <cell r="D723">
            <v>0.6589999794960022</v>
          </cell>
          <cell r="E723">
            <v>0.66100001335144043</v>
          </cell>
          <cell r="F723">
            <v>9485400</v>
          </cell>
          <cell r="G723">
            <v>94854</v>
          </cell>
          <cell r="H723">
            <v>721</v>
          </cell>
          <cell r="I723">
            <v>4657484.9951022882</v>
          </cell>
        </row>
        <row r="724">
          <cell r="A724">
            <v>45462</v>
          </cell>
          <cell r="B724">
            <v>0.66299998760223389</v>
          </cell>
          <cell r="C724">
            <v>0.66299998760223389</v>
          </cell>
          <cell r="D724">
            <v>0.65600001811981201</v>
          </cell>
          <cell r="E724">
            <v>0.65700000524520874</v>
          </cell>
          <cell r="F724">
            <v>5104400</v>
          </cell>
          <cell r="G724">
            <v>51044</v>
          </cell>
          <cell r="H724">
            <v>722</v>
          </cell>
          <cell r="I724">
            <v>4658103.9909539474</v>
          </cell>
        </row>
        <row r="725">
          <cell r="A725">
            <v>45463</v>
          </cell>
          <cell r="B725">
            <v>0.65399998426437378</v>
          </cell>
          <cell r="C725">
            <v>0.65399998426437378</v>
          </cell>
          <cell r="D725">
            <v>0.6470000147819519</v>
          </cell>
          <cell r="E725">
            <v>0.6470000147819519</v>
          </cell>
          <cell r="F725">
            <v>6829700</v>
          </cell>
          <cell r="G725">
            <v>68297</v>
          </cell>
          <cell r="H725">
            <v>723</v>
          </cell>
          <cell r="I725">
            <v>4661107.5815612031</v>
          </cell>
        </row>
        <row r="726">
          <cell r="A726">
            <v>45464</v>
          </cell>
          <cell r="B726">
            <v>0.64600002765655518</v>
          </cell>
          <cell r="C726">
            <v>0.64800000190734863</v>
          </cell>
          <cell r="D726">
            <v>0.64200001955032349</v>
          </cell>
          <cell r="E726">
            <v>0.6470000147819519</v>
          </cell>
          <cell r="F726">
            <v>8226100</v>
          </cell>
          <cell r="G726">
            <v>82261</v>
          </cell>
          <cell r="H726">
            <v>724</v>
          </cell>
          <cell r="I726">
            <v>4666031.6042386051</v>
          </cell>
        </row>
        <row r="727">
          <cell r="A727">
            <v>45467</v>
          </cell>
          <cell r="B727">
            <v>0.64399999380111694</v>
          </cell>
          <cell r="C727">
            <v>0.6470000147819519</v>
          </cell>
          <cell r="D727">
            <v>0.63899999856948853</v>
          </cell>
          <cell r="E727">
            <v>0.63899999856948853</v>
          </cell>
          <cell r="F727">
            <v>9455300</v>
          </cell>
          <cell r="G727">
            <v>94553</v>
          </cell>
          <cell r="H727">
            <v>725</v>
          </cell>
          <cell r="I727">
            <v>4672637.4916810347</v>
          </cell>
        </row>
        <row r="728">
          <cell r="A728">
            <v>45468</v>
          </cell>
          <cell r="B728">
            <v>0.63499999046325684</v>
          </cell>
          <cell r="C728">
            <v>0.65100002288818359</v>
          </cell>
          <cell r="D728">
            <v>0.63200002908706665</v>
          </cell>
          <cell r="E728">
            <v>0.63400000333786011</v>
          </cell>
          <cell r="F728">
            <v>7340807</v>
          </cell>
          <cell r="G728">
            <v>73408.0703125</v>
          </cell>
          <cell r="H728">
            <v>726</v>
          </cell>
          <cell r="I728">
            <v>4676312.6562930439</v>
          </cell>
        </row>
        <row r="729">
          <cell r="A729">
            <v>45469</v>
          </cell>
          <cell r="B729">
            <v>0.63499999046325684</v>
          </cell>
          <cell r="C729">
            <v>0.64300000667572021</v>
          </cell>
          <cell r="D729">
            <v>0.63300001621246338</v>
          </cell>
          <cell r="E729">
            <v>0.64200001955032349</v>
          </cell>
          <cell r="F729">
            <v>3352000</v>
          </cell>
          <cell r="G729">
            <v>33520</v>
          </cell>
          <cell r="H729">
            <v>727</v>
          </cell>
          <cell r="I729">
            <v>4674491.0432857638</v>
          </cell>
        </row>
        <row r="730">
          <cell r="A730">
            <v>45470</v>
          </cell>
          <cell r="B730">
            <v>0.63899999856948853</v>
          </cell>
          <cell r="C730">
            <v>0.63999998569488525</v>
          </cell>
          <cell r="D730">
            <v>0.63499999046325684</v>
          </cell>
          <cell r="E730">
            <v>0.63499999046325684</v>
          </cell>
          <cell r="F730">
            <v>8155900</v>
          </cell>
          <cell r="G730">
            <v>81559</v>
          </cell>
          <cell r="H730">
            <v>728</v>
          </cell>
          <cell r="I730">
            <v>4679273.1984460847</v>
          </cell>
        </row>
        <row r="731">
          <cell r="A731">
            <v>45471</v>
          </cell>
          <cell r="B731">
            <v>0.62999999523162842</v>
          </cell>
          <cell r="C731">
            <v>0.64399999380111694</v>
          </cell>
          <cell r="D731">
            <v>0.62999999523162842</v>
          </cell>
          <cell r="E731">
            <v>0.63599997758865356</v>
          </cell>
          <cell r="F731">
            <v>8456200</v>
          </cell>
          <cell r="G731">
            <v>84562</v>
          </cell>
          <cell r="H731">
            <v>729</v>
          </cell>
          <cell r="I731">
            <v>4684454.1679955423</v>
          </cell>
        </row>
        <row r="732">
          <cell r="A732">
            <v>45474</v>
          </cell>
          <cell r="B732">
            <v>0.63400000333786011</v>
          </cell>
          <cell r="C732">
            <v>0.63499999046325684</v>
          </cell>
          <cell r="D732">
            <v>0.62599998712539673</v>
          </cell>
          <cell r="E732">
            <v>0.63300001621246338</v>
          </cell>
          <cell r="F732">
            <v>5883200</v>
          </cell>
          <cell r="G732">
            <v>58832</v>
          </cell>
          <cell r="H732">
            <v>730</v>
          </cell>
          <cell r="I732">
            <v>4686096.2855736306</v>
          </cell>
        </row>
        <row r="733">
          <cell r="A733">
            <v>45475</v>
          </cell>
          <cell r="B733">
            <v>0.63300001621246338</v>
          </cell>
          <cell r="C733">
            <v>0.63300001621246338</v>
          </cell>
          <cell r="D733">
            <v>0.62400001287460327</v>
          </cell>
          <cell r="E733">
            <v>0.62699997425079346</v>
          </cell>
          <cell r="F733">
            <v>14783500</v>
          </cell>
          <cell r="G733">
            <v>147835</v>
          </cell>
          <cell r="H733">
            <v>731</v>
          </cell>
          <cell r="I733">
            <v>4699909.4233498629</v>
          </cell>
        </row>
        <row r="734">
          <cell r="A734">
            <v>45476</v>
          </cell>
          <cell r="B734">
            <v>0.62699997425079346</v>
          </cell>
          <cell r="C734">
            <v>0.62900000810623169</v>
          </cell>
          <cell r="D734">
            <v>0.62199997901916504</v>
          </cell>
          <cell r="E734">
            <v>0.625</v>
          </cell>
          <cell r="F734">
            <v>12043300</v>
          </cell>
          <cell r="G734">
            <v>120433</v>
          </cell>
          <cell r="H734">
            <v>732</v>
          </cell>
          <cell r="I734">
            <v>4709941.3776895488</v>
          </cell>
        </row>
        <row r="735">
          <cell r="A735">
            <v>45477</v>
          </cell>
          <cell r="B735">
            <v>0.62599998712539673</v>
          </cell>
          <cell r="C735">
            <v>0.63099998235702515</v>
          </cell>
          <cell r="D735">
            <v>0.62199997901916504</v>
          </cell>
          <cell r="E735">
            <v>0.62300002574920654</v>
          </cell>
          <cell r="F735">
            <v>9370000</v>
          </cell>
          <cell r="G735">
            <v>93700</v>
          </cell>
          <cell r="H735">
            <v>733</v>
          </cell>
          <cell r="I735">
            <v>4716298.8928632336</v>
          </cell>
        </row>
        <row r="736">
          <cell r="A736">
            <v>45478</v>
          </cell>
          <cell r="B736">
            <v>0.62400001287460327</v>
          </cell>
          <cell r="C736">
            <v>0.62400001287460327</v>
          </cell>
          <cell r="D736">
            <v>0.61400002241134644</v>
          </cell>
          <cell r="E736">
            <v>0.62300002574920654</v>
          </cell>
          <cell r="F736">
            <v>9157000</v>
          </cell>
          <cell r="G736">
            <v>91570</v>
          </cell>
          <cell r="H736">
            <v>734</v>
          </cell>
          <cell r="I736">
            <v>4722348.8943715943</v>
          </cell>
        </row>
        <row r="737">
          <cell r="A737">
            <v>45481</v>
          </cell>
          <cell r="B737">
            <v>0.62000000476837158</v>
          </cell>
          <cell r="C737">
            <v>0.62099999189376831</v>
          </cell>
          <cell r="D737">
            <v>0.61400002241134644</v>
          </cell>
          <cell r="E737">
            <v>0.61599999666213989</v>
          </cell>
          <cell r="F737">
            <v>8955200</v>
          </cell>
          <cell r="G737">
            <v>89552</v>
          </cell>
          <cell r="H737">
            <v>735</v>
          </cell>
          <cell r="I737">
            <v>4728107.8754676869</v>
          </cell>
        </row>
        <row r="738">
          <cell r="A738">
            <v>45482</v>
          </cell>
          <cell r="B738">
            <v>0.61500000953674316</v>
          </cell>
          <cell r="C738">
            <v>0.62800002098083496</v>
          </cell>
          <cell r="D738">
            <v>0.61400002241134644</v>
          </cell>
          <cell r="E738">
            <v>0.62699997425079346</v>
          </cell>
          <cell r="F738">
            <v>7864802.5</v>
          </cell>
          <cell r="G738">
            <v>78648.0234375</v>
          </cell>
          <cell r="H738">
            <v>736</v>
          </cell>
          <cell r="I738">
            <v>4732369.6888162363</v>
          </cell>
        </row>
        <row r="739">
          <cell r="A739">
            <v>45483</v>
          </cell>
          <cell r="B739">
            <v>0.62599998712539673</v>
          </cell>
          <cell r="C739">
            <v>0.63200002908706665</v>
          </cell>
          <cell r="D739">
            <v>0.62599998712539673</v>
          </cell>
          <cell r="E739">
            <v>0.62800002098083496</v>
          </cell>
          <cell r="F739">
            <v>6962202.5</v>
          </cell>
          <cell r="G739">
            <v>69622.0234375</v>
          </cell>
          <cell r="H739">
            <v>737</v>
          </cell>
          <cell r="I739">
            <v>4735395.2421556991</v>
          </cell>
        </row>
        <row r="740">
          <cell r="A740">
            <v>45484</v>
          </cell>
          <cell r="B740">
            <v>0.63599997758865356</v>
          </cell>
          <cell r="C740">
            <v>0.64099997282028198</v>
          </cell>
          <cell r="D740">
            <v>0.63300001621246338</v>
          </cell>
          <cell r="E740">
            <v>0.63899999856948853</v>
          </cell>
          <cell r="F740">
            <v>5349601</v>
          </cell>
          <cell r="G740">
            <v>53496.01171875</v>
          </cell>
          <cell r="H740">
            <v>738</v>
          </cell>
          <cell r="I740">
            <v>4736227.4992801491</v>
          </cell>
        </row>
        <row r="741">
          <cell r="A741">
            <v>45485</v>
          </cell>
          <cell r="B741">
            <v>0.63599997758865356</v>
          </cell>
          <cell r="C741">
            <v>0.64099997282028198</v>
          </cell>
          <cell r="D741">
            <v>0.63300001621246338</v>
          </cell>
          <cell r="E741">
            <v>0.6380000114440918</v>
          </cell>
          <cell r="F741">
            <v>4763300</v>
          </cell>
          <cell r="G741">
            <v>47633</v>
          </cell>
          <cell r="H741">
            <v>739</v>
          </cell>
          <cell r="I741">
            <v>4736264.1332459403</v>
          </cell>
        </row>
        <row r="742">
          <cell r="A742">
            <v>45488</v>
          </cell>
          <cell r="B742">
            <v>0.63599997758865356</v>
          </cell>
          <cell r="C742">
            <v>0.63700002431869507</v>
          </cell>
          <cell r="D742">
            <v>0.63200002908706665</v>
          </cell>
          <cell r="E742">
            <v>0.63499999046325684</v>
          </cell>
          <cell r="F742">
            <v>6922300</v>
          </cell>
          <cell r="G742">
            <v>69223</v>
          </cell>
          <cell r="H742">
            <v>740</v>
          </cell>
          <cell r="I742">
            <v>4739218.2357685808</v>
          </cell>
        </row>
        <row r="743">
          <cell r="A743">
            <v>45489</v>
          </cell>
          <cell r="B743">
            <v>0.63400000333786011</v>
          </cell>
          <cell r="C743">
            <v>0.64300000667572021</v>
          </cell>
          <cell r="D743">
            <v>0.63400000333786011</v>
          </cell>
          <cell r="E743">
            <v>0.64300000667572021</v>
          </cell>
          <cell r="F743">
            <v>6796300</v>
          </cell>
          <cell r="G743">
            <v>67963</v>
          </cell>
          <cell r="H743">
            <v>741</v>
          </cell>
          <cell r="I743">
            <v>4741994.324519231</v>
          </cell>
        </row>
        <row r="744">
          <cell r="A744">
            <v>45490</v>
          </cell>
          <cell r="B744">
            <v>0.63999998569488525</v>
          </cell>
          <cell r="C744">
            <v>0.64399999380111694</v>
          </cell>
          <cell r="D744">
            <v>0.6380000114440918</v>
          </cell>
          <cell r="E744">
            <v>0.64200001955032349</v>
          </cell>
          <cell r="F744">
            <v>7649400</v>
          </cell>
          <cell r="G744">
            <v>76494</v>
          </cell>
          <cell r="H744">
            <v>742</v>
          </cell>
          <cell r="I744">
            <v>4745912.6610090975</v>
          </cell>
        </row>
        <row r="745">
          <cell r="A745">
            <v>45491</v>
          </cell>
          <cell r="B745">
            <v>0.63499999046325684</v>
          </cell>
          <cell r="C745">
            <v>0.64600002765655518</v>
          </cell>
          <cell r="D745">
            <v>0.63499999046325684</v>
          </cell>
          <cell r="E745">
            <v>0.64600002765655518</v>
          </cell>
          <cell r="F745">
            <v>5655702</v>
          </cell>
          <cell r="G745">
            <v>56557.01953125</v>
          </cell>
          <cell r="H745">
            <v>743</v>
          </cell>
          <cell r="I745">
            <v>4747137.141949865</v>
          </cell>
        </row>
        <row r="746">
          <cell r="A746">
            <v>45492</v>
          </cell>
          <cell r="B746">
            <v>0.64300000667572021</v>
          </cell>
          <cell r="C746">
            <v>0.64899998903274536</v>
          </cell>
          <cell r="D746">
            <v>0.64200001955032349</v>
          </cell>
          <cell r="E746">
            <v>0.64899998903274536</v>
          </cell>
          <cell r="F746">
            <v>7677900</v>
          </cell>
          <cell r="G746">
            <v>76779</v>
          </cell>
          <cell r="H746">
            <v>744</v>
          </cell>
          <cell r="I746">
            <v>4751076.3393397173</v>
          </cell>
        </row>
        <row r="747">
          <cell r="A747">
            <v>45495</v>
          </cell>
          <cell r="B747">
            <v>0.64800000190734863</v>
          </cell>
          <cell r="C747">
            <v>0.64800000190734863</v>
          </cell>
          <cell r="D747">
            <v>0.64399999380111694</v>
          </cell>
          <cell r="E747">
            <v>0.64600002765655518</v>
          </cell>
          <cell r="F747">
            <v>3403200</v>
          </cell>
          <cell r="G747">
            <v>34032</v>
          </cell>
          <cell r="H747">
            <v>745</v>
          </cell>
          <cell r="I747">
            <v>4749267.1093540266</v>
          </cell>
        </row>
        <row r="748">
          <cell r="A748">
            <v>45496</v>
          </cell>
          <cell r="B748">
            <v>0.64499998092651367</v>
          </cell>
          <cell r="C748">
            <v>0.64499998092651367</v>
          </cell>
          <cell r="D748">
            <v>0.62900000810623169</v>
          </cell>
          <cell r="E748">
            <v>0.62900000810623169</v>
          </cell>
          <cell r="F748">
            <v>8207904</v>
          </cell>
          <cell r="G748">
            <v>82079.0390625</v>
          </cell>
          <cell r="H748">
            <v>746</v>
          </cell>
          <cell r="I748">
            <v>4753903.3518347852</v>
          </cell>
        </row>
        <row r="749">
          <cell r="A749">
            <v>45497</v>
          </cell>
          <cell r="B749">
            <v>0.62699997425079346</v>
          </cell>
          <cell r="C749">
            <v>0.62900000810623169</v>
          </cell>
          <cell r="D749">
            <v>0.61699998378753662</v>
          </cell>
          <cell r="E749">
            <v>0.61900001764297485</v>
          </cell>
          <cell r="F749">
            <v>6972800</v>
          </cell>
          <cell r="G749">
            <v>69728</v>
          </cell>
          <cell r="H749">
            <v>747</v>
          </cell>
          <cell r="I749">
            <v>4756873.7623410309</v>
          </cell>
        </row>
        <row r="750">
          <cell r="A750">
            <v>45498</v>
          </cell>
          <cell r="B750">
            <v>0.61599999666213989</v>
          </cell>
          <cell r="C750">
            <v>0.62000000476837158</v>
          </cell>
          <cell r="D750">
            <v>0.61400002241134644</v>
          </cell>
          <cell r="E750">
            <v>0.61900001764297485</v>
          </cell>
          <cell r="F750">
            <v>7425504.5</v>
          </cell>
          <cell r="G750">
            <v>74255.046875</v>
          </cell>
          <cell r="H750">
            <v>748</v>
          </cell>
          <cell r="I750">
            <v>4760441.4504929809</v>
          </cell>
        </row>
        <row r="751">
          <cell r="A751">
            <v>45499</v>
          </cell>
          <cell r="B751">
            <v>0.62400001287460327</v>
          </cell>
          <cell r="C751">
            <v>0.63099998235702515</v>
          </cell>
          <cell r="D751">
            <v>0.62300002574920654</v>
          </cell>
          <cell r="E751">
            <v>0.62800002098083496</v>
          </cell>
          <cell r="F751">
            <v>4244800</v>
          </cell>
          <cell r="G751">
            <v>42448</v>
          </cell>
          <cell r="H751">
            <v>749</v>
          </cell>
          <cell r="I751">
            <v>4759753.010639186</v>
          </cell>
        </row>
        <row r="752">
          <cell r="A752">
            <v>45502</v>
          </cell>
          <cell r="B752">
            <v>0.625</v>
          </cell>
          <cell r="C752">
            <v>0.625</v>
          </cell>
          <cell r="D752">
            <v>0.62000000476837158</v>
          </cell>
          <cell r="E752">
            <v>0.62099999189376831</v>
          </cell>
          <cell r="F752">
            <v>4540102</v>
          </cell>
          <cell r="G752">
            <v>45401.01953125</v>
          </cell>
          <cell r="H752">
            <v>750</v>
          </cell>
          <cell r="I752">
            <v>4759460.1426250003</v>
          </cell>
        </row>
        <row r="753">
          <cell r="A753">
            <v>45503</v>
          </cell>
          <cell r="B753">
            <v>0.61799997091293335</v>
          </cell>
          <cell r="C753">
            <v>0.61900001764297485</v>
          </cell>
          <cell r="D753">
            <v>0.61299997568130493</v>
          </cell>
          <cell r="E753">
            <v>0.61400002241134644</v>
          </cell>
          <cell r="F753">
            <v>4442700</v>
          </cell>
          <cell r="G753">
            <v>44427</v>
          </cell>
          <cell r="H753">
            <v>751</v>
          </cell>
          <cell r="I753">
            <v>4759038.3581474703</v>
          </cell>
        </row>
        <row r="754">
          <cell r="A754">
            <v>45504</v>
          </cell>
          <cell r="B754">
            <v>0.61400002241134644</v>
          </cell>
          <cell r="C754">
            <v>0.63599997758865356</v>
          </cell>
          <cell r="D754">
            <v>0.61400002241134644</v>
          </cell>
          <cell r="E754">
            <v>0.63300001621246338</v>
          </cell>
          <cell r="F754">
            <v>9012202</v>
          </cell>
          <cell r="G754">
            <v>90122.0234375</v>
          </cell>
          <cell r="H754">
            <v>752</v>
          </cell>
          <cell r="I754">
            <v>4764694.1608626992</v>
          </cell>
        </row>
        <row r="755">
          <cell r="A755">
            <v>45505</v>
          </cell>
          <cell r="B755">
            <v>0.63599997758865356</v>
          </cell>
          <cell r="C755">
            <v>0.63599997758865356</v>
          </cell>
          <cell r="D755">
            <v>0.62599998712539673</v>
          </cell>
          <cell r="E755">
            <v>0.62599998712539673</v>
          </cell>
          <cell r="F755">
            <v>738804</v>
          </cell>
          <cell r="G755">
            <v>7388.0400390625</v>
          </cell>
          <cell r="H755">
            <v>753</v>
          </cell>
          <cell r="I755">
            <v>4759347.6931855911</v>
          </cell>
        </row>
        <row r="756">
          <cell r="A756">
            <v>45506</v>
          </cell>
          <cell r="B756">
            <v>0.61900001764297485</v>
          </cell>
          <cell r="C756">
            <v>0.62699997425079346</v>
          </cell>
          <cell r="D756">
            <v>0.61699998378753662</v>
          </cell>
          <cell r="E756">
            <v>0.61699998378753662</v>
          </cell>
          <cell r="F756">
            <v>1568800</v>
          </cell>
          <cell r="G756">
            <v>15688</v>
          </cell>
          <cell r="H756">
            <v>754</v>
          </cell>
          <cell r="I756">
            <v>4755116.1975712869</v>
          </cell>
        </row>
        <row r="757">
          <cell r="A757">
            <v>45509</v>
          </cell>
          <cell r="B757">
            <v>0.61000001430511475</v>
          </cell>
          <cell r="C757">
            <v>0.62599998712539673</v>
          </cell>
          <cell r="D757">
            <v>0.60500001907348633</v>
          </cell>
          <cell r="E757">
            <v>0.60500001907348633</v>
          </cell>
          <cell r="F757">
            <v>9152000</v>
          </cell>
          <cell r="G757">
            <v>91520</v>
          </cell>
          <cell r="H757">
            <v>755</v>
          </cell>
          <cell r="I757">
            <v>4760939.8847268214</v>
          </cell>
        </row>
        <row r="758">
          <cell r="A758">
            <v>45510</v>
          </cell>
          <cell r="B758">
            <v>0.6119999885559082</v>
          </cell>
          <cell r="C758">
            <v>0.61400002241134644</v>
          </cell>
          <cell r="D758">
            <v>0.6029999852180481</v>
          </cell>
          <cell r="E758">
            <v>0.60799998044967651</v>
          </cell>
          <cell r="F758">
            <v>2768400</v>
          </cell>
          <cell r="G758">
            <v>27684</v>
          </cell>
          <cell r="H758">
            <v>756</v>
          </cell>
          <cell r="I758">
            <v>4758304.2499586642</v>
          </cell>
        </row>
        <row r="759">
          <cell r="A759">
            <v>45511</v>
          </cell>
          <cell r="B759">
            <v>0.60699999332427979</v>
          </cell>
          <cell r="C759">
            <v>0.61000001430511475</v>
          </cell>
          <cell r="D759">
            <v>0.60500001907348633</v>
          </cell>
          <cell r="E759">
            <v>0.60500001907348633</v>
          </cell>
          <cell r="F759">
            <v>5739800</v>
          </cell>
          <cell r="G759">
            <v>57398</v>
          </cell>
          <cell r="H759">
            <v>757</v>
          </cell>
          <cell r="I759">
            <v>4759600.809734148</v>
          </cell>
        </row>
        <row r="760">
          <cell r="A760">
            <v>45512</v>
          </cell>
          <cell r="B760">
            <v>0.6029999852180481</v>
          </cell>
          <cell r="C760">
            <v>0.60799998044967651</v>
          </cell>
          <cell r="D760">
            <v>0.59899997711181641</v>
          </cell>
          <cell r="E760">
            <v>0.60399997234344482</v>
          </cell>
          <cell r="F760">
            <v>6693200</v>
          </cell>
          <cell r="G760">
            <v>66932</v>
          </cell>
          <cell r="H760">
            <v>758</v>
          </cell>
          <cell r="I760">
            <v>4762151.732148747</v>
          </cell>
        </row>
        <row r="761">
          <cell r="A761">
            <v>45513</v>
          </cell>
          <cell r="B761">
            <v>0.60799998044967651</v>
          </cell>
          <cell r="C761">
            <v>0.61100000143051147</v>
          </cell>
          <cell r="D761">
            <v>0.60199999809265137</v>
          </cell>
          <cell r="E761">
            <v>0.6029999852180481</v>
          </cell>
          <cell r="F761">
            <v>3697400</v>
          </cell>
          <cell r="G761">
            <v>36974</v>
          </cell>
          <cell r="H761">
            <v>759</v>
          </cell>
          <cell r="I761">
            <v>4760748.8971920293</v>
          </cell>
        </row>
        <row r="762">
          <cell r="A762">
            <v>45516</v>
          </cell>
          <cell r="B762">
            <v>0.60100001096725464</v>
          </cell>
          <cell r="C762">
            <v>0.60399997234344482</v>
          </cell>
          <cell r="D762">
            <v>0.60000002384185791</v>
          </cell>
          <cell r="E762">
            <v>0.60100001096725464</v>
          </cell>
          <cell r="F762">
            <v>4351802</v>
          </cell>
          <cell r="G762">
            <v>43518.01953125</v>
          </cell>
          <cell r="H762">
            <v>760</v>
          </cell>
          <cell r="I762">
            <v>4760210.8091694079</v>
          </cell>
        </row>
        <row r="763">
          <cell r="A763">
            <v>45517</v>
          </cell>
          <cell r="B763">
            <v>0.59899997711181641</v>
          </cell>
          <cell r="C763">
            <v>0.6029999852180481</v>
          </cell>
          <cell r="D763">
            <v>0.59799998998641968</v>
          </cell>
          <cell r="E763">
            <v>0.6029999852180481</v>
          </cell>
          <cell r="F763">
            <v>4076300</v>
          </cell>
          <cell r="G763">
            <v>40763</v>
          </cell>
          <cell r="H763">
            <v>761</v>
          </cell>
          <cell r="I763">
            <v>4759312.1090259524</v>
          </cell>
        </row>
        <row r="764">
          <cell r="A764">
            <v>45518</v>
          </cell>
          <cell r="B764">
            <v>0.60199999809265137</v>
          </cell>
          <cell r="C764">
            <v>0.60199999809265137</v>
          </cell>
          <cell r="D764">
            <v>0.59700000286102295</v>
          </cell>
          <cell r="E764">
            <v>0.59799998998641968</v>
          </cell>
          <cell r="F764">
            <v>1305800</v>
          </cell>
          <cell r="G764">
            <v>13058</v>
          </cell>
          <cell r="H764">
            <v>762</v>
          </cell>
          <cell r="I764">
            <v>4754779.9409038713</v>
          </cell>
        </row>
        <row r="765">
          <cell r="A765">
            <v>45519</v>
          </cell>
          <cell r="B765">
            <v>0.59799998998641968</v>
          </cell>
          <cell r="C765">
            <v>0.6029999852180481</v>
          </cell>
          <cell r="D765">
            <v>0.59600001573562622</v>
          </cell>
          <cell r="E765">
            <v>0.59899997711181641</v>
          </cell>
          <cell r="F765">
            <v>4198803</v>
          </cell>
          <cell r="G765">
            <v>41988.03125</v>
          </cell>
          <cell r="H765">
            <v>763</v>
          </cell>
          <cell r="I765">
            <v>4754051.2686353214</v>
          </cell>
        </row>
        <row r="766">
          <cell r="A766">
            <v>45520</v>
          </cell>
          <cell r="B766">
            <v>0.60699999332427979</v>
          </cell>
          <cell r="C766">
            <v>0.60699999332427979</v>
          </cell>
          <cell r="D766">
            <v>0.59799998998641968</v>
          </cell>
          <cell r="E766">
            <v>0.60100001096725464</v>
          </cell>
          <cell r="F766">
            <v>4696003</v>
          </cell>
          <cell r="G766">
            <v>46960.03125</v>
          </cell>
          <cell r="H766">
            <v>764</v>
          </cell>
          <cell r="I766">
            <v>4753975.2892261129</v>
          </cell>
        </row>
        <row r="767">
          <cell r="A767">
            <v>45523</v>
          </cell>
          <cell r="B767">
            <v>0.60500001907348633</v>
          </cell>
          <cell r="C767">
            <v>0.60799998044967651</v>
          </cell>
          <cell r="D767">
            <v>0.60100001096725464</v>
          </cell>
          <cell r="E767">
            <v>0.60100001096725464</v>
          </cell>
          <cell r="F767">
            <v>1853001</v>
          </cell>
          <cell r="G767">
            <v>18530.009765625</v>
          </cell>
          <cell r="H767">
            <v>765</v>
          </cell>
          <cell r="I767">
            <v>4750183.1659722226</v>
          </cell>
        </row>
        <row r="768">
          <cell r="A768">
            <v>45524</v>
          </cell>
          <cell r="B768">
            <v>0.60699999332427979</v>
          </cell>
          <cell r="C768">
            <v>0.60699999332427979</v>
          </cell>
          <cell r="D768">
            <v>0.59500002861022949</v>
          </cell>
          <cell r="E768">
            <v>0.59600001573562622</v>
          </cell>
          <cell r="F768">
            <v>7468500</v>
          </cell>
          <cell r="G768">
            <v>74685</v>
          </cell>
          <cell r="H768">
            <v>766</v>
          </cell>
          <cell r="I768">
            <v>4753731.8824657314</v>
          </cell>
        </row>
        <row r="769">
          <cell r="A769">
            <v>45525</v>
          </cell>
          <cell r="B769">
            <v>0.59399998188018799</v>
          </cell>
          <cell r="C769">
            <v>0.60100001096725464</v>
          </cell>
          <cell r="D769">
            <v>0.59399998188018799</v>
          </cell>
          <cell r="E769">
            <v>0.59600001573562622</v>
          </cell>
          <cell r="F769">
            <v>2800605</v>
          </cell>
          <cell r="G769">
            <v>28006.05078125</v>
          </cell>
          <cell r="H769">
            <v>767</v>
          </cell>
          <cell r="I769">
            <v>4751185.4328145375</v>
          </cell>
        </row>
        <row r="770">
          <cell r="A770">
            <v>45526</v>
          </cell>
          <cell r="B770">
            <v>0.59500002861022949</v>
          </cell>
          <cell r="C770">
            <v>0.59799998998641968</v>
          </cell>
          <cell r="D770">
            <v>0.59399998188018799</v>
          </cell>
          <cell r="E770">
            <v>0.59600001573562622</v>
          </cell>
          <cell r="F770">
            <v>7126800</v>
          </cell>
          <cell r="G770">
            <v>71268</v>
          </cell>
          <cell r="H770">
            <v>768</v>
          </cell>
          <cell r="I770">
            <v>4754278.6809488935</v>
          </cell>
        </row>
        <row r="771">
          <cell r="A771">
            <v>45527</v>
          </cell>
          <cell r="B771">
            <v>0.59399998188018799</v>
          </cell>
          <cell r="C771">
            <v>0.59700000286102295</v>
          </cell>
          <cell r="D771">
            <v>0.59200000762939453</v>
          </cell>
          <cell r="E771">
            <v>0.59600001573562622</v>
          </cell>
          <cell r="F771">
            <v>5647700</v>
          </cell>
          <cell r="G771">
            <v>56477</v>
          </cell>
          <cell r="H771">
            <v>769</v>
          </cell>
          <cell r="I771">
            <v>4755440.4772025356</v>
          </cell>
        </row>
        <row r="772">
          <cell r="A772">
            <v>45530</v>
          </cell>
          <cell r="B772">
            <v>0.59500002861022949</v>
          </cell>
          <cell r="C772">
            <v>0.60000002384185791</v>
          </cell>
          <cell r="D772">
            <v>0.59500002861022949</v>
          </cell>
          <cell r="E772">
            <v>0.59799998998641968</v>
          </cell>
          <cell r="F772">
            <v>9660100</v>
          </cell>
          <cell r="G772">
            <v>96601</v>
          </cell>
          <cell r="H772">
            <v>770</v>
          </cell>
          <cell r="I772">
            <v>4761810.1648944803</v>
          </cell>
        </row>
        <row r="773">
          <cell r="A773">
            <v>45531</v>
          </cell>
          <cell r="B773">
            <v>0.59500002861022949</v>
          </cell>
          <cell r="C773">
            <v>0.59500002861022949</v>
          </cell>
          <cell r="D773">
            <v>0.5910000205039978</v>
          </cell>
          <cell r="E773">
            <v>0.59299999475479126</v>
          </cell>
          <cell r="F773">
            <v>7445000</v>
          </cell>
          <cell r="G773">
            <v>74450</v>
          </cell>
          <cell r="H773">
            <v>771</v>
          </cell>
          <cell r="I773">
            <v>4765290.3073524646</v>
          </cell>
        </row>
        <row r="774">
          <cell r="A774">
            <v>45532</v>
          </cell>
          <cell r="B774">
            <v>0.5910000205039978</v>
          </cell>
          <cell r="C774">
            <v>0.59299999475479126</v>
          </cell>
          <cell r="D774">
            <v>0.58799999952316284</v>
          </cell>
          <cell r="E774">
            <v>0.5910000205039978</v>
          </cell>
          <cell r="F774">
            <v>6097900</v>
          </cell>
          <cell r="G774">
            <v>60979</v>
          </cell>
          <cell r="H774">
            <v>772</v>
          </cell>
          <cell r="I774">
            <v>4767016.4857108165</v>
          </cell>
        </row>
        <row r="775">
          <cell r="A775">
            <v>45533</v>
          </cell>
          <cell r="B775">
            <v>0.58799999952316284</v>
          </cell>
          <cell r="C775">
            <v>0.59700000286102295</v>
          </cell>
          <cell r="D775">
            <v>0.58399999141693115</v>
          </cell>
          <cell r="E775">
            <v>0.59299999475479126</v>
          </cell>
          <cell r="F775">
            <v>6811600</v>
          </cell>
          <cell r="G775">
            <v>68116</v>
          </cell>
          <cell r="H775">
            <v>773</v>
          </cell>
          <cell r="I775">
            <v>4769661.4837888097</v>
          </cell>
        </row>
        <row r="776">
          <cell r="A776">
            <v>45534</v>
          </cell>
          <cell r="B776">
            <v>0.59600001573562622</v>
          </cell>
          <cell r="C776">
            <v>0.61599999666213989</v>
          </cell>
          <cell r="D776">
            <v>0.59600001573562622</v>
          </cell>
          <cell r="E776">
            <v>0.61000001430511475</v>
          </cell>
          <cell r="F776">
            <v>6956200</v>
          </cell>
          <cell r="G776">
            <v>69562</v>
          </cell>
          <cell r="H776">
            <v>774</v>
          </cell>
          <cell r="I776">
            <v>4772486.4689518735</v>
          </cell>
        </row>
        <row r="777">
          <cell r="A777">
            <v>45537</v>
          </cell>
          <cell r="B777">
            <v>0.61000001430511475</v>
          </cell>
          <cell r="C777">
            <v>0.61000001430511475</v>
          </cell>
          <cell r="D777">
            <v>0.59600001573562622</v>
          </cell>
          <cell r="E777">
            <v>0.59600001573562622</v>
          </cell>
          <cell r="F777">
            <v>9393600</v>
          </cell>
          <cell r="G777">
            <v>93936</v>
          </cell>
          <cell r="H777">
            <v>775</v>
          </cell>
          <cell r="I777">
            <v>4778449.1960887099</v>
          </cell>
        </row>
        <row r="778">
          <cell r="A778">
            <v>45538</v>
          </cell>
          <cell r="B778">
            <v>0.59799998998641968</v>
          </cell>
          <cell r="C778">
            <v>0.60600000619888306</v>
          </cell>
          <cell r="D778">
            <v>0.59600001573562622</v>
          </cell>
          <cell r="E778">
            <v>0.60500001907348633</v>
          </cell>
          <cell r="F778">
            <v>9093200</v>
          </cell>
          <cell r="G778">
            <v>90932</v>
          </cell>
          <cell r="H778">
            <v>776</v>
          </cell>
          <cell r="I778">
            <v>4784009.4419700382</v>
          </cell>
        </row>
        <row r="779">
          <cell r="A779">
            <v>45539</v>
          </cell>
          <cell r="B779">
            <v>0.60199999809265137</v>
          </cell>
          <cell r="C779">
            <v>0.61100000143051147</v>
          </cell>
          <cell r="D779">
            <v>0.59899997711181641</v>
          </cell>
          <cell r="E779">
            <v>0.60500001907348633</v>
          </cell>
          <cell r="F779">
            <v>3489500</v>
          </cell>
          <cell r="G779">
            <v>34895</v>
          </cell>
          <cell r="H779">
            <v>777</v>
          </cell>
          <cell r="I779">
            <v>4782343.4066521879</v>
          </cell>
        </row>
        <row r="780">
          <cell r="A780">
            <v>45540</v>
          </cell>
          <cell r="B780">
            <v>0.60699999332427979</v>
          </cell>
          <cell r="C780">
            <v>0.60799998044967651</v>
          </cell>
          <cell r="D780">
            <v>0.60500001907348633</v>
          </cell>
          <cell r="E780">
            <v>0.60699999332427979</v>
          </cell>
          <cell r="F780">
            <v>4116200</v>
          </cell>
          <cell r="G780">
            <v>41162</v>
          </cell>
          <cell r="H780">
            <v>778</v>
          </cell>
          <cell r="I780">
            <v>4781487.1811937662</v>
          </cell>
        </row>
        <row r="781">
          <cell r="A781">
            <v>45541</v>
          </cell>
          <cell r="B781">
            <v>0.60799998044967651</v>
          </cell>
          <cell r="C781">
            <v>0.60799998044967651</v>
          </cell>
          <cell r="D781">
            <v>0.59700000286102295</v>
          </cell>
          <cell r="E781">
            <v>0.59799998998641968</v>
          </cell>
          <cell r="F781">
            <v>5824000</v>
          </cell>
          <cell r="G781">
            <v>58240</v>
          </cell>
          <cell r="H781">
            <v>779</v>
          </cell>
          <cell r="I781">
            <v>4782825.4518212453</v>
          </cell>
        </row>
        <row r="782">
          <cell r="A782">
            <v>45544</v>
          </cell>
          <cell r="B782">
            <v>0.59700000286102295</v>
          </cell>
          <cell r="C782">
            <v>0.59799998998641968</v>
          </cell>
          <cell r="D782">
            <v>0.58899998664855957</v>
          </cell>
          <cell r="E782">
            <v>0.59299999475479126</v>
          </cell>
          <cell r="F782">
            <v>5220902</v>
          </cell>
          <cell r="G782">
            <v>52209.01953125</v>
          </cell>
          <cell r="H782">
            <v>780</v>
          </cell>
          <cell r="I782">
            <v>4783387.0884214742</v>
          </cell>
        </row>
        <row r="783">
          <cell r="A783">
            <v>45545</v>
          </cell>
          <cell r="B783">
            <v>0.59200000762939453</v>
          </cell>
          <cell r="C783">
            <v>0.59799998998641968</v>
          </cell>
          <cell r="D783">
            <v>0.58899998664855957</v>
          </cell>
          <cell r="E783">
            <v>0.59500002861022949</v>
          </cell>
          <cell r="F783">
            <v>9336202</v>
          </cell>
          <cell r="G783">
            <v>93362.0234375</v>
          </cell>
          <cell r="H783">
            <v>781</v>
          </cell>
          <cell r="I783">
            <v>4789216.5569382198</v>
          </cell>
        </row>
        <row r="784">
          <cell r="A784">
            <v>45546</v>
          </cell>
          <cell r="B784">
            <v>0.59399998188018799</v>
          </cell>
          <cell r="C784">
            <v>0.60399997234344482</v>
          </cell>
          <cell r="D784">
            <v>0.59399998188018799</v>
          </cell>
          <cell r="E784">
            <v>0.60199999809265137</v>
          </cell>
          <cell r="F784">
            <v>6085700</v>
          </cell>
          <cell r="G784">
            <v>60857</v>
          </cell>
          <cell r="H784">
            <v>782</v>
          </cell>
          <cell r="I784">
            <v>4790874.464154412</v>
          </cell>
        </row>
        <row r="785">
          <cell r="A785">
            <v>45547</v>
          </cell>
          <cell r="B785">
            <v>0.60699999332427979</v>
          </cell>
          <cell r="C785">
            <v>0.60699999332427979</v>
          </cell>
          <cell r="D785">
            <v>0.59899997711181641</v>
          </cell>
          <cell r="E785">
            <v>0.59899997711181641</v>
          </cell>
          <cell r="F785">
            <v>5269600</v>
          </cell>
          <cell r="G785">
            <v>52696</v>
          </cell>
          <cell r="H785">
            <v>783</v>
          </cell>
          <cell r="I785">
            <v>4791485.8633061945</v>
          </cell>
        </row>
        <row r="786">
          <cell r="A786">
            <v>45548</v>
          </cell>
          <cell r="B786">
            <v>0.61599999666213989</v>
          </cell>
          <cell r="C786">
            <v>0.61699998378753662</v>
          </cell>
          <cell r="D786">
            <v>0.59399998188018799</v>
          </cell>
          <cell r="E786">
            <v>0.59399998188018799</v>
          </cell>
          <cell r="F786">
            <v>2761600</v>
          </cell>
          <cell r="G786">
            <v>27616</v>
          </cell>
          <cell r="H786">
            <v>784</v>
          </cell>
          <cell r="I786">
            <v>4788896.7231744258</v>
          </cell>
        </row>
        <row r="787">
          <cell r="A787">
            <v>45553</v>
          </cell>
          <cell r="B787">
            <v>0.59500002861022949</v>
          </cell>
          <cell r="C787">
            <v>0.60000002384185791</v>
          </cell>
          <cell r="D787">
            <v>0.59200000762939453</v>
          </cell>
          <cell r="E787">
            <v>0.59700000286102295</v>
          </cell>
          <cell r="F787">
            <v>2285100</v>
          </cell>
          <cell r="G787">
            <v>22851</v>
          </cell>
          <cell r="H787">
            <v>785</v>
          </cell>
          <cell r="I787">
            <v>4785707.173208599</v>
          </cell>
        </row>
        <row r="788">
          <cell r="A788">
            <v>45554</v>
          </cell>
          <cell r="B788">
            <v>0.59700000286102295</v>
          </cell>
          <cell r="C788">
            <v>0.60600000619888306</v>
          </cell>
          <cell r="D788">
            <v>0.59299999475479126</v>
          </cell>
          <cell r="E788">
            <v>0.60100001096725464</v>
          </cell>
          <cell r="F788">
            <v>7232706</v>
          </cell>
          <cell r="G788">
            <v>72327.0625</v>
          </cell>
          <cell r="H788">
            <v>786</v>
          </cell>
          <cell r="I788">
            <v>4788820.4032681296</v>
          </cell>
        </row>
        <row r="789">
          <cell r="A789">
            <v>45555</v>
          </cell>
          <cell r="B789">
            <v>0.59799998998641968</v>
          </cell>
          <cell r="C789">
            <v>0.60199999809265137</v>
          </cell>
          <cell r="D789">
            <v>0.59600001573562622</v>
          </cell>
          <cell r="E789">
            <v>0.59899997711181641</v>
          </cell>
          <cell r="F789">
            <v>9177702</v>
          </cell>
          <cell r="G789">
            <v>91777.0234375</v>
          </cell>
          <cell r="H789">
            <v>787</v>
          </cell>
          <cell r="I789">
            <v>4794397.1270250957</v>
          </cell>
        </row>
        <row r="790">
          <cell r="A790">
            <v>45558</v>
          </cell>
          <cell r="B790">
            <v>0.59799998998641968</v>
          </cell>
          <cell r="C790">
            <v>0.60699999332427979</v>
          </cell>
          <cell r="D790">
            <v>0.59799998998641968</v>
          </cell>
          <cell r="E790">
            <v>0.60199999809265137</v>
          </cell>
          <cell r="F790">
            <v>5855300</v>
          </cell>
          <cell r="G790">
            <v>58553</v>
          </cell>
          <cell r="H790">
            <v>788</v>
          </cell>
          <cell r="I790">
            <v>4795743.4504679572</v>
          </cell>
        </row>
        <row r="791">
          <cell r="A791">
            <v>45559</v>
          </cell>
          <cell r="B791">
            <v>0.60399997234344482</v>
          </cell>
          <cell r="C791">
            <v>0.62699997425079346</v>
          </cell>
          <cell r="D791">
            <v>0.59899997711181641</v>
          </cell>
          <cell r="E791">
            <v>0.62400001287460327</v>
          </cell>
          <cell r="F791">
            <v>10925100</v>
          </cell>
          <cell r="G791">
            <v>109251</v>
          </cell>
          <cell r="H791">
            <v>789</v>
          </cell>
          <cell r="I791">
            <v>4803511.963205006</v>
          </cell>
        </row>
        <row r="792">
          <cell r="A792">
            <v>45560</v>
          </cell>
          <cell r="B792">
            <v>0.625</v>
          </cell>
          <cell r="C792">
            <v>0.64499998092651367</v>
          </cell>
          <cell r="D792">
            <v>0.625</v>
          </cell>
          <cell r="E792">
            <v>0.63300001621246338</v>
          </cell>
          <cell r="F792">
            <v>8760703</v>
          </cell>
          <cell r="G792">
            <v>87607.03125</v>
          </cell>
          <cell r="H792">
            <v>790</v>
          </cell>
          <cell r="I792">
            <v>4808521.0657832278</v>
          </cell>
        </row>
        <row r="793">
          <cell r="A793">
            <v>45561</v>
          </cell>
          <cell r="B793">
            <v>0.63099998235702515</v>
          </cell>
          <cell r="C793">
            <v>0.65499997138977051</v>
          </cell>
          <cell r="D793">
            <v>0.62800002098083496</v>
          </cell>
          <cell r="E793">
            <v>0.65299999713897705</v>
          </cell>
          <cell r="F793">
            <v>9384605</v>
          </cell>
          <cell r="G793">
            <v>93846.046875</v>
          </cell>
          <cell r="H793">
            <v>791</v>
          </cell>
          <cell r="I793">
            <v>4814306.2540692165</v>
          </cell>
        </row>
        <row r="794">
          <cell r="A794">
            <v>45562</v>
          </cell>
          <cell r="B794">
            <v>0.65700000524520874</v>
          </cell>
          <cell r="C794">
            <v>0.70099997520446777</v>
          </cell>
          <cell r="D794">
            <v>0.65700000524520874</v>
          </cell>
          <cell r="E794">
            <v>0.69700002670288086</v>
          </cell>
          <cell r="F794">
            <v>5738600</v>
          </cell>
          <cell r="G794">
            <v>57386</v>
          </cell>
          <cell r="H794">
            <v>792</v>
          </cell>
          <cell r="I794">
            <v>4815473.2916272096</v>
          </cell>
        </row>
        <row r="795">
          <cell r="A795">
            <v>45565</v>
          </cell>
          <cell r="B795">
            <v>0.72299998998641968</v>
          </cell>
          <cell r="C795">
            <v>0.76700001955032349</v>
          </cell>
          <cell r="D795">
            <v>0.7149999737739563</v>
          </cell>
          <cell r="E795">
            <v>0.76700001955032349</v>
          </cell>
          <cell r="F795">
            <v>12479809</v>
          </cell>
          <cell r="G795">
            <v>124798.09375</v>
          </cell>
          <cell r="H795">
            <v>793</v>
          </cell>
          <cell r="I795">
            <v>4825138.2799101509</v>
          </cell>
        </row>
        <row r="796">
          <cell r="A796">
            <v>45573</v>
          </cell>
          <cell r="B796">
            <v>0.84399998188018799</v>
          </cell>
          <cell r="C796">
            <v>0.84399998188018799</v>
          </cell>
          <cell r="D796">
            <v>0.80099999904632568</v>
          </cell>
          <cell r="E796">
            <v>0.84399998188018799</v>
          </cell>
          <cell r="F796">
            <v>3947418</v>
          </cell>
          <cell r="G796">
            <v>39474.1796875</v>
          </cell>
          <cell r="H796">
            <v>794</v>
          </cell>
          <cell r="I796">
            <v>4824032.838751574</v>
          </cell>
        </row>
        <row r="797">
          <cell r="A797">
            <v>45574</v>
          </cell>
          <cell r="B797">
            <v>0.87400001287460327</v>
          </cell>
          <cell r="C797">
            <v>0.87400001287460327</v>
          </cell>
          <cell r="D797">
            <v>0.78100001811981201</v>
          </cell>
          <cell r="E797">
            <v>0.78799998760223389</v>
          </cell>
          <cell r="F797">
            <v>5178009</v>
          </cell>
          <cell r="G797">
            <v>51780.08984375</v>
          </cell>
          <cell r="H797">
            <v>795</v>
          </cell>
          <cell r="I797">
            <v>4824478.0917845909</v>
          </cell>
        </row>
        <row r="798">
          <cell r="A798">
            <v>45575</v>
          </cell>
          <cell r="B798">
            <v>0.78600001335144043</v>
          </cell>
          <cell r="C798">
            <v>0.81000000238418579</v>
          </cell>
          <cell r="D798">
            <v>0.77399998903274536</v>
          </cell>
          <cell r="E798">
            <v>0.7850000262260437</v>
          </cell>
          <cell r="F798">
            <v>3751410.25</v>
          </cell>
          <cell r="G798">
            <v>37514.1015625</v>
          </cell>
          <cell r="H798">
            <v>796</v>
          </cell>
          <cell r="I798">
            <v>4823130.0166064696</v>
          </cell>
        </row>
        <row r="799">
          <cell r="A799">
            <v>45576</v>
          </cell>
          <cell r="B799">
            <v>0.7850000262260437</v>
          </cell>
          <cell r="C799">
            <v>0.7850000262260437</v>
          </cell>
          <cell r="D799">
            <v>0.73799997568130493</v>
          </cell>
          <cell r="E799">
            <v>0.74900001287460327</v>
          </cell>
          <cell r="F799">
            <v>2595602</v>
          </cell>
          <cell r="G799">
            <v>25956.01953125</v>
          </cell>
          <cell r="H799">
            <v>797</v>
          </cell>
          <cell r="I799">
            <v>4820335.1257449808</v>
          </cell>
        </row>
        <row r="800">
          <cell r="A800">
            <v>45579</v>
          </cell>
          <cell r="B800">
            <v>0.74900001287460327</v>
          </cell>
          <cell r="C800">
            <v>0.76899999380111694</v>
          </cell>
          <cell r="D800">
            <v>0.74599999189376831</v>
          </cell>
          <cell r="E800">
            <v>0.76499998569488525</v>
          </cell>
          <cell r="F800">
            <v>1045500</v>
          </cell>
          <cell r="G800">
            <v>10455</v>
          </cell>
          <cell r="H800">
            <v>798</v>
          </cell>
          <cell r="I800">
            <v>4815604.7559132203</v>
          </cell>
        </row>
        <row r="801">
          <cell r="A801">
            <v>45580</v>
          </cell>
          <cell r="B801">
            <v>0.76999998092651367</v>
          </cell>
          <cell r="C801">
            <v>0.7839999794960022</v>
          </cell>
          <cell r="D801">
            <v>0.74800002574920654</v>
          </cell>
          <cell r="E801">
            <v>0.75</v>
          </cell>
          <cell r="F801">
            <v>1059602</v>
          </cell>
          <cell r="G801">
            <v>10596.01953125</v>
          </cell>
          <cell r="H801">
            <v>799</v>
          </cell>
          <cell r="I801">
            <v>4810903.8763688989</v>
          </cell>
        </row>
        <row r="802">
          <cell r="A802">
            <v>45581</v>
          </cell>
          <cell r="B802">
            <v>0.75</v>
          </cell>
          <cell r="C802">
            <v>0.75</v>
          </cell>
          <cell r="D802">
            <v>0.72699999809265137</v>
          </cell>
          <cell r="E802">
            <v>0.73400002717971802</v>
          </cell>
          <cell r="F802">
            <v>1069900</v>
          </cell>
          <cell r="G802">
            <v>10699</v>
          </cell>
          <cell r="H802">
            <v>800</v>
          </cell>
          <cell r="I802">
            <v>4806227.6215234371</v>
          </cell>
        </row>
        <row r="803">
          <cell r="A803">
            <v>45582</v>
          </cell>
          <cell r="B803">
            <v>0.73600000143051147</v>
          </cell>
          <cell r="C803">
            <v>0.74599999189376831</v>
          </cell>
          <cell r="D803">
            <v>0.73199999332427979</v>
          </cell>
          <cell r="E803">
            <v>0.73299998044967651</v>
          </cell>
          <cell r="F803">
            <v>1075102</v>
          </cell>
          <cell r="G803">
            <v>10751.01953125</v>
          </cell>
          <cell r="H803">
            <v>801</v>
          </cell>
          <cell r="I803">
            <v>4801569.5371020595</v>
          </cell>
        </row>
        <row r="804">
          <cell r="A804">
            <v>45583</v>
          </cell>
          <cell r="B804">
            <v>0.7369999885559082</v>
          </cell>
          <cell r="C804">
            <v>0.79600000381469727</v>
          </cell>
          <cell r="D804">
            <v>0.7369999885559082</v>
          </cell>
          <cell r="E804">
            <v>0.77300000190734863</v>
          </cell>
          <cell r="F804">
            <v>5190010</v>
          </cell>
          <cell r="G804">
            <v>51900.1015625</v>
          </cell>
          <cell r="H804">
            <v>802</v>
          </cell>
          <cell r="I804">
            <v>4802053.8768313592</v>
          </cell>
        </row>
        <row r="805">
          <cell r="A805">
            <v>45586</v>
          </cell>
          <cell r="B805">
            <v>0.77300000190734863</v>
          </cell>
          <cell r="C805">
            <v>0.8190000057220459</v>
          </cell>
          <cell r="D805">
            <v>0.77300000190734863</v>
          </cell>
          <cell r="E805">
            <v>0.78600001335144043</v>
          </cell>
          <cell r="F805">
            <v>1665802.875</v>
          </cell>
          <cell r="G805">
            <v>16658.029296875</v>
          </cell>
          <cell r="H805">
            <v>803</v>
          </cell>
          <cell r="I805">
            <v>4798148.2093321914</v>
          </cell>
        </row>
        <row r="806">
          <cell r="A806">
            <v>45587</v>
          </cell>
          <cell r="B806">
            <v>0.78700000047683716</v>
          </cell>
          <cell r="C806">
            <v>0.79000002145767212</v>
          </cell>
          <cell r="D806">
            <v>0.77600002288818359</v>
          </cell>
          <cell r="E806">
            <v>0.78600001335144043</v>
          </cell>
          <cell r="F806">
            <v>1928302.875</v>
          </cell>
          <cell r="G806">
            <v>19283.029296875</v>
          </cell>
          <cell r="H806">
            <v>804</v>
          </cell>
          <cell r="I806">
            <v>4794578.7499611322</v>
          </cell>
        </row>
        <row r="807">
          <cell r="A807">
            <v>45588</v>
          </cell>
          <cell r="B807">
            <v>0.77799999713897705</v>
          </cell>
          <cell r="C807">
            <v>0.79699999094009399</v>
          </cell>
          <cell r="D807">
            <v>0.77799999713897705</v>
          </cell>
          <cell r="E807">
            <v>0.7850000262260437</v>
          </cell>
          <cell r="F807">
            <v>1948501</v>
          </cell>
          <cell r="G807">
            <v>19485.009765625</v>
          </cell>
          <cell r="H807">
            <v>805</v>
          </cell>
          <cell r="I807">
            <v>4791043.2496506209</v>
          </cell>
        </row>
        <row r="808">
          <cell r="A808">
            <v>45589</v>
          </cell>
          <cell r="B808">
            <v>0.7839999794960022</v>
          </cell>
          <cell r="C808">
            <v>0.7850000262260437</v>
          </cell>
          <cell r="D808">
            <v>0.77600002288818359</v>
          </cell>
          <cell r="E808">
            <v>0.77799999713897705</v>
          </cell>
          <cell r="F808">
            <v>3103200</v>
          </cell>
          <cell r="G808">
            <v>31032</v>
          </cell>
          <cell r="H808">
            <v>806</v>
          </cell>
          <cell r="I808">
            <v>4788949.1513259923</v>
          </cell>
        </row>
        <row r="809">
          <cell r="A809">
            <v>45590</v>
          </cell>
          <cell r="B809">
            <v>0.79799997806549072</v>
          </cell>
          <cell r="C809">
            <v>0.80400002002716064</v>
          </cell>
          <cell r="D809">
            <v>0.78100001811981201</v>
          </cell>
          <cell r="E809">
            <v>0.79400002956390381</v>
          </cell>
          <cell r="F809">
            <v>3575101.25</v>
          </cell>
          <cell r="G809">
            <v>35751.01171875</v>
          </cell>
          <cell r="H809">
            <v>807</v>
          </cell>
          <cell r="I809">
            <v>4787445.0027493807</v>
          </cell>
        </row>
        <row r="810">
          <cell r="A810">
            <v>45593</v>
          </cell>
          <cell r="B810">
            <v>0.79500001668930054</v>
          </cell>
          <cell r="C810">
            <v>0.79500001668930054</v>
          </cell>
          <cell r="D810">
            <v>0.78100001811981201</v>
          </cell>
          <cell r="E810">
            <v>0.79400002956390381</v>
          </cell>
          <cell r="F810">
            <v>3102400</v>
          </cell>
          <cell r="G810">
            <v>31024</v>
          </cell>
          <cell r="H810">
            <v>808</v>
          </cell>
          <cell r="I810">
            <v>4785359.5510133049</v>
          </cell>
        </row>
        <row r="811">
          <cell r="A811">
            <v>45594</v>
          </cell>
          <cell r="B811">
            <v>0.79400002956390381</v>
          </cell>
          <cell r="C811">
            <v>0.79699999094009399</v>
          </cell>
          <cell r="D811">
            <v>0.78299999237060547</v>
          </cell>
          <cell r="E811">
            <v>0.78299999237060547</v>
          </cell>
          <cell r="F811">
            <v>2365704</v>
          </cell>
          <cell r="G811">
            <v>23657.0390625</v>
          </cell>
          <cell r="H811">
            <v>809</v>
          </cell>
          <cell r="I811">
            <v>4782368.6294422122</v>
          </cell>
        </row>
        <row r="812">
          <cell r="A812">
            <v>45595</v>
          </cell>
          <cell r="B812">
            <v>0.77999997138977051</v>
          </cell>
          <cell r="C812">
            <v>0.78600001335144043</v>
          </cell>
          <cell r="D812">
            <v>0.77300000190734863</v>
          </cell>
          <cell r="E812">
            <v>0.77899998426437378</v>
          </cell>
          <cell r="F812">
            <v>5124300</v>
          </cell>
          <cell r="G812">
            <v>51243</v>
          </cell>
          <cell r="H812">
            <v>810</v>
          </cell>
          <cell r="I812">
            <v>4782790.7669367287</v>
          </cell>
        </row>
        <row r="813">
          <cell r="A813">
            <v>45596</v>
          </cell>
          <cell r="B813">
            <v>0.77700001001358032</v>
          </cell>
          <cell r="C813">
            <v>0.7839999794960022</v>
          </cell>
          <cell r="D813">
            <v>0.77100002765655518</v>
          </cell>
          <cell r="E813">
            <v>0.77700001001358032</v>
          </cell>
          <cell r="F813">
            <v>1578400</v>
          </cell>
          <cell r="G813">
            <v>1225130.75</v>
          </cell>
          <cell r="H813">
            <v>811</v>
          </cell>
          <cell r="I813">
            <v>4778839.6069281753</v>
          </cell>
        </row>
        <row r="814">
          <cell r="A814">
            <v>45597</v>
          </cell>
          <cell r="B814">
            <v>0.77700001001358032</v>
          </cell>
          <cell r="C814">
            <v>0.77799999713897705</v>
          </cell>
          <cell r="D814">
            <v>0.76499998569488525</v>
          </cell>
          <cell r="E814">
            <v>0.76499998569488525</v>
          </cell>
          <cell r="F814">
            <v>4991607</v>
          </cell>
          <cell r="G814">
            <v>3845460.25</v>
          </cell>
          <cell r="H814">
            <v>812</v>
          </cell>
          <cell r="I814">
            <v>4779101.6357373772</v>
          </cell>
        </row>
        <row r="815">
          <cell r="A815">
            <v>45600</v>
          </cell>
          <cell r="B815">
            <v>0.76700001955032349</v>
          </cell>
          <cell r="C815">
            <v>0.78200000524520874</v>
          </cell>
          <cell r="D815">
            <v>0.76200002431869507</v>
          </cell>
          <cell r="E815">
            <v>0.78200000524520874</v>
          </cell>
          <cell r="F815">
            <v>2753100</v>
          </cell>
          <cell r="G815">
            <v>27531</v>
          </cell>
          <cell r="H815">
            <v>813</v>
          </cell>
          <cell r="I815">
            <v>4776609.6288053505</v>
          </cell>
        </row>
        <row r="816">
          <cell r="A816">
            <v>45601</v>
          </cell>
          <cell r="B816">
            <v>0.77999997138977051</v>
          </cell>
          <cell r="C816">
            <v>0.80800002813339233</v>
          </cell>
          <cell r="D816">
            <v>0.77999997138977051</v>
          </cell>
          <cell r="E816">
            <v>0.80699998140335083</v>
          </cell>
          <cell r="F816">
            <v>4192207</v>
          </cell>
          <cell r="G816">
            <v>41922.0703125</v>
          </cell>
          <cell r="H816">
            <v>814</v>
          </cell>
          <cell r="I816">
            <v>4775891.6894579241</v>
          </cell>
        </row>
        <row r="817">
          <cell r="A817">
            <v>45602</v>
          </cell>
          <cell r="B817">
            <v>0.82099997997283936</v>
          </cell>
          <cell r="C817">
            <v>0.82400000095367432</v>
          </cell>
          <cell r="D817">
            <v>0.79600000381469727</v>
          </cell>
          <cell r="E817">
            <v>0.80000001192092896</v>
          </cell>
          <cell r="F817">
            <v>4483827</v>
          </cell>
          <cell r="G817">
            <v>44838.26953125</v>
          </cell>
          <cell r="H817">
            <v>815</v>
          </cell>
          <cell r="I817">
            <v>4775533.3278757669</v>
          </cell>
        </row>
        <row r="818">
          <cell r="A818">
            <v>45603</v>
          </cell>
          <cell r="B818">
            <v>0.79500001668930054</v>
          </cell>
          <cell r="C818">
            <v>0.81300002336502075</v>
          </cell>
          <cell r="D818">
            <v>0.79100000858306885</v>
          </cell>
          <cell r="E818">
            <v>0.81300002336502075</v>
          </cell>
          <cell r="F818">
            <v>1981100</v>
          </cell>
          <cell r="G818">
            <v>19811</v>
          </cell>
          <cell r="H818">
            <v>816</v>
          </cell>
          <cell r="I818">
            <v>4772108.7772288602</v>
          </cell>
        </row>
        <row r="819">
          <cell r="A819">
            <v>45604</v>
          </cell>
          <cell r="B819">
            <v>0.81300002336502075</v>
          </cell>
          <cell r="C819">
            <v>0.82899999618530273</v>
          </cell>
          <cell r="D819">
            <v>0.81099998950958252</v>
          </cell>
          <cell r="E819">
            <v>0.81400001049041748</v>
          </cell>
          <cell r="F819">
            <v>4235800</v>
          </cell>
          <cell r="G819">
            <v>42358</v>
          </cell>
          <cell r="H819">
            <v>817</v>
          </cell>
          <cell r="I819">
            <v>4771452.3405370256</v>
          </cell>
        </row>
        <row r="820">
          <cell r="A820">
            <v>45607</v>
          </cell>
          <cell r="B820">
            <v>0.81300002336502075</v>
          </cell>
          <cell r="C820">
            <v>0.84200000762939453</v>
          </cell>
          <cell r="D820">
            <v>0.80800002813339233</v>
          </cell>
          <cell r="E820">
            <v>0.8410000205039978</v>
          </cell>
          <cell r="F820">
            <v>6566310</v>
          </cell>
          <cell r="G820">
            <v>65663.1015625</v>
          </cell>
          <cell r="H820">
            <v>818</v>
          </cell>
          <cell r="I820">
            <v>4773646.5430547064</v>
          </cell>
        </row>
        <row r="821">
          <cell r="A821">
            <v>45608</v>
          </cell>
          <cell r="B821">
            <v>0.84200000762939453</v>
          </cell>
          <cell r="C821">
            <v>0.85500001907348633</v>
          </cell>
          <cell r="D821">
            <v>0.82999998331069946</v>
          </cell>
          <cell r="E821">
            <v>0.83600002527236938</v>
          </cell>
          <cell r="F821">
            <v>5118502</v>
          </cell>
          <cell r="G821">
            <v>51185.01953125</v>
          </cell>
          <cell r="H821">
            <v>819</v>
          </cell>
          <cell r="I821">
            <v>4774067.6119887056</v>
          </cell>
        </row>
        <row r="822">
          <cell r="A822">
            <v>45609</v>
          </cell>
          <cell r="B822">
            <v>0.83499997854232788</v>
          </cell>
          <cell r="C822">
            <v>0.84799998998641968</v>
          </cell>
          <cell r="D822">
            <v>0.82700002193450928</v>
          </cell>
          <cell r="E822">
            <v>0.84700000286102295</v>
          </cell>
          <cell r="F822">
            <v>3950401.25</v>
          </cell>
          <cell r="G822">
            <v>39504.01171875</v>
          </cell>
          <cell r="H822">
            <v>820</v>
          </cell>
          <cell r="I822">
            <v>4773063.1408155486</v>
          </cell>
        </row>
        <row r="823">
          <cell r="A823">
            <v>45610</v>
          </cell>
          <cell r="B823">
            <v>0.84200000762939453</v>
          </cell>
          <cell r="C823">
            <v>0.84500002861022949</v>
          </cell>
          <cell r="D823">
            <v>0.81999999284744263</v>
          </cell>
          <cell r="E823">
            <v>0.82200002670288086</v>
          </cell>
          <cell r="F823">
            <v>2537800</v>
          </cell>
          <cell r="G823">
            <v>25378</v>
          </cell>
          <cell r="H823">
            <v>821</v>
          </cell>
          <cell r="I823">
            <v>4770340.5304126069</v>
          </cell>
        </row>
        <row r="824">
          <cell r="A824">
            <v>45611</v>
          </cell>
          <cell r="B824">
            <v>0.82200002670288086</v>
          </cell>
          <cell r="C824">
            <v>0.82300001382827759</v>
          </cell>
          <cell r="D824">
            <v>0.80099999904632568</v>
          </cell>
          <cell r="E824">
            <v>0.80099999904632568</v>
          </cell>
          <cell r="F824">
            <v>2640600</v>
          </cell>
          <cell r="G824">
            <v>26406</v>
          </cell>
          <cell r="H824">
            <v>822</v>
          </cell>
          <cell r="I824">
            <v>4767749.6051931269</v>
          </cell>
        </row>
        <row r="825">
          <cell r="A825">
            <v>45614</v>
          </cell>
          <cell r="B825">
            <v>0.82499998807907104</v>
          </cell>
          <cell r="C825">
            <v>0.82499998807907104</v>
          </cell>
          <cell r="D825">
            <v>0.77600002288818359</v>
          </cell>
          <cell r="E825">
            <v>0.78100001811981201</v>
          </cell>
          <cell r="F825">
            <v>4882700</v>
          </cell>
          <cell r="G825">
            <v>48827</v>
          </cell>
          <cell r="H825">
            <v>823</v>
          </cell>
          <cell r="I825">
            <v>4767889.2776047997</v>
          </cell>
        </row>
        <row r="826">
          <cell r="A826">
            <v>45615</v>
          </cell>
          <cell r="B826">
            <v>0.78899997472763062</v>
          </cell>
          <cell r="C826">
            <v>0.79699999094009399</v>
          </cell>
          <cell r="D826">
            <v>0.77499997615814209</v>
          </cell>
          <cell r="E826">
            <v>0.79699999094009399</v>
          </cell>
          <cell r="F826">
            <v>3035000</v>
          </cell>
          <cell r="G826">
            <v>30350</v>
          </cell>
          <cell r="H826">
            <v>824</v>
          </cell>
          <cell r="I826">
            <v>4765786.2566368328</v>
          </cell>
        </row>
        <row r="827">
          <cell r="A827">
            <v>45616</v>
          </cell>
          <cell r="B827">
            <v>0.79600000381469727</v>
          </cell>
          <cell r="C827">
            <v>0.80500000715255737</v>
          </cell>
          <cell r="D827">
            <v>0.79500001668930054</v>
          </cell>
          <cell r="E827">
            <v>0.80299997329711914</v>
          </cell>
          <cell r="F827">
            <v>1216129</v>
          </cell>
          <cell r="G827">
            <v>12161.2900390625</v>
          </cell>
          <cell r="H827">
            <v>825</v>
          </cell>
          <cell r="I827">
            <v>4761483.6417803029</v>
          </cell>
        </row>
        <row r="828">
          <cell r="A828">
            <v>45617</v>
          </cell>
          <cell r="B828">
            <v>0.80199998617172241</v>
          </cell>
          <cell r="C828">
            <v>0.8059999942779541</v>
          </cell>
          <cell r="D828">
            <v>0.79799997806549072</v>
          </cell>
          <cell r="E828">
            <v>0.80000001192092896</v>
          </cell>
          <cell r="F828">
            <v>3048900</v>
          </cell>
          <cell r="G828">
            <v>30489</v>
          </cell>
          <cell r="H828">
            <v>826</v>
          </cell>
          <cell r="I828">
            <v>4759410.2959670098</v>
          </cell>
        </row>
        <row r="829">
          <cell r="A829">
            <v>45618</v>
          </cell>
          <cell r="B829">
            <v>0.80000001192092896</v>
          </cell>
          <cell r="C829">
            <v>0.80099999904632568</v>
          </cell>
          <cell r="D829">
            <v>0.77399998903274536</v>
          </cell>
          <cell r="E829">
            <v>0.77399998903274536</v>
          </cell>
          <cell r="F829">
            <v>4457906</v>
          </cell>
          <cell r="G829">
            <v>44579.05859375</v>
          </cell>
          <cell r="H829">
            <v>827</v>
          </cell>
          <cell r="I829">
            <v>4759045.7200347641</v>
          </cell>
        </row>
        <row r="830">
          <cell r="A830">
            <v>45621</v>
          </cell>
          <cell r="B830">
            <v>0.77399998903274536</v>
          </cell>
          <cell r="C830">
            <v>0.78299999237060547</v>
          </cell>
          <cell r="D830">
            <v>0.76399999856948853</v>
          </cell>
          <cell r="E830">
            <v>0.77399998903274536</v>
          </cell>
          <cell r="F830">
            <v>1212520</v>
          </cell>
          <cell r="G830">
            <v>12125.2001953125</v>
          </cell>
          <cell r="H830">
            <v>828</v>
          </cell>
          <cell r="I830">
            <v>4754762.4764115335</v>
          </cell>
        </row>
        <row r="831">
          <cell r="A831">
            <v>45622</v>
          </cell>
          <cell r="B831">
            <v>0.76800000667572021</v>
          </cell>
          <cell r="C831">
            <v>0.77499997615814209</v>
          </cell>
          <cell r="D831">
            <v>0.76399999856948853</v>
          </cell>
          <cell r="E831">
            <v>0.76399999856948853</v>
          </cell>
          <cell r="F831">
            <v>2007700</v>
          </cell>
          <cell r="G831">
            <v>20077</v>
          </cell>
          <cell r="H831">
            <v>829</v>
          </cell>
          <cell r="I831">
            <v>4751448.7701673703</v>
          </cell>
        </row>
        <row r="832">
          <cell r="A832">
            <v>45623</v>
          </cell>
          <cell r="B832">
            <v>0.7630000114440918</v>
          </cell>
          <cell r="C832">
            <v>0.77799999713897705</v>
          </cell>
          <cell r="D832">
            <v>0.75300002098083496</v>
          </cell>
          <cell r="E832">
            <v>0.77799999713897705</v>
          </cell>
          <cell r="F832">
            <v>3291300</v>
          </cell>
          <cell r="G832">
            <v>32913</v>
          </cell>
          <cell r="H832">
            <v>830</v>
          </cell>
          <cell r="I832">
            <v>4749689.5547816269</v>
          </cell>
        </row>
        <row r="833">
          <cell r="A833">
            <v>45624</v>
          </cell>
          <cell r="B833">
            <v>0.77499997615814209</v>
          </cell>
          <cell r="C833">
            <v>0.77799999713897705</v>
          </cell>
          <cell r="D833">
            <v>0.76599997282028198</v>
          </cell>
          <cell r="E833">
            <v>0.76599997282028198</v>
          </cell>
          <cell r="F833">
            <v>2358703</v>
          </cell>
          <cell r="G833">
            <v>23587.029296875</v>
          </cell>
          <cell r="H833">
            <v>831</v>
          </cell>
          <cell r="I833">
            <v>4746812.3146435022</v>
          </cell>
        </row>
        <row r="834">
          <cell r="A834">
            <v>45625</v>
          </cell>
          <cell r="B834">
            <v>0.76899999380111694</v>
          </cell>
          <cell r="C834">
            <v>0.78700000047683716</v>
          </cell>
          <cell r="D834">
            <v>0.76599997282028198</v>
          </cell>
          <cell r="E834">
            <v>0.78100001811981201</v>
          </cell>
          <cell r="F834">
            <v>1693501</v>
          </cell>
          <cell r="G834">
            <v>16935.009765625</v>
          </cell>
          <cell r="H834">
            <v>832</v>
          </cell>
          <cell r="I834">
            <v>4743142.4693134017</v>
          </cell>
        </row>
        <row r="835">
          <cell r="A835">
            <v>45628</v>
          </cell>
          <cell r="B835">
            <v>0.77600002288818359</v>
          </cell>
          <cell r="C835">
            <v>0.7929999828338623</v>
          </cell>
          <cell r="D835">
            <v>0.77600002288818359</v>
          </cell>
          <cell r="E835">
            <v>0.78799998760223389</v>
          </cell>
          <cell r="F835">
            <v>2066501</v>
          </cell>
          <cell r="G835">
            <v>20665.009765625</v>
          </cell>
          <cell r="H835">
            <v>833</v>
          </cell>
          <cell r="I835">
            <v>4739929.214248199</v>
          </cell>
        </row>
        <row r="836">
          <cell r="A836">
            <v>45629</v>
          </cell>
          <cell r="B836">
            <v>0.78600001335144043</v>
          </cell>
          <cell r="C836">
            <v>0.78799998760223389</v>
          </cell>
          <cell r="D836">
            <v>0.77899998426437378</v>
          </cell>
          <cell r="E836">
            <v>0.7850000262260437</v>
          </cell>
          <cell r="F836">
            <v>3885805.75</v>
          </cell>
          <cell r="G836">
            <v>38858.05859375</v>
          </cell>
          <cell r="H836">
            <v>834</v>
          </cell>
          <cell r="I836">
            <v>4738905.085394185</v>
          </cell>
        </row>
        <row r="837">
          <cell r="A837">
            <v>45630</v>
          </cell>
          <cell r="B837">
            <v>0.77999997138977051</v>
          </cell>
          <cell r="C837">
            <v>0.78600001335144043</v>
          </cell>
          <cell r="D837">
            <v>0.77700001001358032</v>
          </cell>
          <cell r="E837">
            <v>0.77799999713897705</v>
          </cell>
          <cell r="F837">
            <v>711500</v>
          </cell>
          <cell r="G837">
            <v>7115</v>
          </cell>
          <cell r="H837">
            <v>835</v>
          </cell>
          <cell r="I837">
            <v>4734081.8457709579</v>
          </cell>
        </row>
        <row r="838">
          <cell r="A838">
            <v>45631</v>
          </cell>
          <cell r="B838">
            <v>0.78200000524520874</v>
          </cell>
          <cell r="C838">
            <v>0.7850000262260437</v>
          </cell>
          <cell r="D838">
            <v>0.77799999713897705</v>
          </cell>
          <cell r="E838">
            <v>0.78100001811981201</v>
          </cell>
          <cell r="F838">
            <v>2911700</v>
          </cell>
          <cell r="G838">
            <v>29117</v>
          </cell>
          <cell r="H838">
            <v>836</v>
          </cell>
          <cell r="I838">
            <v>4731901.9631803231</v>
          </cell>
        </row>
        <row r="839">
          <cell r="A839">
            <v>45632</v>
          </cell>
          <cell r="B839">
            <v>0.7839999794960022</v>
          </cell>
          <cell r="C839">
            <v>0.80099999904632568</v>
          </cell>
          <cell r="D839">
            <v>0.78299999237060547</v>
          </cell>
          <cell r="E839">
            <v>0.79699999094009399</v>
          </cell>
          <cell r="F839">
            <v>4304600</v>
          </cell>
          <cell r="G839">
            <v>43046</v>
          </cell>
          <cell r="H839">
            <v>837</v>
          </cell>
          <cell r="I839">
            <v>4731391.4470952805</v>
          </cell>
        </row>
        <row r="840">
          <cell r="A840">
            <v>45635</v>
          </cell>
          <cell r="B840">
            <v>0.79600000381469727</v>
          </cell>
          <cell r="C840">
            <v>0.79799997806549072</v>
          </cell>
          <cell r="D840">
            <v>0.79100000858306885</v>
          </cell>
          <cell r="E840">
            <v>0.79699999094009399</v>
          </cell>
          <cell r="F840">
            <v>729512</v>
          </cell>
          <cell r="G840">
            <v>7295.1201171875</v>
          </cell>
          <cell r="H840">
            <v>838</v>
          </cell>
          <cell r="I840">
            <v>4726615.9346285798</v>
          </cell>
        </row>
        <row r="841">
          <cell r="A841">
            <v>45636</v>
          </cell>
          <cell r="B841">
            <v>0.81699997186660767</v>
          </cell>
          <cell r="C841">
            <v>0.84799998998641968</v>
          </cell>
          <cell r="D841">
            <v>0.79699999094009399</v>
          </cell>
          <cell r="E841">
            <v>0.79900002479553223</v>
          </cell>
          <cell r="F841">
            <v>3692619.25</v>
          </cell>
          <cell r="G841">
            <v>36926.19140625</v>
          </cell>
          <cell r="H841">
            <v>839</v>
          </cell>
          <cell r="I841">
            <v>4725383.5190330753</v>
          </cell>
        </row>
        <row r="842">
          <cell r="A842">
            <v>45637</v>
          </cell>
          <cell r="B842">
            <v>0.79900002479553223</v>
          </cell>
          <cell r="C842">
            <v>0.80199998617172241</v>
          </cell>
          <cell r="D842">
            <v>0.79500001668930054</v>
          </cell>
          <cell r="E842">
            <v>0.79699999094009399</v>
          </cell>
          <cell r="F842">
            <v>2053403.875</v>
          </cell>
          <cell r="G842">
            <v>20534.0390625</v>
          </cell>
          <cell r="H842">
            <v>840</v>
          </cell>
          <cell r="I842">
            <v>4722202.5908854166</v>
          </cell>
        </row>
        <row r="843">
          <cell r="A843">
            <v>45638</v>
          </cell>
          <cell r="B843">
            <v>0.79900002479553223</v>
          </cell>
          <cell r="C843">
            <v>0.80500000715255737</v>
          </cell>
          <cell r="D843">
            <v>0.79500001668930054</v>
          </cell>
          <cell r="E843">
            <v>0.80400002002716064</v>
          </cell>
          <cell r="F843">
            <v>2136475</v>
          </cell>
          <cell r="G843">
            <v>21364.75</v>
          </cell>
          <cell r="H843">
            <v>841</v>
          </cell>
          <cell r="I843">
            <v>4719128.0039759213</v>
          </cell>
        </row>
        <row r="844">
          <cell r="A844">
            <v>45639</v>
          </cell>
          <cell r="B844">
            <v>0.81300002336502075</v>
          </cell>
          <cell r="C844">
            <v>0.81300002336502075</v>
          </cell>
          <cell r="D844">
            <v>0.78600001335144043</v>
          </cell>
          <cell r="E844">
            <v>0.78600001335144043</v>
          </cell>
          <cell r="F844">
            <v>2058200</v>
          </cell>
          <cell r="G844">
            <v>20582</v>
          </cell>
          <cell r="H844">
            <v>842</v>
          </cell>
          <cell r="I844">
            <v>4715967.7569403211</v>
          </cell>
        </row>
        <row r="845">
          <cell r="A845">
            <v>45642</v>
          </cell>
          <cell r="B845">
            <v>0.78600001335144043</v>
          </cell>
          <cell r="C845">
            <v>0.78600001335144043</v>
          </cell>
          <cell r="D845">
            <v>0.77899998426437378</v>
          </cell>
          <cell r="E845">
            <v>0.77899998426437378</v>
          </cell>
          <cell r="F845">
            <v>1128000</v>
          </cell>
          <cell r="G845">
            <v>11280</v>
          </cell>
          <cell r="H845">
            <v>843</v>
          </cell>
          <cell r="I845">
            <v>4711711.5674303081</v>
          </cell>
        </row>
        <row r="846">
          <cell r="A846">
            <v>45643</v>
          </cell>
          <cell r="B846">
            <v>0.77600002288818359</v>
          </cell>
          <cell r="C846">
            <v>0.8410000205039978</v>
          </cell>
          <cell r="D846">
            <v>0.77600002288818359</v>
          </cell>
          <cell r="E846">
            <v>0.78299999237060547</v>
          </cell>
          <cell r="F846">
            <v>2943102</v>
          </cell>
          <cell r="G846">
            <v>29431.01953125</v>
          </cell>
          <cell r="H846">
            <v>844</v>
          </cell>
          <cell r="I846">
            <v>4709616.0584641583</v>
          </cell>
        </row>
        <row r="847">
          <cell r="A847">
            <v>45644</v>
          </cell>
          <cell r="B847">
            <v>0.78799998760223389</v>
          </cell>
          <cell r="C847">
            <v>0.79100000858306885</v>
          </cell>
          <cell r="D847">
            <v>0.7850000262260437</v>
          </cell>
          <cell r="E847">
            <v>0.78700000047683716</v>
          </cell>
          <cell r="F847">
            <v>2718906</v>
          </cell>
          <cell r="G847">
            <v>27189.060546875</v>
          </cell>
          <cell r="H847">
            <v>845</v>
          </cell>
          <cell r="I847">
            <v>4707260.188572485</v>
          </cell>
        </row>
        <row r="848">
          <cell r="A848">
            <v>45645</v>
          </cell>
          <cell r="B848">
            <v>0.7850000262260437</v>
          </cell>
          <cell r="C848">
            <v>0.79799997806549072</v>
          </cell>
          <cell r="D848">
            <v>0.7850000262260437</v>
          </cell>
          <cell r="E848">
            <v>0.79600000381469727</v>
          </cell>
          <cell r="F848">
            <v>5648300</v>
          </cell>
          <cell r="G848">
            <v>56483</v>
          </cell>
          <cell r="H848">
            <v>846</v>
          </cell>
          <cell r="I848">
            <v>4708372.5287751183</v>
          </cell>
        </row>
        <row r="849">
          <cell r="A849">
            <v>45646</v>
          </cell>
          <cell r="B849">
            <v>0.79699999094009399</v>
          </cell>
          <cell r="C849">
            <v>0.80099999904632568</v>
          </cell>
          <cell r="D849">
            <v>0.7929999828338623</v>
          </cell>
          <cell r="E849">
            <v>0.79600000381469727</v>
          </cell>
          <cell r="F849">
            <v>4240300</v>
          </cell>
          <cell r="G849">
            <v>42403</v>
          </cell>
          <cell r="H849">
            <v>847</v>
          </cell>
          <cell r="I849">
            <v>4707819.904774203</v>
          </cell>
        </row>
        <row r="850">
          <cell r="A850">
            <v>45649</v>
          </cell>
          <cell r="B850">
            <v>0.7929999828338623</v>
          </cell>
          <cell r="C850">
            <v>0.80199998617172241</v>
          </cell>
          <cell r="D850">
            <v>0.78899997472763062</v>
          </cell>
          <cell r="E850">
            <v>0.78899997472763062</v>
          </cell>
          <cell r="F850">
            <v>867800</v>
          </cell>
          <cell r="G850">
            <v>8678</v>
          </cell>
          <cell r="H850">
            <v>848</v>
          </cell>
          <cell r="I850">
            <v>4703291.5794147998</v>
          </cell>
        </row>
        <row r="851">
          <cell r="A851">
            <v>45650</v>
          </cell>
          <cell r="B851">
            <v>0.78899997472763062</v>
          </cell>
          <cell r="C851">
            <v>0.80199998617172241</v>
          </cell>
          <cell r="D851">
            <v>0.78899997472763062</v>
          </cell>
          <cell r="E851">
            <v>0.80099999904632568</v>
          </cell>
          <cell r="F851">
            <v>1522401</v>
          </cell>
          <cell r="G851">
            <v>15224.009765625</v>
          </cell>
          <cell r="H851">
            <v>849</v>
          </cell>
          <cell r="I851">
            <v>4699544.9474013541</v>
          </cell>
        </row>
        <row r="852">
          <cell r="A852">
            <v>45651</v>
          </cell>
          <cell r="B852">
            <v>0.79000002145767212</v>
          </cell>
          <cell r="C852">
            <v>0.80299997329711914</v>
          </cell>
          <cell r="D852">
            <v>0.79000002145767212</v>
          </cell>
          <cell r="E852">
            <v>0.79900002479553223</v>
          </cell>
          <cell r="F852">
            <v>1199700</v>
          </cell>
          <cell r="G852">
            <v>11997</v>
          </cell>
          <cell r="H852">
            <v>850</v>
          </cell>
          <cell r="I852">
            <v>4695427.4827573532</v>
          </cell>
        </row>
        <row r="853">
          <cell r="A853">
            <v>45652</v>
          </cell>
          <cell r="B853">
            <v>0.81099998950958252</v>
          </cell>
          <cell r="C853">
            <v>0.81099998950958252</v>
          </cell>
          <cell r="D853">
            <v>0.7929999828338623</v>
          </cell>
          <cell r="E853">
            <v>0.80699998140335083</v>
          </cell>
          <cell r="F853">
            <v>494710</v>
          </cell>
          <cell r="G853">
            <v>4947.10009765625</v>
          </cell>
          <cell r="H853">
            <v>851</v>
          </cell>
          <cell r="I853">
            <v>4690491.2694991184</v>
          </cell>
        </row>
        <row r="854">
          <cell r="A854">
            <v>45653</v>
          </cell>
          <cell r="B854">
            <v>0.80500000715255737</v>
          </cell>
          <cell r="C854">
            <v>0.81199997663497925</v>
          </cell>
          <cell r="D854">
            <v>0.80299997329711914</v>
          </cell>
          <cell r="E854">
            <v>0.80400002002716064</v>
          </cell>
          <cell r="F854">
            <v>1828600</v>
          </cell>
          <cell r="G854">
            <v>18286</v>
          </cell>
          <cell r="H854">
            <v>852</v>
          </cell>
          <cell r="I854">
            <v>4687132.2421875</v>
          </cell>
        </row>
        <row r="855">
          <cell r="A855">
            <v>45656</v>
          </cell>
          <cell r="B855">
            <v>0.8059999942779541</v>
          </cell>
          <cell r="C855">
            <v>0.81000000238418579</v>
          </cell>
          <cell r="D855">
            <v>0.80400002002716064</v>
          </cell>
          <cell r="E855">
            <v>0.80500000715255737</v>
          </cell>
          <cell r="F855">
            <v>1558400</v>
          </cell>
          <cell r="G855">
            <v>15584</v>
          </cell>
          <cell r="H855">
            <v>853</v>
          </cell>
          <cell r="I855">
            <v>4683464.3263115473</v>
          </cell>
        </row>
        <row r="856">
          <cell r="A856">
            <v>45657</v>
          </cell>
          <cell r="B856">
            <v>0.80500000715255737</v>
          </cell>
          <cell r="C856">
            <v>0.80500000715255737</v>
          </cell>
          <cell r="D856">
            <v>0.78899997472763062</v>
          </cell>
          <cell r="E856">
            <v>0.78899997472763062</v>
          </cell>
          <cell r="F856">
            <v>2431000</v>
          </cell>
          <cell r="G856">
            <v>24310</v>
          </cell>
          <cell r="H856">
            <v>854</v>
          </cell>
          <cell r="I856">
            <v>4680826.7802620027</v>
          </cell>
        </row>
        <row r="857">
          <cell r="A857">
            <v>45659</v>
          </cell>
          <cell r="B857">
            <v>0.78899997472763062</v>
          </cell>
          <cell r="C857">
            <v>0.78899997472763062</v>
          </cell>
          <cell r="D857">
            <v>0.75700002908706665</v>
          </cell>
          <cell r="E857">
            <v>0.7630000114440918</v>
          </cell>
          <cell r="F857">
            <v>5231600</v>
          </cell>
          <cell r="G857">
            <v>52316</v>
          </cell>
          <cell r="H857">
            <v>855</v>
          </cell>
          <cell r="I857">
            <v>4681470.9594663745</v>
          </cell>
        </row>
        <row r="858">
          <cell r="A858">
            <v>45660</v>
          </cell>
          <cell r="B858">
            <v>0.7630000114440918</v>
          </cell>
          <cell r="C858">
            <v>0.76499998569488525</v>
          </cell>
          <cell r="D858">
            <v>0.74800002574920654</v>
          </cell>
          <cell r="E858">
            <v>0.74900001287460327</v>
          </cell>
          <cell r="F858">
            <v>2421800</v>
          </cell>
          <cell r="G858">
            <v>24218</v>
          </cell>
          <cell r="H858">
            <v>856</v>
          </cell>
          <cell r="I858">
            <v>4678831.1569436332</v>
          </cell>
        </row>
        <row r="859">
          <cell r="A859">
            <v>45663</v>
          </cell>
          <cell r="B859">
            <v>0.75199997425079346</v>
          </cell>
          <cell r="C859">
            <v>0.75499999523162842</v>
          </cell>
          <cell r="D859">
            <v>0.74400001764297485</v>
          </cell>
          <cell r="E859">
            <v>0.74800002574920654</v>
          </cell>
          <cell r="F859">
            <v>715200</v>
          </cell>
          <cell r="G859">
            <v>7152</v>
          </cell>
          <cell r="H859">
            <v>857</v>
          </cell>
          <cell r="I859">
            <v>4674206.1497593345</v>
          </cell>
        </row>
        <row r="860">
          <cell r="A860">
            <v>45664</v>
          </cell>
          <cell r="B860">
            <v>0.74299997091293335</v>
          </cell>
          <cell r="C860">
            <v>0.75499999523162842</v>
          </cell>
          <cell r="D860">
            <v>0.74299997091293335</v>
          </cell>
          <cell r="E860">
            <v>0.75499999523162842</v>
          </cell>
          <cell r="F860">
            <v>5355000</v>
          </cell>
          <cell r="G860">
            <v>53550</v>
          </cell>
          <cell r="H860">
            <v>858</v>
          </cell>
          <cell r="I860">
            <v>4674999.615785256</v>
          </cell>
        </row>
        <row r="861">
          <cell r="A861">
            <v>45665</v>
          </cell>
          <cell r="B861">
            <v>0.75</v>
          </cell>
          <cell r="C861">
            <v>0.75800001621246338</v>
          </cell>
          <cell r="D861">
            <v>0.7369999885559082</v>
          </cell>
          <cell r="E861">
            <v>0.75300002098083496</v>
          </cell>
          <cell r="F861">
            <v>1302800</v>
          </cell>
          <cell r="G861">
            <v>13028</v>
          </cell>
          <cell r="H861">
            <v>859</v>
          </cell>
          <cell r="I861">
            <v>4671073.8886423167</v>
          </cell>
        </row>
        <row r="862">
          <cell r="A862">
            <v>45666</v>
          </cell>
          <cell r="B862">
            <v>0.74900001287460327</v>
          </cell>
          <cell r="C862">
            <v>0.7630000114440918</v>
          </cell>
          <cell r="D862">
            <v>0.74900001287460327</v>
          </cell>
          <cell r="E862">
            <v>0.76200002431869507</v>
          </cell>
          <cell r="F862">
            <v>1582023</v>
          </cell>
          <cell r="G862">
            <v>15820.23046875</v>
          </cell>
          <cell r="H862">
            <v>860</v>
          </cell>
          <cell r="I862">
            <v>4667481.96900436</v>
          </cell>
        </row>
        <row r="863">
          <cell r="A863">
            <v>45667</v>
          </cell>
          <cell r="B863">
            <v>0.75700002908706665</v>
          </cell>
          <cell r="C863">
            <v>0.76200002431869507</v>
          </cell>
          <cell r="D863">
            <v>0.75</v>
          </cell>
          <cell r="E863">
            <v>0.75</v>
          </cell>
          <cell r="F863">
            <v>562000</v>
          </cell>
          <cell r="G863">
            <v>5620</v>
          </cell>
          <cell r="H863">
            <v>861</v>
          </cell>
          <cell r="I863">
            <v>4662713.6972633563</v>
          </cell>
        </row>
        <row r="864">
          <cell r="A864">
            <v>45670</v>
          </cell>
          <cell r="B864">
            <v>0.74299997091293335</v>
          </cell>
          <cell r="C864">
            <v>0.75300002098083496</v>
          </cell>
          <cell r="D864">
            <v>0.74299997091293335</v>
          </cell>
          <cell r="E864">
            <v>0.74400001764297485</v>
          </cell>
          <cell r="F864">
            <v>607500</v>
          </cell>
          <cell r="G864">
            <v>6075</v>
          </cell>
          <cell r="H864">
            <v>862</v>
          </cell>
          <cell r="I864">
            <v>4658009.2730205916</v>
          </cell>
        </row>
        <row r="865">
          <cell r="A865">
            <v>45671</v>
          </cell>
          <cell r="B865">
            <v>0.74599999189376831</v>
          </cell>
          <cell r="C865">
            <v>0.77600002288818359</v>
          </cell>
          <cell r="D865">
            <v>0.74500000476837158</v>
          </cell>
          <cell r="E865">
            <v>0.77499997615814209</v>
          </cell>
          <cell r="F865">
            <v>2799703</v>
          </cell>
          <cell r="G865">
            <v>27997.029296875</v>
          </cell>
          <cell r="H865">
            <v>863</v>
          </cell>
          <cell r="I865">
            <v>4655855.9633183666</v>
          </cell>
        </row>
        <row r="866">
          <cell r="A866">
            <v>45672</v>
          </cell>
          <cell r="B866">
            <v>0.77399998903274536</v>
          </cell>
          <cell r="C866">
            <v>0.77399998903274536</v>
          </cell>
          <cell r="D866">
            <v>0.76200002431869507</v>
          </cell>
          <cell r="E866">
            <v>0.7630000114440918</v>
          </cell>
          <cell r="F866">
            <v>1416600</v>
          </cell>
          <cell r="G866">
            <v>14166</v>
          </cell>
          <cell r="H866">
            <v>864</v>
          </cell>
          <cell r="I866">
            <v>4652106.8244719328</v>
          </cell>
        </row>
        <row r="867">
          <cell r="A867">
            <v>45673</v>
          </cell>
          <cell r="B867">
            <v>0.76999998092651367</v>
          </cell>
          <cell r="C867">
            <v>0.77899998426437378</v>
          </cell>
          <cell r="D867">
            <v>0.76200002431869507</v>
          </cell>
          <cell r="E867">
            <v>0.76800000667572021</v>
          </cell>
          <cell r="F867">
            <v>849505.9375</v>
          </cell>
          <cell r="G867">
            <v>8495.0595703125</v>
          </cell>
          <cell r="H867">
            <v>865</v>
          </cell>
          <cell r="I867">
            <v>4647710.7540823696</v>
          </cell>
        </row>
        <row r="868">
          <cell r="A868">
            <v>45674</v>
          </cell>
          <cell r="B868">
            <v>0.76700001955032349</v>
          </cell>
          <cell r="C868">
            <v>0.77799999713897705</v>
          </cell>
          <cell r="D868">
            <v>0.76099997758865356</v>
          </cell>
          <cell r="E868">
            <v>0.77399998903274536</v>
          </cell>
          <cell r="F868">
            <v>1085200</v>
          </cell>
          <cell r="G868">
            <v>10852</v>
          </cell>
          <cell r="H868">
            <v>866</v>
          </cell>
          <cell r="I868">
            <v>4643597.0003247689</v>
          </cell>
        </row>
        <row r="869">
          <cell r="A869">
            <v>45677</v>
          </cell>
          <cell r="B869">
            <v>0.77899998426437378</v>
          </cell>
          <cell r="C869">
            <v>0.79100000858306885</v>
          </cell>
          <cell r="D869">
            <v>0.77899998426437378</v>
          </cell>
          <cell r="E869">
            <v>0.7850000262260437</v>
          </cell>
          <cell r="F869">
            <v>1959100</v>
          </cell>
          <cell r="G869">
            <v>19591</v>
          </cell>
          <cell r="H869">
            <v>867</v>
          </cell>
          <cell r="I869">
            <v>4640500.6946727224</v>
          </cell>
        </row>
        <row r="870">
          <cell r="A870">
            <v>45678</v>
          </cell>
          <cell r="B870">
            <v>0.78899997472763062</v>
          </cell>
          <cell r="C870">
            <v>0.79400002956390381</v>
          </cell>
          <cell r="D870">
            <v>0.7839999794960022</v>
          </cell>
          <cell r="E870">
            <v>0.79199999570846558</v>
          </cell>
          <cell r="F870">
            <v>1361100</v>
          </cell>
          <cell r="G870">
            <v>13611</v>
          </cell>
          <cell r="H870">
            <v>868</v>
          </cell>
          <cell r="I870">
            <v>4636722.5832733298</v>
          </cell>
        </row>
        <row r="871">
          <cell r="A871">
            <v>45679</v>
          </cell>
          <cell r="B871">
            <v>0.78600001335144043</v>
          </cell>
          <cell r="C871">
            <v>0.78799998760223389</v>
          </cell>
          <cell r="D871">
            <v>0.78100001811981201</v>
          </cell>
          <cell r="E871">
            <v>0.78700000047683716</v>
          </cell>
          <cell r="F871">
            <v>1755100</v>
          </cell>
          <cell r="G871">
            <v>17551</v>
          </cell>
          <cell r="H871">
            <v>869</v>
          </cell>
          <cell r="I871">
            <v>4633406.561888665</v>
          </cell>
        </row>
        <row r="872">
          <cell r="A872">
            <v>45680</v>
          </cell>
          <cell r="B872">
            <v>0.7929999828338623</v>
          </cell>
          <cell r="C872">
            <v>0.79900002479553223</v>
          </cell>
          <cell r="D872">
            <v>0.77999997138977051</v>
          </cell>
          <cell r="E872">
            <v>0.78100001811981201</v>
          </cell>
          <cell r="F872">
            <v>900100</v>
          </cell>
          <cell r="G872">
            <v>9001</v>
          </cell>
          <cell r="H872">
            <v>870</v>
          </cell>
          <cell r="I872">
            <v>4629115.4049209766</v>
          </cell>
        </row>
        <row r="873">
          <cell r="A873">
            <v>45681</v>
          </cell>
          <cell r="B873">
            <v>0.78600001335144043</v>
          </cell>
          <cell r="C873">
            <v>0.79600000381469727</v>
          </cell>
          <cell r="D873">
            <v>0.78600001335144043</v>
          </cell>
          <cell r="E873">
            <v>0.79400002956390381</v>
          </cell>
          <cell r="F873">
            <v>3619407.75</v>
          </cell>
          <cell r="G873">
            <v>36194.078125</v>
          </cell>
          <cell r="H873">
            <v>871</v>
          </cell>
          <cell r="I873">
            <v>4627956.1538820323</v>
          </cell>
        </row>
        <row r="874">
          <cell r="A874">
            <v>45684</v>
          </cell>
          <cell r="B874">
            <v>0.79100000858306885</v>
          </cell>
          <cell r="C874">
            <v>0.79100000858306885</v>
          </cell>
          <cell r="D874">
            <v>0.78100001811981201</v>
          </cell>
          <cell r="E874">
            <v>0.78100001811981201</v>
          </cell>
          <cell r="F874">
            <v>851700</v>
          </cell>
          <cell r="G874">
            <v>8517</v>
          </cell>
          <cell r="H874">
            <v>872</v>
          </cell>
          <cell r="I874">
            <v>4623625.5848982222</v>
          </cell>
        </row>
        <row r="875">
          <cell r="A875">
            <v>45693</v>
          </cell>
          <cell r="B875">
            <v>0.78200000524520874</v>
          </cell>
          <cell r="C875">
            <v>0.78799998760223389</v>
          </cell>
          <cell r="D875">
            <v>0.77999997138977051</v>
          </cell>
          <cell r="E875">
            <v>0.78299999237060547</v>
          </cell>
          <cell r="F875">
            <v>2246100</v>
          </cell>
          <cell r="G875">
            <v>22461</v>
          </cell>
          <cell r="H875">
            <v>873</v>
          </cell>
          <cell r="I875">
            <v>4620902.1878937576</v>
          </cell>
        </row>
        <row r="876">
          <cell r="A876">
            <v>45694</v>
          </cell>
          <cell r="B876">
            <v>0.78600001335144043</v>
          </cell>
          <cell r="C876">
            <v>0.80800002813339233</v>
          </cell>
          <cell r="D876">
            <v>0.7850000262260437</v>
          </cell>
          <cell r="E876">
            <v>0.8059999942779541</v>
          </cell>
          <cell r="F876">
            <v>4895702</v>
          </cell>
          <cell r="G876">
            <v>48957.01953125</v>
          </cell>
          <cell r="H876">
            <v>874</v>
          </cell>
          <cell r="I876">
            <v>4621216.6041547479</v>
          </cell>
        </row>
        <row r="877">
          <cell r="A877">
            <v>45695</v>
          </cell>
          <cell r="B877">
            <v>0.80800002813339233</v>
          </cell>
          <cell r="C877">
            <v>0.82999998331069946</v>
          </cell>
          <cell r="D877">
            <v>0.80800002813339233</v>
          </cell>
          <cell r="E877">
            <v>0.81999999284744263</v>
          </cell>
          <cell r="F877">
            <v>2989909</v>
          </cell>
          <cell r="G877">
            <v>29899.08984375</v>
          </cell>
          <cell r="H877">
            <v>875</v>
          </cell>
          <cell r="I877">
            <v>4619352.2526071426</v>
          </cell>
        </row>
        <row r="878">
          <cell r="A878">
            <v>45698</v>
          </cell>
          <cell r="B878">
            <v>0.81999999284744263</v>
          </cell>
          <cell r="C878">
            <v>0.82599997520446777</v>
          </cell>
          <cell r="D878">
            <v>0.81499999761581421</v>
          </cell>
          <cell r="E878">
            <v>0.82400000095367432</v>
          </cell>
          <cell r="F878">
            <v>1616004</v>
          </cell>
          <cell r="G878">
            <v>16160.0400390625</v>
          </cell>
          <cell r="H878">
            <v>876</v>
          </cell>
          <cell r="I878">
            <v>4615923.7728667241</v>
          </cell>
        </row>
        <row r="879">
          <cell r="A879">
            <v>45699</v>
          </cell>
          <cell r="B879">
            <v>0.82499998807907104</v>
          </cell>
          <cell r="C879">
            <v>0.82499998807907104</v>
          </cell>
          <cell r="D879">
            <v>0.81699997186660767</v>
          </cell>
          <cell r="E879">
            <v>0.8190000057220459</v>
          </cell>
          <cell r="F879">
            <v>2121010</v>
          </cell>
          <cell r="G879">
            <v>21210.099609375</v>
          </cell>
          <cell r="H879">
            <v>877</v>
          </cell>
          <cell r="I879">
            <v>4613078.9453035919</v>
          </cell>
        </row>
        <row r="880">
          <cell r="A880">
            <v>45700</v>
          </cell>
          <cell r="B880">
            <v>0.81599998474121094</v>
          </cell>
          <cell r="C880">
            <v>0.83300000429153442</v>
          </cell>
          <cell r="D880">
            <v>0.81300002336502075</v>
          </cell>
          <cell r="E880">
            <v>0.83099997043609619</v>
          </cell>
          <cell r="F880">
            <v>4602428</v>
          </cell>
          <cell r="G880">
            <v>46024.28125</v>
          </cell>
          <cell r="H880">
            <v>878</v>
          </cell>
          <cell r="I880">
            <v>4613066.8143863892</v>
          </cell>
        </row>
        <row r="881">
          <cell r="A881">
            <v>45701</v>
          </cell>
          <cell r="B881">
            <v>0.83799999952316284</v>
          </cell>
          <cell r="C881">
            <v>0.83799999952316284</v>
          </cell>
          <cell r="D881">
            <v>0.8190000057220459</v>
          </cell>
          <cell r="E881">
            <v>0.8190000057220459</v>
          </cell>
          <cell r="F881">
            <v>1240408</v>
          </cell>
          <cell r="G881">
            <v>12404.080078125</v>
          </cell>
          <cell r="H881">
            <v>879</v>
          </cell>
          <cell r="I881">
            <v>4609229.8874075655</v>
          </cell>
        </row>
        <row r="882">
          <cell r="A882">
            <v>45702</v>
          </cell>
          <cell r="B882">
            <v>0.81699997186660767</v>
          </cell>
          <cell r="C882">
            <v>0.83399999141693115</v>
          </cell>
          <cell r="D882">
            <v>0.81699997186660767</v>
          </cell>
          <cell r="E882">
            <v>0.8320000171661377</v>
          </cell>
          <cell r="F882">
            <v>2426810</v>
          </cell>
          <cell r="G882">
            <v>24268.099609375</v>
          </cell>
          <cell r="H882">
            <v>880</v>
          </cell>
          <cell r="I882">
            <v>4606749.864808239</v>
          </cell>
        </row>
        <row r="883">
          <cell r="A883">
            <v>45705</v>
          </cell>
          <cell r="B883">
            <v>0.8320000171661377</v>
          </cell>
          <cell r="C883">
            <v>0.8399999737739563</v>
          </cell>
          <cell r="D883">
            <v>0.8320000171661377</v>
          </cell>
          <cell r="E883">
            <v>0.83700001239776611</v>
          </cell>
          <cell r="F883">
            <v>5033013</v>
          </cell>
          <cell r="G883">
            <v>50330.12890625</v>
          </cell>
          <cell r="H883">
            <v>881</v>
          </cell>
          <cell r="I883">
            <v>4607233.7049162881</v>
          </cell>
        </row>
        <row r="884">
          <cell r="A884">
            <v>45706</v>
          </cell>
          <cell r="B884">
            <v>0.83700001239776611</v>
          </cell>
          <cell r="C884">
            <v>0.84399998188018799</v>
          </cell>
          <cell r="D884">
            <v>0.82599997520446777</v>
          </cell>
          <cell r="E884">
            <v>0.82700002193450928</v>
          </cell>
          <cell r="F884">
            <v>1772511.875</v>
          </cell>
          <cell r="G884">
            <v>17725.119140625</v>
          </cell>
          <cell r="H884">
            <v>882</v>
          </cell>
          <cell r="I884">
            <v>4604019.7345875846</v>
          </cell>
        </row>
        <row r="885">
          <cell r="A885">
            <v>45707</v>
          </cell>
          <cell r="B885">
            <v>0.82700002193450928</v>
          </cell>
          <cell r="C885">
            <v>0.84399998188018799</v>
          </cell>
          <cell r="D885">
            <v>0.82700002193450928</v>
          </cell>
          <cell r="E885">
            <v>0.84299999475479126</v>
          </cell>
          <cell r="F885">
            <v>4155814</v>
          </cell>
          <cell r="G885">
            <v>41558.140625</v>
          </cell>
          <cell r="H885">
            <v>883</v>
          </cell>
          <cell r="I885">
            <v>4603512.1403241791</v>
          </cell>
        </row>
        <row r="886">
          <cell r="A886">
            <v>45708</v>
          </cell>
          <cell r="B886">
            <v>0.8399999737739563</v>
          </cell>
          <cell r="C886">
            <v>0.84700000286102295</v>
          </cell>
          <cell r="D886">
            <v>0.83899998664855957</v>
          </cell>
          <cell r="E886">
            <v>0.84500002861022949</v>
          </cell>
          <cell r="F886">
            <v>951504</v>
          </cell>
          <cell r="G886">
            <v>9515.0400390625</v>
          </cell>
          <cell r="H886">
            <v>884</v>
          </cell>
          <cell r="I886">
            <v>4599380.9093962107</v>
          </cell>
        </row>
        <row r="887">
          <cell r="A887">
            <v>45709</v>
          </cell>
          <cell r="B887">
            <v>0.84899997711181641</v>
          </cell>
          <cell r="C887">
            <v>0.86699998378753662</v>
          </cell>
          <cell r="D887">
            <v>0.84899997711181641</v>
          </cell>
          <cell r="E887">
            <v>0.86400002241134644</v>
          </cell>
          <cell r="F887">
            <v>2984500</v>
          </cell>
          <cell r="G887">
            <v>29845</v>
          </cell>
          <cell r="H887">
            <v>885</v>
          </cell>
          <cell r="I887">
            <v>4597556.1852048021</v>
          </cell>
        </row>
        <row r="888">
          <cell r="A888">
            <v>45712</v>
          </cell>
          <cell r="B888">
            <v>0.86400002241134644</v>
          </cell>
          <cell r="C888">
            <v>0.86900001764297485</v>
          </cell>
          <cell r="D888">
            <v>0.85500001907348633</v>
          </cell>
          <cell r="E888">
            <v>0.8619999885559082</v>
          </cell>
          <cell r="F888">
            <v>5279115</v>
          </cell>
          <cell r="G888">
            <v>52791.1484375</v>
          </cell>
          <cell r="H888">
            <v>886</v>
          </cell>
          <cell r="I888">
            <v>4598325.4389461065</v>
          </cell>
        </row>
        <row r="889">
          <cell r="A889">
            <v>45713</v>
          </cell>
          <cell r="B889">
            <v>0.8529999852180481</v>
          </cell>
          <cell r="C889">
            <v>0.8619999885559082</v>
          </cell>
          <cell r="D889">
            <v>0.84700000286102295</v>
          </cell>
          <cell r="E889">
            <v>0.85199999809265137</v>
          </cell>
          <cell r="F889">
            <v>2000100</v>
          </cell>
          <cell r="G889">
            <v>20001</v>
          </cell>
          <cell r="H889">
            <v>887</v>
          </cell>
          <cell r="I889">
            <v>4595396.2107173055</v>
          </cell>
        </row>
        <row r="890">
          <cell r="A890">
            <v>45714</v>
          </cell>
          <cell r="B890">
            <v>0.85100001096725464</v>
          </cell>
          <cell r="C890">
            <v>0.86100000143051147</v>
          </cell>
          <cell r="D890">
            <v>0.84899997711181641</v>
          </cell>
          <cell r="E890">
            <v>0.85900002717971802</v>
          </cell>
          <cell r="F890">
            <v>1098200</v>
          </cell>
          <cell r="G890">
            <v>10982</v>
          </cell>
          <cell r="H890">
            <v>888</v>
          </cell>
          <cell r="I890">
            <v>4591457.9266962279</v>
          </cell>
        </row>
        <row r="891">
          <cell r="A891">
            <v>45715</v>
          </cell>
          <cell r="B891">
            <v>0.86299997568130493</v>
          </cell>
          <cell r="C891">
            <v>0.86599999666213989</v>
          </cell>
          <cell r="D891">
            <v>0.84500002861022949</v>
          </cell>
          <cell r="E891">
            <v>0.85699999332427979</v>
          </cell>
          <cell r="F891">
            <v>866001</v>
          </cell>
          <cell r="G891">
            <v>8660.009765625</v>
          </cell>
          <cell r="H891">
            <v>889</v>
          </cell>
          <cell r="I891">
            <v>4587267.3114805957</v>
          </cell>
        </row>
        <row r="892">
          <cell r="A892">
            <v>45716</v>
          </cell>
          <cell r="B892">
            <v>0.84799998998641968</v>
          </cell>
          <cell r="C892">
            <v>0.84799998998641968</v>
          </cell>
          <cell r="D892">
            <v>0.82499998807907104</v>
          </cell>
          <cell r="E892">
            <v>0.82700002193450928</v>
          </cell>
          <cell r="F892">
            <v>1283704</v>
          </cell>
          <cell r="G892">
            <v>12837.0400390625</v>
          </cell>
          <cell r="H892">
            <v>890</v>
          </cell>
          <cell r="I892">
            <v>4583555.4425912919</v>
          </cell>
        </row>
        <row r="893">
          <cell r="A893">
            <v>45719</v>
          </cell>
          <cell r="B893">
            <v>0.82599997520446777</v>
          </cell>
          <cell r="C893">
            <v>0.8410000205039978</v>
          </cell>
          <cell r="D893">
            <v>0.82300001382827759</v>
          </cell>
          <cell r="E893">
            <v>0.82800000905990601</v>
          </cell>
          <cell r="F893">
            <v>1707503.875</v>
          </cell>
          <cell r="G893">
            <v>17075.0390625</v>
          </cell>
          <cell r="H893">
            <v>891</v>
          </cell>
          <cell r="I893">
            <v>4580327.5508207073</v>
          </cell>
        </row>
        <row r="894">
          <cell r="A894">
            <v>45720</v>
          </cell>
          <cell r="B894">
            <v>0.81999999284744263</v>
          </cell>
          <cell r="C894">
            <v>0.82899999618530273</v>
          </cell>
          <cell r="D894">
            <v>0.81800001859664917</v>
          </cell>
          <cell r="E894">
            <v>0.82800000905990601</v>
          </cell>
          <cell r="F894">
            <v>881400</v>
          </cell>
          <cell r="G894">
            <v>8814</v>
          </cell>
          <cell r="H894">
            <v>892</v>
          </cell>
          <cell r="I894">
            <v>4576180.7710552132</v>
          </cell>
        </row>
        <row r="895">
          <cell r="A895">
            <v>45721</v>
          </cell>
          <cell r="B895">
            <v>0.82800000905990601</v>
          </cell>
          <cell r="C895">
            <v>0.83300000429153442</v>
          </cell>
          <cell r="D895">
            <v>0.82400000095367432</v>
          </cell>
          <cell r="E895">
            <v>0.82999998331069946</v>
          </cell>
          <cell r="F895">
            <v>1371900</v>
          </cell>
          <cell r="G895">
            <v>13719</v>
          </cell>
          <cell r="H895">
            <v>893</v>
          </cell>
          <cell r="I895">
            <v>4572592.5507068867</v>
          </cell>
        </row>
        <row r="896">
          <cell r="A896">
            <v>45722</v>
          </cell>
          <cell r="B896">
            <v>0.83700001239776611</v>
          </cell>
          <cell r="C896">
            <v>0.84700000286102295</v>
          </cell>
          <cell r="D896">
            <v>0.83499997854232788</v>
          </cell>
          <cell r="E896">
            <v>0.84600001573562622</v>
          </cell>
          <cell r="F896">
            <v>1322713</v>
          </cell>
          <cell r="G896">
            <v>13227.1298828125</v>
          </cell>
          <cell r="H896">
            <v>894</v>
          </cell>
          <cell r="I896">
            <v>4568957.3386814874</v>
          </cell>
        </row>
        <row r="897">
          <cell r="A897">
            <v>45723</v>
          </cell>
          <cell r="B897">
            <v>0.84299999475479126</v>
          </cell>
          <cell r="C897">
            <v>0.84799998998641968</v>
          </cell>
          <cell r="D897">
            <v>0.83899998664855957</v>
          </cell>
          <cell r="E897">
            <v>0.8399999737739563</v>
          </cell>
          <cell r="F897">
            <v>796702</v>
          </cell>
          <cell r="G897">
            <v>7967.02001953125</v>
          </cell>
          <cell r="H897">
            <v>895</v>
          </cell>
          <cell r="I897">
            <v>4564742.5282472065</v>
          </cell>
        </row>
        <row r="898">
          <cell r="A898">
            <v>45726</v>
          </cell>
          <cell r="B898">
            <v>0.84399998188018799</v>
          </cell>
          <cell r="C898">
            <v>0.84500002861022949</v>
          </cell>
          <cell r="D898">
            <v>0.83099997043609619</v>
          </cell>
          <cell r="E898">
            <v>0.83799999952316284</v>
          </cell>
          <cell r="F898">
            <v>2375301</v>
          </cell>
          <cell r="G898">
            <v>23753.009765625</v>
          </cell>
          <cell r="H898">
            <v>896</v>
          </cell>
          <cell r="I898">
            <v>4562298.9551130021</v>
          </cell>
        </row>
        <row r="899">
          <cell r="A899">
            <v>45727</v>
          </cell>
          <cell r="B899">
            <v>0.83799999952316284</v>
          </cell>
          <cell r="C899">
            <v>0.83799999952316284</v>
          </cell>
          <cell r="D899">
            <v>0.82599997520446777</v>
          </cell>
          <cell r="E899">
            <v>0.83300000429153442</v>
          </cell>
          <cell r="F899">
            <v>1553000</v>
          </cell>
          <cell r="G899">
            <v>15530</v>
          </cell>
          <cell r="H899">
            <v>897</v>
          </cell>
          <cell r="I899">
            <v>4558944.1067795428</v>
          </cell>
        </row>
        <row r="900">
          <cell r="A900">
            <v>45728</v>
          </cell>
          <cell r="B900">
            <v>0.83399999141693115</v>
          </cell>
          <cell r="C900">
            <v>0.8410000205039978</v>
          </cell>
          <cell r="D900">
            <v>0.8320000171661377</v>
          </cell>
          <cell r="E900">
            <v>0.83499997854232788</v>
          </cell>
          <cell r="F900">
            <v>1704201</v>
          </cell>
          <cell r="G900">
            <v>17042.009765625</v>
          </cell>
          <cell r="H900">
            <v>898</v>
          </cell>
          <cell r="I900">
            <v>4555765.1055470491</v>
          </cell>
        </row>
        <row r="901">
          <cell r="A901">
            <v>45729</v>
          </cell>
          <cell r="B901">
            <v>0.83899998664855957</v>
          </cell>
          <cell r="C901">
            <v>0.83899998664855957</v>
          </cell>
          <cell r="D901">
            <v>0.82200002670288086</v>
          </cell>
          <cell r="E901">
            <v>0.82499998807907104</v>
          </cell>
          <cell r="F901">
            <v>1374300</v>
          </cell>
          <cell r="G901">
            <v>13743</v>
          </cell>
          <cell r="H901">
            <v>899</v>
          </cell>
          <cell r="I901">
            <v>4552226.2122149607</v>
          </cell>
        </row>
        <row r="902">
          <cell r="A902">
            <v>45730</v>
          </cell>
          <cell r="B902">
            <v>0.82700002193450928</v>
          </cell>
          <cell r="C902">
            <v>0.84399998188018799</v>
          </cell>
          <cell r="D902">
            <v>0.82700002193450928</v>
          </cell>
          <cell r="E902">
            <v>0.84299999475479126</v>
          </cell>
          <cell r="F902">
            <v>1538501</v>
          </cell>
          <cell r="G902">
            <v>15385.009765625</v>
          </cell>
          <cell r="H902">
            <v>900</v>
          </cell>
          <cell r="I902">
            <v>4548877.6286458336</v>
          </cell>
        </row>
        <row r="903">
          <cell r="A903">
            <v>45733</v>
          </cell>
          <cell r="B903">
            <v>0.84299999475479126</v>
          </cell>
          <cell r="C903">
            <v>0.84399998188018799</v>
          </cell>
          <cell r="D903">
            <v>0.83899998664855957</v>
          </cell>
          <cell r="E903">
            <v>0.8410000205039978</v>
          </cell>
          <cell r="F903">
            <v>738502</v>
          </cell>
          <cell r="G903">
            <v>7385.02001953125</v>
          </cell>
          <cell r="H903">
            <v>901</v>
          </cell>
          <cell r="I903">
            <v>4544648.5768937292</v>
          </cell>
        </row>
        <row r="904">
          <cell r="A904">
            <v>45734</v>
          </cell>
          <cell r="B904">
            <v>0.8399999737739563</v>
          </cell>
          <cell r="C904">
            <v>0.85100001096725464</v>
          </cell>
          <cell r="D904">
            <v>0.8399999737739563</v>
          </cell>
          <cell r="E904">
            <v>0.85000002384185791</v>
          </cell>
          <cell r="F904">
            <v>3215407</v>
          </cell>
          <cell r="G904">
            <v>32154.0703125</v>
          </cell>
          <cell r="H904">
            <v>902</v>
          </cell>
          <cell r="I904">
            <v>4543174.916608925</v>
          </cell>
        </row>
        <row r="905">
          <cell r="A905">
            <v>45735</v>
          </cell>
          <cell r="B905">
            <v>0.85000002384185791</v>
          </cell>
          <cell r="C905">
            <v>0.85399997234344482</v>
          </cell>
          <cell r="D905">
            <v>0.84500002861022949</v>
          </cell>
          <cell r="E905">
            <v>0.85199999809265137</v>
          </cell>
          <cell r="F905">
            <v>1465715</v>
          </cell>
          <cell r="G905">
            <v>14657.150390625</v>
          </cell>
          <cell r="H905">
            <v>903</v>
          </cell>
          <cell r="I905">
            <v>4539766.8768341634</v>
          </cell>
        </row>
        <row r="906">
          <cell r="A906">
            <v>45736</v>
          </cell>
          <cell r="B906">
            <v>0.85199999809265137</v>
          </cell>
          <cell r="C906">
            <v>0.85199999809265137</v>
          </cell>
          <cell r="D906">
            <v>0.84299999475479126</v>
          </cell>
          <cell r="E906">
            <v>0.84299999475479126</v>
          </cell>
          <cell r="F906">
            <v>1405878</v>
          </cell>
          <cell r="G906">
            <v>14058.7802734375</v>
          </cell>
          <cell r="H906">
            <v>904</v>
          </cell>
          <cell r="I906">
            <v>4536300.1855987282</v>
          </cell>
        </row>
        <row r="907">
          <cell r="A907">
            <v>45737</v>
          </cell>
          <cell r="B907">
            <v>0.83799999952316284</v>
          </cell>
          <cell r="C907">
            <v>0.84299999475479126</v>
          </cell>
          <cell r="D907">
            <v>0.82200002670288086</v>
          </cell>
          <cell r="E907">
            <v>0.82300001382827759</v>
          </cell>
          <cell r="F907">
            <v>1773500</v>
          </cell>
          <cell r="G907">
            <v>17735</v>
          </cell>
          <cell r="H907">
            <v>905</v>
          </cell>
          <cell r="I907">
            <v>4533247.3677140884</v>
          </cell>
        </row>
        <row r="908">
          <cell r="A908">
            <v>45740</v>
          </cell>
          <cell r="B908">
            <v>0.82700002193450928</v>
          </cell>
          <cell r="C908">
            <v>0.82700002193450928</v>
          </cell>
          <cell r="D908">
            <v>0.81499999761581421</v>
          </cell>
          <cell r="E908">
            <v>0.82300001382827759</v>
          </cell>
          <cell r="F908">
            <v>1338101</v>
          </cell>
          <cell r="G908">
            <v>13381.009765625</v>
          </cell>
          <cell r="H908">
            <v>906</v>
          </cell>
          <cell r="I908">
            <v>4529720.7160940953</v>
          </cell>
        </row>
        <row r="909">
          <cell r="A909">
            <v>45741</v>
          </cell>
          <cell r="B909">
            <v>0.82800000905990601</v>
          </cell>
          <cell r="C909">
            <v>0.82999998331069946</v>
          </cell>
          <cell r="D909">
            <v>0.82099997997283936</v>
          </cell>
          <cell r="E909">
            <v>0.82200002670288086</v>
          </cell>
          <cell r="F909">
            <v>1424000</v>
          </cell>
          <cell r="G909">
            <v>14240</v>
          </cell>
          <cell r="H909">
            <v>907</v>
          </cell>
          <cell r="I909">
            <v>4526296.5477191294</v>
          </cell>
        </row>
        <row r="910">
          <cell r="A910">
            <v>45742</v>
          </cell>
          <cell r="B910">
            <v>0.8190000057220459</v>
          </cell>
          <cell r="C910">
            <v>0.82499998807907104</v>
          </cell>
          <cell r="D910">
            <v>0.8190000057220459</v>
          </cell>
          <cell r="E910">
            <v>0.82200002670288086</v>
          </cell>
          <cell r="F910">
            <v>3602100</v>
          </cell>
          <cell r="G910">
            <v>36021</v>
          </cell>
          <cell r="H910">
            <v>908</v>
          </cell>
          <cell r="I910">
            <v>4525278.7101115091</v>
          </cell>
        </row>
        <row r="911">
          <cell r="A911">
            <v>45743</v>
          </cell>
          <cell r="B911">
            <v>0.81800001859664917</v>
          </cell>
          <cell r="C911">
            <v>0.83300000429153442</v>
          </cell>
          <cell r="D911">
            <v>0.81599998474121094</v>
          </cell>
          <cell r="E911">
            <v>0.82599997520446777</v>
          </cell>
          <cell r="F911">
            <v>13503500</v>
          </cell>
          <cell r="G911">
            <v>135035</v>
          </cell>
          <cell r="H911">
            <v>909</v>
          </cell>
          <cell r="I911">
            <v>4535155.7412334988</v>
          </cell>
        </row>
        <row r="912">
          <cell r="A912">
            <v>45744</v>
          </cell>
          <cell r="B912">
            <v>0.82599997520446777</v>
          </cell>
          <cell r="C912">
            <v>0.82700002193450928</v>
          </cell>
          <cell r="D912">
            <v>0.8190000057220459</v>
          </cell>
          <cell r="E912">
            <v>0.82099997997283936</v>
          </cell>
          <cell r="F912">
            <v>19479506</v>
          </cell>
          <cell r="G912">
            <v>194795.0625</v>
          </cell>
          <cell r="H912">
            <v>910</v>
          </cell>
          <cell r="I912">
            <v>4551578.1041552201</v>
          </cell>
        </row>
        <row r="913">
          <cell r="A913">
            <v>45747</v>
          </cell>
          <cell r="B913">
            <v>0.82200002670288086</v>
          </cell>
          <cell r="C913">
            <v>0.82200002670288086</v>
          </cell>
          <cell r="D913">
            <v>0.80800002813339233</v>
          </cell>
          <cell r="E913">
            <v>0.81400001049041748</v>
          </cell>
          <cell r="F913">
            <v>2900300</v>
          </cell>
          <cell r="G913">
            <v>29003</v>
          </cell>
          <cell r="H913">
            <v>911</v>
          </cell>
          <cell r="I913">
            <v>4549765.5046995059</v>
          </cell>
        </row>
        <row r="914">
          <cell r="A914">
            <v>45748</v>
          </cell>
          <cell r="B914">
            <v>0.82200002670288086</v>
          </cell>
          <cell r="C914">
            <v>0.82200002670288086</v>
          </cell>
          <cell r="D914">
            <v>0.80800002813339233</v>
          </cell>
          <cell r="E914">
            <v>0.81400001049041748</v>
          </cell>
          <cell r="F914">
            <v>2900300</v>
          </cell>
          <cell r="G914">
            <v>29003</v>
          </cell>
          <cell r="H914">
            <v>912</v>
          </cell>
          <cell r="I914">
            <v>4547956.8802425982</v>
          </cell>
        </row>
        <row r="915">
          <cell r="A915">
            <v>45749</v>
          </cell>
          <cell r="B915">
            <v>0.81400001049041748</v>
          </cell>
          <cell r="C915">
            <v>0.81499999761581421</v>
          </cell>
          <cell r="D915">
            <v>0.80699998140335083</v>
          </cell>
          <cell r="E915">
            <v>0.80800002813339233</v>
          </cell>
          <cell r="F915">
            <v>7074900</v>
          </cell>
          <cell r="G915">
            <v>70749</v>
          </cell>
          <cell r="H915">
            <v>913</v>
          </cell>
          <cell r="I915">
            <v>4550724.6164088175</v>
          </cell>
        </row>
        <row r="916">
          <cell r="A916">
            <v>45750</v>
          </cell>
          <cell r="B916">
            <v>0.81099998950958252</v>
          </cell>
          <cell r="C916">
            <v>0.81400001049041748</v>
          </cell>
          <cell r="D916">
            <v>0.80800002813339233</v>
          </cell>
          <cell r="E916">
            <v>0.80900001525878906</v>
          </cell>
          <cell r="F916">
            <v>2348800</v>
          </cell>
          <cell r="G916">
            <v>23488</v>
          </cell>
          <cell r="H916">
            <v>914</v>
          </cell>
          <cell r="I916">
            <v>4548315.5085134022</v>
          </cell>
        </row>
        <row r="917">
          <cell r="A917">
            <v>45754</v>
          </cell>
          <cell r="B917">
            <v>0.80299997329711914</v>
          </cell>
          <cell r="C917">
            <v>0.80400002002716064</v>
          </cell>
          <cell r="D917">
            <v>0.79199999570846558</v>
          </cell>
          <cell r="E917">
            <v>0.79400002956390381</v>
          </cell>
          <cell r="F917">
            <v>4249400</v>
          </cell>
          <cell r="G917">
            <v>42494</v>
          </cell>
          <cell r="H917">
            <v>915</v>
          </cell>
          <cell r="I917">
            <v>4547988.8248975407</v>
          </cell>
        </row>
        <row r="918">
          <cell r="A918">
            <v>45755</v>
          </cell>
          <cell r="B918">
            <v>0.78700000047683716</v>
          </cell>
          <cell r="C918">
            <v>0.78700000047683716</v>
          </cell>
          <cell r="D918">
            <v>0.7149999737739563</v>
          </cell>
          <cell r="E918">
            <v>0.72000002861022949</v>
          </cell>
          <cell r="F918">
            <v>5387109</v>
          </cell>
          <cell r="G918">
            <v>53871.08984375</v>
          </cell>
          <cell r="H918">
            <v>916</v>
          </cell>
          <cell r="I918">
            <v>4548904.8949576961</v>
          </cell>
        </row>
        <row r="919">
          <cell r="A919">
            <v>45756</v>
          </cell>
          <cell r="B919">
            <v>0.71899998188018799</v>
          </cell>
          <cell r="C919">
            <v>0.73299998044967651</v>
          </cell>
          <cell r="D919">
            <v>0.70599997043609619</v>
          </cell>
          <cell r="E919">
            <v>0.7160000205039978</v>
          </cell>
          <cell r="F919">
            <v>4228506</v>
          </cell>
          <cell r="G919">
            <v>42285.05859375</v>
          </cell>
          <cell r="H919">
            <v>917</v>
          </cell>
          <cell r="I919">
            <v>4548555.4959446564</v>
          </cell>
        </row>
        <row r="920">
          <cell r="A920">
            <v>45757</v>
          </cell>
          <cell r="B920">
            <v>0.70899999141693115</v>
          </cell>
          <cell r="C920">
            <v>0.7279999852180481</v>
          </cell>
          <cell r="D920">
            <v>0.6589999794960022</v>
          </cell>
          <cell r="E920">
            <v>0.72200000286102295</v>
          </cell>
          <cell r="F920">
            <v>4902906</v>
          </cell>
          <cell r="G920">
            <v>49029.05859375</v>
          </cell>
          <cell r="H920">
            <v>918</v>
          </cell>
          <cell r="I920">
            <v>4548941.4986723857</v>
          </cell>
        </row>
        <row r="921">
          <cell r="A921">
            <v>45758</v>
          </cell>
          <cell r="B921">
            <v>0.72899997234344482</v>
          </cell>
          <cell r="C921">
            <v>0.75300002098083496</v>
          </cell>
          <cell r="D921">
            <v>0.72899997234344482</v>
          </cell>
          <cell r="E921">
            <v>0.74099999666213989</v>
          </cell>
          <cell r="F921">
            <v>2912804</v>
          </cell>
          <cell r="G921">
            <v>29128.0390625</v>
          </cell>
          <cell r="H921">
            <v>919</v>
          </cell>
          <cell r="I921">
            <v>4547161.1531896079</v>
          </cell>
        </row>
        <row r="922">
          <cell r="A922">
            <v>45761</v>
          </cell>
          <cell r="B922">
            <v>0.74000000953674316</v>
          </cell>
          <cell r="C922">
            <v>0.75999999046325684</v>
          </cell>
          <cell r="D922">
            <v>0.7369999885559082</v>
          </cell>
          <cell r="E922">
            <v>0.75599998235702515</v>
          </cell>
          <cell r="F922">
            <v>3966200</v>
          </cell>
          <cell r="G922">
            <v>39662</v>
          </cell>
          <cell r="H922">
            <v>920</v>
          </cell>
          <cell r="I922">
            <v>4546529.6736752717</v>
          </cell>
        </row>
        <row r="923">
          <cell r="A923">
            <v>45762</v>
          </cell>
          <cell r="B923">
            <v>0.75800001621246338</v>
          </cell>
          <cell r="C923">
            <v>0.76999998092651367</v>
          </cell>
          <cell r="D923">
            <v>0.75700002908706665</v>
          </cell>
          <cell r="E923">
            <v>0.75800001621246338</v>
          </cell>
          <cell r="F923">
            <v>3579919.25</v>
          </cell>
          <cell r="G923">
            <v>35799.19140625</v>
          </cell>
          <cell r="H923">
            <v>921</v>
          </cell>
          <cell r="I923">
            <v>4545480.1509568403</v>
          </cell>
        </row>
        <row r="924">
          <cell r="A924">
            <v>45763</v>
          </cell>
          <cell r="B924">
            <v>0.76200002431869507</v>
          </cell>
          <cell r="C924">
            <v>0.76200002431869507</v>
          </cell>
          <cell r="D924">
            <v>0.75199997425079346</v>
          </cell>
          <cell r="E924">
            <v>0.75700002908706665</v>
          </cell>
          <cell r="F924">
            <v>3602200</v>
          </cell>
          <cell r="G924">
            <v>36022</v>
          </cell>
          <cell r="H924">
            <v>922</v>
          </cell>
          <cell r="I924">
            <v>4544457.070532809</v>
          </cell>
        </row>
        <row r="925">
          <cell r="A925">
            <v>45764</v>
          </cell>
          <cell r="B925">
            <v>0.75</v>
          </cell>
          <cell r="C925">
            <v>0.75</v>
          </cell>
          <cell r="D925">
            <v>0.74000000953674316</v>
          </cell>
          <cell r="E925">
            <v>0.75</v>
          </cell>
          <cell r="F925">
            <v>3864300</v>
          </cell>
          <cell r="G925">
            <v>38643</v>
          </cell>
          <cell r="H925">
            <v>923</v>
          </cell>
          <cell r="I925">
            <v>4543720.1722982125</v>
          </cell>
        </row>
        <row r="926">
          <cell r="A926">
            <v>45765</v>
          </cell>
          <cell r="B926">
            <v>0.74599999189376831</v>
          </cell>
          <cell r="C926">
            <v>0.75400000810623169</v>
          </cell>
          <cell r="D926">
            <v>0.74599999189376831</v>
          </cell>
          <cell r="E926">
            <v>0.74800002574920654</v>
          </cell>
          <cell r="F926">
            <v>1450202</v>
          </cell>
          <cell r="G926">
            <v>14502.01953125</v>
          </cell>
          <cell r="H926">
            <v>924</v>
          </cell>
          <cell r="I926">
            <v>4540372.2089082794</v>
          </cell>
        </row>
        <row r="927">
          <cell r="A927">
            <v>45768</v>
          </cell>
          <cell r="B927">
            <v>0.74699997901916504</v>
          </cell>
          <cell r="C927">
            <v>0.75</v>
          </cell>
          <cell r="D927">
            <v>0.74400001764297485</v>
          </cell>
          <cell r="E927">
            <v>0.74900001287460327</v>
          </cell>
          <cell r="F927">
            <v>985301.9375</v>
          </cell>
          <cell r="G927">
            <v>9853.01953125</v>
          </cell>
          <cell r="H927">
            <v>925</v>
          </cell>
          <cell r="I927">
            <v>4536528.8896959461</v>
          </cell>
        </row>
        <row r="928">
          <cell r="A928">
            <v>45769</v>
          </cell>
          <cell r="B928">
            <v>0.74900001287460327</v>
          </cell>
          <cell r="C928">
            <v>0.76200002431869507</v>
          </cell>
          <cell r="D928">
            <v>0.74900001287460327</v>
          </cell>
          <cell r="E928">
            <v>0.75900000333786011</v>
          </cell>
          <cell r="F928">
            <v>1773432</v>
          </cell>
          <cell r="G928">
            <v>17734.3203125</v>
          </cell>
          <cell r="H928">
            <v>926</v>
          </cell>
          <cell r="I928">
            <v>4533544.9837675486</v>
          </cell>
        </row>
        <row r="929">
          <cell r="A929">
            <v>45770</v>
          </cell>
          <cell r="B929">
            <v>0.7630000114440918</v>
          </cell>
          <cell r="C929">
            <v>0.77399998903274536</v>
          </cell>
          <cell r="D929">
            <v>0.7630000114440918</v>
          </cell>
          <cell r="E929">
            <v>0.76899999380111694</v>
          </cell>
          <cell r="F929">
            <v>1519505</v>
          </cell>
          <cell r="G929">
            <v>15195.0498046875</v>
          </cell>
          <cell r="H929">
            <v>927</v>
          </cell>
          <cell r="I929">
            <v>4530293.5921992986</v>
          </cell>
        </row>
        <row r="930">
          <cell r="A930">
            <v>45771</v>
          </cell>
          <cell r="B930">
            <v>0.76599997282028198</v>
          </cell>
          <cell r="C930">
            <v>0.77100002765655518</v>
          </cell>
          <cell r="D930">
            <v>0.76200002431869507</v>
          </cell>
          <cell r="E930">
            <v>0.7630000114440918</v>
          </cell>
          <cell r="F930">
            <v>758503</v>
          </cell>
          <cell r="G930">
            <v>7585.02978515625</v>
          </cell>
          <cell r="H930">
            <v>928</v>
          </cell>
          <cell r="I930">
            <v>4526229.1626818422</v>
          </cell>
        </row>
        <row r="931">
          <cell r="A931">
            <v>45772</v>
          </cell>
          <cell r="B931">
            <v>0.76700001955032349</v>
          </cell>
          <cell r="C931">
            <v>0.77100002765655518</v>
          </cell>
          <cell r="D931">
            <v>0.7630000114440918</v>
          </cell>
          <cell r="E931">
            <v>0.76700001955032349</v>
          </cell>
          <cell r="F931">
            <v>2495808</v>
          </cell>
          <cell r="G931">
            <v>24958.080078125</v>
          </cell>
          <cell r="H931">
            <v>929</v>
          </cell>
          <cell r="I931">
            <v>4524043.5640137242</v>
          </cell>
        </row>
        <row r="932">
          <cell r="A932">
            <v>45775</v>
          </cell>
          <cell r="B932">
            <v>0.7720000147819519</v>
          </cell>
          <cell r="C932">
            <v>0.7720000147819519</v>
          </cell>
          <cell r="D932">
            <v>0.7630000114440918</v>
          </cell>
          <cell r="E932">
            <v>0.76399999856948853</v>
          </cell>
          <cell r="F932">
            <v>1168900</v>
          </cell>
          <cell r="G932">
            <v>11689</v>
          </cell>
          <cell r="H932">
            <v>930</v>
          </cell>
          <cell r="I932">
            <v>4520435.8827620968</v>
          </cell>
        </row>
        <row r="933">
          <cell r="A933">
            <v>45776</v>
          </cell>
          <cell r="B933">
            <v>0.75800001621246338</v>
          </cell>
          <cell r="C933">
            <v>0.76599997282028198</v>
          </cell>
          <cell r="D933">
            <v>0.75800001621246338</v>
          </cell>
          <cell r="E933">
            <v>0.76200002431869507</v>
          </cell>
          <cell r="F933">
            <v>2327500</v>
          </cell>
          <cell r="G933">
            <v>23275</v>
          </cell>
          <cell r="H933">
            <v>931</v>
          </cell>
          <cell r="I933">
            <v>4518080.4199449513</v>
          </cell>
        </row>
        <row r="934">
          <cell r="A934">
            <v>45777</v>
          </cell>
          <cell r="B934">
            <v>0.76200002431869507</v>
          </cell>
          <cell r="C934">
            <v>0.76999998092651367</v>
          </cell>
          <cell r="D934">
            <v>0.76200002431869507</v>
          </cell>
          <cell r="E934">
            <v>0.76899999380111694</v>
          </cell>
          <cell r="F934">
            <v>1839402</v>
          </cell>
          <cell r="G934">
            <v>18394.01953125</v>
          </cell>
          <cell r="H934">
            <v>932</v>
          </cell>
          <cell r="I934">
            <v>4515206.3014686154</v>
          </cell>
        </row>
        <row r="935">
          <cell r="A935">
            <v>45783</v>
          </cell>
          <cell r="B935">
            <v>0.77300000190734863</v>
          </cell>
          <cell r="C935">
            <v>0.78200000524520874</v>
          </cell>
          <cell r="D935">
            <v>0.77300000190734863</v>
          </cell>
          <cell r="E935">
            <v>0.77899998426437378</v>
          </cell>
          <cell r="F935">
            <v>2459809</v>
          </cell>
          <cell r="G935">
            <v>24598.08984375</v>
          </cell>
          <cell r="H935">
            <v>933</v>
          </cell>
          <cell r="I935">
            <v>4513003.303289121</v>
          </cell>
        </row>
        <row r="936">
          <cell r="A936">
            <v>45784</v>
          </cell>
          <cell r="B936">
            <v>0.78299999237060547</v>
          </cell>
          <cell r="C936">
            <v>0.79400002956390381</v>
          </cell>
          <cell r="D936">
            <v>0.77999997138977051</v>
          </cell>
          <cell r="E936">
            <v>0.78200000524520874</v>
          </cell>
          <cell r="F936">
            <v>2518600</v>
          </cell>
          <cell r="G936">
            <v>25186</v>
          </cell>
          <cell r="H936">
            <v>934</v>
          </cell>
          <cell r="I936">
            <v>4510867.9678466273</v>
          </cell>
        </row>
        <row r="937">
          <cell r="A937">
            <v>45785</v>
          </cell>
          <cell r="B937">
            <v>0.78100001811981201</v>
          </cell>
          <cell r="C937">
            <v>0.79500001668930054</v>
          </cell>
          <cell r="D937">
            <v>0.78100001811981201</v>
          </cell>
          <cell r="E937">
            <v>0.79400002956390381</v>
          </cell>
          <cell r="F937">
            <v>1384900</v>
          </cell>
          <cell r="G937">
            <v>13849</v>
          </cell>
          <cell r="H937">
            <v>935</v>
          </cell>
          <cell r="I937">
            <v>4507524.6865975931</v>
          </cell>
        </row>
        <row r="938">
          <cell r="A938">
            <v>45786</v>
          </cell>
          <cell r="B938">
            <v>0.79100000858306885</v>
          </cell>
          <cell r="C938">
            <v>0.79100000858306885</v>
          </cell>
          <cell r="D938">
            <v>0.7839999794960022</v>
          </cell>
          <cell r="E938">
            <v>0.79000002145767212</v>
          </cell>
          <cell r="F938">
            <v>1790001</v>
          </cell>
          <cell r="G938">
            <v>17900.009765625</v>
          </cell>
          <cell r="H938">
            <v>936</v>
          </cell>
          <cell r="I938">
            <v>4504621.349325588</v>
          </cell>
        </row>
        <row r="939">
          <cell r="A939">
            <v>45789</v>
          </cell>
          <cell r="B939">
            <v>0.79699999094009399</v>
          </cell>
          <cell r="C939">
            <v>0.80500000715255737</v>
          </cell>
          <cell r="D939">
            <v>0.79699999094009399</v>
          </cell>
          <cell r="E939">
            <v>0.80500000715255737</v>
          </cell>
          <cell r="F939">
            <v>3046800</v>
          </cell>
          <cell r="G939">
            <v>30468</v>
          </cell>
          <cell r="H939">
            <v>937</v>
          </cell>
          <cell r="I939">
            <v>4503065.5101053892</v>
          </cell>
        </row>
        <row r="940">
          <cell r="A940">
            <v>45790</v>
          </cell>
          <cell r="B940">
            <v>0.81300002336502075</v>
          </cell>
          <cell r="C940">
            <v>0.81300002336502075</v>
          </cell>
          <cell r="D940">
            <v>0.80199998617172241</v>
          </cell>
          <cell r="E940">
            <v>0.80299997329711914</v>
          </cell>
          <cell r="F940">
            <v>3556602</v>
          </cell>
          <cell r="G940">
            <v>35566.01953125</v>
          </cell>
          <cell r="H940">
            <v>938</v>
          </cell>
          <cell r="I940">
            <v>4502056.4871735079</v>
          </cell>
        </row>
        <row r="941">
          <cell r="A941">
            <v>45791</v>
          </cell>
          <cell r="B941">
            <v>0.80099999904632568</v>
          </cell>
          <cell r="C941">
            <v>0.81099998950958252</v>
          </cell>
          <cell r="D941">
            <v>0.80099999904632568</v>
          </cell>
          <cell r="E941">
            <v>0.80699998140335083</v>
          </cell>
          <cell r="F941">
            <v>4562500</v>
          </cell>
          <cell r="G941">
            <v>45625</v>
          </cell>
          <cell r="H941">
            <v>939</v>
          </cell>
          <cell r="I941">
            <v>4502120.8572617145</v>
          </cell>
        </row>
        <row r="942">
          <cell r="A942">
            <v>45792</v>
          </cell>
          <cell r="B942">
            <v>0.80099999904632568</v>
          </cell>
          <cell r="C942">
            <v>0.80299997329711914</v>
          </cell>
          <cell r="D942">
            <v>0.79500001668930054</v>
          </cell>
          <cell r="E942">
            <v>0.79600000381469727</v>
          </cell>
          <cell r="F942">
            <v>389400</v>
          </cell>
          <cell r="G942">
            <v>3894</v>
          </cell>
          <cell r="H942">
            <v>940</v>
          </cell>
          <cell r="I942">
            <v>4497745.6223071804</v>
          </cell>
        </row>
        <row r="943">
          <cell r="A943">
            <v>45793</v>
          </cell>
          <cell r="B943">
            <v>0.79799997806549072</v>
          </cell>
          <cell r="C943">
            <v>0.80199998617172241</v>
          </cell>
          <cell r="D943">
            <v>0.79600000381469727</v>
          </cell>
          <cell r="E943">
            <v>0.79900002479553223</v>
          </cell>
          <cell r="F943">
            <v>587800</v>
          </cell>
          <cell r="G943">
            <v>5878</v>
          </cell>
          <cell r="H943">
            <v>941</v>
          </cell>
          <cell r="I943">
            <v>4493590.5260029221</v>
          </cell>
        </row>
        <row r="944">
          <cell r="A944">
            <v>45796</v>
          </cell>
          <cell r="B944">
            <v>0.80299997329711914</v>
          </cell>
          <cell r="C944">
            <v>0.80299997329711914</v>
          </cell>
          <cell r="D944">
            <v>0.79199999570846558</v>
          </cell>
          <cell r="E944">
            <v>0.79799997806549072</v>
          </cell>
          <cell r="F944">
            <v>129500</v>
          </cell>
          <cell r="G944">
            <v>1295</v>
          </cell>
          <cell r="H944">
            <v>942</v>
          </cell>
          <cell r="I944">
            <v>4488957.7335124733</v>
          </cell>
        </row>
        <row r="945">
          <cell r="A945">
            <v>45797</v>
          </cell>
          <cell r="B945">
            <v>0.79799997806549072</v>
          </cell>
          <cell r="C945">
            <v>0.8059999942779541</v>
          </cell>
          <cell r="D945">
            <v>0.79600000381469727</v>
          </cell>
          <cell r="E945">
            <v>0.80500000715255737</v>
          </cell>
          <cell r="F945">
            <v>534100</v>
          </cell>
          <cell r="G945">
            <v>5341</v>
          </cell>
          <cell r="H945">
            <v>943</v>
          </cell>
          <cell r="I945">
            <v>4484763.8228724813</v>
          </cell>
        </row>
        <row r="946">
          <cell r="A946">
            <v>45798</v>
          </cell>
          <cell r="B946">
            <v>0.80400002002716064</v>
          </cell>
          <cell r="C946">
            <v>0.81499999761581421</v>
          </cell>
          <cell r="D946">
            <v>0.80299997329711914</v>
          </cell>
          <cell r="E946">
            <v>0.81199997663497925</v>
          </cell>
          <cell r="F946">
            <v>456800</v>
          </cell>
          <cell r="G946">
            <v>4568</v>
          </cell>
          <cell r="H946">
            <v>944</v>
          </cell>
          <cell r="I946">
            <v>4480496.9120431673</v>
          </cell>
        </row>
        <row r="947">
          <cell r="A947">
            <v>45799</v>
          </cell>
          <cell r="B947">
            <v>0.80800002813339233</v>
          </cell>
          <cell r="C947">
            <v>0.81000000238418579</v>
          </cell>
          <cell r="D947">
            <v>0.80500000715255737</v>
          </cell>
          <cell r="E947">
            <v>0.8059999942779541</v>
          </cell>
          <cell r="F947">
            <v>131001</v>
          </cell>
          <cell r="G947">
            <v>1310.010009765625</v>
          </cell>
          <cell r="H947">
            <v>945</v>
          </cell>
          <cell r="I947">
            <v>4475894.2708664024</v>
          </cell>
        </row>
        <row r="948">
          <cell r="A948">
            <v>45800</v>
          </cell>
          <cell r="B948">
            <v>0.80800002813339233</v>
          </cell>
          <cell r="C948">
            <v>0.81400001049041748</v>
          </cell>
          <cell r="D948">
            <v>0.80099999904632568</v>
          </cell>
          <cell r="E948">
            <v>0.80099999904632568</v>
          </cell>
          <cell r="F948">
            <v>299600</v>
          </cell>
          <cell r="G948">
            <v>2996</v>
          </cell>
          <cell r="H948">
            <v>946</v>
          </cell>
          <cell r="I948">
            <v>4471479.5834764801</v>
          </cell>
        </row>
        <row r="949">
          <cell r="A949">
            <v>45803</v>
          </cell>
          <cell r="B949">
            <v>0.80099999904632568</v>
          </cell>
          <cell r="C949">
            <v>0.80099999904632568</v>
          </cell>
          <cell r="D949">
            <v>0.78899997472763062</v>
          </cell>
          <cell r="E949">
            <v>0.79100000858306885</v>
          </cell>
          <cell r="F949">
            <v>136100</v>
          </cell>
          <cell r="G949">
            <v>1361</v>
          </cell>
          <cell r="H949">
            <v>947</v>
          </cell>
          <cell r="I949">
            <v>4466901.5691327881</v>
          </cell>
        </row>
        <row r="950">
          <cell r="A950">
            <v>45804</v>
          </cell>
          <cell r="B950">
            <v>0.78799998760223389</v>
          </cell>
          <cell r="C950">
            <v>0.78799998760223389</v>
          </cell>
          <cell r="D950">
            <v>0.78200000524520874</v>
          </cell>
          <cell r="E950">
            <v>0.7850000262260437</v>
          </cell>
          <cell r="F950">
            <v>1618406</v>
          </cell>
          <cell r="G950">
            <v>16184.0595703125</v>
          </cell>
          <cell r="H950">
            <v>948</v>
          </cell>
          <cell r="I950">
            <v>4463896.8269712552</v>
          </cell>
        </row>
        <row r="951">
          <cell r="A951">
            <v>45805</v>
          </cell>
          <cell r="B951">
            <v>0.78600001335144043</v>
          </cell>
          <cell r="C951">
            <v>0.78899997472763062</v>
          </cell>
          <cell r="D951">
            <v>0.78100001811981201</v>
          </cell>
          <cell r="E951">
            <v>0.78100001811981201</v>
          </cell>
          <cell r="F951">
            <v>1705902</v>
          </cell>
          <cell r="G951">
            <v>17059.01953125</v>
          </cell>
          <cell r="H951">
            <v>949</v>
          </cell>
          <cell r="I951">
            <v>4460990.6153516863</v>
          </cell>
        </row>
        <row r="952">
          <cell r="A952">
            <v>45806</v>
          </cell>
          <cell r="B952">
            <v>0.78200000524520874</v>
          </cell>
          <cell r="C952">
            <v>0.7929999828338623</v>
          </cell>
          <cell r="D952">
            <v>0.78200000524520874</v>
          </cell>
          <cell r="E952">
            <v>0.79000002145767212</v>
          </cell>
          <cell r="F952">
            <v>2654500</v>
          </cell>
          <cell r="G952">
            <v>26545</v>
          </cell>
          <cell r="H952">
            <v>950</v>
          </cell>
          <cell r="I952">
            <v>4459089.0462828949</v>
          </cell>
        </row>
        <row r="953">
          <cell r="A953">
            <v>45807</v>
          </cell>
          <cell r="B953">
            <v>0.79400002956390381</v>
          </cell>
          <cell r="C953">
            <v>0.79400002956390381</v>
          </cell>
          <cell r="D953">
            <v>0.77899998426437378</v>
          </cell>
          <cell r="E953">
            <v>0.78200000524520874</v>
          </cell>
          <cell r="F953">
            <v>2171902</v>
          </cell>
          <cell r="G953">
            <v>21719.01953125</v>
          </cell>
          <cell r="H953">
            <v>951</v>
          </cell>
          <cell r="I953">
            <v>4456684.012585436</v>
          </cell>
        </row>
        <row r="954">
          <cell r="A954">
            <v>45811</v>
          </cell>
          <cell r="B954">
            <v>0.77799999713897705</v>
          </cell>
          <cell r="C954">
            <v>0.78299999237060547</v>
          </cell>
          <cell r="D954">
            <v>0.77799999713897705</v>
          </cell>
          <cell r="E954">
            <v>0.77899998426437378</v>
          </cell>
          <cell r="F954">
            <v>2327000</v>
          </cell>
          <cell r="G954">
            <v>23270</v>
          </cell>
          <cell r="H954">
            <v>952</v>
          </cell>
          <cell r="I954">
            <v>4454446.9495470067</v>
          </cell>
        </row>
        <row r="955">
          <cell r="A955">
            <v>45812</v>
          </cell>
          <cell r="B955">
            <v>0.78299999237060547</v>
          </cell>
          <cell r="C955">
            <v>0.78700000047683716</v>
          </cell>
          <cell r="D955">
            <v>0.78299999237060547</v>
          </cell>
          <cell r="E955">
            <v>0.7850000262260437</v>
          </cell>
          <cell r="F955">
            <v>1670000</v>
          </cell>
          <cell r="G955">
            <v>16700</v>
          </cell>
          <cell r="H955">
            <v>953</v>
          </cell>
          <cell r="I955">
            <v>4451525.1794005772</v>
          </cell>
        </row>
        <row r="956">
          <cell r="A956">
            <v>45813</v>
          </cell>
          <cell r="B956">
            <v>0.78799998760223389</v>
          </cell>
          <cell r="C956">
            <v>0.7929999828338623</v>
          </cell>
          <cell r="D956">
            <v>0.78200000524520874</v>
          </cell>
          <cell r="E956">
            <v>0.79199999570846558</v>
          </cell>
          <cell r="F956">
            <v>2724508</v>
          </cell>
          <cell r="G956">
            <v>27245.080078125</v>
          </cell>
          <cell r="H956">
            <v>954</v>
          </cell>
          <cell r="I956">
            <v>4449714.8888561325</v>
          </cell>
        </row>
        <row r="957">
          <cell r="A957">
            <v>45814</v>
          </cell>
          <cell r="B957">
            <v>0.79199999570846558</v>
          </cell>
          <cell r="C957">
            <v>0.7929999828338623</v>
          </cell>
          <cell r="D957">
            <v>0.78899997472763062</v>
          </cell>
          <cell r="E957">
            <v>0.79000002145767212</v>
          </cell>
          <cell r="F957">
            <v>3018000</v>
          </cell>
          <cell r="G957">
            <v>30180</v>
          </cell>
          <cell r="H957">
            <v>955</v>
          </cell>
          <cell r="I957">
            <v>4448215.7109620422</v>
          </cell>
        </row>
        <row r="958">
          <cell r="A958">
            <v>45817</v>
          </cell>
          <cell r="B958">
            <v>0.79699999094009399</v>
          </cell>
          <cell r="C958">
            <v>0.79699999094009399</v>
          </cell>
          <cell r="D958">
            <v>0.78899997472763062</v>
          </cell>
          <cell r="E958">
            <v>0.79100000858306885</v>
          </cell>
          <cell r="F958">
            <v>2311700</v>
          </cell>
          <cell r="G958">
            <v>23117</v>
          </cell>
          <cell r="H958">
            <v>956</v>
          </cell>
          <cell r="I958">
            <v>4445980.861891998</v>
          </cell>
        </row>
        <row r="959">
          <cell r="A959">
            <v>45818</v>
          </cell>
          <cell r="B959">
            <v>0.79199999570846558</v>
          </cell>
          <cell r="C959">
            <v>0.79199999570846558</v>
          </cell>
          <cell r="D959">
            <v>0.78100001811981201</v>
          </cell>
          <cell r="E959">
            <v>0.7850000262260437</v>
          </cell>
          <cell r="F959">
            <v>3562400</v>
          </cell>
          <cell r="G959">
            <v>35624</v>
          </cell>
          <cell r="H959">
            <v>957</v>
          </cell>
          <cell r="I959">
            <v>4445057.5799046503</v>
          </cell>
        </row>
        <row r="960">
          <cell r="A960">
            <v>45819</v>
          </cell>
          <cell r="B960">
            <v>0.79100000858306885</v>
          </cell>
          <cell r="C960">
            <v>0.79699999094009399</v>
          </cell>
          <cell r="D960">
            <v>0.79100000858306885</v>
          </cell>
          <cell r="E960">
            <v>0.79199999570846558</v>
          </cell>
          <cell r="F960">
            <v>1324901</v>
          </cell>
          <cell r="G960">
            <v>13249.009765625</v>
          </cell>
          <cell r="H960">
            <v>958</v>
          </cell>
          <cell r="I960">
            <v>4441800.6314913882</v>
          </cell>
        </row>
        <row r="961">
          <cell r="A961">
            <v>45820</v>
          </cell>
          <cell r="B961">
            <v>0.78600001335144043</v>
          </cell>
          <cell r="C961">
            <v>0.79199999570846558</v>
          </cell>
          <cell r="D961">
            <v>0.78600001335144043</v>
          </cell>
          <cell r="E961">
            <v>0.78899997472763062</v>
          </cell>
          <cell r="F961">
            <v>1913602.875</v>
          </cell>
          <cell r="G961">
            <v>19136.029296875</v>
          </cell>
          <cell r="H961">
            <v>959</v>
          </cell>
          <cell r="I961">
            <v>4439164.3460310223</v>
          </cell>
        </row>
        <row r="962">
          <cell r="A962">
            <v>45821</v>
          </cell>
          <cell r="B962">
            <v>0.78700000047683716</v>
          </cell>
          <cell r="C962">
            <v>0.78899997472763062</v>
          </cell>
          <cell r="D962">
            <v>0.77999997138977051</v>
          </cell>
          <cell r="E962">
            <v>0.78299999237060547</v>
          </cell>
          <cell r="F962">
            <v>2231300</v>
          </cell>
          <cell r="G962">
            <v>22313</v>
          </cell>
          <cell r="H962">
            <v>960</v>
          </cell>
          <cell r="I962">
            <v>4436864.48733724</v>
          </cell>
        </row>
        <row r="963">
          <cell r="A963">
            <v>45824</v>
          </cell>
          <cell r="B963">
            <v>0.78299999237060547</v>
          </cell>
          <cell r="C963">
            <v>0.7850000262260437</v>
          </cell>
          <cell r="D963">
            <v>0.78299999237060547</v>
          </cell>
          <cell r="E963">
            <v>0.7850000262260437</v>
          </cell>
          <cell r="F963">
            <v>1627911</v>
          </cell>
          <cell r="G963">
            <v>16279.1103515625</v>
          </cell>
          <cell r="H963">
            <v>961</v>
          </cell>
          <cell r="I963">
            <v>4433941.5388592612</v>
          </cell>
        </row>
        <row r="964">
          <cell r="A964">
            <v>45825</v>
          </cell>
          <cell r="B964">
            <v>0.7839999794960022</v>
          </cell>
          <cell r="C964">
            <v>0.78600001335144043</v>
          </cell>
          <cell r="D964">
            <v>0.78100001811981201</v>
          </cell>
          <cell r="E964">
            <v>0.78200000524520874</v>
          </cell>
          <cell r="F964">
            <v>957601</v>
          </cell>
          <cell r="G964">
            <v>9576.009765625</v>
          </cell>
          <cell r="H964">
            <v>962</v>
          </cell>
          <cell r="I964">
            <v>4430327.8792554578</v>
          </cell>
        </row>
        <row r="965">
          <cell r="A965">
            <v>45826</v>
          </cell>
          <cell r="B965">
            <v>0.7850000262260437</v>
          </cell>
          <cell r="C965">
            <v>0.78600001335144043</v>
          </cell>
          <cell r="D965">
            <v>0.78100001811981201</v>
          </cell>
          <cell r="E965">
            <v>0.78600001335144043</v>
          </cell>
          <cell r="F965">
            <v>4743503</v>
          </cell>
          <cell r="G965">
            <v>47435.03125</v>
          </cell>
          <cell r="H965">
            <v>963</v>
          </cell>
          <cell r="I965">
            <v>4430653.0870651612</v>
          </cell>
        </row>
        <row r="966">
          <cell r="A966">
            <v>45827</v>
          </cell>
          <cell r="B966">
            <v>0.77899998426437378</v>
          </cell>
          <cell r="C966">
            <v>0.78700000047683716</v>
          </cell>
          <cell r="D966">
            <v>0.77600002288818359</v>
          </cell>
          <cell r="E966">
            <v>0.77700001001358032</v>
          </cell>
          <cell r="F966">
            <v>1162400</v>
          </cell>
          <cell r="G966">
            <v>11624</v>
          </cell>
          <cell r="H966">
            <v>964</v>
          </cell>
          <cell r="I966">
            <v>4427262.783032936</v>
          </cell>
        </row>
        <row r="967">
          <cell r="A967">
            <v>45828</v>
          </cell>
          <cell r="B967">
            <v>0.77700001001358032</v>
          </cell>
          <cell r="C967">
            <v>0.77999997138977051</v>
          </cell>
          <cell r="D967">
            <v>0.77300000190734863</v>
          </cell>
          <cell r="E967">
            <v>0.77300000190734863</v>
          </cell>
          <cell r="F967">
            <v>4186900</v>
          </cell>
          <cell r="G967">
            <v>41869</v>
          </cell>
          <cell r="H967">
            <v>965</v>
          </cell>
          <cell r="I967">
            <v>4427013.7024287563</v>
          </cell>
        </row>
        <row r="968">
          <cell r="A968">
            <v>45831</v>
          </cell>
          <cell r="B968">
            <v>0.7720000147819519</v>
          </cell>
          <cell r="C968">
            <v>0.77899998426437378</v>
          </cell>
          <cell r="D968">
            <v>0.7720000147819519</v>
          </cell>
          <cell r="E968">
            <v>0.77799999713897705</v>
          </cell>
          <cell r="F968">
            <v>2612602</v>
          </cell>
          <cell r="G968">
            <v>26126.01953125</v>
          </cell>
          <cell r="H968">
            <v>966</v>
          </cell>
          <cell r="I968">
            <v>4425135.4294448756</v>
          </cell>
        </row>
        <row r="969">
          <cell r="A969">
            <v>45832</v>
          </cell>
          <cell r="B969">
            <v>0.77399998903274536</v>
          </cell>
          <cell r="C969">
            <v>0.7929999828338623</v>
          </cell>
          <cell r="D969">
            <v>0.77399998903274536</v>
          </cell>
          <cell r="E969">
            <v>0.7929999828338623</v>
          </cell>
          <cell r="F969">
            <v>1958708</v>
          </cell>
          <cell r="G969">
            <v>19587.080078125</v>
          </cell>
          <cell r="H969">
            <v>967</v>
          </cell>
          <cell r="I969">
            <v>4422584.832309979</v>
          </cell>
        </row>
        <row r="970">
          <cell r="A970">
            <v>45833</v>
          </cell>
          <cell r="B970">
            <v>0.79500001668930054</v>
          </cell>
          <cell r="C970">
            <v>0.81099998950958252</v>
          </cell>
          <cell r="D970">
            <v>0.79400002956390381</v>
          </cell>
          <cell r="E970">
            <v>0.81000000238418579</v>
          </cell>
          <cell r="F970">
            <v>2001364</v>
          </cell>
          <cell r="G970">
            <v>20013.640625</v>
          </cell>
          <cell r="H970">
            <v>968</v>
          </cell>
          <cell r="I970">
            <v>4420083.5711195767</v>
          </cell>
        </row>
        <row r="971">
          <cell r="A971">
            <v>45834</v>
          </cell>
          <cell r="B971">
            <v>0.81499999761581421</v>
          </cell>
          <cell r="C971">
            <v>0.81499999761581421</v>
          </cell>
          <cell r="D971">
            <v>0.80299997329711914</v>
          </cell>
          <cell r="E971">
            <v>0.80299997329711914</v>
          </cell>
          <cell r="F971">
            <v>2315802</v>
          </cell>
          <cell r="G971">
            <v>23158.01953125</v>
          </cell>
          <cell r="H971">
            <v>969</v>
          </cell>
          <cell r="I971">
            <v>4417911.9699109904</v>
          </cell>
        </row>
        <row r="972">
          <cell r="A972">
            <v>45835</v>
          </cell>
          <cell r="B972">
            <v>0.80299997329711914</v>
          </cell>
          <cell r="C972">
            <v>0.80900001525878906</v>
          </cell>
          <cell r="D972">
            <v>0.80199998617172241</v>
          </cell>
          <cell r="E972">
            <v>0.80299997329711914</v>
          </cell>
          <cell r="F972">
            <v>3701000</v>
          </cell>
          <cell r="G972">
            <v>37010</v>
          </cell>
          <cell r="H972">
            <v>970</v>
          </cell>
          <cell r="I972">
            <v>4417172.8854059279</v>
          </cell>
        </row>
        <row r="973">
          <cell r="A973">
            <v>45838</v>
          </cell>
          <cell r="B973">
            <v>0.81300002336502075</v>
          </cell>
          <cell r="C973">
            <v>0.81300002336502075</v>
          </cell>
          <cell r="D973">
            <v>0.79500001668930054</v>
          </cell>
          <cell r="E973">
            <v>0.81199997663497925</v>
          </cell>
          <cell r="F973">
            <v>667200</v>
          </cell>
          <cell r="G973">
            <v>6672</v>
          </cell>
          <cell r="H973">
            <v>971</v>
          </cell>
          <cell r="I973">
            <v>4413310.9153900621</v>
          </cell>
        </row>
        <row r="974">
          <cell r="A974">
            <v>45839</v>
          </cell>
          <cell r="B974">
            <v>0.80699998140335083</v>
          </cell>
          <cell r="C974">
            <v>0.81000000238418579</v>
          </cell>
          <cell r="D974">
            <v>0.80500000715255737</v>
          </cell>
          <cell r="E974">
            <v>0.80900001525878906</v>
          </cell>
          <cell r="F974">
            <v>1483792</v>
          </cell>
          <cell r="G974">
            <v>14837.919921875</v>
          </cell>
          <cell r="H974">
            <v>972</v>
          </cell>
          <cell r="I974">
            <v>4410297.0070408955</v>
          </cell>
        </row>
        <row r="975">
          <cell r="A975">
            <v>45840</v>
          </cell>
          <cell r="B975">
            <v>0.8059999942779541</v>
          </cell>
          <cell r="C975">
            <v>0.8059999942779541</v>
          </cell>
          <cell r="D975">
            <v>0.80000001192092896</v>
          </cell>
          <cell r="E975">
            <v>0.80199998617172241</v>
          </cell>
          <cell r="F975">
            <v>1582501</v>
          </cell>
          <cell r="G975">
            <v>15825.009765625</v>
          </cell>
          <cell r="H975">
            <v>973</v>
          </cell>
          <cell r="I975">
            <v>4407390.7418743577</v>
          </cell>
        </row>
        <row r="976">
          <cell r="A976">
            <v>45841</v>
          </cell>
          <cell r="B976">
            <v>0.8059999942779541</v>
          </cell>
          <cell r="C976">
            <v>0.81499999761581421</v>
          </cell>
          <cell r="D976">
            <v>0.8059999942779541</v>
          </cell>
          <cell r="E976">
            <v>0.81400001049041748</v>
          </cell>
          <cell r="F976">
            <v>1008701</v>
          </cell>
          <cell r="G976">
            <v>10087.009765625</v>
          </cell>
          <cell r="H976">
            <v>974</v>
          </cell>
          <cell r="I976">
            <v>4403901.3273549797</v>
          </cell>
        </row>
        <row r="977">
          <cell r="A977">
            <v>45842</v>
          </cell>
          <cell r="B977">
            <v>0.81300002336502075</v>
          </cell>
          <cell r="C977">
            <v>0.82200002670288086</v>
          </cell>
          <cell r="D977">
            <v>0.81000000238418579</v>
          </cell>
          <cell r="E977">
            <v>0.81199997663497925</v>
          </cell>
          <cell r="F977">
            <v>723900</v>
          </cell>
          <cell r="G977">
            <v>7239</v>
          </cell>
          <cell r="H977">
            <v>975</v>
          </cell>
          <cell r="I977">
            <v>4400126.9670192311</v>
          </cell>
        </row>
        <row r="978">
          <cell r="A978">
            <v>45845</v>
          </cell>
          <cell r="B978">
            <v>0.80900001525878906</v>
          </cell>
          <cell r="C978">
            <v>0.80900001525878906</v>
          </cell>
          <cell r="D978">
            <v>0.80299997329711914</v>
          </cell>
          <cell r="E978">
            <v>0.80299997329711914</v>
          </cell>
          <cell r="F978">
            <v>620500</v>
          </cell>
          <cell r="G978">
            <v>6205</v>
          </cell>
          <cell r="H978">
            <v>976</v>
          </cell>
          <cell r="I978">
            <v>4396254.3984054811</v>
          </cell>
        </row>
        <row r="979">
          <cell r="A979">
            <v>45846</v>
          </cell>
          <cell r="B979">
            <v>0.80699998140335083</v>
          </cell>
          <cell r="C979">
            <v>0.81599998474121094</v>
          </cell>
          <cell r="D979">
            <v>0.8059999942779541</v>
          </cell>
          <cell r="E979">
            <v>0.81599998474121094</v>
          </cell>
          <cell r="F979">
            <v>2643683</v>
          </cell>
          <cell r="G979">
            <v>26436.830078125</v>
          </cell>
          <cell r="H979">
            <v>977</v>
          </cell>
          <cell r="I979">
            <v>4394460.56892912</v>
          </cell>
        </row>
        <row r="980">
          <cell r="A980">
            <v>45847</v>
          </cell>
          <cell r="B980">
            <v>0.81800001859664917</v>
          </cell>
          <cell r="C980">
            <v>0.81999999284744263</v>
          </cell>
          <cell r="D980">
            <v>0.81300002336502075</v>
          </cell>
          <cell r="E980">
            <v>0.81400001049041748</v>
          </cell>
          <cell r="F980">
            <v>1986801</v>
          </cell>
          <cell r="G980">
            <v>19868.009765625</v>
          </cell>
          <cell r="H980">
            <v>978</v>
          </cell>
          <cell r="I980">
            <v>4391998.7493289877</v>
          </cell>
        </row>
        <row r="981">
          <cell r="A981">
            <v>45848</v>
          </cell>
          <cell r="B981">
            <v>0.81400001049041748</v>
          </cell>
          <cell r="C981">
            <v>0.8190000057220459</v>
          </cell>
          <cell r="D981">
            <v>0.81000000238418579</v>
          </cell>
          <cell r="E981">
            <v>0.81699997186660767</v>
          </cell>
          <cell r="F981">
            <v>1618699</v>
          </cell>
          <cell r="G981">
            <v>16186.990234375</v>
          </cell>
          <cell r="H981">
            <v>979</v>
          </cell>
          <cell r="I981">
            <v>4389165.9610252809</v>
          </cell>
        </row>
        <row r="982">
          <cell r="A982">
            <v>45849</v>
          </cell>
          <cell r="B982">
            <v>0.81699997186660767</v>
          </cell>
          <cell r="C982">
            <v>0.82700002193450928</v>
          </cell>
          <cell r="D982">
            <v>0.81699997186660767</v>
          </cell>
          <cell r="E982">
            <v>0.82099997997283936</v>
          </cell>
          <cell r="F982">
            <v>2407700</v>
          </cell>
          <cell r="G982">
            <v>24077</v>
          </cell>
          <cell r="H982">
            <v>980</v>
          </cell>
          <cell r="I982">
            <v>4387144.0569834188</v>
          </cell>
        </row>
        <row r="983">
          <cell r="A983">
            <v>45852</v>
          </cell>
          <cell r="B983">
            <v>0.82099997997283936</v>
          </cell>
          <cell r="C983">
            <v>0.82499998807907104</v>
          </cell>
          <cell r="D983">
            <v>0.8190000057220459</v>
          </cell>
          <cell r="E983">
            <v>0.81999999284744263</v>
          </cell>
          <cell r="F983">
            <v>2904200</v>
          </cell>
          <cell r="G983">
            <v>29042</v>
          </cell>
          <cell r="H983">
            <v>981</v>
          </cell>
          <cell r="I983">
            <v>4385632.3912780322</v>
          </cell>
        </row>
        <row r="984">
          <cell r="A984">
            <v>45853</v>
          </cell>
          <cell r="B984">
            <v>0.82700002193450928</v>
          </cell>
          <cell r="C984">
            <v>0.83099997043609619</v>
          </cell>
          <cell r="D984">
            <v>0.81999999284744263</v>
          </cell>
          <cell r="E984">
            <v>0.82800000905990601</v>
          </cell>
          <cell r="F984">
            <v>2630207</v>
          </cell>
          <cell r="G984">
            <v>26302.0703125</v>
          </cell>
          <cell r="H984">
            <v>982</v>
          </cell>
          <cell r="I984">
            <v>4383844.7890465884</v>
          </cell>
        </row>
        <row r="985">
          <cell r="A985">
            <v>45854</v>
          </cell>
          <cell r="B985">
            <v>0.8320000171661377</v>
          </cell>
          <cell r="C985">
            <v>0.8320000171661377</v>
          </cell>
          <cell r="D985">
            <v>0.82499998807907104</v>
          </cell>
          <cell r="E985">
            <v>0.82499998807907104</v>
          </cell>
          <cell r="F985">
            <v>682201</v>
          </cell>
          <cell r="G985">
            <v>6822.009765625</v>
          </cell>
          <cell r="H985">
            <v>983</v>
          </cell>
          <cell r="I985">
            <v>4380079.1290373858</v>
          </cell>
        </row>
        <row r="986">
          <cell r="A986">
            <v>45855</v>
          </cell>
          <cell r="B986">
            <v>0.82700002193450928</v>
          </cell>
          <cell r="C986">
            <v>0.83399999141693115</v>
          </cell>
          <cell r="D986">
            <v>0.82700002193450928</v>
          </cell>
          <cell r="E986">
            <v>0.83399999141693115</v>
          </cell>
          <cell r="F986">
            <v>1221302</v>
          </cell>
          <cell r="G986">
            <v>12213.01953125</v>
          </cell>
          <cell r="H986">
            <v>984</v>
          </cell>
          <cell r="I986">
            <v>4376868.9896786073</v>
          </cell>
        </row>
        <row r="987">
          <cell r="A987">
            <v>45856</v>
          </cell>
          <cell r="B987">
            <v>0.83799999952316284</v>
          </cell>
          <cell r="C987">
            <v>0.84299999475479126</v>
          </cell>
          <cell r="D987">
            <v>0.83099997043609619</v>
          </cell>
          <cell r="E987">
            <v>0.8399999737739563</v>
          </cell>
          <cell r="F987">
            <v>5041313</v>
          </cell>
          <cell r="G987">
            <v>50413.12890625</v>
          </cell>
          <cell r="H987">
            <v>985</v>
          </cell>
          <cell r="I987">
            <v>4377543.5521256346</v>
          </cell>
        </row>
        <row r="988">
          <cell r="A988">
            <v>45859</v>
          </cell>
          <cell r="B988">
            <v>0.84299999475479126</v>
          </cell>
          <cell r="C988">
            <v>0.84700000286102295</v>
          </cell>
          <cell r="D988">
            <v>0.8410000205039978</v>
          </cell>
          <cell r="E988">
            <v>0.84600001573562622</v>
          </cell>
          <cell r="F988">
            <v>3418330.75</v>
          </cell>
          <cell r="G988">
            <v>34183.30859375</v>
          </cell>
          <cell r="H988">
            <v>986</v>
          </cell>
          <cell r="I988">
            <v>4376570.7196691176</v>
          </cell>
        </row>
        <row r="989">
          <cell r="A989">
            <v>45860</v>
          </cell>
          <cell r="B989">
            <v>0.84899997711181641</v>
          </cell>
          <cell r="C989">
            <v>0.8529999852180481</v>
          </cell>
          <cell r="D989">
            <v>0.84399998188018799</v>
          </cell>
          <cell r="E989">
            <v>0.85199999809265137</v>
          </cell>
          <cell r="F989">
            <v>6049703</v>
          </cell>
          <cell r="G989">
            <v>60497.03125</v>
          </cell>
          <cell r="H989">
            <v>987</v>
          </cell>
          <cell r="I989">
            <v>4378265.8891527355</v>
          </cell>
        </row>
        <row r="990">
          <cell r="A990">
            <v>45861</v>
          </cell>
          <cell r="B990">
            <v>0.8529999852180481</v>
          </cell>
          <cell r="C990">
            <v>0.86000001430511475</v>
          </cell>
          <cell r="D990">
            <v>0.85100001096725464</v>
          </cell>
          <cell r="E990">
            <v>0.85199999809265137</v>
          </cell>
          <cell r="F990">
            <v>5830790</v>
          </cell>
          <cell r="G990">
            <v>58307.8984375</v>
          </cell>
          <cell r="H990">
            <v>988</v>
          </cell>
          <cell r="I990">
            <v>4379736.0552568324</v>
          </cell>
        </row>
        <row r="991">
          <cell r="A991">
            <v>45862</v>
          </cell>
          <cell r="B991">
            <v>0.85799998044967651</v>
          </cell>
          <cell r="C991">
            <v>0.86299997568130493</v>
          </cell>
          <cell r="D991">
            <v>0.85600000619888306</v>
          </cell>
          <cell r="E991">
            <v>0.8619999885559082</v>
          </cell>
          <cell r="F991">
            <v>6986979.5</v>
          </cell>
          <cell r="G991">
            <v>69869.796875</v>
          </cell>
          <cell r="H991">
            <v>989</v>
          </cell>
          <cell r="I991">
            <v>4382372.2973647621</v>
          </cell>
        </row>
        <row r="992">
          <cell r="A992">
            <v>45863</v>
          </cell>
          <cell r="B992">
            <v>0.86100000143051147</v>
          </cell>
          <cell r="C992">
            <v>0.8619999885559082</v>
          </cell>
          <cell r="D992">
            <v>0.85399997234344482</v>
          </cell>
          <cell r="E992">
            <v>0.85900002717971802</v>
          </cell>
          <cell r="F992">
            <v>1556505</v>
          </cell>
          <cell r="G992">
            <v>15565.0498046875</v>
          </cell>
          <cell r="H992">
            <v>990</v>
          </cell>
          <cell r="I992">
            <v>4379517.8859532829</v>
          </cell>
        </row>
        <row r="993">
          <cell r="A993">
            <v>45866</v>
          </cell>
          <cell r="B993">
            <v>0.86000001430511475</v>
          </cell>
          <cell r="C993">
            <v>0.86599999666213989</v>
          </cell>
          <cell r="D993">
            <v>0.85900002717971802</v>
          </cell>
          <cell r="E993">
            <v>0.86599999666213989</v>
          </cell>
          <cell r="F993">
            <v>2132000</v>
          </cell>
          <cell r="G993">
            <v>21320</v>
          </cell>
          <cell r="H993">
            <v>991</v>
          </cell>
          <cell r="I993">
            <v>4377249.9567040866</v>
          </cell>
        </row>
        <row r="994">
          <cell r="A994">
            <v>45867</v>
          </cell>
          <cell r="B994">
            <v>0.86599999666213989</v>
          </cell>
          <cell r="C994">
            <v>0.87300002574920654</v>
          </cell>
          <cell r="D994">
            <v>0.86299997568130493</v>
          </cell>
          <cell r="E994">
            <v>0.87199997901916504</v>
          </cell>
          <cell r="F994">
            <v>3002800</v>
          </cell>
          <cell r="G994">
            <v>30028</v>
          </cell>
          <cell r="H994">
            <v>992</v>
          </cell>
          <cell r="I994">
            <v>4375864.4224735387</v>
          </cell>
        </row>
        <row r="995">
          <cell r="A995">
            <v>45868</v>
          </cell>
          <cell r="B995">
            <v>0.87300002574920654</v>
          </cell>
          <cell r="C995">
            <v>0.87300002574920654</v>
          </cell>
          <cell r="D995">
            <v>0.85600000619888306</v>
          </cell>
          <cell r="E995">
            <v>0.86100000143051147</v>
          </cell>
          <cell r="F995">
            <v>2095000</v>
          </cell>
          <cell r="G995">
            <v>20950</v>
          </cell>
          <cell r="H995">
            <v>993</v>
          </cell>
          <cell r="I995">
            <v>4373567.4794498989</v>
          </cell>
        </row>
        <row r="996">
          <cell r="A996">
            <v>45869</v>
          </cell>
          <cell r="B996">
            <v>0.86100000143051147</v>
          </cell>
          <cell r="C996">
            <v>0.86599999666213989</v>
          </cell>
          <cell r="D996">
            <v>0.84299999475479126</v>
          </cell>
          <cell r="E996">
            <v>0.84500002861022949</v>
          </cell>
          <cell r="F996">
            <v>2249304</v>
          </cell>
          <cell r="G996">
            <v>22493.0390625</v>
          </cell>
          <cell r="H996">
            <v>994</v>
          </cell>
          <cell r="I996">
            <v>4371430.3934544772</v>
          </cell>
        </row>
        <row r="997">
          <cell r="A997">
            <v>45870</v>
          </cell>
          <cell r="B997">
            <v>0.86100000143051147</v>
          </cell>
          <cell r="C997">
            <v>0.86599999666213989</v>
          </cell>
          <cell r="D997">
            <v>0.84299999475479126</v>
          </cell>
          <cell r="E997">
            <v>0.84500002861022949</v>
          </cell>
          <cell r="F997">
            <v>2249304</v>
          </cell>
          <cell r="G997">
            <v>22493.0390625</v>
          </cell>
          <cell r="H997">
            <v>995</v>
          </cell>
          <cell r="I997">
            <v>4369297.6031092964</v>
          </cell>
        </row>
        <row r="998">
          <cell r="A998">
            <v>45873</v>
          </cell>
          <cell r="B998">
            <v>0.84500002861022949</v>
          </cell>
          <cell r="C998">
            <v>0.85000002384185791</v>
          </cell>
          <cell r="D998">
            <v>0.8399999737739563</v>
          </cell>
          <cell r="E998">
            <v>0.84399998188018799</v>
          </cell>
          <cell r="F998">
            <v>810301</v>
          </cell>
          <cell r="G998">
            <v>8103.009765625</v>
          </cell>
          <cell r="H998">
            <v>996</v>
          </cell>
          <cell r="I998">
            <v>4365724.3133471385</v>
          </cell>
        </row>
        <row r="999">
          <cell r="A999">
            <v>45874</v>
          </cell>
          <cell r="B999">
            <v>0.84399998188018799</v>
          </cell>
          <cell r="C999">
            <v>0.84899997711181641</v>
          </cell>
          <cell r="D999">
            <v>0.8410000205039978</v>
          </cell>
          <cell r="E999">
            <v>0.84899997711181641</v>
          </cell>
          <cell r="F999">
            <v>1009501.9375</v>
          </cell>
          <cell r="G999">
            <v>10095.01953125</v>
          </cell>
          <cell r="H999">
            <v>997</v>
          </cell>
          <cell r="I999">
            <v>4362357.9920072714</v>
          </cell>
        </row>
        <row r="1000">
          <cell r="A1000">
            <v>45875</v>
          </cell>
          <cell r="B1000">
            <v>0.85000002384185791</v>
          </cell>
          <cell r="C1000">
            <v>0.85399997234344482</v>
          </cell>
          <cell r="D1000">
            <v>0.84700000286102295</v>
          </cell>
          <cell r="E1000">
            <v>0.85399997234344482</v>
          </cell>
          <cell r="F1000">
            <v>1219800</v>
          </cell>
          <cell r="G1000">
            <v>12198</v>
          </cell>
          <cell r="H1000">
            <v>998</v>
          </cell>
          <cell r="I1000">
            <v>4359209.1363038579</v>
          </cell>
        </row>
        <row r="1001">
          <cell r="A1001">
            <v>45876</v>
          </cell>
          <cell r="B1001">
            <v>0.85199999809265137</v>
          </cell>
          <cell r="C1001">
            <v>0.86000001430511475</v>
          </cell>
          <cell r="D1001">
            <v>0.85199999809265137</v>
          </cell>
          <cell r="E1001">
            <v>0.85900002717971802</v>
          </cell>
          <cell r="F1001">
            <v>1148400</v>
          </cell>
          <cell r="G1001">
            <v>11484</v>
          </cell>
          <cell r="H1001">
            <v>999</v>
          </cell>
          <cell r="I1001">
            <v>4355995.113144394</v>
          </cell>
        </row>
        <row r="1002">
          <cell r="A1002">
            <v>45877</v>
          </cell>
          <cell r="B1002">
            <v>0.86299997568130493</v>
          </cell>
          <cell r="C1002">
            <v>0.86299997568130493</v>
          </cell>
          <cell r="D1002">
            <v>0.85199999809265137</v>
          </cell>
          <cell r="E1002">
            <v>0.85500001907348633</v>
          </cell>
          <cell r="F1002">
            <v>1019900</v>
          </cell>
          <cell r="G1002">
            <v>10199</v>
          </cell>
          <cell r="H1002">
            <v>1000</v>
          </cell>
          <cell r="I1002">
            <v>4352659.0180312498</v>
          </cell>
        </row>
        <row r="1003">
          <cell r="A1003">
            <v>45880</v>
          </cell>
          <cell r="B1003">
            <v>0.85199999809265137</v>
          </cell>
          <cell r="C1003">
            <v>0.85699999332427979</v>
          </cell>
          <cell r="D1003">
            <v>0.85199999809265137</v>
          </cell>
          <cell r="E1003">
            <v>0.8529999852180481</v>
          </cell>
          <cell r="F1003">
            <v>1215425</v>
          </cell>
          <cell r="G1003">
            <v>12154.25</v>
          </cell>
          <cell r="H1003">
            <v>1001</v>
          </cell>
          <cell r="I1003">
            <v>4349524.9181131367</v>
          </cell>
        </row>
        <row r="1004">
          <cell r="A1004">
            <v>45881</v>
          </cell>
          <cell r="B1004">
            <v>0.85799998044967651</v>
          </cell>
          <cell r="C1004">
            <v>0.86699998378753662</v>
          </cell>
          <cell r="D1004">
            <v>0.85799998044967651</v>
          </cell>
          <cell r="E1004">
            <v>0.86400002241134644</v>
          </cell>
          <cell r="F1004">
            <v>1516506</v>
          </cell>
          <cell r="G1004">
            <v>15165.0595703125</v>
          </cell>
          <cell r="H1004">
            <v>1002</v>
          </cell>
          <cell r="I1004">
            <v>4346697.5539234029</v>
          </cell>
        </row>
        <row r="1005">
          <cell r="A1005">
            <v>45882</v>
          </cell>
          <cell r="B1005">
            <v>0.86299997568130493</v>
          </cell>
          <cell r="C1005">
            <v>0.87300002574920654</v>
          </cell>
          <cell r="D1005">
            <v>0.8619999885559082</v>
          </cell>
          <cell r="E1005">
            <v>0.87300002574920654</v>
          </cell>
          <cell r="F1005">
            <v>3506207</v>
          </cell>
          <cell r="G1005">
            <v>35062.0703125</v>
          </cell>
          <cell r="H1005">
            <v>1003</v>
          </cell>
          <cell r="I1005">
            <v>4345859.5772993518</v>
          </cell>
        </row>
        <row r="1006">
          <cell r="A1006">
            <v>45883</v>
          </cell>
          <cell r="B1006">
            <v>0.87400001287460327</v>
          </cell>
          <cell r="C1006">
            <v>0.89399999380111694</v>
          </cell>
          <cell r="D1006">
            <v>0.87300002574920654</v>
          </cell>
          <cell r="E1006">
            <v>0.89300000667572021</v>
          </cell>
          <cell r="F1006">
            <v>3142817</v>
          </cell>
          <cell r="G1006">
            <v>31428.169921875</v>
          </cell>
          <cell r="H1006">
            <v>1004</v>
          </cell>
          <cell r="I1006">
            <v>4344661.3277203683</v>
          </cell>
        </row>
        <row r="1007">
          <cell r="A1007">
            <v>45884</v>
          </cell>
          <cell r="B1007">
            <v>0.89800000190734863</v>
          </cell>
          <cell r="C1007">
            <v>0.90100002288818359</v>
          </cell>
          <cell r="D1007">
            <v>0.88599997758865356</v>
          </cell>
          <cell r="E1007">
            <v>0.89099997282028198</v>
          </cell>
          <cell r="F1007">
            <v>3025607</v>
          </cell>
          <cell r="G1007">
            <v>30256.0703125</v>
          </cell>
          <cell r="H1007">
            <v>1005</v>
          </cell>
          <cell r="I1007">
            <v>4343348.8358519897</v>
          </cell>
        </row>
        <row r="1008">
          <cell r="A1008">
            <v>45887</v>
          </cell>
          <cell r="B1008">
            <v>0.88599997758865356</v>
          </cell>
          <cell r="C1008">
            <v>0.90799999237060547</v>
          </cell>
          <cell r="D1008">
            <v>0.88599997758865356</v>
          </cell>
          <cell r="E1008">
            <v>0.90600001811981201</v>
          </cell>
          <cell r="F1008">
            <v>2570310</v>
          </cell>
          <cell r="G1008">
            <v>25703.099609375</v>
          </cell>
          <cell r="H1008">
            <v>1006</v>
          </cell>
          <cell r="I1008">
            <v>4341586.3718004469</v>
          </cell>
        </row>
        <row r="1009">
          <cell r="A1009">
            <v>45888</v>
          </cell>
          <cell r="B1009">
            <v>0.9089999794960022</v>
          </cell>
          <cell r="C1009">
            <v>0.93599998950958252</v>
          </cell>
          <cell r="D1009">
            <v>0.89300000667572021</v>
          </cell>
          <cell r="E1009">
            <v>0.92699998617172241</v>
          </cell>
          <cell r="F1009">
            <v>3470652</v>
          </cell>
          <cell r="G1009">
            <v>34706.51953125</v>
          </cell>
          <cell r="H1009">
            <v>1007</v>
          </cell>
          <cell r="I1009">
            <v>4340721.491590119</v>
          </cell>
        </row>
        <row r="1010">
          <cell r="A1010">
            <v>45889</v>
          </cell>
          <cell r="B1010">
            <v>0.92400002479553223</v>
          </cell>
          <cell r="C1010">
            <v>0.93199998140335083</v>
          </cell>
          <cell r="D1010">
            <v>0.92000001668930054</v>
          </cell>
          <cell r="E1010">
            <v>0.92299997806549072</v>
          </cell>
          <cell r="F1010">
            <v>4430724</v>
          </cell>
          <cell r="G1010">
            <v>44307.23828125</v>
          </cell>
          <cell r="H1010">
            <v>1008</v>
          </cell>
          <cell r="I1010">
            <v>4340810.7797929067</v>
          </cell>
        </row>
        <row r="1011">
          <cell r="A1011">
            <v>45890</v>
          </cell>
          <cell r="B1011">
            <v>0.92199999094009399</v>
          </cell>
          <cell r="C1011">
            <v>0.93300002813339233</v>
          </cell>
          <cell r="D1011">
            <v>0.9089999794960022</v>
          </cell>
          <cell r="E1011">
            <v>0.93300002813339233</v>
          </cell>
          <cell r="F1011">
            <v>1429211</v>
          </cell>
          <cell r="G1011">
            <v>14292.1103515625</v>
          </cell>
          <cell r="H1011">
            <v>1009</v>
          </cell>
          <cell r="I1011">
            <v>4337925.1506751738</v>
          </cell>
        </row>
        <row r="1012">
          <cell r="A1012">
            <v>45891</v>
          </cell>
          <cell r="B1012">
            <v>0.93500000238418579</v>
          </cell>
          <cell r="C1012">
            <v>0.94199997186660767</v>
          </cell>
          <cell r="D1012">
            <v>0.92699998617172241</v>
          </cell>
          <cell r="E1012">
            <v>0.93000000715255737</v>
          </cell>
          <cell r="F1012">
            <v>4295607</v>
          </cell>
          <cell r="G1012">
            <v>42956.0703125</v>
          </cell>
          <cell r="H1012">
            <v>1010</v>
          </cell>
          <cell r="I1012">
            <v>4337883.2515160888</v>
          </cell>
        </row>
        <row r="1013">
          <cell r="A1013">
            <v>45894</v>
          </cell>
          <cell r="B1013">
            <v>0.93500000238418579</v>
          </cell>
          <cell r="C1013">
            <v>0.95899999141693115</v>
          </cell>
          <cell r="D1013">
            <v>0.93500000238418579</v>
          </cell>
          <cell r="E1013">
            <v>0.95800000429153442</v>
          </cell>
          <cell r="F1013">
            <v>3842823.75</v>
          </cell>
          <cell r="G1013">
            <v>38428.23828125</v>
          </cell>
          <cell r="H1013">
            <v>1011</v>
          </cell>
          <cell r="I1013">
            <v>4337393.5784186451</v>
          </cell>
        </row>
        <row r="1014">
          <cell r="A1014">
            <v>45895</v>
          </cell>
          <cell r="B1014">
            <v>0.97399997711181641</v>
          </cell>
          <cell r="C1014">
            <v>0.98500001430511475</v>
          </cell>
          <cell r="D1014">
            <v>0.97299998998641968</v>
          </cell>
          <cell r="E1014">
            <v>0.97699999809265137</v>
          </cell>
          <cell r="F1014">
            <v>6614185</v>
          </cell>
          <cell r="G1014">
            <v>66141.8515625</v>
          </cell>
          <cell r="H1014">
            <v>1012</v>
          </cell>
          <cell r="I1014">
            <v>4339643.3723134883</v>
          </cell>
        </row>
        <row r="1015">
          <cell r="A1015">
            <v>45896</v>
          </cell>
          <cell r="B1015">
            <v>0.98000001907348633</v>
          </cell>
          <cell r="C1015">
            <v>0.99800002574920654</v>
          </cell>
          <cell r="D1015">
            <v>0.9649999737739563</v>
          </cell>
          <cell r="E1015">
            <v>0.96700000762939453</v>
          </cell>
          <cell r="F1015">
            <v>4333161</v>
          </cell>
          <cell r="G1015">
            <v>43331.609375</v>
          </cell>
          <cell r="H1015">
            <v>1013</v>
          </cell>
          <cell r="I1015">
            <v>4339636.973130553</v>
          </cell>
        </row>
        <row r="1016">
          <cell r="A1016">
            <v>45897</v>
          </cell>
          <cell r="B1016">
            <v>0.9649999737739563</v>
          </cell>
          <cell r="C1016">
            <v>0.98900002241134644</v>
          </cell>
          <cell r="D1016">
            <v>0.93900001049041748</v>
          </cell>
          <cell r="E1016">
            <v>0.98900002241134644</v>
          </cell>
          <cell r="F1016">
            <v>4283711</v>
          </cell>
          <cell r="G1016">
            <v>42837.109375</v>
          </cell>
          <cell r="H1016">
            <v>1014</v>
          </cell>
          <cell r="I1016">
            <v>4339581.819310897</v>
          </cell>
        </row>
        <row r="1017">
          <cell r="A1017">
            <v>45898</v>
          </cell>
          <cell r="B1017">
            <v>0.9869999885559082</v>
          </cell>
          <cell r="C1017">
            <v>1.0199999809265137</v>
          </cell>
          <cell r="D1017">
            <v>0.98299998044967651</v>
          </cell>
          <cell r="E1017">
            <v>1.0089999437332153</v>
          </cell>
          <cell r="F1017">
            <v>4079918</v>
          </cell>
          <cell r="G1017">
            <v>40799.1796875</v>
          </cell>
          <cell r="H1017">
            <v>1015</v>
          </cell>
          <cell r="I1017">
            <v>4339325.9928879309</v>
          </cell>
        </row>
        <row r="1018">
          <cell r="A1018">
            <v>45901</v>
          </cell>
          <cell r="B1018">
            <v>0.98000001907348633</v>
          </cell>
          <cell r="C1018">
            <v>0.99800002574920654</v>
          </cell>
          <cell r="D1018">
            <v>0.9649999737739563</v>
          </cell>
          <cell r="E1018">
            <v>0.96700000762939453</v>
          </cell>
          <cell r="F1018">
            <v>4333161</v>
          </cell>
          <cell r="G1018">
            <v>43331.609375</v>
          </cell>
          <cell r="H1018">
            <v>1016</v>
          </cell>
          <cell r="I1018">
            <v>4339319.9249815457</v>
          </cell>
        </row>
        <row r="1019">
          <cell r="A1019">
            <v>45902</v>
          </cell>
          <cell r="B1019">
            <v>0.9649999737739563</v>
          </cell>
          <cell r="C1019">
            <v>0.98900002241134644</v>
          </cell>
          <cell r="D1019">
            <v>0.93900001049041748</v>
          </cell>
          <cell r="E1019">
            <v>0.98900002241134644</v>
          </cell>
          <cell r="F1019">
            <v>4283711</v>
          </cell>
          <cell r="G1019">
            <v>42837.109375</v>
          </cell>
          <cell r="H1019">
            <v>1017</v>
          </cell>
          <cell r="I1019">
            <v>4339265.2456059493</v>
          </cell>
        </row>
        <row r="1020">
          <cell r="A1020">
            <v>45903</v>
          </cell>
          <cell r="B1020">
            <v>0.9869999885559082</v>
          </cell>
          <cell r="C1020">
            <v>1.0199999809265137</v>
          </cell>
          <cell r="D1020">
            <v>0.98299998044967651</v>
          </cell>
          <cell r="E1020">
            <v>1.0089999437332153</v>
          </cell>
          <cell r="F1020">
            <v>4079918</v>
          </cell>
          <cell r="G1020">
            <v>40799.1796875</v>
          </cell>
          <cell r="H1020">
            <v>1018</v>
          </cell>
          <cell r="I1020">
            <v>4339010.4840680258</v>
          </cell>
        </row>
        <row r="1021">
          <cell r="A1021">
            <v>45904</v>
          </cell>
          <cell r="B1021">
            <v>1.0099999904632568</v>
          </cell>
          <cell r="C1021">
            <v>1.0210000276565552</v>
          </cell>
          <cell r="D1021">
            <v>1.0060000419616699</v>
          </cell>
          <cell r="E1021">
            <v>1.0210000276565552</v>
          </cell>
          <cell r="F1021">
            <v>3938929</v>
          </cell>
          <cell r="G1021">
            <v>39389.2890625</v>
          </cell>
          <cell r="H1021">
            <v>1019</v>
          </cell>
          <cell r="I1021">
            <v>4338617.8623957308</v>
          </cell>
        </row>
        <row r="1022">
          <cell r="A1022">
            <v>45905</v>
          </cell>
          <cell r="B1022">
            <v>1.0210000276565552</v>
          </cell>
          <cell r="C1022">
            <v>1.0279999971389771</v>
          </cell>
          <cell r="D1022">
            <v>0.99199998378753662</v>
          </cell>
          <cell r="E1022">
            <v>1</v>
          </cell>
          <cell r="F1022">
            <v>9319904</v>
          </cell>
          <cell r="G1022">
            <v>93199.0390625</v>
          </cell>
          <cell r="H1022">
            <v>1020</v>
          </cell>
          <cell r="I1022">
            <v>4343501.4762561275</v>
          </cell>
        </row>
        <row r="1023">
          <cell r="A1023">
            <v>45908</v>
          </cell>
          <cell r="B1023">
            <v>1</v>
          </cell>
          <cell r="C1023">
            <v>1.0140000581741333</v>
          </cell>
          <cell r="D1023">
            <v>0.99299997091293335</v>
          </cell>
          <cell r="E1023">
            <v>1.0019999742507935</v>
          </cell>
          <cell r="F1023">
            <v>3076130</v>
          </cell>
          <cell r="G1023">
            <v>30761.30078125</v>
          </cell>
          <cell r="H1023">
            <v>1021</v>
          </cell>
          <cell r="I1023">
            <v>4342260.1721657692</v>
          </cell>
        </row>
        <row r="1024">
          <cell r="A1024">
            <v>45909</v>
          </cell>
          <cell r="B1024">
            <v>1</v>
          </cell>
          <cell r="C1024">
            <v>1.0140000581741333</v>
          </cell>
          <cell r="D1024">
            <v>0.95300000905990601</v>
          </cell>
          <cell r="E1024">
            <v>0.9660000205039978</v>
          </cell>
          <cell r="F1024">
            <v>4770245</v>
          </cell>
          <cell r="G1024">
            <v>47702.44921875</v>
          </cell>
          <cell r="H1024">
            <v>1022</v>
          </cell>
          <cell r="I1024">
            <v>4342678.9440129651</v>
          </cell>
        </row>
        <row r="1025">
          <cell r="A1025">
            <v>45910</v>
          </cell>
          <cell r="B1025">
            <v>0.9660000205039978</v>
          </cell>
          <cell r="C1025">
            <v>1.0130000114440918</v>
          </cell>
          <cell r="D1025">
            <v>0.88899999856948853</v>
          </cell>
          <cell r="E1025">
            <v>1.0099999904632568</v>
          </cell>
          <cell r="F1025">
            <v>5397439</v>
          </cell>
          <cell r="G1025">
            <v>53974.390625</v>
          </cell>
          <cell r="H1025">
            <v>1023</v>
          </cell>
          <cell r="I1025">
            <v>4343709.9900109973</v>
          </cell>
        </row>
        <row r="1026">
          <cell r="A1026">
            <v>45911</v>
          </cell>
          <cell r="B1026">
            <v>1.0060000419616699</v>
          </cell>
          <cell r="C1026">
            <v>1.0199999809265137</v>
          </cell>
          <cell r="D1026">
            <v>1.003000020980835</v>
          </cell>
          <cell r="E1026">
            <v>1.0169999599456787</v>
          </cell>
          <cell r="F1026">
            <v>6179446</v>
          </cell>
          <cell r="G1026">
            <v>61794.4609375</v>
          </cell>
          <cell r="H1026">
            <v>1024</v>
          </cell>
          <cell r="I1026">
            <v>4345502.700958252</v>
          </cell>
        </row>
        <row r="1027">
          <cell r="A1027">
            <v>45912</v>
          </cell>
          <cell r="B1027">
            <v>1.0269999504089355</v>
          </cell>
          <cell r="C1027">
            <v>1.0399999618530273</v>
          </cell>
          <cell r="D1027">
            <v>1.0269999504089355</v>
          </cell>
          <cell r="E1027">
            <v>1.0290000438690186</v>
          </cell>
          <cell r="F1027">
            <v>3930962</v>
          </cell>
          <cell r="G1027">
            <v>39309.62109375</v>
          </cell>
          <cell r="H1027">
            <v>1025</v>
          </cell>
          <cell r="I1027">
            <v>4345098.271006098</v>
          </cell>
        </row>
        <row r="1028">
          <cell r="A1028">
            <v>45915</v>
          </cell>
          <cell r="B1028">
            <v>1.0269999504089355</v>
          </cell>
          <cell r="C1028">
            <v>1.0470000505447388</v>
          </cell>
          <cell r="D1028">
            <v>1.0169999599456787</v>
          </cell>
          <cell r="E1028">
            <v>1.0379999876022339</v>
          </cell>
          <cell r="F1028">
            <v>4771233</v>
          </cell>
          <cell r="G1028">
            <v>47712.328125</v>
          </cell>
          <cell r="H1028">
            <v>1026</v>
          </cell>
          <cell r="I1028">
            <v>4345513.6069992688</v>
          </cell>
        </row>
        <row r="1029">
          <cell r="A1029">
            <v>45916</v>
          </cell>
          <cell r="B1029">
            <v>1.0369999408721924</v>
          </cell>
          <cell r="C1029">
            <v>1.0429999828338623</v>
          </cell>
          <cell r="D1029">
            <v>1.0269999504089355</v>
          </cell>
          <cell r="E1029">
            <v>1.0399999618530273</v>
          </cell>
          <cell r="F1029">
            <v>2435753</v>
          </cell>
          <cell r="G1029">
            <v>24357.529296875</v>
          </cell>
          <cell r="H1029">
            <v>1027</v>
          </cell>
          <cell r="I1029">
            <v>4343654.0543147521</v>
          </cell>
        </row>
        <row r="1030">
          <cell r="A1030">
            <v>45917</v>
          </cell>
          <cell r="B1030">
            <v>1.0399999618530273</v>
          </cell>
          <cell r="C1030">
            <v>1.0540000200271606</v>
          </cell>
          <cell r="D1030">
            <v>1.0349999666213989</v>
          </cell>
          <cell r="E1030">
            <v>1.0509999990463257</v>
          </cell>
          <cell r="F1030">
            <v>5736148</v>
          </cell>
          <cell r="G1030">
            <v>57361.48046875</v>
          </cell>
          <cell r="H1030">
            <v>1028</v>
          </cell>
          <cell r="I1030">
            <v>4345008.6204097765</v>
          </cell>
        </row>
        <row r="1031">
          <cell r="A1031">
            <v>45918</v>
          </cell>
          <cell r="B1031">
            <v>1.0509999990463257</v>
          </cell>
          <cell r="C1031">
            <v>1.0590000152587891</v>
          </cell>
          <cell r="D1031">
            <v>1.0290000438690186</v>
          </cell>
          <cell r="E1031">
            <v>1.0420000553131104</v>
          </cell>
          <cell r="F1031">
            <v>6981115</v>
          </cell>
          <cell r="G1031">
            <v>69811.1484375</v>
          </cell>
          <cell r="H1031">
            <v>1029</v>
          </cell>
          <cell r="I1031">
            <v>4347570.4341897471</v>
          </cell>
        </row>
        <row r="1032">
          <cell r="A1032">
            <v>45919</v>
          </cell>
          <cell r="B1032">
            <v>1.0420000553131104</v>
          </cell>
          <cell r="C1032">
            <v>1.0520000457763672</v>
          </cell>
          <cell r="D1032">
            <v>1.0410000085830688</v>
          </cell>
          <cell r="E1032">
            <v>1.0449999570846558</v>
          </cell>
          <cell r="F1032">
            <v>4890281</v>
          </cell>
          <cell r="G1032">
            <v>48902.80859375</v>
          </cell>
          <cell r="H1032">
            <v>1030</v>
          </cell>
          <cell r="I1032">
            <v>4348097.3376516989</v>
          </cell>
        </row>
        <row r="1033">
          <cell r="A1033">
            <v>45922</v>
          </cell>
          <cell r="B1033">
            <v>1.0460000038146973</v>
          </cell>
          <cell r="C1033">
            <v>1.0520000457763672</v>
          </cell>
          <cell r="D1033">
            <v>1.0410000085830688</v>
          </cell>
          <cell r="E1033">
            <v>1.0509999990463257</v>
          </cell>
          <cell r="F1033">
            <v>2773222</v>
          </cell>
          <cell r="G1033">
            <v>27732.220703125</v>
          </cell>
          <cell r="H1033">
            <v>1031</v>
          </cell>
          <cell r="I1033">
            <v>4346569.8155007279</v>
          </cell>
        </row>
        <row r="1034">
          <cell r="A1034">
            <v>45923</v>
          </cell>
          <cell r="B1034">
            <v>1.0520000457763672</v>
          </cell>
          <cell r="C1034">
            <v>1.1510000228881836</v>
          </cell>
          <cell r="D1034">
            <v>1.0329999923706055</v>
          </cell>
          <cell r="E1034">
            <v>1.0529999732971191</v>
          </cell>
          <cell r="F1034">
            <v>4148152</v>
          </cell>
          <cell r="G1034">
            <v>41481.51953125</v>
          </cell>
          <cell r="H1034">
            <v>1032</v>
          </cell>
          <cell r="I1034">
            <v>4346377.5501756296</v>
          </cell>
        </row>
        <row r="1035">
          <cell r="A1035">
            <v>45924</v>
          </cell>
          <cell r="B1035">
            <v>1.0490000247955322</v>
          </cell>
          <cell r="C1035">
            <v>1.0690000057220459</v>
          </cell>
          <cell r="D1035">
            <v>1.0010000467300415</v>
          </cell>
          <cell r="E1035">
            <v>1.0679999589920044</v>
          </cell>
          <cell r="F1035">
            <v>1863032</v>
          </cell>
          <cell r="G1035">
            <v>18630.3203125</v>
          </cell>
          <cell r="H1035">
            <v>1033</v>
          </cell>
          <cell r="I1035">
            <v>4343973.5370583255</v>
          </cell>
        </row>
        <row r="1036">
          <cell r="A1036">
            <v>45925</v>
          </cell>
          <cell r="B1036">
            <v>1.0670000314712524</v>
          </cell>
          <cell r="C1036">
            <v>1.0880000591278076</v>
          </cell>
          <cell r="D1036">
            <v>1.0640000104904175</v>
          </cell>
          <cell r="E1036">
            <v>1.0829999446868896</v>
          </cell>
          <cell r="F1036">
            <v>3748111</v>
          </cell>
          <cell r="G1036">
            <v>37481.109375</v>
          </cell>
          <cell r="H1036">
            <v>1034</v>
          </cell>
          <cell r="I1036">
            <v>4343397.2676801253</v>
          </cell>
        </row>
        <row r="1037">
          <cell r="A1037">
            <v>45926</v>
          </cell>
          <cell r="B1037">
            <v>1.0800000429153442</v>
          </cell>
          <cell r="C1037">
            <v>1.0839999914169312</v>
          </cell>
          <cell r="D1037">
            <v>1.062999963760376</v>
          </cell>
          <cell r="E1037">
            <v>1.062999963760376</v>
          </cell>
          <cell r="F1037">
            <v>2586660</v>
          </cell>
          <cell r="G1037">
            <v>25866.599609375</v>
          </cell>
          <cell r="H1037">
            <v>1035</v>
          </cell>
          <cell r="I1037">
            <v>4341699.9369867146</v>
          </cell>
        </row>
        <row r="1038">
          <cell r="A1038">
            <v>45929</v>
          </cell>
          <cell r="B1038">
            <v>1.062999963760376</v>
          </cell>
          <cell r="C1038">
            <v>1.0889999866485596</v>
          </cell>
          <cell r="D1038">
            <v>1.0590000152587891</v>
          </cell>
          <cell r="E1038">
            <v>1.0889999866485596</v>
          </cell>
          <cell r="F1038">
            <v>6479694</v>
          </cell>
          <cell r="G1038">
            <v>64796.94140625</v>
          </cell>
          <cell r="H1038">
            <v>1036</v>
          </cell>
          <cell r="I1038">
            <v>4343763.6378197391</v>
          </cell>
        </row>
        <row r="1039">
          <cell r="A1039">
            <v>45930</v>
          </cell>
          <cell r="B1039">
            <v>1.0809999704360962</v>
          </cell>
          <cell r="C1039">
            <v>1.0920000076293945</v>
          </cell>
          <cell r="D1039">
            <v>1.0789999961853027</v>
          </cell>
          <cell r="E1039">
            <v>1.0880000591278076</v>
          </cell>
          <cell r="F1039">
            <v>3128893</v>
          </cell>
          <cell r="G1039">
            <v>31288.9296875</v>
          </cell>
          <cell r="H1039">
            <v>1037</v>
          </cell>
          <cell r="I1039">
            <v>4342592.1135788327</v>
          </cell>
        </row>
        <row r="1040">
          <cell r="A1040">
            <v>45939</v>
          </cell>
          <cell r="B1040">
            <v>1.090999960899353</v>
          </cell>
          <cell r="C1040">
            <v>1.1109999418258667</v>
          </cell>
          <cell r="D1040">
            <v>1.0889999866485596</v>
          </cell>
          <cell r="E1040">
            <v>1.1000000238418579</v>
          </cell>
          <cell r="F1040">
            <v>3490226.25</v>
          </cell>
          <cell r="G1040">
            <v>34902.26171875</v>
          </cell>
          <cell r="H1040">
            <v>1038</v>
          </cell>
          <cell r="I1040">
            <v>4341770.9518605489</v>
          </cell>
        </row>
        <row r="1041">
          <cell r="A1041">
            <v>45940</v>
          </cell>
          <cell r="B1041">
            <v>1.1000000238418579</v>
          </cell>
          <cell r="C1041">
            <v>1.1000000238418579</v>
          </cell>
          <cell r="D1041">
            <v>1.062999963760376</v>
          </cell>
          <cell r="E1041">
            <v>1.0659999847412109</v>
          </cell>
          <cell r="F1041">
            <v>2663300</v>
          </cell>
          <cell r="G1041">
            <v>26633</v>
          </cell>
          <cell r="H1041">
            <v>1039</v>
          </cell>
          <cell r="I1041">
            <v>4340155.4841494225</v>
          </cell>
        </row>
        <row r="1042">
          <cell r="A1042">
            <v>45943</v>
          </cell>
          <cell r="B1042">
            <v>1.0540000200271606</v>
          </cell>
          <cell r="C1042">
            <v>1.0559999942779541</v>
          </cell>
          <cell r="D1042">
            <v>1.0019999742507935</v>
          </cell>
          <cell r="E1042">
            <v>1.0540000200271606</v>
          </cell>
          <cell r="F1042">
            <v>3272817</v>
          </cell>
          <cell r="G1042">
            <v>32728.169921875</v>
          </cell>
          <cell r="H1042">
            <v>1040</v>
          </cell>
          <cell r="I1042">
            <v>4339129.1971454322</v>
          </cell>
        </row>
        <row r="1043">
          <cell r="A1043">
            <v>45944</v>
          </cell>
          <cell r="B1043">
            <v>1.0549999475479126</v>
          </cell>
          <cell r="C1043">
            <v>1.0709999799728394</v>
          </cell>
          <cell r="D1043">
            <v>1.0260000228881836</v>
          </cell>
          <cell r="E1043">
            <v>1.0279999971389771</v>
          </cell>
          <cell r="F1043">
            <v>2854215</v>
          </cell>
          <cell r="G1043">
            <v>28542.150390625</v>
          </cell>
          <cell r="H1043">
            <v>1041</v>
          </cell>
          <cell r="I1043">
            <v>4337702.7666006247</v>
          </cell>
        </row>
        <row r="1044">
          <cell r="A1044">
            <v>45945</v>
          </cell>
          <cell r="B1044">
            <v>1.0299999713897705</v>
          </cell>
          <cell r="C1044">
            <v>1.0499999523162842</v>
          </cell>
          <cell r="D1044">
            <v>1.0249999761581421</v>
          </cell>
          <cell r="E1044">
            <v>1.0499999523162842</v>
          </cell>
          <cell r="F1044">
            <v>4348001</v>
          </cell>
          <cell r="G1044">
            <v>43480.01171875</v>
          </cell>
          <cell r="H1044">
            <v>1042</v>
          </cell>
          <cell r="I1044">
            <v>4337712.6497420827</v>
          </cell>
        </row>
        <row r="1045">
          <cell r="A1045">
            <v>45946</v>
          </cell>
          <cell r="B1045">
            <v>1.0490000247955322</v>
          </cell>
          <cell r="C1045">
            <v>1.0609999895095825</v>
          </cell>
          <cell r="D1045">
            <v>1.0470000505447388</v>
          </cell>
          <cell r="E1045">
            <v>1.0520000457763672</v>
          </cell>
          <cell r="F1045">
            <v>2725915</v>
          </cell>
          <cell r="G1045">
            <v>27259.150390625</v>
          </cell>
          <cell r="H1045">
            <v>1043</v>
          </cell>
          <cell r="I1045">
            <v>4336167.3020433849</v>
          </cell>
        </row>
        <row r="1046">
          <cell r="A1046">
            <v>45947</v>
          </cell>
          <cell r="B1046">
            <v>1.0509999990463257</v>
          </cell>
          <cell r="C1046">
            <v>1.0509999990463257</v>
          </cell>
          <cell r="D1046">
            <v>1.0190000534057617</v>
          </cell>
          <cell r="E1046">
            <v>1.0210000276565552</v>
          </cell>
          <cell r="F1046">
            <v>1165002</v>
          </cell>
          <cell r="G1046">
            <v>11650.01953125</v>
          </cell>
          <cell r="H1046">
            <v>1044</v>
          </cell>
          <cell r="I1046">
            <v>4333129.7873862544</v>
          </cell>
        </row>
        <row r="1047">
          <cell r="A1047">
            <v>45950</v>
          </cell>
          <cell r="B1047">
            <v>1.0379999876022339</v>
          </cell>
          <cell r="C1047">
            <v>1.0429999828338623</v>
          </cell>
          <cell r="D1047">
            <v>1.0260000228881836</v>
          </cell>
          <cell r="E1047">
            <v>1.031000018119812</v>
          </cell>
          <cell r="F1047">
            <v>814809</v>
          </cell>
          <cell r="G1047">
            <v>8148.08984375</v>
          </cell>
          <cell r="H1047">
            <v>1045</v>
          </cell>
          <cell r="I1047">
            <v>4329762.9732356463</v>
          </cell>
        </row>
        <row r="1048">
          <cell r="A1048">
            <v>45951</v>
          </cell>
          <cell r="B1048">
            <v>1.0360000133514404</v>
          </cell>
          <cell r="C1048">
            <v>1.0579999685287476</v>
          </cell>
          <cell r="D1048">
            <v>1.0360000133514404</v>
          </cell>
          <cell r="E1048">
            <v>1.0549999475479126</v>
          </cell>
          <cell r="F1048">
            <v>4858905</v>
          </cell>
          <cell r="G1048">
            <v>48589.05078125</v>
          </cell>
          <cell r="H1048">
            <v>1046</v>
          </cell>
          <cell r="I1048">
            <v>4330268.8451541588</v>
          </cell>
        </row>
        <row r="1049">
          <cell r="A1049">
            <v>45952</v>
          </cell>
          <cell r="B1049">
            <v>1.0509999990463257</v>
          </cell>
          <cell r="C1049">
            <v>1.0579999685287476</v>
          </cell>
          <cell r="D1049">
            <v>1.0449999570846558</v>
          </cell>
          <cell r="E1049">
            <v>1.0520000457763672</v>
          </cell>
          <cell r="F1049">
            <v>1000800</v>
          </cell>
          <cell r="G1049">
            <v>10008</v>
          </cell>
          <cell r="H1049">
            <v>1047</v>
          </cell>
          <cell r="I1049">
            <v>4327088.8367060646</v>
          </cell>
        </row>
        <row r="1050">
          <cell r="A1050">
            <v>45953</v>
          </cell>
          <cell r="B1050">
            <v>1.0470000505447388</v>
          </cell>
          <cell r="C1050">
            <v>1.0540000200271606</v>
          </cell>
          <cell r="D1050">
            <v>1.0369999408721924</v>
          </cell>
          <cell r="E1050">
            <v>1.0529999732971191</v>
          </cell>
          <cell r="F1050">
            <v>1384412</v>
          </cell>
          <cell r="G1050">
            <v>13844.1201171875</v>
          </cell>
          <cell r="H1050">
            <v>1048</v>
          </cell>
          <cell r="I1050">
            <v>4324280.9389611166</v>
          </cell>
        </row>
        <row r="1051">
          <cell r="A1051">
            <v>45954</v>
          </cell>
          <cell r="B1051">
            <v>1.0529999732971191</v>
          </cell>
          <cell r="C1051">
            <v>1.0750000476837158</v>
          </cell>
          <cell r="D1051">
            <v>1.0529999732971191</v>
          </cell>
          <cell r="E1051">
            <v>1.0729999542236328</v>
          </cell>
          <cell r="F1051">
            <v>2393104</v>
          </cell>
          <cell r="G1051">
            <v>23931.0390625</v>
          </cell>
          <cell r="H1051">
            <v>1049</v>
          </cell>
          <cell r="I1051">
            <v>4322439.9695245475</v>
          </cell>
        </row>
        <row r="1052">
          <cell r="A1052">
            <v>45957</v>
          </cell>
          <cell r="B1052">
            <v>1.0729999542236328</v>
          </cell>
          <cell r="C1052">
            <v>1.0920000076293945</v>
          </cell>
          <cell r="D1052">
            <v>1.0729999542236328</v>
          </cell>
          <cell r="E1052">
            <v>1.0870000123977661</v>
          </cell>
          <cell r="F1052">
            <v>2402725</v>
          </cell>
          <cell r="G1052">
            <v>24027.25</v>
          </cell>
          <cell r="H1052">
            <v>1050</v>
          </cell>
          <cell r="I1052">
            <v>4320611.6695535714</v>
          </cell>
        </row>
        <row r="1053">
          <cell r="A1053">
            <v>45958</v>
          </cell>
          <cell r="B1053">
            <v>1.0850000381469727</v>
          </cell>
          <cell r="C1053">
            <v>1.0959999561309814</v>
          </cell>
          <cell r="D1053">
            <v>1.0829999446868896</v>
          </cell>
          <cell r="E1053">
            <v>1.0839999914169312</v>
          </cell>
          <cell r="F1053">
            <v>1967809</v>
          </cell>
          <cell r="G1053">
            <v>19678.08984375</v>
          </cell>
          <cell r="H1053">
            <v>1051</v>
          </cell>
          <cell r="I1053">
            <v>4318373.0371372504</v>
          </cell>
        </row>
        <row r="1054">
          <cell r="A1054">
            <v>45959</v>
          </cell>
          <cell r="B1054">
            <v>1.0889999866485596</v>
          </cell>
          <cell r="C1054">
            <v>1.1050000190734863</v>
          </cell>
          <cell r="D1054">
            <v>1.0889999866485596</v>
          </cell>
          <cell r="E1054">
            <v>1.1050000190734863</v>
          </cell>
          <cell r="F1054">
            <v>1336204</v>
          </cell>
          <cell r="G1054">
            <v>13362.0400390625</v>
          </cell>
          <cell r="H1054">
            <v>1052</v>
          </cell>
          <cell r="I1054">
            <v>4315538.2756951042</v>
          </cell>
        </row>
        <row r="1055">
          <cell r="A1055">
            <v>45960</v>
          </cell>
          <cell r="B1055">
            <v>1.1050000190734863</v>
          </cell>
          <cell r="C1055">
            <v>1.128000020980835</v>
          </cell>
          <cell r="D1055">
            <v>1.0920000076293945</v>
          </cell>
          <cell r="E1055">
            <v>1.0920000076293945</v>
          </cell>
          <cell r="F1055">
            <v>1882702</v>
          </cell>
          <cell r="G1055">
            <v>18827.01953125</v>
          </cell>
          <cell r="H1055">
            <v>1053</v>
          </cell>
          <cell r="I1055">
            <v>4313227.8898682334</v>
          </cell>
        </row>
        <row r="1056">
          <cell r="A1056">
            <v>45961</v>
          </cell>
          <cell r="B1056">
            <v>1.0920000076293945</v>
          </cell>
          <cell r="C1056">
            <v>1.0959999561309814</v>
          </cell>
          <cell r="D1056">
            <v>1.0729999542236328</v>
          </cell>
          <cell r="E1056">
            <v>1.0729999542236328</v>
          </cell>
          <cell r="F1056">
            <v>2090603.875</v>
          </cell>
          <cell r="G1056">
            <v>20906.0390625</v>
          </cell>
          <cell r="H1056">
            <v>1054</v>
          </cell>
          <cell r="I1056">
            <v>4311119.1384309772</v>
          </cell>
        </row>
        <row r="1057">
          <cell r="A1057">
            <v>45964</v>
          </cell>
          <cell r="B1057">
            <v>1.0789999961853027</v>
          </cell>
          <cell r="C1057">
            <v>1.0789999961853027</v>
          </cell>
          <cell r="D1057">
            <v>1.0570000410079956</v>
          </cell>
          <cell r="E1057">
            <v>1.0740000009536743</v>
          </cell>
          <cell r="F1057">
            <v>1557401</v>
          </cell>
          <cell r="G1057">
            <v>15574.009765625</v>
          </cell>
          <cell r="H1057">
            <v>1055</v>
          </cell>
          <cell r="I1057">
            <v>4308508.9790580571</v>
          </cell>
        </row>
        <row r="1058">
          <cell r="A1058">
            <v>45965</v>
          </cell>
          <cell r="B1058">
            <v>1.0709999799728394</v>
          </cell>
          <cell r="C1058">
            <v>1.0759999752044678</v>
          </cell>
          <cell r="D1058">
            <v>1.0529999732971191</v>
          </cell>
          <cell r="E1058">
            <v>1.0570000410079956</v>
          </cell>
          <cell r="F1058">
            <v>1204800</v>
          </cell>
          <cell r="G1058">
            <v>12048</v>
          </cell>
          <cell r="H1058">
            <v>1056</v>
          </cell>
          <cell r="I1058">
            <v>4305569.8607066758</v>
          </cell>
        </row>
        <row r="1059">
          <cell r="A1059">
            <v>45966</v>
          </cell>
          <cell r="B1059">
            <v>1.0529999732971191</v>
          </cell>
          <cell r="C1059">
            <v>1.0670000314712524</v>
          </cell>
          <cell r="D1059">
            <v>1.0449999570846558</v>
          </cell>
          <cell r="E1059">
            <v>1.062999963760376</v>
          </cell>
          <cell r="F1059">
            <v>2218015</v>
          </cell>
          <cell r="G1059">
            <v>22180.150390625</v>
          </cell>
          <cell r="H1059">
            <v>1057</v>
          </cell>
          <cell r="I1059">
            <v>4303594.8797599338</v>
          </cell>
        </row>
        <row r="1060">
          <cell r="A1060">
            <v>45967</v>
          </cell>
          <cell r="B1060">
            <v>1.062999963760376</v>
          </cell>
          <cell r="C1060">
            <v>1.0820000171661377</v>
          </cell>
          <cell r="D1060">
            <v>1.062999963760376</v>
          </cell>
          <cell r="E1060">
            <v>1.0800000429153442</v>
          </cell>
          <cell r="F1060">
            <v>1173015</v>
          </cell>
          <cell r="G1060">
            <v>11730.150390625</v>
          </cell>
          <cell r="H1060">
            <v>1058</v>
          </cell>
          <cell r="I1060">
            <v>4300635.9195711249</v>
          </cell>
        </row>
        <row r="1061">
          <cell r="A1061">
            <v>45968</v>
          </cell>
          <cell r="B1061">
            <v>1.0800000429153442</v>
          </cell>
          <cell r="C1061">
            <v>1.0809999704360962</v>
          </cell>
          <cell r="D1061">
            <v>1.0690000057220459</v>
          </cell>
          <cell r="E1061">
            <v>1.0750000476837158</v>
          </cell>
          <cell r="F1061">
            <v>1008500</v>
          </cell>
          <cell r="G1061">
            <v>10085</v>
          </cell>
          <cell r="H1061">
            <v>1059</v>
          </cell>
          <cell r="I1061">
            <v>4297527.1982117565</v>
          </cell>
        </row>
        <row r="1062">
          <cell r="A1062">
            <v>45971</v>
          </cell>
          <cell r="B1062">
            <v>1.0800000429153442</v>
          </cell>
          <cell r="C1062">
            <v>1.0800000429153442</v>
          </cell>
          <cell r="D1062">
            <v>1.0640000104904175</v>
          </cell>
          <cell r="E1062">
            <v>1.0750000476837158</v>
          </cell>
          <cell r="F1062">
            <v>1159800</v>
          </cell>
          <cell r="G1062">
            <v>11598</v>
          </cell>
          <cell r="H1062">
            <v>1060</v>
          </cell>
          <cell r="I1062">
            <v>4294567.078213443</v>
          </cell>
        </row>
        <row r="1063">
          <cell r="A1063">
            <v>45972</v>
          </cell>
          <cell r="B1063">
            <v>1.0740000009536743</v>
          </cell>
          <cell r="C1063">
            <v>1.093000054359436</v>
          </cell>
          <cell r="D1063">
            <v>1.0609999895095825</v>
          </cell>
          <cell r="E1063">
            <v>1.0609999895095825</v>
          </cell>
          <cell r="F1063">
            <v>1146100</v>
          </cell>
          <cell r="G1063">
            <v>11461</v>
          </cell>
          <cell r="H1063">
            <v>1061</v>
          </cell>
          <cell r="I1063">
            <v>4291599.6257363334</v>
          </cell>
        </row>
        <row r="1064">
          <cell r="A1064">
            <v>45973</v>
          </cell>
          <cell r="B1064">
            <v>1.0579999685287476</v>
          </cell>
          <cell r="C1064">
            <v>1.065000057220459</v>
          </cell>
          <cell r="D1064">
            <v>1.0520000457763672</v>
          </cell>
          <cell r="E1064">
            <v>1.062000036239624</v>
          </cell>
          <cell r="F1064">
            <v>1059500</v>
          </cell>
          <cell r="G1064">
            <v>10595</v>
          </cell>
          <cell r="H1064">
            <v>1062</v>
          </cell>
          <cell r="I1064">
            <v>4288556.2174258474</v>
          </cell>
        </row>
        <row r="1065">
          <cell r="A1065">
            <v>45974</v>
          </cell>
          <cell r="B1065">
            <v>1.0570000410079956</v>
          </cell>
          <cell r="C1065">
            <v>1.0779999494552612</v>
          </cell>
          <cell r="D1065">
            <v>1.0570000410079956</v>
          </cell>
          <cell r="E1065">
            <v>1.0779999494552612</v>
          </cell>
          <cell r="F1065">
            <v>1854510</v>
          </cell>
          <cell r="G1065">
            <v>18545.099609375</v>
          </cell>
          <cell r="H1065">
            <v>1063</v>
          </cell>
          <cell r="I1065">
            <v>4286266.4279456725</v>
          </cell>
        </row>
        <row r="1066">
          <cell r="A1066">
            <v>45975</v>
          </cell>
          <cell r="B1066">
            <v>1.0720000267028809</v>
          </cell>
          <cell r="C1066">
            <v>1.0720000267028809</v>
          </cell>
          <cell r="D1066">
            <v>1.0559999942779541</v>
          </cell>
          <cell r="E1066">
            <v>1.0559999942779541</v>
          </cell>
          <cell r="F1066">
            <v>1432005</v>
          </cell>
          <cell r="G1066">
            <v>14320.0498046875</v>
          </cell>
          <cell r="H1066">
            <v>1064</v>
          </cell>
          <cell r="I1066">
            <v>4283583.8514156481</v>
          </cell>
        </row>
        <row r="1067">
          <cell r="A1067">
            <v>45978</v>
          </cell>
          <cell r="B1067">
            <v>1.0559999942779541</v>
          </cell>
          <cell r="C1067">
            <v>1.0559999942779541</v>
          </cell>
          <cell r="D1067">
            <v>1.0460000038146973</v>
          </cell>
          <cell r="E1067">
            <v>1.0490000247955322</v>
          </cell>
          <cell r="F1067">
            <v>1063002</v>
          </cell>
          <cell r="G1067">
            <v>10630.01953125</v>
          </cell>
          <cell r="H1067">
            <v>1065</v>
          </cell>
          <cell r="I1067">
            <v>4280559.8308978872</v>
          </cell>
        </row>
        <row r="1068">
          <cell r="A1068">
            <v>45979</v>
          </cell>
          <cell r="B1068">
            <v>1.0520000457763672</v>
          </cell>
          <cell r="C1068">
            <v>1.0540000200271606</v>
          </cell>
          <cell r="D1068">
            <v>1.0390000343322754</v>
          </cell>
          <cell r="E1068">
            <v>1.0429999828338623</v>
          </cell>
          <cell r="F1068">
            <v>680700</v>
          </cell>
          <cell r="G1068">
            <v>6807</v>
          </cell>
          <cell r="H1068">
            <v>1066</v>
          </cell>
          <cell r="I1068">
            <v>4277182.8516944181</v>
          </cell>
        </row>
        <row r="1069">
          <cell r="A1069">
            <v>45980</v>
          </cell>
          <cell r="B1069">
            <v>1.0470000505447388</v>
          </cell>
          <cell r="C1069">
            <v>1.0529999732971191</v>
          </cell>
          <cell r="D1069">
            <v>1.0420000553131104</v>
          </cell>
          <cell r="E1069">
            <v>1.0460000038146973</v>
          </cell>
          <cell r="F1069">
            <v>775203</v>
          </cell>
          <cell r="G1069">
            <v>7752.02978515625</v>
          </cell>
          <cell r="H1069">
            <v>1067</v>
          </cell>
          <cell r="I1069">
            <v>4273900.7712335987</v>
          </cell>
        </row>
        <row r="1070">
          <cell r="A1070">
            <v>45981</v>
          </cell>
          <cell r="B1070">
            <v>1.0549999475479126</v>
          </cell>
          <cell r="C1070">
            <v>1.0559999942779541</v>
          </cell>
          <cell r="D1070">
            <v>1.0369999408721924</v>
          </cell>
          <cell r="E1070">
            <v>1.0390000343322754</v>
          </cell>
          <cell r="F1070">
            <v>777900</v>
          </cell>
          <cell r="G1070">
            <v>7779</v>
          </cell>
          <cell r="H1070">
            <v>1068</v>
          </cell>
          <cell r="I1070">
            <v>4270627.3622717699</v>
          </cell>
        </row>
        <row r="1071">
          <cell r="A1071">
            <v>45982</v>
          </cell>
          <cell r="B1071">
            <v>1.0240000486373901</v>
          </cell>
          <cell r="C1071">
            <v>1.0390000343322754</v>
          </cell>
          <cell r="D1071">
            <v>1.0089999437332153</v>
          </cell>
          <cell r="E1071">
            <v>1.0089999437332153</v>
          </cell>
          <cell r="F1071">
            <v>1789801</v>
          </cell>
          <cell r="G1071">
            <v>17898.009765625</v>
          </cell>
          <cell r="H1071">
            <v>1069</v>
          </cell>
          <cell r="I1071">
            <v>4268306.6640844243</v>
          </cell>
        </row>
        <row r="1072">
          <cell r="A1072">
            <v>45985</v>
          </cell>
          <cell r="B1072">
            <v>1.0130000114440918</v>
          </cell>
          <cell r="C1072">
            <v>1.0140000581741333</v>
          </cell>
          <cell r="D1072">
            <v>1</v>
          </cell>
          <cell r="E1072">
            <v>1.0080000162124634</v>
          </cell>
          <cell r="F1072">
            <v>1834901</v>
          </cell>
          <cell r="G1072">
            <v>18349.009765625</v>
          </cell>
          <cell r="H1072">
            <v>1070</v>
          </cell>
          <cell r="I1072">
            <v>4266032.4531834116</v>
          </cell>
        </row>
        <row r="1073">
          <cell r="A1073">
            <v>45986</v>
          </cell>
          <cell r="B1073">
            <v>1.0169999599456787</v>
          </cell>
          <cell r="C1073">
            <v>1.034000039100647</v>
          </cell>
          <cell r="D1073">
            <v>1.0169999599456787</v>
          </cell>
          <cell r="E1073">
            <v>1.0240000486373901</v>
          </cell>
          <cell r="F1073">
            <v>2167300</v>
          </cell>
          <cell r="G1073">
            <v>21673</v>
          </cell>
          <cell r="H1073">
            <v>1071</v>
          </cell>
          <cell r="I1073">
            <v>4264072.8523867885</v>
          </cell>
        </row>
        <row r="1074">
          <cell r="A1074">
            <v>45987</v>
          </cell>
          <cell r="B1074">
            <v>1.0279999971389771</v>
          </cell>
          <cell r="C1074">
            <v>1.0460000038146973</v>
          </cell>
          <cell r="D1074">
            <v>1.0279999971389771</v>
          </cell>
          <cell r="E1074">
            <v>1.0390000343322754</v>
          </cell>
          <cell r="F1074">
            <v>2477900</v>
          </cell>
          <cell r="G1074">
            <v>24779</v>
          </cell>
          <cell r="H1074">
            <v>1072</v>
          </cell>
          <cell r="I1074">
            <v>4262406.6463677706</v>
          </cell>
        </row>
        <row r="1075">
          <cell r="A1075">
            <v>45988</v>
          </cell>
          <cell r="B1075">
            <v>1.0360000133514404</v>
          </cell>
          <cell r="C1075">
            <v>1.0520000457763672</v>
          </cell>
          <cell r="D1075">
            <v>1.0260000228881836</v>
          </cell>
          <cell r="E1075">
            <v>1.0379999876022339</v>
          </cell>
          <cell r="F1075">
            <v>919400</v>
          </cell>
          <cell r="G1075">
            <v>9194</v>
          </cell>
          <cell r="H1075">
            <v>1073</v>
          </cell>
          <cell r="I1075">
            <v>4259291.0763338767</v>
          </cell>
        </row>
        <row r="1076">
          <cell r="A1076">
            <v>45989</v>
          </cell>
          <cell r="B1076">
            <v>1.0360000133514404</v>
          </cell>
          <cell r="C1076">
            <v>1.0429999828338623</v>
          </cell>
          <cell r="D1076">
            <v>1.0329999923706055</v>
          </cell>
          <cell r="E1076">
            <v>1.0399999618530273</v>
          </cell>
          <cell r="F1076">
            <v>1227301</v>
          </cell>
          <cell r="G1076">
            <v>12273.009765625</v>
          </cell>
          <cell r="H1076">
            <v>1074</v>
          </cell>
          <cell r="I1076">
            <v>4256467.9943261174</v>
          </cell>
        </row>
        <row r="1077">
          <cell r="A1077">
            <v>45992</v>
          </cell>
          <cell r="B1077">
            <v>1.0570000410079956</v>
          </cell>
          <cell r="C1077">
            <v>1.0570000410079956</v>
          </cell>
          <cell r="D1077">
            <v>1.0429999828338623</v>
          </cell>
          <cell r="E1077">
            <v>1.0529999732971191</v>
          </cell>
          <cell r="F1077">
            <v>1096200</v>
          </cell>
          <cell r="G1077">
            <v>10962</v>
          </cell>
          <cell r="H1077">
            <v>1075</v>
          </cell>
          <cell r="I1077">
            <v>4253528.2101453487</v>
          </cell>
        </row>
        <row r="1078">
          <cell r="A1078">
            <v>45993</v>
          </cell>
          <cell r="B1078">
            <v>1.0700000524520874</v>
          </cell>
          <cell r="C1078">
            <v>1.0700000524520874</v>
          </cell>
          <cell r="D1078">
            <v>1.0379999876022339</v>
          </cell>
          <cell r="E1078">
            <v>1.0490000247955322</v>
          </cell>
          <cell r="F1078">
            <v>747200</v>
          </cell>
          <cell r="G1078">
            <v>7472</v>
          </cell>
          <cell r="H1078">
            <v>1076</v>
          </cell>
          <cell r="I1078">
            <v>4250269.5408050651</v>
          </cell>
        </row>
        <row r="1079">
          <cell r="A1079">
            <v>45994</v>
          </cell>
          <cell r="B1079">
            <v>1.0540000200271606</v>
          </cell>
          <cell r="C1079">
            <v>1.0559999942779541</v>
          </cell>
          <cell r="D1079">
            <v>1.0399999618530273</v>
          </cell>
          <cell r="E1079">
            <v>1.0420000553131104</v>
          </cell>
          <cell r="F1079">
            <v>1325100</v>
          </cell>
          <cell r="G1079">
            <v>13251</v>
          </cell>
          <cell r="H1079">
            <v>1077</v>
          </cell>
          <cell r="I1079">
            <v>4247553.5059482362</v>
          </cell>
        </row>
        <row r="1080">
          <cell r="A1080">
            <v>45995</v>
          </cell>
          <cell r="B1080">
            <v>1.0460000038146973</v>
          </cell>
          <cell r="C1080">
            <v>1.0479999780654907</v>
          </cell>
          <cell r="D1080">
            <v>1.0379999876022339</v>
          </cell>
          <cell r="E1080">
            <v>1.0479999780654907</v>
          </cell>
          <cell r="F1080">
            <v>1912358</v>
          </cell>
          <cell r="G1080">
            <v>19123.580078125</v>
          </cell>
          <cell r="H1080">
            <v>1078</v>
          </cell>
          <cell r="I1080">
            <v>4245387.276350881</v>
          </cell>
        </row>
        <row r="1081">
          <cell r="A1081">
            <v>45996</v>
          </cell>
          <cell r="B1081">
            <v>1.0479999780654907</v>
          </cell>
          <cell r="C1081">
            <v>1.059999942779541</v>
          </cell>
          <cell r="D1081">
            <v>1.0470000505447388</v>
          </cell>
          <cell r="E1081">
            <v>1.0590000152587891</v>
          </cell>
          <cell r="F1081">
            <v>1862806</v>
          </cell>
          <cell r="G1081">
            <v>18628.060546875</v>
          </cell>
          <cell r="H1081">
            <v>1079</v>
          </cell>
          <cell r="I1081">
            <v>4243179.1380039388</v>
          </cell>
        </row>
        <row r="1082">
          <cell r="A1082">
            <v>45999</v>
          </cell>
          <cell r="B1082">
            <v>1.0609999895095825</v>
          </cell>
          <cell r="C1082">
            <v>1.0770000219345093</v>
          </cell>
          <cell r="D1082">
            <v>1.059999942779541</v>
          </cell>
          <cell r="E1082">
            <v>1.0720000267028809</v>
          </cell>
          <cell r="F1082">
            <v>1864519</v>
          </cell>
          <cell r="G1082">
            <v>18645.189453125</v>
          </cell>
          <cell r="H1082">
            <v>1080</v>
          </cell>
          <cell r="I1082">
            <v>4240976.674913194</v>
          </cell>
        </row>
        <row r="1083">
          <cell r="A1083">
            <v>46000</v>
          </cell>
          <cell r="B1083">
            <v>1.0690000057220459</v>
          </cell>
          <cell r="C1083">
            <v>1.0779999494552612</v>
          </cell>
          <cell r="D1083">
            <v>1.0659999847412109</v>
          </cell>
          <cell r="E1083">
            <v>1.0670000314712524</v>
          </cell>
          <cell r="F1083">
            <v>1846402.875</v>
          </cell>
          <cell r="G1083">
            <v>18464.029296875</v>
          </cell>
          <cell r="H1083">
            <v>1081</v>
          </cell>
          <cell r="I1083">
            <v>4238761.5280122571</v>
          </cell>
        </row>
        <row r="1084">
          <cell r="A1084">
            <v>46001</v>
          </cell>
          <cell r="B1084">
            <v>1.0570000410079956</v>
          </cell>
          <cell r="C1084">
            <v>1.0720000267028809</v>
          </cell>
          <cell r="D1084">
            <v>1.0559999942779541</v>
          </cell>
          <cell r="E1084">
            <v>1.0709999799728394</v>
          </cell>
          <cell r="F1084">
            <v>1522800</v>
          </cell>
          <cell r="G1084">
            <v>15228</v>
          </cell>
          <cell r="H1084">
            <v>1082</v>
          </cell>
          <cell r="I1084">
            <v>4236251.397210028</v>
          </cell>
        </row>
        <row r="1085">
          <cell r="A1085">
            <v>46002</v>
          </cell>
          <cell r="B1085">
            <v>1.0690000057220459</v>
          </cell>
          <cell r="C1085">
            <v>1.0770000219345093</v>
          </cell>
          <cell r="D1085">
            <v>1.0579999685287476</v>
          </cell>
          <cell r="E1085">
            <v>1.0579999685287476</v>
          </cell>
          <cell r="F1085">
            <v>1757808</v>
          </cell>
          <cell r="G1085">
            <v>17578.080078125</v>
          </cell>
          <cell r="H1085">
            <v>1083</v>
          </cell>
          <cell r="I1085">
            <v>4233962.8991516624</v>
          </cell>
        </row>
        <row r="1086">
          <cell r="A1086">
            <v>46003</v>
          </cell>
          <cell r="B1086">
            <v>1.059999942779541</v>
          </cell>
          <cell r="C1086">
            <v>1.065000057220459</v>
          </cell>
          <cell r="D1086">
            <v>1.0540000200271606</v>
          </cell>
          <cell r="E1086">
            <v>1.062000036239624</v>
          </cell>
          <cell r="F1086">
            <v>1038000</v>
          </cell>
          <cell r="G1086">
            <v>10380</v>
          </cell>
          <cell r="H1086">
            <v>1084</v>
          </cell>
          <cell r="I1086">
            <v>4231014.5938941417</v>
          </cell>
        </row>
        <row r="1087">
          <cell r="A1087">
            <v>46006</v>
          </cell>
          <cell r="B1087">
            <v>1.0579999685287476</v>
          </cell>
          <cell r="C1087">
            <v>1.062000036239624</v>
          </cell>
          <cell r="D1087">
            <v>1.0509999990463257</v>
          </cell>
          <cell r="E1087">
            <v>1.0509999990463257</v>
          </cell>
          <cell r="F1087">
            <v>1338600</v>
          </cell>
          <cell r="G1087">
            <v>13386</v>
          </cell>
          <cell r="H1087">
            <v>1085</v>
          </cell>
          <cell r="I1087">
            <v>4228348.7739919359</v>
          </cell>
        </row>
        <row r="1088">
          <cell r="A1088">
            <v>46007</v>
          </cell>
          <cell r="B1088">
            <v>1.0529999732971191</v>
          </cell>
          <cell r="C1088">
            <v>1.0529999732971191</v>
          </cell>
          <cell r="D1088">
            <v>1.0360000133514404</v>
          </cell>
          <cell r="E1088">
            <v>1.0390000343322754</v>
          </cell>
          <cell r="F1088">
            <v>2887800</v>
          </cell>
          <cell r="G1088">
            <v>28878</v>
          </cell>
          <cell r="H1088">
            <v>1086</v>
          </cell>
          <cell r="I1088">
            <v>4227114.3828556631</v>
          </cell>
        </row>
        <row r="1089">
          <cell r="A1089">
            <v>46008</v>
          </cell>
          <cell r="B1089">
            <v>1.0379999876022339</v>
          </cell>
          <cell r="C1089">
            <v>1.0659999847412109</v>
          </cell>
          <cell r="D1089">
            <v>1.0379999876022339</v>
          </cell>
          <cell r="E1089">
            <v>1.0640000104904175</v>
          </cell>
          <cell r="F1089">
            <v>1674402.875</v>
          </cell>
          <cell r="G1089">
            <v>16744.029296875</v>
          </cell>
          <cell r="H1089">
            <v>1087</v>
          </cell>
          <cell r="I1089">
            <v>4224765.9822044615</v>
          </cell>
        </row>
        <row r="1090">
          <cell r="A1090">
            <v>46009</v>
          </cell>
          <cell r="B1090">
            <v>1.0509999990463257</v>
          </cell>
          <cell r="C1090">
            <v>1.0559999942779541</v>
          </cell>
          <cell r="D1090">
            <v>1.0470000505447388</v>
          </cell>
          <cell r="E1090">
            <v>1.0479999780654907</v>
          </cell>
          <cell r="F1090">
            <v>926600</v>
          </cell>
          <cell r="G1090">
            <v>9266</v>
          </cell>
          <cell r="H1090">
            <v>1088</v>
          </cell>
          <cell r="I1090">
            <v>4221734.5796472887</v>
          </cell>
        </row>
        <row r="1091">
          <cell r="A1091">
            <v>46010</v>
          </cell>
          <cell r="B1091">
            <v>1.0460000038146973</v>
          </cell>
          <cell r="C1091">
            <v>1.059999942779541</v>
          </cell>
          <cell r="D1091">
            <v>1.0460000038146973</v>
          </cell>
          <cell r="E1091">
            <v>1.0509999990463257</v>
          </cell>
          <cell r="F1091">
            <v>1772503.875</v>
          </cell>
          <cell r="G1091">
            <v>17725.0390625</v>
          </cell>
          <cell r="H1091">
            <v>1089</v>
          </cell>
          <cell r="I1091">
            <v>4219485.515639348</v>
          </cell>
        </row>
        <row r="1092">
          <cell r="A1092">
            <v>46013</v>
          </cell>
          <cell r="B1092">
            <v>1.062000036239624</v>
          </cell>
          <cell r="C1092">
            <v>1.0670000314712524</v>
          </cell>
          <cell r="D1092">
            <v>1.062000036239624</v>
          </cell>
          <cell r="E1092">
            <v>1.0659999847412109</v>
          </cell>
          <cell r="F1092">
            <v>1282720</v>
          </cell>
          <cell r="G1092">
            <v>12827.2001953125</v>
          </cell>
          <cell r="H1092">
            <v>1090</v>
          </cell>
          <cell r="I1092">
            <v>4216791.2353497706</v>
          </cell>
        </row>
        <row r="1093">
          <cell r="A1093">
            <v>46014</v>
          </cell>
          <cell r="B1093">
            <v>1.0659999847412109</v>
          </cell>
          <cell r="C1093">
            <v>1.0720000267028809</v>
          </cell>
          <cell r="D1093">
            <v>1.0659999847412109</v>
          </cell>
          <cell r="E1093">
            <v>1.0679999589920044</v>
          </cell>
          <cell r="F1093">
            <v>2292607</v>
          </cell>
          <cell r="G1093">
            <v>22926.0703125</v>
          </cell>
          <cell r="H1093">
            <v>1091</v>
          </cell>
          <cell r="I1093">
            <v>4215027.5467747478</v>
          </cell>
        </row>
        <row r="1094">
          <cell r="A1094">
            <v>46015</v>
          </cell>
          <cell r="B1094">
            <v>1.0679999589920044</v>
          </cell>
          <cell r="C1094">
            <v>1.0729999542236328</v>
          </cell>
          <cell r="D1094">
            <v>1.0640000104904175</v>
          </cell>
          <cell r="E1094">
            <v>1.0729999542236328</v>
          </cell>
          <cell r="F1094">
            <v>2006502.875</v>
          </cell>
          <cell r="G1094">
            <v>20065.029296875</v>
          </cell>
          <cell r="H1094">
            <v>1092</v>
          </cell>
          <cell r="I1094">
            <v>4213005.0882841116</v>
          </cell>
        </row>
        <row r="1095">
          <cell r="A1095">
            <v>46016</v>
          </cell>
          <cell r="B1095">
            <v>1.0679999589920044</v>
          </cell>
          <cell r="C1095">
            <v>1.1139999628067017</v>
          </cell>
          <cell r="D1095">
            <v>1.065000057220459</v>
          </cell>
          <cell r="E1095">
            <v>1.0720000267028809</v>
          </cell>
          <cell r="F1095">
            <v>927512</v>
          </cell>
          <cell r="G1095">
            <v>9275.1201171875</v>
          </cell>
          <cell r="H1095">
            <v>1093</v>
          </cell>
          <cell r="I1095">
            <v>4209999.1476726895</v>
          </cell>
        </row>
        <row r="1096">
          <cell r="A1096">
            <v>46017</v>
          </cell>
          <cell r="B1096">
            <v>1.0690000057220459</v>
          </cell>
          <cell r="C1096">
            <v>1.0809999704360962</v>
          </cell>
          <cell r="D1096">
            <v>1.0690000057220459</v>
          </cell>
          <cell r="E1096">
            <v>1.0750000476837158</v>
          </cell>
          <cell r="F1096">
            <v>2230830</v>
          </cell>
          <cell r="G1096">
            <v>22308.30078125</v>
          </cell>
          <cell r="H1096">
            <v>1094</v>
          </cell>
          <cell r="I1096">
            <v>4208190.0351062613</v>
          </cell>
        </row>
        <row r="1097">
          <cell r="A1097">
            <v>46020</v>
          </cell>
          <cell r="B1097">
            <v>1.0700000524520874</v>
          </cell>
          <cell r="C1097">
            <v>1.0789999961853027</v>
          </cell>
          <cell r="D1097">
            <v>1.0690000057220459</v>
          </cell>
          <cell r="E1097">
            <v>1.0690000057220459</v>
          </cell>
          <cell r="F1097">
            <v>1370500</v>
          </cell>
          <cell r="G1097">
            <v>13705</v>
          </cell>
          <cell r="H1097">
            <v>1095</v>
          </cell>
          <cell r="I1097">
            <v>4205598.5373573061</v>
          </cell>
        </row>
        <row r="1098">
          <cell r="A1098">
            <v>46021</v>
          </cell>
          <cell r="B1098">
            <v>1.0690000057220459</v>
          </cell>
          <cell r="C1098">
            <v>1.0770000219345093</v>
          </cell>
          <cell r="D1098">
            <v>1.0690000057220459</v>
          </cell>
          <cell r="E1098">
            <v>1.0759999752044678</v>
          </cell>
          <cell r="F1098">
            <v>1035201</v>
          </cell>
          <cell r="G1098">
            <v>10352.009765625</v>
          </cell>
          <cell r="H1098">
            <v>1096</v>
          </cell>
          <cell r="I1098">
            <v>4202705.8388743158</v>
          </cell>
        </row>
        <row r="1099">
          <cell r="A1099">
            <v>46022</v>
          </cell>
          <cell r="B1099">
            <v>1.0729999542236328</v>
          </cell>
          <cell r="C1099">
            <v>1.0800000429153442</v>
          </cell>
          <cell r="D1099">
            <v>1.0640000104904175</v>
          </cell>
          <cell r="E1099">
            <v>1.0640000104904175</v>
          </cell>
          <cell r="F1099">
            <v>1780809</v>
          </cell>
          <cell r="G1099">
            <v>17808.08984375</v>
          </cell>
          <cell r="H1099">
            <v>1097</v>
          </cell>
          <cell r="I1099">
            <v>4200498.0933511853</v>
          </cell>
        </row>
        <row r="1100">
          <cell r="A1100">
            <v>46027</v>
          </cell>
          <cell r="B1100">
            <v>1.0750000476837158</v>
          </cell>
          <cell r="C1100">
            <v>1.0850000381469727</v>
          </cell>
          <cell r="D1100">
            <v>1.0740000009536743</v>
          </cell>
          <cell r="E1100">
            <v>1.0829999446868896</v>
          </cell>
          <cell r="F1100">
            <v>2676530</v>
          </cell>
          <cell r="G1100">
            <v>26765.30078125</v>
          </cell>
          <cell r="H1100">
            <v>1098</v>
          </cell>
          <cell r="I1100">
            <v>4199110.1442679875</v>
          </cell>
        </row>
        <row r="1101">
          <cell r="A1101">
            <v>46028</v>
          </cell>
          <cell r="B1101">
            <v>1.0820000171661377</v>
          </cell>
          <cell r="C1101">
            <v>1.0950000286102295</v>
          </cell>
          <cell r="D1101">
            <v>1.0809999704360962</v>
          </cell>
          <cell r="E1101">
            <v>1.093999981880188</v>
          </cell>
          <cell r="F1101">
            <v>3956634</v>
          </cell>
          <cell r="G1101">
            <v>39566.33984375</v>
          </cell>
          <cell r="H1101">
            <v>1099</v>
          </cell>
          <cell r="I1101">
            <v>4198889.5108337123</v>
          </cell>
        </row>
        <row r="1102">
          <cell r="A1102">
            <v>46029</v>
          </cell>
          <cell r="B1102">
            <v>1.090999960899353</v>
          </cell>
          <cell r="C1102">
            <v>1.0959999561309814</v>
          </cell>
          <cell r="D1102">
            <v>1.0829999446868896</v>
          </cell>
          <cell r="E1102">
            <v>1.0900000333786011</v>
          </cell>
          <cell r="F1102">
            <v>4585126</v>
          </cell>
          <cell r="G1102">
            <v>45851.26171875</v>
          </cell>
          <cell r="H1102">
            <v>1100</v>
          </cell>
          <cell r="I1102">
            <v>4199240.6349147726</v>
          </cell>
        </row>
        <row r="1103">
          <cell r="A1103">
            <v>46030</v>
          </cell>
          <cell r="B1103">
            <v>1.0809999704360962</v>
          </cell>
          <cell r="C1103">
            <v>1.0870000123977661</v>
          </cell>
          <cell r="D1103">
            <v>1.0759999752044678</v>
          </cell>
          <cell r="E1103">
            <v>1.0779999494552612</v>
          </cell>
          <cell r="F1103">
            <v>2499423</v>
          </cell>
          <cell r="G1103">
            <v>24994.23046875</v>
          </cell>
          <cell r="H1103">
            <v>1101</v>
          </cell>
          <cell r="I1103">
            <v>4197696.7496877834</v>
          </cell>
        </row>
        <row r="1104">
          <cell r="A1104">
            <v>46031</v>
          </cell>
          <cell r="B1104">
            <v>1.0779999494552612</v>
          </cell>
          <cell r="C1104">
            <v>1.0880000591278076</v>
          </cell>
          <cell r="D1104">
            <v>1.0740000009536743</v>
          </cell>
          <cell r="E1104">
            <v>1.0859999656677246</v>
          </cell>
          <cell r="F1104">
            <v>3370827</v>
          </cell>
          <cell r="G1104">
            <v>33708.26953125</v>
          </cell>
          <cell r="H1104">
            <v>1102</v>
          </cell>
          <cell r="I1104">
            <v>4196946.414161751</v>
          </cell>
        </row>
        <row r="1105">
          <cell r="A1105">
            <v>46034</v>
          </cell>
          <cell r="B1105">
            <v>1.0839999914169312</v>
          </cell>
          <cell r="C1105">
            <v>1.0970000028610229</v>
          </cell>
          <cell r="D1105">
            <v>1.0770000219345093</v>
          </cell>
          <cell r="E1105">
            <v>1.093999981880188</v>
          </cell>
          <cell r="F1105">
            <v>3083408</v>
          </cell>
          <cell r="G1105">
            <v>30834.080078125</v>
          </cell>
          <cell r="H1105">
            <v>1103</v>
          </cell>
          <cell r="I1105">
            <v>4195936.8598424755</v>
          </cell>
        </row>
        <row r="1106">
          <cell r="A1106">
            <v>46035</v>
          </cell>
          <cell r="B1106">
            <v>1.0989999771118164</v>
          </cell>
          <cell r="C1106">
            <v>1.1050000190734863</v>
          </cell>
          <cell r="D1106">
            <v>1.0779999494552612</v>
          </cell>
          <cell r="E1106">
            <v>1.0820000171661377</v>
          </cell>
          <cell r="F1106">
            <v>3338104</v>
          </cell>
          <cell r="G1106">
            <v>33381.0390625</v>
          </cell>
          <cell r="H1106">
            <v>1104</v>
          </cell>
          <cell r="I1106">
            <v>4195159.8373245019</v>
          </cell>
        </row>
        <row r="1107">
          <cell r="A1107">
            <v>46036</v>
          </cell>
          <cell r="B1107">
            <v>1.093999981880188</v>
          </cell>
          <cell r="C1107">
            <v>1.0980000495910645</v>
          </cell>
          <cell r="D1107">
            <v>1.0759999752044678</v>
          </cell>
          <cell r="E1107">
            <v>1.0820000171661377</v>
          </cell>
          <cell r="F1107">
            <v>2456403</v>
          </cell>
          <cell r="G1107">
            <v>24564.029296875</v>
          </cell>
          <cell r="H1107">
            <v>1105</v>
          </cell>
          <cell r="I1107">
            <v>4193586.3017251133</v>
          </cell>
        </row>
        <row r="1108">
          <cell r="A1108">
            <v>46037</v>
          </cell>
          <cell r="B1108">
            <v>1.090999960899353</v>
          </cell>
          <cell r="C1108">
            <v>1.090999960899353</v>
          </cell>
          <cell r="D1108">
            <v>1.0740000009536743</v>
          </cell>
          <cell r="E1108">
            <v>1.0900000333786011</v>
          </cell>
          <cell r="F1108">
            <v>3495507</v>
          </cell>
          <cell r="G1108">
            <v>34955.0703125</v>
          </cell>
          <cell r="H1108">
            <v>1106</v>
          </cell>
          <cell r="I1108">
            <v>4192955.126949593</v>
          </cell>
        </row>
        <row r="1109">
          <cell r="A1109">
            <v>46038</v>
          </cell>
          <cell r="B1109">
            <v>1.090999960899353</v>
          </cell>
          <cell r="C1109">
            <v>1.1019999980926514</v>
          </cell>
          <cell r="D1109">
            <v>1.0859999656677246</v>
          </cell>
          <cell r="E1109">
            <v>1.0900000333786011</v>
          </cell>
          <cell r="F1109">
            <v>5616817</v>
          </cell>
          <cell r="G1109">
            <v>56168.171875</v>
          </cell>
          <cell r="H1109">
            <v>1107</v>
          </cell>
          <cell r="I1109">
            <v>4194241.3617039295</v>
          </cell>
        </row>
        <row r="1110">
          <cell r="A1110">
            <v>46041</v>
          </cell>
          <cell r="B1110">
            <v>1.0850000381469727</v>
          </cell>
          <cell r="C1110">
            <v>1.0970000028610229</v>
          </cell>
          <cell r="D1110">
            <v>1.0850000381469727</v>
          </cell>
          <cell r="E1110">
            <v>1.0870000123977661</v>
          </cell>
          <cell r="F1110">
            <v>2259601</v>
          </cell>
          <cell r="G1110">
            <v>22596.009765625</v>
          </cell>
          <cell r="H1110">
            <v>1108</v>
          </cell>
          <cell r="I1110">
            <v>4192495.2963955323</v>
          </cell>
        </row>
        <row r="1111">
          <cell r="A1111">
            <v>46042</v>
          </cell>
          <cell r="B1111">
            <v>1.0870000123977661</v>
          </cell>
          <cell r="C1111">
            <v>1.0870000123977661</v>
          </cell>
          <cell r="D1111">
            <v>1.0709999799728394</v>
          </cell>
          <cell r="E1111">
            <v>1.0779999494552612</v>
          </cell>
          <cell r="F1111">
            <v>876701</v>
          </cell>
          <cell r="G1111">
            <v>8767.009765625</v>
          </cell>
          <cell r="H1111">
            <v>1109</v>
          </cell>
          <cell r="I1111">
            <v>4189505.4007270061</v>
          </cell>
        </row>
        <row r="1112">
          <cell r="A1112">
            <v>46043</v>
          </cell>
          <cell r="B1112">
            <v>1.0829999446868896</v>
          </cell>
          <cell r="C1112">
            <v>1.0900000333786011</v>
          </cell>
          <cell r="D1112">
            <v>1.0779999494552612</v>
          </cell>
          <cell r="E1112">
            <v>1.0789999961853027</v>
          </cell>
          <cell r="F1112">
            <v>1945701</v>
          </cell>
          <cell r="G1112">
            <v>19457.009765625</v>
          </cell>
          <cell r="H1112">
            <v>1110</v>
          </cell>
          <cell r="I1112">
            <v>4187483.9553209459</v>
          </cell>
        </row>
        <row r="1113">
          <cell r="A1113">
            <v>46044</v>
          </cell>
          <cell r="B1113">
            <v>1.0829999446868896</v>
          </cell>
          <cell r="C1113">
            <v>1.0889999866485596</v>
          </cell>
          <cell r="D1113">
            <v>1.0690000057220459</v>
          </cell>
          <cell r="E1113">
            <v>1.0839999914169312</v>
          </cell>
          <cell r="F1113">
            <v>3030802</v>
          </cell>
          <cell r="G1113">
            <v>30308.01953125</v>
          </cell>
          <cell r="H1113">
            <v>1111</v>
          </cell>
          <cell r="I1113">
            <v>4186442.83744937</v>
          </cell>
        </row>
        <row r="1114">
          <cell r="A1114">
            <v>46045</v>
          </cell>
          <cell r="B1114">
            <v>1.0839999914169312</v>
          </cell>
          <cell r="C1114">
            <v>1.0850000381469727</v>
          </cell>
          <cell r="D1114">
            <v>1.0759999752044678</v>
          </cell>
          <cell r="E1114">
            <v>1.0770000219345093</v>
          </cell>
          <cell r="F1114">
            <v>3432404</v>
          </cell>
          <cell r="G1114">
            <v>34324.0390625</v>
          </cell>
          <cell r="H1114">
            <v>1112</v>
          </cell>
          <cell r="I1114">
            <v>4185764.7449696492</v>
          </cell>
        </row>
        <row r="1115">
          <cell r="A1115">
            <v>46048</v>
          </cell>
          <cell r="B1115">
            <v>1.0800000429153442</v>
          </cell>
          <cell r="C1115">
            <v>1.0820000171661377</v>
          </cell>
          <cell r="D1115">
            <v>1.0709999799728394</v>
          </cell>
          <cell r="E1115">
            <v>1.0740000009536743</v>
          </cell>
          <cell r="F1115">
            <v>1126201</v>
          </cell>
          <cell r="G1115">
            <v>11262.009765625</v>
          </cell>
          <cell r="H1115">
            <v>1113</v>
          </cell>
          <cell r="I1115">
            <v>4183015.8107872866</v>
          </cell>
        </row>
        <row r="1116">
          <cell r="A1116">
            <v>46049</v>
          </cell>
          <cell r="B1116">
            <v>1.0690000057220459</v>
          </cell>
          <cell r="C1116">
            <v>1.0789999961853027</v>
          </cell>
          <cell r="D1116">
            <v>1.062999963760376</v>
          </cell>
          <cell r="E1116">
            <v>1.0709999799728394</v>
          </cell>
          <cell r="F1116">
            <v>1934201</v>
          </cell>
          <cell r="G1116">
            <v>19342.009765625</v>
          </cell>
          <cell r="H1116">
            <v>1114</v>
          </cell>
          <cell r="I1116">
            <v>4180997.1260379264</v>
          </cell>
        </row>
        <row r="1117">
          <cell r="A1117">
            <v>46050</v>
          </cell>
          <cell r="B1117">
            <v>1.0759999752044678</v>
          </cell>
          <cell r="C1117">
            <v>1.0759999752044678</v>
          </cell>
          <cell r="D1117">
            <v>1.065000057220459</v>
          </cell>
          <cell r="E1117">
            <v>1.0670000314712524</v>
          </cell>
          <cell r="F1117">
            <v>2403309</v>
          </cell>
          <cell r="G1117">
            <v>24033.08984375</v>
          </cell>
          <cell r="H1117">
            <v>1115</v>
          </cell>
          <cell r="I1117">
            <v>4179402.786911435</v>
          </cell>
        </row>
        <row r="1118">
          <cell r="A1118">
            <v>46051</v>
          </cell>
          <cell r="B1118">
            <v>1.0640000104904175</v>
          </cell>
          <cell r="C1118">
            <v>1.0750000476837158</v>
          </cell>
          <cell r="D1118">
            <v>1.062999963760376</v>
          </cell>
          <cell r="E1118">
            <v>1.0690000057220459</v>
          </cell>
          <cell r="F1118">
            <v>2159414</v>
          </cell>
          <cell r="G1118">
            <v>21594.140625</v>
          </cell>
          <cell r="H1118">
            <v>1116</v>
          </cell>
          <cell r="I1118">
            <v>4177592.7611167114</v>
          </cell>
        </row>
        <row r="1119">
          <cell r="A1119">
            <v>46052</v>
          </cell>
          <cell r="B1119">
            <v>1.0670000314712524</v>
          </cell>
          <cell r="C1119">
            <v>1.0770000219345093</v>
          </cell>
          <cell r="D1119">
            <v>1.0499999523162842</v>
          </cell>
          <cell r="E1119">
            <v>1.0720000267028809</v>
          </cell>
          <cell r="F1119">
            <v>3570901.25</v>
          </cell>
          <cell r="G1119">
            <v>35709.01171875</v>
          </cell>
          <cell r="H1119">
            <v>1117</v>
          </cell>
          <cell r="I1119">
            <v>4177049.6174183078</v>
          </cell>
        </row>
        <row r="1120">
          <cell r="A1120">
            <v>46055</v>
          </cell>
          <cell r="B1120">
            <v>1.0609999895095825</v>
          </cell>
          <cell r="C1120">
            <v>1.0800000429153442</v>
          </cell>
          <cell r="D1120">
            <v>1.0529999732971191</v>
          </cell>
          <cell r="E1120">
            <v>1.0549999475479126</v>
          </cell>
          <cell r="F1120">
            <v>5174600</v>
          </cell>
          <cell r="G1120">
            <v>51746</v>
          </cell>
          <cell r="H1120">
            <v>1118</v>
          </cell>
          <cell r="I1120">
            <v>4177941.8807300986</v>
          </cell>
        </row>
        <row r="1121">
          <cell r="A1121">
            <v>46056</v>
          </cell>
          <cell r="B1121">
            <v>1.0659999847412109</v>
          </cell>
          <cell r="C1121">
            <v>1.0679999589920044</v>
          </cell>
          <cell r="D1121">
            <v>1.0479999780654907</v>
          </cell>
          <cell r="E1121">
            <v>1.0670000314712524</v>
          </cell>
          <cell r="F1121">
            <v>2039405.125</v>
          </cell>
          <cell r="G1121">
            <v>20394.05078125</v>
          </cell>
          <cell r="H1121">
            <v>1119</v>
          </cell>
          <cell r="I1121">
            <v>4176030.7665605452</v>
          </cell>
        </row>
        <row r="1122">
          <cell r="A1122">
            <v>46057</v>
          </cell>
          <cell r="B1122">
            <v>1.0709999799728394</v>
          </cell>
          <cell r="C1122">
            <v>1.0720000267028809</v>
          </cell>
          <cell r="D1122">
            <v>1.0549999475479126</v>
          </cell>
          <cell r="E1122">
            <v>1.0700000524520874</v>
          </cell>
          <cell r="F1122">
            <v>722400</v>
          </cell>
          <cell r="G1122">
            <v>7224</v>
          </cell>
          <cell r="H1122">
            <v>1120</v>
          </cell>
          <cell r="I1122">
            <v>4172947.1676618303</v>
          </cell>
        </row>
        <row r="1123">
          <cell r="A1123">
            <v>46058</v>
          </cell>
          <cell r="B1123">
            <v>1.0670000314712524</v>
          </cell>
          <cell r="C1123">
            <v>1.0670000314712524</v>
          </cell>
          <cell r="D1123">
            <v>1.0570000410079956</v>
          </cell>
          <cell r="E1123">
            <v>1.062999963760376</v>
          </cell>
          <cell r="F1123">
            <v>2331400</v>
          </cell>
          <cell r="G1123">
            <v>23314</v>
          </cell>
          <cell r="H1123">
            <v>1121</v>
          </cell>
          <cell r="I1123">
            <v>4171304.3958797948</v>
          </cell>
        </row>
        <row r="1124">
          <cell r="A1124">
            <v>46059</v>
          </cell>
          <cell r="B1124">
            <v>1.0679999589920044</v>
          </cell>
          <cell r="C1124">
            <v>1.0679999589920044</v>
          </cell>
          <cell r="D1124">
            <v>1.0470000505447388</v>
          </cell>
          <cell r="E1124">
            <v>1.0570000410079956</v>
          </cell>
          <cell r="F1124">
            <v>1194705</v>
          </cell>
          <cell r="G1124">
            <v>11947.0498046875</v>
          </cell>
          <cell r="H1124">
            <v>1122</v>
          </cell>
          <cell r="I1124">
            <v>4168651.4552417556</v>
          </cell>
        </row>
        <row r="1125">
          <cell r="A1125">
            <v>46062</v>
          </cell>
          <cell r="B1125">
            <v>1.0700000524520874</v>
          </cell>
          <cell r="C1125">
            <v>1.0770000219345093</v>
          </cell>
          <cell r="D1125">
            <v>1.0590000152587891</v>
          </cell>
          <cell r="E1125">
            <v>1.0759999752044678</v>
          </cell>
          <cell r="F1125">
            <v>1489601</v>
          </cell>
          <cell r="G1125">
            <v>14896.009765625</v>
          </cell>
          <cell r="H1125">
            <v>1123</v>
          </cell>
          <cell r="I1125">
            <v>4166265.8359583705</v>
          </cell>
        </row>
        <row r="1126">
          <cell r="A1126">
            <v>46063</v>
          </cell>
          <cell r="B1126">
            <v>1.0750000476837158</v>
          </cell>
          <cell r="C1126">
            <v>1.0789999961853027</v>
          </cell>
          <cell r="D1126">
            <v>1.0740000009536743</v>
          </cell>
          <cell r="E1126">
            <v>1.0759999752044678</v>
          </cell>
          <cell r="F1126">
            <v>630800</v>
          </cell>
          <cell r="G1126">
            <v>6308</v>
          </cell>
          <cell r="H1126">
            <v>1124</v>
          </cell>
          <cell r="I1126">
            <v>4163120.4037199733</v>
          </cell>
        </row>
        <row r="1127">
          <cell r="A1127">
            <v>46064</v>
          </cell>
          <cell r="B1127">
            <v>1.0759999752044678</v>
          </cell>
          <cell r="C1127">
            <v>1.0759999752044678</v>
          </cell>
          <cell r="D1127">
            <v>1.0679999589920044</v>
          </cell>
          <cell r="E1127">
            <v>1.0679999589920044</v>
          </cell>
          <cell r="F1127">
            <v>340200</v>
          </cell>
          <cell r="G1127">
            <v>3402</v>
          </cell>
          <cell r="H1127">
            <v>1125</v>
          </cell>
          <cell r="I1127">
            <v>4159722.2522499999</v>
          </cell>
        </row>
        <row r="1128">
          <cell r="A1128">
            <v>46065</v>
          </cell>
          <cell r="B1128">
            <v>1.0679999589920044</v>
          </cell>
          <cell r="C1128">
            <v>1.0800000429153442</v>
          </cell>
          <cell r="D1128">
            <v>1.0670000314712524</v>
          </cell>
          <cell r="E1128">
            <v>1.0720000267028809</v>
          </cell>
          <cell r="F1128">
            <v>1218201</v>
          </cell>
          <cell r="G1128">
            <v>12182.009765625</v>
          </cell>
          <cell r="H1128">
            <v>1126</v>
          </cell>
          <cell r="I1128">
            <v>4157109.8887932948</v>
          </cell>
        </row>
        <row r="1129">
          <cell r="A1129">
            <v>46066</v>
          </cell>
          <cell r="B1129">
            <v>1.065000057220459</v>
          </cell>
          <cell r="C1129">
            <v>1.0709999799728394</v>
          </cell>
          <cell r="D1129">
            <v>1.0609999895095825</v>
          </cell>
          <cell r="E1129">
            <v>1.062000036239624</v>
          </cell>
          <cell r="F1129">
            <v>1467404</v>
          </cell>
          <cell r="G1129">
            <v>14674.0400390625</v>
          </cell>
          <cell r="H1129">
            <v>1127</v>
          </cell>
          <cell r="I1129">
            <v>4154723.2819709405</v>
          </cell>
        </row>
        <row r="1130">
          <cell r="A1130">
            <v>46077</v>
          </cell>
          <cell r="B1130">
            <v>1.0679999589920044</v>
          </cell>
          <cell r="C1130">
            <v>1.0820000171661377</v>
          </cell>
          <cell r="D1130">
            <v>1.0679999589920044</v>
          </cell>
          <cell r="E1130">
            <v>1.0770000219345093</v>
          </cell>
          <cell r="F1130">
            <v>1768400</v>
          </cell>
          <cell r="G1130">
            <v>17684</v>
          </cell>
          <cell r="H1130">
            <v>1128</v>
          </cell>
          <cell r="I1130">
            <v>4152607.7471464984</v>
          </cell>
        </row>
        <row r="1131">
          <cell r="A1131">
            <v>46078</v>
          </cell>
          <cell r="B1131">
            <v>1.0789999961853027</v>
          </cell>
          <cell r="C1131">
            <v>1.0920000076293945</v>
          </cell>
          <cell r="D1131">
            <v>1.0789999961853027</v>
          </cell>
          <cell r="E1131">
            <v>1.0859999656677246</v>
          </cell>
          <cell r="F1131">
            <v>1020800</v>
          </cell>
          <cell r="G1131">
            <v>10208</v>
          </cell>
          <cell r="H1131">
            <v>1129</v>
          </cell>
          <cell r="I1131">
            <v>4149833.781028565</v>
          </cell>
        </row>
        <row r="1132">
          <cell r="A1132">
            <v>46079</v>
          </cell>
          <cell r="B1132">
            <v>1.0859999656677246</v>
          </cell>
          <cell r="C1132">
            <v>1.0889999866485596</v>
          </cell>
          <cell r="D1132">
            <v>1.0779999494552612</v>
          </cell>
          <cell r="E1132">
            <v>1.0859999656677246</v>
          </cell>
          <cell r="F1132">
            <v>1815410</v>
          </cell>
          <cell r="G1132">
            <v>18154.099609375</v>
          </cell>
          <cell r="H1132">
            <v>1130</v>
          </cell>
          <cell r="I1132">
            <v>4147767.9192754426</v>
          </cell>
        </row>
        <row r="1133">
          <cell r="A1133">
            <v>46080</v>
          </cell>
          <cell r="B1133">
            <v>1.0770000219345093</v>
          </cell>
          <cell r="C1133">
            <v>1.0779999494552612</v>
          </cell>
          <cell r="D1133">
            <v>1.0700000524520874</v>
          </cell>
          <cell r="E1133">
            <v>1.0750000476837158</v>
          </cell>
          <cell r="F1133">
            <v>1968100</v>
          </cell>
          <cell r="G1133">
            <v>19681</v>
          </cell>
          <cell r="H1133">
            <v>1131</v>
          </cell>
          <cell r="I1133">
            <v>4145840.7151027853</v>
          </cell>
        </row>
        <row r="1134">
          <cell r="A1134">
            <v>46083</v>
          </cell>
          <cell r="B1134">
            <v>1.0570000410079956</v>
          </cell>
          <cell r="C1134">
            <v>1.0789999961853027</v>
          </cell>
          <cell r="D1134">
            <v>1.0570000410079956</v>
          </cell>
          <cell r="E1134">
            <v>1.0759999752044678</v>
          </cell>
          <cell r="F1134">
            <v>6311015</v>
          </cell>
          <cell r="G1134">
            <v>63110.1484375</v>
          </cell>
          <cell r="H1134">
            <v>1132</v>
          </cell>
          <cell r="I1134">
            <v>4147753.41323432</v>
          </cell>
        </row>
        <row r="1135">
          <cell r="A1135">
            <v>46084</v>
          </cell>
          <cell r="B1135">
            <v>1.0779999494552612</v>
          </cell>
          <cell r="C1135">
            <v>1.0820000171661377</v>
          </cell>
          <cell r="D1135">
            <v>1.0540000200271606</v>
          </cell>
          <cell r="E1135">
            <v>1.0540000200271606</v>
          </cell>
          <cell r="F1135">
            <v>2741414</v>
          </cell>
          <cell r="G1135">
            <v>27414.140625</v>
          </cell>
          <cell r="H1135">
            <v>1133</v>
          </cell>
          <cell r="I1135">
            <v>4146512.1604424096</v>
          </cell>
        </row>
        <row r="1136">
          <cell r="A1136">
            <v>46085</v>
          </cell>
          <cell r="B1136">
            <v>1.0540000200271606</v>
          </cell>
          <cell r="C1136">
            <v>1.0980000495910645</v>
          </cell>
          <cell r="D1136">
            <v>1.0360000133514404</v>
          </cell>
          <cell r="E1136">
            <v>1.0429999828338623</v>
          </cell>
          <cell r="F1136">
            <v>4072510.25</v>
          </cell>
          <cell r="G1136">
            <v>40725.1015625</v>
          </cell>
          <cell r="H1136">
            <v>1134</v>
          </cell>
          <cell r="I1136">
            <v>4146446.9030257938</v>
          </cell>
        </row>
        <row r="1137">
          <cell r="A1137">
            <v>46086</v>
          </cell>
          <cell r="B1137">
            <v>1.0570000410079956</v>
          </cell>
          <cell r="C1137">
            <v>1.0679999589920044</v>
          </cell>
          <cell r="D1137">
            <v>1.0529999732971191</v>
          </cell>
          <cell r="E1137">
            <v>1.0559999942779541</v>
          </cell>
          <cell r="F1137">
            <v>2136511</v>
          </cell>
          <cell r="G1137">
            <v>21365.109375</v>
          </cell>
          <cell r="H1137">
            <v>1135</v>
          </cell>
          <cell r="I1137">
            <v>4144676.0343887666</v>
          </cell>
        </row>
        <row r="1138">
          <cell r="A1138">
            <v>46087</v>
          </cell>
          <cell r="B1138">
            <v>1.0509999990463257</v>
          </cell>
          <cell r="C1138">
            <v>1.0670000314712524</v>
          </cell>
          <cell r="D1138">
            <v>1.0499999523162842</v>
          </cell>
          <cell r="E1138">
            <v>1.0640000104904175</v>
          </cell>
          <cell r="F1138">
            <v>2197001</v>
          </cell>
          <cell r="G1138">
            <v>21970.009765625</v>
          </cell>
          <cell r="H1138">
            <v>1136</v>
          </cell>
          <cell r="I1138">
            <v>4142961.5317176497</v>
          </cell>
        </row>
        <row r="1139">
          <cell r="A1139">
            <v>46090</v>
          </cell>
          <cell r="B1139">
            <v>1.0549999475479126</v>
          </cell>
          <cell r="C1139">
            <v>1.0559999942779541</v>
          </cell>
          <cell r="D1139">
            <v>1.031000018119812</v>
          </cell>
          <cell r="E1139">
            <v>1.0509999990463257</v>
          </cell>
          <cell r="F1139">
            <v>1665600</v>
          </cell>
          <cell r="G1139">
            <v>16656</v>
          </cell>
          <cell r="H1139">
            <v>1137</v>
          </cell>
          <cell r="I1139">
            <v>4140782.6737302109</v>
          </cell>
        </row>
        <row r="1140">
          <cell r="A1140">
            <v>46091</v>
          </cell>
          <cell r="B1140">
            <v>1.0590000152587891</v>
          </cell>
          <cell r="C1140">
            <v>1.0779999494552612</v>
          </cell>
          <cell r="D1140">
            <v>1.0559999942779541</v>
          </cell>
          <cell r="E1140">
            <v>1.0759999752044678</v>
          </cell>
          <cell r="F1140">
            <v>2434414</v>
          </cell>
          <cell r="G1140">
            <v>24344.140625</v>
          </cell>
          <cell r="H1140">
            <v>1138</v>
          </cell>
          <cell r="I1140">
            <v>4139283.2284984621</v>
          </cell>
        </row>
        <row r="1141">
          <cell r="A1141">
            <v>46092</v>
          </cell>
          <cell r="B1141">
            <v>1.0789999961853027</v>
          </cell>
          <cell r="C1141">
            <v>1.093000054359436</v>
          </cell>
          <cell r="D1141">
            <v>1.0789999961853027</v>
          </cell>
          <cell r="E1141">
            <v>1.0880000591278076</v>
          </cell>
          <cell r="F1141">
            <v>1632302</v>
          </cell>
          <cell r="G1141">
            <v>16323.01953125</v>
          </cell>
          <cell r="H1141">
            <v>1139</v>
          </cell>
          <cell r="I1141">
            <v>4137082.1914233975</v>
          </cell>
        </row>
        <row r="1142">
          <cell r="A1142">
            <v>46093</v>
          </cell>
          <cell r="B1142">
            <v>1.0920000076293945</v>
          </cell>
          <cell r="C1142">
            <v>1.0920000076293945</v>
          </cell>
          <cell r="D1142">
            <v>1.0740000009536743</v>
          </cell>
          <cell r="E1142">
            <v>1.0820000171661377</v>
          </cell>
          <cell r="F1142">
            <v>1582402</v>
          </cell>
          <cell r="G1142">
            <v>15824.01953125</v>
          </cell>
          <cell r="H1142">
            <v>1140</v>
          </cell>
          <cell r="I1142">
            <v>4134841.2438870613</v>
          </cell>
        </row>
        <row r="1143">
          <cell r="A1143">
            <v>46094</v>
          </cell>
          <cell r="B1143">
            <v>1.0779999494552612</v>
          </cell>
          <cell r="C1143">
            <v>1.0900000333786011</v>
          </cell>
          <cell r="D1143">
            <v>1.0779999494552612</v>
          </cell>
          <cell r="E1143">
            <v>1.0820000171661377</v>
          </cell>
          <cell r="F1143">
            <v>785000</v>
          </cell>
          <cell r="G1143">
            <v>7850</v>
          </cell>
          <cell r="H1143">
            <v>1141</v>
          </cell>
          <cell r="I1143">
            <v>4131905.3619905785</v>
          </cell>
        </row>
        <row r="1144">
          <cell r="A1144">
            <v>46097</v>
          </cell>
          <cell r="B1144">
            <v>1.0770000219345093</v>
          </cell>
          <cell r="C1144">
            <v>1.090999960899353</v>
          </cell>
          <cell r="D1144">
            <v>1.0750000476837158</v>
          </cell>
          <cell r="E1144">
            <v>1.0900000333786011</v>
          </cell>
          <cell r="F1144">
            <v>1282200</v>
          </cell>
          <cell r="G1144">
            <v>12822</v>
          </cell>
          <cell r="H1144">
            <v>1142</v>
          </cell>
          <cell r="I1144">
            <v>4129409.9982760507</v>
          </cell>
        </row>
        <row r="1145">
          <cell r="A1145">
            <v>46098</v>
          </cell>
          <cell r="B1145">
            <v>1.0920000076293945</v>
          </cell>
          <cell r="C1145">
            <v>1.1019999980926514</v>
          </cell>
          <cell r="D1145">
            <v>1.0759999752044678</v>
          </cell>
          <cell r="E1145">
            <v>1.0770000219345093</v>
          </cell>
          <cell r="F1145">
            <v>2947526</v>
          </cell>
          <cell r="G1145">
            <v>29475.259765625</v>
          </cell>
          <cell r="H1145">
            <v>1143</v>
          </cell>
          <cell r="I1145">
            <v>4128375.9790299651</v>
          </cell>
        </row>
        <row r="1146">
          <cell r="A1146">
            <v>46099</v>
          </cell>
          <cell r="B1146">
            <v>1.0729999542236328</v>
          </cell>
          <cell r="C1146">
            <v>1.0880000591278076</v>
          </cell>
          <cell r="D1146">
            <v>1.0700000524520874</v>
          </cell>
          <cell r="E1146">
            <v>1.0870000123977661</v>
          </cell>
          <cell r="F1146">
            <v>2248502</v>
          </cell>
          <cell r="G1146">
            <v>22485.01953125</v>
          </cell>
          <cell r="H1146">
            <v>1144</v>
          </cell>
          <cell r="I1146">
            <v>4126732.7325447989</v>
          </cell>
        </row>
        <row r="1147">
          <cell r="A1147">
            <v>46100</v>
          </cell>
          <cell r="B1147">
            <v>1.0750000476837158</v>
          </cell>
          <cell r="C1147">
            <v>1.0920000076293945</v>
          </cell>
          <cell r="D1147">
            <v>1.0670000314712524</v>
          </cell>
          <cell r="E1147">
            <v>1.0720000267028809</v>
          </cell>
          <cell r="F1147">
            <v>2220003</v>
          </cell>
          <cell r="G1147">
            <v>22200.029296875</v>
          </cell>
          <cell r="H1147">
            <v>1145</v>
          </cell>
          <cell r="I1147">
            <v>4125067.4664028385</v>
          </cell>
        </row>
        <row r="1148">
          <cell r="A1148">
            <v>46101</v>
          </cell>
          <cell r="B1148">
            <v>1.0740000009536743</v>
          </cell>
          <cell r="C1148">
            <v>1.093000054359436</v>
          </cell>
          <cell r="D1148">
            <v>1.0740000009536743</v>
          </cell>
          <cell r="E1148">
            <v>1.0779999494552612</v>
          </cell>
          <cell r="F1148">
            <v>2063001</v>
          </cell>
          <cell r="G1148">
            <v>20630.009765625</v>
          </cell>
          <cell r="H1148">
            <v>1146</v>
          </cell>
          <cell r="I1148">
            <v>4123268.1064845114</v>
          </cell>
        </row>
        <row r="1149">
          <cell r="A1149">
            <v>46104</v>
          </cell>
          <cell r="B1149">
            <v>1.0779999494552612</v>
          </cell>
          <cell r="C1149">
            <v>1.0779999494552612</v>
          </cell>
          <cell r="D1149">
            <v>1.0410000085830688</v>
          </cell>
          <cell r="E1149">
            <v>1.0410000085830688</v>
          </cell>
          <cell r="F1149">
            <v>5032603</v>
          </cell>
          <cell r="G1149">
            <v>50326.03125</v>
          </cell>
          <cell r="H1149">
            <v>1147</v>
          </cell>
          <cell r="I1149">
            <v>4124060.9006375326</v>
          </cell>
        </row>
        <row r="1150">
          <cell r="A1150">
            <v>46105</v>
          </cell>
          <cell r="B1150">
            <v>1.0499999523162842</v>
          </cell>
          <cell r="C1150">
            <v>1.0549999475479126</v>
          </cell>
          <cell r="D1150">
            <v>1.0329999923706055</v>
          </cell>
          <cell r="E1150">
            <v>1.0549999475479126</v>
          </cell>
          <cell r="F1150">
            <v>2242601</v>
          </cell>
          <cell r="G1150">
            <v>22426.009765625</v>
          </cell>
          <cell r="H1150">
            <v>1148</v>
          </cell>
          <cell r="I1150">
            <v>4122421.9982850607</v>
          </cell>
        </row>
        <row r="1151">
          <cell r="A1151">
            <v>46106</v>
          </cell>
          <cell r="B1151">
            <v>1.0579999685287476</v>
          </cell>
          <cell r="C1151">
            <v>1.0740000009536743</v>
          </cell>
          <cell r="D1151">
            <v>1.0579999685287476</v>
          </cell>
          <cell r="E1151">
            <v>1.0740000009536743</v>
          </cell>
          <cell r="F1151">
            <v>1546200</v>
          </cell>
          <cell r="G1151">
            <v>15462</v>
          </cell>
          <cell r="H1151">
            <v>1149</v>
          </cell>
          <cell r="I1151">
            <v>4120179.8555537425</v>
          </cell>
        </row>
        <row r="1152">
          <cell r="A1152">
            <v>46107</v>
          </cell>
          <cell r="B1152">
            <v>1.0720000267028809</v>
          </cell>
          <cell r="C1152">
            <v>1.0750000476837158</v>
          </cell>
          <cell r="D1152">
            <v>1.0570000410079956</v>
          </cell>
          <cell r="E1152">
            <v>1.0590000152587891</v>
          </cell>
          <cell r="F1152">
            <v>1461400</v>
          </cell>
          <cell r="G1152">
            <v>14614</v>
          </cell>
          <cell r="H1152">
            <v>1150</v>
          </cell>
          <cell r="I1152">
            <v>4117867.8730706521</v>
          </cell>
        </row>
        <row r="1153">
          <cell r="A1153">
            <v>46108</v>
          </cell>
          <cell r="B1153">
            <v>1.0470000505447388</v>
          </cell>
          <cell r="C1153">
            <v>1.0720000267028809</v>
          </cell>
          <cell r="D1153">
            <v>1.0470000505447388</v>
          </cell>
          <cell r="E1153">
            <v>1.0679999589920044</v>
          </cell>
          <cell r="F1153">
            <v>1443500</v>
          </cell>
          <cell r="G1153">
            <v>14435</v>
          </cell>
          <cell r="H1153">
            <v>1151</v>
          </cell>
          <cell r="I1153">
            <v>4115544.35623914</v>
          </cell>
        </row>
        <row r="1154">
          <cell r="A1154">
            <v>46111</v>
          </cell>
          <cell r="B1154">
            <v>1.0590000152587891</v>
          </cell>
          <cell r="C1154">
            <v>1.0690000057220459</v>
          </cell>
          <cell r="D1154">
            <v>1.0520000457763672</v>
          </cell>
          <cell r="E1154">
            <v>1.062000036239624</v>
          </cell>
          <cell r="F1154">
            <v>2004800</v>
          </cell>
          <cell r="G1154">
            <v>20048</v>
          </cell>
          <cell r="H1154">
            <v>1152</v>
          </cell>
          <cell r="I1154">
            <v>4113712.1128743491</v>
          </cell>
        </row>
        <row r="1155">
          <cell r="A1155">
            <v>46112</v>
          </cell>
          <cell r="B1155">
            <v>1.0690000057220459</v>
          </cell>
          <cell r="C1155">
            <v>1.0690000057220459</v>
          </cell>
          <cell r="D1155">
            <v>1.0470000505447388</v>
          </cell>
          <cell r="E1155">
            <v>1.0479999780654907</v>
          </cell>
          <cell r="F1155">
            <v>2017527</v>
          </cell>
          <cell r="G1155">
            <v>20175.26953125</v>
          </cell>
          <cell r="H1155">
            <v>1153</v>
          </cell>
          <cell r="I1155">
            <v>4111894.0858900696</v>
          </cell>
        </row>
        <row r="1156">
          <cell r="A1156">
            <v>46113</v>
          </cell>
          <cell r="B1156">
            <v>1.0570000410079956</v>
          </cell>
          <cell r="C1156">
            <v>1.0640000104904175</v>
          </cell>
          <cell r="D1156">
            <v>1.0460000038146973</v>
          </cell>
          <cell r="E1156">
            <v>1.062000036239624</v>
          </cell>
          <cell r="F1156">
            <v>1203514</v>
          </cell>
          <cell r="G1156">
            <v>12035.1396484375</v>
          </cell>
          <cell r="H1156">
            <v>1154</v>
          </cell>
          <cell r="I1156">
            <v>4109373.8258503033</v>
          </cell>
        </row>
        <row r="1157">
          <cell r="A1157">
            <v>46114</v>
          </cell>
          <cell r="B1157">
            <v>1.0559999942779541</v>
          </cell>
          <cell r="C1157">
            <v>1.0579999685287476</v>
          </cell>
          <cell r="D1157">
            <v>1.0440000295639038</v>
          </cell>
          <cell r="E1157">
            <v>1.0470000505447388</v>
          </cell>
          <cell r="F1157">
            <v>1625206</v>
          </cell>
          <cell r="G1157">
            <v>16252.0595703125</v>
          </cell>
          <cell r="H1157">
            <v>1155</v>
          </cell>
          <cell r="I1157">
            <v>4107223.0311958874</v>
          </cell>
        </row>
        <row r="1158">
          <cell r="A1158">
            <v>46115</v>
          </cell>
          <cell r="B1158">
            <v>1.0540000200271606</v>
          </cell>
          <cell r="C1158">
            <v>1.0540000200271606</v>
          </cell>
          <cell r="D1158">
            <v>1.0349999666213989</v>
          </cell>
          <cell r="E1158">
            <v>1.0390000343322754</v>
          </cell>
          <cell r="F1158">
            <v>1729633</v>
          </cell>
          <cell r="G1158">
            <v>17296.330078125</v>
          </cell>
          <cell r="H1158">
            <v>1156</v>
          </cell>
          <cell r="I1158">
            <v>4105166.2924145763</v>
          </cell>
        </row>
        <row r="1159">
          <cell r="A1159">
            <v>46119</v>
          </cell>
          <cell r="B1159">
            <v>1.0379999876022339</v>
          </cell>
          <cell r="C1159">
            <v>1.0429999828338623</v>
          </cell>
          <cell r="D1159">
            <v>1.031000018119812</v>
          </cell>
          <cell r="E1159">
            <v>1.0379999876022339</v>
          </cell>
          <cell r="F1159">
            <v>1343500</v>
          </cell>
          <cell r="G1159">
            <v>13435</v>
          </cell>
          <cell r="H1159">
            <v>1157</v>
          </cell>
          <cell r="I1159">
            <v>4102779.372542135</v>
          </cell>
        </row>
        <row r="1160">
          <cell r="A1160">
            <v>46120</v>
          </cell>
          <cell r="B1160">
            <v>1.0449999570846558</v>
          </cell>
          <cell r="C1160">
            <v>1.0829999446868896</v>
          </cell>
          <cell r="D1160">
            <v>1.0449999570846558</v>
          </cell>
          <cell r="E1160">
            <v>1.0829999446868896</v>
          </cell>
          <cell r="F1160">
            <v>1582716</v>
          </cell>
          <cell r="G1160">
            <v>15827.16015625</v>
          </cell>
          <cell r="H1160">
            <v>1158</v>
          </cell>
          <cell r="I1160">
            <v>4100603.1520131691</v>
          </cell>
        </row>
        <row r="1161">
          <cell r="A1161">
            <v>46121</v>
          </cell>
          <cell r="B1161">
            <v>1.0729999542236328</v>
          </cell>
          <cell r="C1161">
            <v>1.0820000171661377</v>
          </cell>
          <cell r="D1161">
            <v>1.0729999542236328</v>
          </cell>
          <cell r="E1161">
            <v>1.0779999494552612</v>
          </cell>
          <cell r="F1161">
            <v>1711200</v>
          </cell>
          <cell r="G1161">
            <v>17112</v>
          </cell>
          <cell r="H1161">
            <v>1159</v>
          </cell>
          <cell r="I1161">
            <v>4098541.5444618207</v>
          </cell>
        </row>
        <row r="1162">
          <cell r="A1162">
            <v>46122</v>
          </cell>
          <cell r="B1162">
            <v>1.0880000591278076</v>
          </cell>
          <cell r="C1162">
            <v>1.1150000095367432</v>
          </cell>
          <cell r="D1162">
            <v>1.0859999656677246</v>
          </cell>
          <cell r="E1162">
            <v>1.1080000400543213</v>
          </cell>
          <cell r="F1162">
            <v>3152132</v>
          </cell>
          <cell r="G1162">
            <v>31521.3203125</v>
          </cell>
          <cell r="H1162">
            <v>1160</v>
          </cell>
          <cell r="I1162">
            <v>4097725.6741648708</v>
          </cell>
        </row>
        <row r="1163">
          <cell r="A1163">
            <v>46125</v>
          </cell>
          <cell r="B1163">
            <v>1.1000000238418579</v>
          </cell>
          <cell r="C1163">
            <v>1.1200000047683716</v>
          </cell>
          <cell r="D1163">
            <v>1.1000000238418579</v>
          </cell>
          <cell r="E1163">
            <v>1.1180000305175781</v>
          </cell>
          <cell r="F1163">
            <v>2531061</v>
          </cell>
          <cell r="G1163">
            <v>25310.609375</v>
          </cell>
          <cell r="H1163">
            <v>1161</v>
          </cell>
          <cell r="I1163">
            <v>4096376.2644541343</v>
          </cell>
        </row>
        <row r="1164">
          <cell r="A1164">
            <v>46126</v>
          </cell>
          <cell r="B1164">
            <v>1.1210000514984131</v>
          </cell>
          <cell r="C1164">
            <v>1.1349999904632568</v>
          </cell>
          <cell r="D1164">
            <v>1.1200000047683716</v>
          </cell>
          <cell r="E1164">
            <v>1.1349999904632568</v>
          </cell>
          <cell r="F1164">
            <v>4068838</v>
          </cell>
          <cell r="G1164">
            <v>40688.37890625</v>
          </cell>
          <cell r="H1164">
            <v>1162</v>
          </cell>
          <cell r="I1164">
            <v>4096352.5654313685</v>
          </cell>
        </row>
        <row r="1165">
          <cell r="A1165">
            <v>46127</v>
          </cell>
          <cell r="B1165">
            <v>1.1399999856948853</v>
          </cell>
          <cell r="C1165">
            <v>1.1399999856948853</v>
          </cell>
          <cell r="D1165">
            <v>1.1189999580383301</v>
          </cell>
          <cell r="E1165">
            <v>1.1230000257492065</v>
          </cell>
          <cell r="F1165">
            <v>1070707</v>
          </cell>
          <cell r="G1165">
            <v>10707.0703125</v>
          </cell>
          <cell r="H1165">
            <v>1163</v>
          </cell>
          <cell r="I1165">
            <v>4093750.9785307394</v>
          </cell>
        </row>
        <row r="1166">
          <cell r="A1166">
            <v>46128</v>
          </cell>
          <cell r="B1166">
            <v>1.1289999485015869</v>
          </cell>
          <cell r="C1166">
            <v>1.1499999761581421</v>
          </cell>
          <cell r="D1166">
            <v>1.1289999485015869</v>
          </cell>
          <cell r="E1166">
            <v>1.1499999761581421</v>
          </cell>
          <cell r="F1166">
            <v>7802622</v>
          </cell>
          <cell r="G1166">
            <v>78026.21875</v>
          </cell>
          <cell r="H1166">
            <v>1164</v>
          </cell>
          <cell r="I1166">
            <v>4096937.29384128</v>
          </cell>
        </row>
        <row r="1167">
          <cell r="A1167">
            <v>46129</v>
          </cell>
          <cell r="B1167">
            <v>1.1519999504089355</v>
          </cell>
          <cell r="C1167">
            <v>1.159000039100647</v>
          </cell>
          <cell r="D1167">
            <v>1.1449999809265137</v>
          </cell>
          <cell r="E1167">
            <v>1.156000018119812</v>
          </cell>
          <cell r="F1167">
            <v>2073127</v>
          </cell>
          <cell r="G1167">
            <v>20731.26953125</v>
          </cell>
          <cell r="H1167">
            <v>1165</v>
          </cell>
          <cell r="I1167">
            <v>4095200.1176233906</v>
          </cell>
        </row>
        <row r="1168">
          <cell r="A1168">
            <v>46132</v>
          </cell>
          <cell r="B1168">
            <v>1.156999945640564</v>
          </cell>
          <cell r="C1168">
            <v>1.1649999618530273</v>
          </cell>
          <cell r="D1168">
            <v>1.1529999971389771</v>
          </cell>
          <cell r="E1168">
            <v>1.1610000133514404</v>
          </cell>
          <cell r="F1168">
            <v>1331406</v>
          </cell>
          <cell r="G1168">
            <v>13314.0595703125</v>
          </cell>
          <cell r="H1168">
            <v>1166</v>
          </cell>
          <cell r="I1168">
            <v>4092829.7967677959</v>
          </cell>
        </row>
        <row r="1169">
          <cell r="A1169">
            <v>46133</v>
          </cell>
          <cell r="B1169">
            <v>1.156000018119812</v>
          </cell>
          <cell r="C1169">
            <v>1.1660000085830688</v>
          </cell>
          <cell r="D1169">
            <v>1.1480000019073486</v>
          </cell>
          <cell r="E1169">
            <v>1.1640000343322754</v>
          </cell>
          <cell r="F1169">
            <v>787504</v>
          </cell>
          <cell r="G1169">
            <v>7875.0400390625</v>
          </cell>
          <cell r="H1169">
            <v>1167</v>
          </cell>
          <cell r="I1169">
            <v>4089997.4696068983</v>
          </cell>
        </row>
        <row r="1170">
          <cell r="A1170">
            <v>46134</v>
          </cell>
          <cell r="B1170">
            <v>1.1629999876022339</v>
          </cell>
          <cell r="C1170">
            <v>1.1829999685287476</v>
          </cell>
          <cell r="D1170">
            <v>1.1599999666213989</v>
          </cell>
          <cell r="E1170">
            <v>1.1829999685287476</v>
          </cell>
          <cell r="F1170">
            <v>1108120</v>
          </cell>
          <cell r="G1170">
            <v>11081.2001953125</v>
          </cell>
          <cell r="H1170">
            <v>1168</v>
          </cell>
          <cell r="I1170">
            <v>4087444.4923212756</v>
          </cell>
        </row>
        <row r="1171">
          <cell r="A1171">
            <v>46135</v>
          </cell>
          <cell r="B1171">
            <v>1.187999963760376</v>
          </cell>
          <cell r="C1171">
            <v>1.1909999847412109</v>
          </cell>
          <cell r="D1171">
            <v>1.1649999618530273</v>
          </cell>
          <cell r="E1171">
            <v>1.1770000457763672</v>
          </cell>
          <cell r="F1171">
            <v>2312708</v>
          </cell>
          <cell r="G1171">
            <v>23127.080078125</v>
          </cell>
          <cell r="H1171">
            <v>1169</v>
          </cell>
          <cell r="I1171">
            <v>4085926.3259463217</v>
          </cell>
        </row>
        <row r="1172">
          <cell r="A1172">
            <v>46136</v>
          </cell>
          <cell r="B1172">
            <v>1.1720000505447388</v>
          </cell>
          <cell r="C1172">
            <v>1.1729999780654907</v>
          </cell>
          <cell r="D1172">
            <v>1.156999945640564</v>
          </cell>
          <cell r="E1172">
            <v>1.1670000553131104</v>
          </cell>
          <cell r="F1172">
            <v>2117903</v>
          </cell>
          <cell r="G1172">
            <v>21179.029296875</v>
          </cell>
          <cell r="H1172">
            <v>1170</v>
          </cell>
          <cell r="I1172">
            <v>4084244.2547275643</v>
          </cell>
        </row>
        <row r="1173">
          <cell r="A1173">
            <v>46139</v>
          </cell>
          <cell r="B1173">
            <v>1.1670000553131104</v>
          </cell>
          <cell r="C1173">
            <v>1.1770000457763672</v>
          </cell>
          <cell r="D1173">
            <v>1.1670000553131104</v>
          </cell>
          <cell r="E1173">
            <v>1.1690000295639038</v>
          </cell>
          <cell r="F1173">
            <v>1376903</v>
          </cell>
          <cell r="G1173">
            <v>13769.0302734375</v>
          </cell>
          <cell r="H1173">
            <v>1171</v>
          </cell>
          <cell r="I1173">
            <v>4081932.2639037147</v>
          </cell>
        </row>
        <row r="1174">
          <cell r="A1174">
            <v>46140</v>
          </cell>
          <cell r="B1174">
            <v>1.159000039100647</v>
          </cell>
          <cell r="C1174">
            <v>1.1649999618530273</v>
          </cell>
          <cell r="D1174">
            <v>1.1549999713897705</v>
          </cell>
          <cell r="E1174">
            <v>1.156999945640564</v>
          </cell>
          <cell r="F1174">
            <v>1329318</v>
          </cell>
          <cell r="G1174">
            <v>13293.1796875</v>
          </cell>
          <cell r="H1174">
            <v>1172</v>
          </cell>
          <cell r="I1174">
            <v>4079583.6169208619</v>
          </cell>
        </row>
        <row r="1175">
          <cell r="A1175">
            <v>46141</v>
          </cell>
          <cell r="B1175">
            <v>1.1529999971389771</v>
          </cell>
          <cell r="C1175">
            <v>1.1790000200271606</v>
          </cell>
          <cell r="D1175">
            <v>1.1529999971389771</v>
          </cell>
          <cell r="E1175">
            <v>1.1770000457763672</v>
          </cell>
          <cell r="F1175">
            <v>526604</v>
          </cell>
          <cell r="G1175">
            <v>5266.0400390625</v>
          </cell>
          <cell r="H1175">
            <v>1173</v>
          </cell>
          <cell r="I1175">
            <v>4076554.6487904945</v>
          </cell>
        </row>
        <row r="1176">
          <cell r="A1176">
            <v>46142</v>
          </cell>
          <cell r="B1176">
            <v>1.1809999942779541</v>
          </cell>
          <cell r="C1176">
            <v>1.1859999895095825</v>
          </cell>
          <cell r="D1176">
            <v>1.1740000247955322</v>
          </cell>
          <cell r="E1176">
            <v>1.1770000457763672</v>
          </cell>
          <cell r="F1176">
            <v>1531906</v>
          </cell>
          <cell r="G1176">
            <v>15319.0595703125</v>
          </cell>
          <cell r="H1176">
            <v>1174</v>
          </cell>
          <cell r="I1176">
            <v>4074387.1456824956</v>
          </cell>
        </row>
        <row r="1177">
          <cell r="A1177">
            <v>46148</v>
          </cell>
          <cell r="B1177">
            <v>1.1660000085830688</v>
          </cell>
          <cell r="C1177">
            <v>1.2000000476837158</v>
          </cell>
          <cell r="D1177">
            <v>1.1660000085830688</v>
          </cell>
          <cell r="E1177">
            <v>1.1929999589920044</v>
          </cell>
          <cell r="F1177">
            <v>2577800</v>
          </cell>
          <cell r="G1177">
            <v>25778</v>
          </cell>
          <cell r="H1177">
            <v>1175</v>
          </cell>
          <cell r="I1177">
            <v>4073113.4544946807</v>
          </cell>
        </row>
        <row r="1178">
          <cell r="A1178">
            <v>46149</v>
          </cell>
          <cell r="B1178">
            <v>1.1929999589920044</v>
          </cell>
          <cell r="C1178">
            <v>1.2059999704360962</v>
          </cell>
          <cell r="D1178">
            <v>1.1890000104904175</v>
          </cell>
          <cell r="E1178">
            <v>1.2050000429153442</v>
          </cell>
          <cell r="F1178">
            <v>2515003</v>
          </cell>
          <cell r="G1178">
            <v>25150.029296875</v>
          </cell>
          <cell r="H1178">
            <v>1176</v>
          </cell>
          <cell r="I1178">
            <v>4071788.5306388182</v>
          </cell>
        </row>
        <row r="1179">
          <cell r="A1179">
            <v>46150</v>
          </cell>
          <cell r="B1179">
            <v>1.1970000267028809</v>
          </cell>
          <cell r="C1179">
            <v>1.2050000429153442</v>
          </cell>
          <cell r="D1179">
            <v>1.1950000524520874</v>
          </cell>
          <cell r="E1179">
            <v>1.1959999799728394</v>
          </cell>
          <cell r="F1179">
            <v>585700</v>
          </cell>
          <cell r="G1179">
            <v>5857</v>
          </cell>
          <cell r="H1179">
            <v>1177</v>
          </cell>
          <cell r="I1179">
            <v>4068826.6882168651</v>
          </cell>
        </row>
        <row r="1180">
          <cell r="A1180">
            <v>46153</v>
          </cell>
          <cell r="B1180">
            <v>1.2070000171661377</v>
          </cell>
          <cell r="C1180">
            <v>1.2259999513626099</v>
          </cell>
          <cell r="D1180">
            <v>1.2039999961853027</v>
          </cell>
          <cell r="E1180">
            <v>1.2239999771118164</v>
          </cell>
          <cell r="F1180">
            <v>1827702.875</v>
          </cell>
          <cell r="G1180">
            <v>18277.029296875</v>
          </cell>
          <cell r="H1180">
            <v>1178</v>
          </cell>
          <cell r="I1180">
            <v>4066924.2062022495</v>
          </cell>
        </row>
        <row r="1181">
          <cell r="A1181">
            <v>46154</v>
          </cell>
          <cell r="B1181">
            <v>1.2300000190734863</v>
          </cell>
          <cell r="C1181">
            <v>1.2300000190734863</v>
          </cell>
          <cell r="D1181">
            <v>1.2100000381469727</v>
          </cell>
          <cell r="E1181">
            <v>1.2220000028610229</v>
          </cell>
          <cell r="F1181">
            <v>2837503</v>
          </cell>
          <cell r="G1181">
            <v>28375.029296875</v>
          </cell>
          <cell r="H1181">
            <v>1179</v>
          </cell>
          <cell r="I1181">
            <v>4065881.4401240456</v>
          </cell>
        </row>
        <row r="1182">
          <cell r="A1182">
            <v>46155</v>
          </cell>
          <cell r="B1182">
            <v>1.2220000028610229</v>
          </cell>
          <cell r="C1182">
            <v>1.2430000305175781</v>
          </cell>
          <cell r="D1182">
            <v>1.2150000333786011</v>
          </cell>
          <cell r="E1182">
            <v>1.2430000305175781</v>
          </cell>
          <cell r="F1182">
            <v>3813105.75</v>
          </cell>
          <cell r="G1182">
            <v>38131.05859375</v>
          </cell>
          <cell r="H1182">
            <v>1180</v>
          </cell>
          <cell r="I1182">
            <v>4065667.2234375002</v>
          </cell>
        </row>
        <row r="1183">
          <cell r="A1183">
            <v>46156</v>
          </cell>
          <cell r="B1183">
            <v>1.2389999628067017</v>
          </cell>
          <cell r="C1183">
            <v>1.2560000419616699</v>
          </cell>
          <cell r="D1183">
            <v>1.2150000333786011</v>
          </cell>
          <cell r="E1183">
            <v>1.2239999771118164</v>
          </cell>
          <cell r="F1183">
            <v>1523502</v>
          </cell>
          <cell r="G1183">
            <v>15235.01953125</v>
          </cell>
          <cell r="H1183">
            <v>1181</v>
          </cell>
          <cell r="I1183">
            <v>4063514.6703270534</v>
          </cell>
        </row>
        <row r="1184">
          <cell r="A1184">
            <v>46157</v>
          </cell>
          <cell r="B1184">
            <v>1.218999981880188</v>
          </cell>
          <cell r="C1184">
            <v>1.2319999933242798</v>
          </cell>
          <cell r="D1184">
            <v>1.2000000476837158</v>
          </cell>
          <cell r="E1184">
            <v>1.2100000381469727</v>
          </cell>
          <cell r="F1184">
            <v>2310300</v>
          </cell>
          <cell r="G1184">
            <v>23103</v>
          </cell>
          <cell r="H1184">
            <v>1182</v>
          </cell>
          <cell r="I1184">
            <v>4062031.4091846445</v>
          </cell>
        </row>
        <row r="1185">
          <cell r="A1185">
            <v>46160</v>
          </cell>
          <cell r="B1185">
            <v>1.2009999752044678</v>
          </cell>
          <cell r="C1185">
            <v>1.2150000333786011</v>
          </cell>
          <cell r="D1185">
            <v>1.1959999799728394</v>
          </cell>
          <cell r="E1185">
            <v>1.2029999494552612</v>
          </cell>
          <cell r="F1185">
            <v>1285802</v>
          </cell>
          <cell r="G1185">
            <v>12858.01953125</v>
          </cell>
          <cell r="H1185">
            <v>1183</v>
          </cell>
          <cell r="I1185">
            <v>4059684.6387626794</v>
          </cell>
        </row>
        <row r="1186">
          <cell r="A1186">
            <v>46161</v>
          </cell>
          <cell r="B1186">
            <v>1.1929999589920044</v>
          </cell>
          <cell r="C1186">
            <v>1.2029999494552612</v>
          </cell>
          <cell r="D1186">
            <v>1.1779999732971191</v>
          </cell>
          <cell r="E1186">
            <v>1.2029999494552612</v>
          </cell>
          <cell r="F1186">
            <v>1353000</v>
          </cell>
          <cell r="G1186">
            <v>13530</v>
          </cell>
          <cell r="H1186">
            <v>1184</v>
          </cell>
          <cell r="I1186">
            <v>4057398.5875475085</v>
          </cell>
        </row>
        <row r="1187">
          <cell r="A1187">
            <v>46162</v>
          </cell>
          <cell r="B1187">
            <v>1.1940000057220459</v>
          </cell>
          <cell r="C1187">
            <v>1.2050000429153442</v>
          </cell>
          <cell r="D1187">
            <v>1.1909999847412109</v>
          </cell>
          <cell r="E1187">
            <v>1.1990000009536743</v>
          </cell>
          <cell r="F1187">
            <v>1973003.875</v>
          </cell>
          <cell r="G1187">
            <v>19730.0390625</v>
          </cell>
          <cell r="H1187">
            <v>1185</v>
          </cell>
          <cell r="I1187">
            <v>4055639.6046677213</v>
          </cell>
        </row>
        <row r="1188">
          <cell r="A1188">
            <v>46163</v>
          </cell>
          <cell r="B1188">
            <v>1.2109999656677246</v>
          </cell>
          <cell r="C1188">
            <v>1.2319999933242798</v>
          </cell>
          <cell r="D1188">
            <v>1.1859999895095825</v>
          </cell>
          <cell r="E1188">
            <v>1.1859999895095825</v>
          </cell>
          <cell r="F1188">
            <v>4589602</v>
          </cell>
          <cell r="G1188">
            <v>45896.01953125</v>
          </cell>
          <cell r="H1188">
            <v>1186</v>
          </cell>
          <cell r="I1188">
            <v>4056089.8259116779</v>
          </cell>
        </row>
        <row r="1189">
          <cell r="A1189">
            <v>46164</v>
          </cell>
          <cell r="B1189">
            <v>1.190000057220459</v>
          </cell>
          <cell r="C1189">
            <v>1.2150000333786011</v>
          </cell>
          <cell r="D1189">
            <v>1.190000057220459</v>
          </cell>
          <cell r="E1189">
            <v>1.2150000333786011</v>
          </cell>
          <cell r="F1189">
            <v>3018704</v>
          </cell>
          <cell r="G1189">
            <v>30187.0390625</v>
          </cell>
          <cell r="H1189">
            <v>1187</v>
          </cell>
          <cell r="I1189">
            <v>4055215.8698662594</v>
          </cell>
        </row>
        <row r="1190">
          <cell r="A1190">
            <v>46167</v>
          </cell>
          <cell r="B1190">
            <v>1.2239999771118164</v>
          </cell>
          <cell r="C1190">
            <v>1.2380000352859497</v>
          </cell>
          <cell r="D1190">
            <v>1.2109999656677246</v>
          </cell>
          <cell r="E1190">
            <v>1.2359999418258667</v>
          </cell>
          <cell r="F1190">
            <v>1636907</v>
          </cell>
          <cell r="G1190">
            <v>16369.0703125</v>
          </cell>
          <cell r="H1190">
            <v>1188</v>
          </cell>
          <cell r="I1190">
            <v>4053180.2563394359</v>
          </cell>
        </row>
        <row r="1191">
          <cell r="A1191">
            <v>46168</v>
          </cell>
          <cell r="B1191">
            <v>1.2630000114440918</v>
          </cell>
          <cell r="C1191">
            <v>1.2630000114440918</v>
          </cell>
          <cell r="D1191">
            <v>1.2130000591278076</v>
          </cell>
          <cell r="E1191">
            <v>1.2450000047683716</v>
          </cell>
          <cell r="F1191">
            <v>2589104</v>
          </cell>
          <cell r="G1191">
            <v>25891.0390625</v>
          </cell>
          <cell r="H1191">
            <v>1189</v>
          </cell>
          <cell r="I1191">
            <v>4051948.905408957</v>
          </cell>
        </row>
        <row r="1192">
          <cell r="A1192">
            <v>46169</v>
          </cell>
          <cell r="B1192">
            <v>1.2439999580383301</v>
          </cell>
          <cell r="C1192">
            <v>1.2640000581741333</v>
          </cell>
          <cell r="D1192">
            <v>1.2350000143051147</v>
          </cell>
          <cell r="E1192">
            <v>1.2389999628067017</v>
          </cell>
          <cell r="F1192">
            <v>1705300</v>
          </cell>
          <cell r="G1192">
            <v>17053</v>
          </cell>
          <cell r="H1192">
            <v>1190</v>
          </cell>
          <cell r="I1192">
            <v>4049976.9315388654</v>
          </cell>
        </row>
        <row r="1193">
          <cell r="A1193">
            <v>46170</v>
          </cell>
          <cell r="B1193">
            <v>1.25</v>
          </cell>
          <cell r="C1193">
            <v>1.2680000066757202</v>
          </cell>
          <cell r="D1193">
            <v>1.2209999561309814</v>
          </cell>
          <cell r="E1193">
            <v>1.2519999742507935</v>
          </cell>
          <cell r="F1193">
            <v>2592805</v>
          </cell>
          <cell r="G1193">
            <v>25928.05078125</v>
          </cell>
          <cell r="H1193">
            <v>1191</v>
          </cell>
          <cell r="I1193">
            <v>4048753.4454502519</v>
          </cell>
        </row>
        <row r="1194">
          <cell r="A1194">
            <v>46171</v>
          </cell>
          <cell r="B1194">
            <v>1.2519999742507935</v>
          </cell>
          <cell r="C1194">
            <v>1.2680000066757202</v>
          </cell>
          <cell r="D1194">
            <v>1.2369999885559082</v>
          </cell>
          <cell r="E1194">
            <v>1.2450000047683716</v>
          </cell>
          <cell r="F1194">
            <v>2806705</v>
          </cell>
          <cell r="G1194">
            <v>28067.05078125</v>
          </cell>
          <cell r="H1194">
            <v>1192</v>
          </cell>
          <cell r="I1194">
            <v>4047711.4584993706</v>
          </cell>
        </row>
        <row r="1195">
          <cell r="A1195">
            <v>46174</v>
          </cell>
          <cell r="B1195">
            <v>1.2410000562667847</v>
          </cell>
          <cell r="C1195">
            <v>1.2489999532699585</v>
          </cell>
          <cell r="D1195">
            <v>1.218000054359436</v>
          </cell>
          <cell r="E1195">
            <v>1.2209999561309814</v>
          </cell>
          <cell r="F1195">
            <v>2885709</v>
          </cell>
          <cell r="G1195">
            <v>28857.08984375</v>
          </cell>
          <cell r="H1195">
            <v>1193</v>
          </cell>
          <cell r="I1195">
            <v>4046737.4413505867</v>
          </cell>
        </row>
        <row r="1196">
          <cell r="A1196">
            <v>46175</v>
          </cell>
          <cell r="B1196">
            <v>1.2350000143051147</v>
          </cell>
          <cell r="C1196">
            <v>1.2519999742507935</v>
          </cell>
          <cell r="D1196">
            <v>1.2170000076293945</v>
          </cell>
          <cell r="E1196">
            <v>1.2489999532699585</v>
          </cell>
          <cell r="F1196">
            <v>4139100</v>
          </cell>
          <cell r="G1196">
            <v>41391</v>
          </cell>
          <cell r="H1196">
            <v>1194</v>
          </cell>
          <cell r="I1196">
            <v>4046814.796927345</v>
          </cell>
        </row>
        <row r="1197">
          <cell r="A1197">
            <v>46176</v>
          </cell>
          <cell r="B1197">
            <v>1.2539999485015869</v>
          </cell>
          <cell r="C1197">
            <v>1.281000018119812</v>
          </cell>
          <cell r="D1197">
            <v>1.2480000257492065</v>
          </cell>
          <cell r="E1197">
            <v>1.2560000419616699</v>
          </cell>
          <cell r="F1197">
            <v>4913218</v>
          </cell>
          <cell r="G1197">
            <v>49132.1796875</v>
          </cell>
          <cell r="H1197">
            <v>1195</v>
          </cell>
          <cell r="I1197">
            <v>4047539.8205282427</v>
          </cell>
        </row>
        <row r="1198">
          <cell r="A1198">
            <v>46177</v>
          </cell>
          <cell r="B1198">
            <v>1.2699999809265137</v>
          </cell>
          <cell r="C1198">
            <v>1.2699999809265137</v>
          </cell>
          <cell r="D1198">
            <v>1.25</v>
          </cell>
          <cell r="E1198">
            <v>1.2560000419616699</v>
          </cell>
          <cell r="F1198">
            <v>2417115</v>
          </cell>
          <cell r="G1198">
            <v>24171.150390625</v>
          </cell>
          <cell r="H1198">
            <v>1196</v>
          </cell>
          <cell r="I1198">
            <v>4046176.5890729516</v>
          </cell>
        </row>
        <row r="1199">
          <cell r="A1199">
            <v>46178</v>
          </cell>
          <cell r="B1199">
            <v>1.2560000419616699</v>
          </cell>
          <cell r="C1199">
            <v>1.2599999904632568</v>
          </cell>
          <cell r="D1199">
            <v>1.218000054359436</v>
          </cell>
          <cell r="E1199">
            <v>1.2239999771118164</v>
          </cell>
          <cell r="F1199">
            <v>2687302</v>
          </cell>
          <cell r="G1199">
            <v>26873.01953125</v>
          </cell>
          <cell r="H1199">
            <v>1197</v>
          </cell>
          <cell r="I1199">
            <v>4045041.3554981202</v>
          </cell>
        </row>
        <row r="1200">
          <cell r="A1200">
            <v>46181</v>
          </cell>
          <cell r="B1200">
            <v>1.2120000123977661</v>
          </cell>
          <cell r="C1200">
            <v>1.2120000123977661</v>
          </cell>
          <cell r="D1200">
            <v>1.1829999685287476</v>
          </cell>
          <cell r="E1200">
            <v>1.1890000104904175</v>
          </cell>
          <cell r="F1200">
            <v>2282700</v>
          </cell>
          <cell r="G1200">
            <v>22827</v>
          </cell>
          <cell r="H1200">
            <v>1198</v>
          </cell>
          <cell r="I1200">
            <v>4043570.2859192402</v>
          </cell>
        </row>
        <row r="1201">
          <cell r="A1201">
            <v>46182</v>
          </cell>
          <cell r="B1201">
            <v>1.2000000476837158</v>
          </cell>
          <cell r="C1201">
            <v>1.2300000190734863</v>
          </cell>
          <cell r="D1201">
            <v>1.1929999589920044</v>
          </cell>
          <cell r="E1201">
            <v>1.2230000495910645</v>
          </cell>
          <cell r="F1201">
            <v>3061100</v>
          </cell>
          <cell r="G1201">
            <v>30611</v>
          </cell>
          <cell r="H1201">
            <v>1199</v>
          </cell>
          <cell r="I1201">
            <v>4042750.8778409092</v>
          </cell>
        </row>
        <row r="1202">
          <cell r="A1202">
            <v>46183</v>
          </cell>
          <cell r="B1202">
            <v>1.2109999656677246</v>
          </cell>
          <cell r="C1202">
            <v>1.2289999723434448</v>
          </cell>
          <cell r="D1202">
            <v>1.190000057220459</v>
          </cell>
          <cell r="E1202">
            <v>1.1970000267028809</v>
          </cell>
          <cell r="F1202">
            <v>2207300</v>
          </cell>
          <cell r="G1202">
            <v>22073</v>
          </cell>
          <cell r="H1202">
            <v>1200</v>
          </cell>
          <cell r="I1202">
            <v>4041221.3354427083</v>
          </cell>
        </row>
        <row r="1203">
          <cell r="A1203">
            <v>46184</v>
          </cell>
          <cell r="B1203">
            <v>1.1940000057220459</v>
          </cell>
          <cell r="C1203">
            <v>1.2059999704360962</v>
          </cell>
          <cell r="D1203">
            <v>1.1710000038146973</v>
          </cell>
          <cell r="E1203">
            <v>1.1809999942779541</v>
          </cell>
          <cell r="F1203">
            <v>2693002</v>
          </cell>
          <cell r="G1203">
            <v>26930.01953125</v>
          </cell>
          <cell r="H1203">
            <v>1201</v>
          </cell>
          <cell r="I1203">
            <v>4040098.7548136967</v>
          </cell>
        </row>
        <row r="1204">
          <cell r="A1204">
            <v>46185</v>
          </cell>
          <cell r="B1204">
            <v>1.1990000009536743</v>
          </cell>
          <cell r="C1204">
            <v>1.2070000171661377</v>
          </cell>
          <cell r="D1204">
            <v>1.1909999847412109</v>
          </cell>
          <cell r="E1204">
            <v>1.1940000057220459</v>
          </cell>
          <cell r="F1204">
            <v>3299102</v>
          </cell>
          <cell r="G1204">
            <v>32991.01953125</v>
          </cell>
          <cell r="H1204">
            <v>1202</v>
          </cell>
          <cell r="I1204">
            <v>4039482.284967762</v>
          </cell>
        </row>
        <row r="1205">
          <cell r="A1205">
            <v>46188</v>
          </cell>
          <cell r="B1205">
            <v>1.2070000171661377</v>
          </cell>
          <cell r="C1205">
            <v>1.2339999675750732</v>
          </cell>
          <cell r="D1205">
            <v>1.2070000171661377</v>
          </cell>
          <cell r="E1205">
            <v>1.2330000400543213</v>
          </cell>
          <cell r="F1205">
            <v>3050800</v>
          </cell>
          <cell r="G1205">
            <v>30508</v>
          </cell>
          <cell r="H1205">
            <v>1203</v>
          </cell>
          <cell r="I1205">
            <v>4038660.437681837</v>
          </cell>
        </row>
        <row r="1206">
          <cell r="A1206">
            <v>46189</v>
          </cell>
          <cell r="B1206">
            <v>1.2400000095367432</v>
          </cell>
          <cell r="C1206">
            <v>1.2460000514984131</v>
          </cell>
          <cell r="D1206">
            <v>1.2350000143051147</v>
          </cell>
          <cell r="E1206">
            <v>1.2410000562667847</v>
          </cell>
          <cell r="F1206">
            <v>618100</v>
          </cell>
          <cell r="G1206">
            <v>6181</v>
          </cell>
          <cell r="H1206">
            <v>1204</v>
          </cell>
          <cell r="I1206">
            <v>4035819.4406405729</v>
          </cell>
        </row>
        <row r="1207">
          <cell r="A1207">
            <v>46190</v>
          </cell>
          <cell r="B1207">
            <v>1.2339999675750732</v>
          </cell>
          <cell r="C1207">
            <v>1.2569999694824219</v>
          </cell>
          <cell r="D1207">
            <v>1.2330000400543213</v>
          </cell>
          <cell r="E1207">
            <v>1.2560000419616699</v>
          </cell>
          <cell r="F1207">
            <v>1950400</v>
          </cell>
          <cell r="G1207">
            <v>19504</v>
          </cell>
          <cell r="H1207">
            <v>1205</v>
          </cell>
          <cell r="I1207">
            <v>4034088.8021006226</v>
          </cell>
        </row>
        <row r="1208">
          <cell r="A1208">
            <v>46191</v>
          </cell>
          <cell r="B1208">
            <v>1.2649999856948853</v>
          </cell>
          <cell r="C1208">
            <v>1.2760000228881836</v>
          </cell>
          <cell r="D1208">
            <v>1.2619999647140503</v>
          </cell>
          <cell r="E1208">
            <v>1.2719999551773071</v>
          </cell>
          <cell r="F1208">
            <v>1272900</v>
          </cell>
          <cell r="G1208">
            <v>12729</v>
          </cell>
          <cell r="H1208">
            <v>1206</v>
          </cell>
          <cell r="I1208">
            <v>4031799.2591469735</v>
          </cell>
        </row>
        <row r="1209">
          <cell r="A1209">
            <v>46195</v>
          </cell>
          <cell r="B1209">
            <v>1.2669999599456787</v>
          </cell>
          <cell r="C1209">
            <v>1.2970000505447388</v>
          </cell>
          <cell r="D1209">
            <v>1.2619999647140503</v>
          </cell>
          <cell r="E1209">
            <v>1.2960000038146973</v>
          </cell>
          <cell r="F1209">
            <v>3210112</v>
          </cell>
          <cell r="G1209">
            <v>32101.119140625</v>
          </cell>
          <cell r="H1209">
            <v>1207</v>
          </cell>
          <cell r="I1209">
            <v>4031118.4909123862</v>
          </cell>
        </row>
        <row r="1210">
          <cell r="A1210">
            <v>46196</v>
          </cell>
          <cell r="B1210">
            <v>1.2910000085830688</v>
          </cell>
          <cell r="C1210">
            <v>1.2910000085830688</v>
          </cell>
          <cell r="D1210">
            <v>1.246999979019165</v>
          </cell>
          <cell r="E1210">
            <v>1.2549999952316284</v>
          </cell>
          <cell r="F1210">
            <v>3099306</v>
          </cell>
          <cell r="G1210">
            <v>30993.060546875</v>
          </cell>
          <cell r="H1210">
            <v>1208</v>
          </cell>
          <cell r="I1210">
            <v>4030347.1229563328</v>
          </cell>
        </row>
        <row r="1211">
          <cell r="A1211">
            <v>46197</v>
          </cell>
          <cell r="B1211">
            <v>1.2539999485015869</v>
          </cell>
          <cell r="C1211">
            <v>1.2630000114440918</v>
          </cell>
          <cell r="D1211">
            <v>1.2419999837875366</v>
          </cell>
          <cell r="E1211">
            <v>1.2610000371932983</v>
          </cell>
          <cell r="F1211">
            <v>3049700</v>
          </cell>
          <cell r="G1211">
            <v>30497</v>
          </cell>
          <cell r="H1211">
            <v>1209</v>
          </cell>
          <cell r="I1211">
            <v>4029536.0004394129</v>
          </cell>
        </row>
        <row r="1212">
          <cell r="A1212">
            <v>46198</v>
          </cell>
          <cell r="B1212">
            <v>1.2619999647140503</v>
          </cell>
          <cell r="C1212">
            <v>1.2920000553131104</v>
          </cell>
          <cell r="D1212">
            <v>1.2619999647140503</v>
          </cell>
          <cell r="E1212">
            <v>1.2920000553131104</v>
          </cell>
          <cell r="F1212">
            <v>2589909</v>
          </cell>
          <cell r="G1212">
            <v>25899.08984375</v>
          </cell>
          <cell r="H1212">
            <v>1210</v>
          </cell>
          <cell r="I1212">
            <v>4028346.2260588845</v>
          </cell>
        </row>
        <row r="1213">
          <cell r="A1213">
            <v>46199</v>
          </cell>
          <cell r="B1213">
            <v>1.2790000438690186</v>
          </cell>
          <cell r="C1213">
            <v>1.2790000438690186</v>
          </cell>
          <cell r="D1213">
            <v>1.2359999418258667</v>
          </cell>
          <cell r="E1213">
            <v>1.2400000095367432</v>
          </cell>
          <cell r="F1213">
            <v>2505511</v>
          </cell>
          <cell r="G1213">
            <v>25055.109375</v>
          </cell>
          <cell r="H1213">
            <v>1211</v>
          </cell>
          <cell r="I1213">
            <v>4027088.7238078034</v>
          </cell>
        </row>
        <row r="1214">
          <cell r="A1214">
            <v>46202</v>
          </cell>
          <cell r="B1214">
            <v>1.2369999885559082</v>
          </cell>
          <cell r="C1214">
            <v>1.2489999532699585</v>
          </cell>
          <cell r="D1214">
            <v>1.2209999561309814</v>
          </cell>
          <cell r="E1214">
            <v>1.2450000047683716</v>
          </cell>
          <cell r="F1214">
            <v>4012905</v>
          </cell>
          <cell r="G1214">
            <v>40129.05078125</v>
          </cell>
          <cell r="H1214">
            <v>1212</v>
          </cell>
          <cell r="I1214">
            <v>4027077.0210653879</v>
          </cell>
        </row>
        <row r="1215">
          <cell r="A1215">
            <v>46203</v>
          </cell>
          <cell r="B1215">
            <v>1.2549999952316284</v>
          </cell>
          <cell r="C1215">
            <v>1.2790000438690186</v>
          </cell>
          <cell r="D1215">
            <v>1.2510000467300415</v>
          </cell>
          <cell r="E1215">
            <v>1.2760000228881836</v>
          </cell>
          <cell r="F1215">
            <v>3094800</v>
          </cell>
          <cell r="G1215">
            <v>30948</v>
          </cell>
          <cell r="H1215">
            <v>1213</v>
          </cell>
          <cell r="I1215">
            <v>4026308.4497372219</v>
          </cell>
        </row>
        <row r="1216">
          <cell r="A1216">
            <v>46204</v>
          </cell>
          <cell r="B1216">
            <v>1.2799999713897705</v>
          </cell>
          <cell r="C1216">
            <v>1.281999945640564</v>
          </cell>
          <cell r="D1216">
            <v>1.253000020980835</v>
          </cell>
          <cell r="E1216">
            <v>1.2640000581741333</v>
          </cell>
          <cell r="F1216">
            <v>2671700</v>
          </cell>
          <cell r="G1216">
            <v>26717</v>
          </cell>
          <cell r="H1216">
            <v>1214</v>
          </cell>
          <cell r="I1216">
            <v>4025192.6272909804</v>
          </cell>
        </row>
        <row r="1217">
          <cell r="A1217">
            <v>46205</v>
          </cell>
          <cell r="B1217">
            <v>1.2510000467300415</v>
          </cell>
          <cell r="C1217">
            <v>1.2510000467300415</v>
          </cell>
          <cell r="D1217">
            <v>1.2100000381469727</v>
          </cell>
          <cell r="E1217">
            <v>1.2130000591278076</v>
          </cell>
          <cell r="F1217">
            <v>2174700</v>
          </cell>
          <cell r="G1217">
            <v>21747</v>
          </cell>
          <cell r="H1217">
            <v>1215</v>
          </cell>
          <cell r="I1217">
            <v>4023669.5880915639</v>
          </cell>
        </row>
        <row r="1218">
          <cell r="A1218">
            <v>46206</v>
          </cell>
          <cell r="B1218">
            <v>1.1959999799728394</v>
          </cell>
          <cell r="C1218">
            <v>1.2430000305175781</v>
          </cell>
          <cell r="D1218">
            <v>1.1959999799728394</v>
          </cell>
          <cell r="E1218">
            <v>1.2230000495910645</v>
          </cell>
          <cell r="F1218">
            <v>1760400</v>
          </cell>
          <cell r="G1218">
            <v>17604</v>
          </cell>
          <cell r="H1218">
            <v>1216</v>
          </cell>
          <cell r="I1218">
            <v>4021808.3466539886</v>
          </cell>
        </row>
        <row r="1219">
          <cell r="A1219">
            <v>46209</v>
          </cell>
          <cell r="B1219">
            <v>1.2230000495910645</v>
          </cell>
          <cell r="C1219">
            <v>1.2319999933242798</v>
          </cell>
          <cell r="D1219">
            <v>1.2029999494552612</v>
          </cell>
          <cell r="E1219">
            <v>1.2120000123977661</v>
          </cell>
          <cell r="F1219">
            <v>1715600</v>
          </cell>
          <cell r="G1219">
            <v>17156</v>
          </cell>
          <cell r="H1219">
            <v>1217</v>
          </cell>
          <cell r="I1219">
            <v>4019913.3521209941</v>
          </cell>
        </row>
        <row r="1220">
          <cell r="A1220">
            <v>46210</v>
          </cell>
          <cell r="B1220">
            <v>1.2170000076293945</v>
          </cell>
          <cell r="C1220">
            <v>1.2170000076293945</v>
          </cell>
          <cell r="D1220">
            <v>1.187999963760376</v>
          </cell>
          <cell r="E1220">
            <v>1.2000000476837158</v>
          </cell>
          <cell r="F1220">
            <v>3616800</v>
          </cell>
          <cell r="G1220">
            <v>36168</v>
          </cell>
          <cell r="H1220">
            <v>1218</v>
          </cell>
          <cell r="I1220">
            <v>4019582.3887777096</v>
          </cell>
        </row>
        <row r="1221">
          <cell r="A1221">
            <v>46211</v>
          </cell>
          <cell r="B1221">
            <v>1.1990000009536743</v>
          </cell>
          <cell r="C1221">
            <v>1.2109999656677246</v>
          </cell>
          <cell r="D1221">
            <v>1.1799999475479126</v>
          </cell>
          <cell r="E1221">
            <v>1.184999942779541</v>
          </cell>
          <cell r="F1221">
            <v>2669500</v>
          </cell>
          <cell r="G1221">
            <v>26695</v>
          </cell>
          <cell r="H1221">
            <v>1219</v>
          </cell>
          <cell r="I1221">
            <v>4018474.856055168</v>
          </cell>
        </row>
        <row r="1222">
          <cell r="A1222">
            <v>46212</v>
          </cell>
          <cell r="B1222">
            <v>1.184999942779541</v>
          </cell>
          <cell r="C1222">
            <v>1.2269999980926514</v>
          </cell>
          <cell r="D1222">
            <v>1.1799999475479126</v>
          </cell>
          <cell r="E1222">
            <v>1.2250000238418579</v>
          </cell>
          <cell r="F1222">
            <v>3158901</v>
          </cell>
          <cell r="G1222">
            <v>31589.009765625</v>
          </cell>
          <cell r="H1222">
            <v>1220</v>
          </cell>
          <cell r="I1222">
            <v>4017770.2873206967</v>
          </cell>
        </row>
        <row r="1223">
          <cell r="A1223">
            <v>46213</v>
          </cell>
          <cell r="B1223">
            <v>1.2250000238418579</v>
          </cell>
          <cell r="C1223">
            <v>1.2319999933242798</v>
          </cell>
          <cell r="D1223">
            <v>1.187999963760376</v>
          </cell>
          <cell r="E1223">
            <v>1.187999963760376</v>
          </cell>
          <cell r="F1223">
            <v>2479200</v>
          </cell>
          <cell r="G1223">
            <v>24792</v>
          </cell>
          <cell r="H1223">
            <v>1221</v>
          </cell>
          <cell r="I1223">
            <v>4016510.1969952909</v>
          </cell>
        </row>
        <row r="1224">
          <cell r="A1224">
            <v>46216</v>
          </cell>
          <cell r="B1224">
            <v>1.1759999990463257</v>
          </cell>
          <cell r="C1224">
            <v>1.1909999847412109</v>
          </cell>
          <cell r="D1224">
            <v>1.156999945640564</v>
          </cell>
          <cell r="E1224">
            <v>1.1610000133514404</v>
          </cell>
          <cell r="F1224">
            <v>4942000</v>
          </cell>
          <cell r="G1224">
            <v>49420</v>
          </cell>
          <cell r="H1224">
            <v>1222</v>
          </cell>
          <cell r="I1224">
            <v>4017267.5536262277</v>
          </cell>
        </row>
        <row r="1225">
          <cell r="A1225">
            <v>46217</v>
          </cell>
          <cell r="B1225">
            <v>1.1649999618530273</v>
          </cell>
          <cell r="C1225">
            <v>1.1979999542236328</v>
          </cell>
          <cell r="D1225">
            <v>1.156000018119812</v>
          </cell>
          <cell r="E1225">
            <v>1.1970000267028809</v>
          </cell>
          <cell r="F1225">
            <v>4192600</v>
          </cell>
          <cell r="G1225">
            <v>41926</v>
          </cell>
          <cell r="H1225">
            <v>1223</v>
          </cell>
          <cell r="I1225">
            <v>4017410.9162152493</v>
          </cell>
        </row>
        <row r="1226">
          <cell r="A1226">
            <v>46218</v>
          </cell>
          <cell r="B1226">
            <v>1.2020000219345093</v>
          </cell>
          <cell r="C1226">
            <v>1.2100000381469727</v>
          </cell>
          <cell r="D1226">
            <v>1.190000057220459</v>
          </cell>
          <cell r="E1226">
            <v>1.1929999589920044</v>
          </cell>
          <cell r="F1226">
            <v>3501201.25</v>
          </cell>
          <cell r="G1226">
            <v>35012.01171875</v>
          </cell>
          <cell r="H1226">
            <v>1224</v>
          </cell>
          <cell r="I1226">
            <v>4016989.1762918709</v>
          </cell>
        </row>
        <row r="1227">
          <cell r="A1227">
            <v>46219</v>
          </cell>
          <cell r="B1227">
            <v>1.1829999685287476</v>
          </cell>
          <cell r="C1227">
            <v>1.1950000524520874</v>
          </cell>
          <cell r="D1227">
            <v>1.1649999618530273</v>
          </cell>
          <cell r="E1227">
            <v>1.1749999523162842</v>
          </cell>
          <cell r="F1227">
            <v>2815900</v>
          </cell>
          <cell r="G1227">
            <v>28159</v>
          </cell>
          <cell r="H1227">
            <v>1225</v>
          </cell>
          <cell r="I1227">
            <v>4016008.6953316326</v>
          </cell>
        </row>
        <row r="1228">
          <cell r="A1228">
            <v>46220</v>
          </cell>
          <cell r="B1228">
            <v>1.1629999876022339</v>
          </cell>
          <cell r="C1228">
            <v>1.1629999876022339</v>
          </cell>
          <cell r="D1228">
            <v>1.1059999465942383</v>
          </cell>
          <cell r="E1228">
            <v>1.1160000562667847</v>
          </cell>
          <cell r="F1228">
            <v>4126103</v>
          </cell>
          <cell r="G1228">
            <v>41261.03125</v>
          </cell>
          <cell r="H1228">
            <v>1226</v>
          </cell>
          <cell r="I1228">
            <v>4016098.4949276103</v>
          </cell>
        </row>
        <row r="1229">
          <cell r="A1229">
            <v>46223</v>
          </cell>
          <cell r="B1229">
            <v>1.1319999694824219</v>
          </cell>
          <cell r="C1229">
            <v>1.1430000066757202</v>
          </cell>
          <cell r="D1229">
            <v>1.1000000238418579</v>
          </cell>
          <cell r="E1229">
            <v>1.1239999532699585</v>
          </cell>
          <cell r="F1229">
            <v>5773200</v>
          </cell>
          <cell r="G1229">
            <v>57732</v>
          </cell>
          <cell r="H1229">
            <v>1227</v>
          </cell>
          <cell r="I1229">
            <v>4017530.5254940912</v>
          </cell>
        </row>
        <row r="1230">
          <cell r="A1230">
            <v>46224</v>
          </cell>
          <cell r="B1230">
            <v>1.125</v>
          </cell>
          <cell r="C1230">
            <v>1.1740000247955322</v>
          </cell>
          <cell r="D1230">
            <v>1.1089999675750732</v>
          </cell>
          <cell r="E1230">
            <v>1.1720000505447388</v>
          </cell>
          <cell r="F1230">
            <v>5936101</v>
          </cell>
          <cell r="G1230">
            <v>59361.01171875</v>
          </cell>
          <cell r="H1230">
            <v>1228</v>
          </cell>
          <cell r="I1230">
            <v>4019092.8793006921</v>
          </cell>
        </row>
        <row r="1231">
          <cell r="A1231">
            <v>46225</v>
          </cell>
          <cell r="B1231">
            <v>1.1599999666213989</v>
          </cell>
          <cell r="C1231">
            <v>1.1759999990463257</v>
          </cell>
          <cell r="D1231">
            <v>1.1469999551773071</v>
          </cell>
          <cell r="E1231">
            <v>1.1529999971389771</v>
          </cell>
          <cell r="F1231">
            <v>4089700</v>
          </cell>
          <cell r="G1231">
            <v>40897</v>
          </cell>
          <cell r="H1231">
            <v>1229</v>
          </cell>
          <cell r="I1231">
            <v>4019150.3301718878</v>
          </cell>
        </row>
        <row r="1232">
          <cell r="A1232">
            <v>46226</v>
          </cell>
          <cell r="B1232">
            <v>1.156000018119812</v>
          </cell>
          <cell r="C1232">
            <v>1.1640000343322754</v>
          </cell>
          <cell r="D1232">
            <v>1.1529999971389771</v>
          </cell>
          <cell r="E1232">
            <v>1.1579999923706055</v>
          </cell>
          <cell r="F1232">
            <v>1158500</v>
          </cell>
          <cell r="G1232">
            <v>11585</v>
          </cell>
          <cell r="H1232">
            <v>1230</v>
          </cell>
          <cell r="I1232">
            <v>4016824.5981961382</v>
          </cell>
        </row>
        <row r="1233">
          <cell r="A1233">
            <v>46227</v>
          </cell>
          <cell r="B1233">
            <v>1.1649999618530273</v>
          </cell>
          <cell r="C1233">
            <v>1.1929999589920044</v>
          </cell>
          <cell r="D1233">
            <v>1.1349999904632568</v>
          </cell>
          <cell r="E1233">
            <v>1.1349999904632568</v>
          </cell>
          <cell r="F1233">
            <v>558600</v>
          </cell>
          <cell r="G1233">
            <v>5586</v>
          </cell>
          <cell r="H1233">
            <v>1231</v>
          </cell>
          <cell r="I1233">
            <v>4014015.3174502435</v>
          </cell>
        </row>
        <row r="1234">
          <cell r="A1234">
            <v>46230</v>
          </cell>
          <cell r="B1234">
            <v>1.1529999971389771</v>
          </cell>
          <cell r="C1234">
            <v>1.1610000133514404</v>
          </cell>
          <cell r="D1234">
            <v>1.1289999485015869</v>
          </cell>
          <cell r="E1234">
            <v>1.1610000133514404</v>
          </cell>
          <cell r="F1234">
            <v>5191200</v>
          </cell>
          <cell r="G1234">
            <v>51912</v>
          </cell>
          <cell r="H1234">
            <v>1232</v>
          </cell>
          <cell r="I1234">
            <v>4014970.8244977677</v>
          </cell>
        </row>
        <row r="1235">
          <cell r="A1235">
            <v>46231</v>
          </cell>
          <cell r="B1235">
            <v>1.1380000114440918</v>
          </cell>
          <cell r="C1235">
            <v>1.1410000324249268</v>
          </cell>
          <cell r="D1235">
            <v>1.1009999513626099</v>
          </cell>
          <cell r="E1235">
            <v>1.1030000448226929</v>
          </cell>
          <cell r="F1235">
            <v>2865200</v>
          </cell>
          <cell r="G1235">
            <v>28652</v>
          </cell>
          <cell r="H1235">
            <v>1233</v>
          </cell>
          <cell r="I1235">
            <v>4014038.3258566502</v>
          </cell>
        </row>
        <row r="1236">
          <cell r="A1236">
            <v>46232</v>
          </cell>
          <cell r="B1236">
            <v>1.1119999885559082</v>
          </cell>
          <cell r="C1236">
            <v>1.1269999742507935</v>
          </cell>
          <cell r="D1236">
            <v>1.0880000591278076</v>
          </cell>
          <cell r="E1236">
            <v>1.1200000047683716</v>
          </cell>
          <cell r="F1236">
            <v>3663200</v>
          </cell>
          <cell r="G1236">
            <v>36632</v>
          </cell>
          <cell r="H1236">
            <v>1234</v>
          </cell>
          <cell r="I1236">
            <v>4013754.0160301863</v>
          </cell>
        </row>
        <row r="1237">
          <cell r="A1237">
            <v>46233</v>
          </cell>
          <cell r="B1237">
            <v>1.0989999771118164</v>
          </cell>
          <cell r="C1237">
            <v>1.1109999418258667</v>
          </cell>
          <cell r="D1237">
            <v>1.0750000476837158</v>
          </cell>
          <cell r="E1237">
            <v>1.090999960899353</v>
          </cell>
          <cell r="F1237">
            <v>2797904</v>
          </cell>
          <cell r="G1237">
            <v>27979.0390625</v>
          </cell>
          <cell r="H1237">
            <v>1235</v>
          </cell>
          <cell r="I1237">
            <v>4012769.5220900811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1"/>
      <sheetName val="myPEPB"/>
    </sheetNames>
    <sheetDataSet>
      <sheetData sheetId="0"/>
      <sheetData sheetId="1">
        <row r="1">
          <cell r="B1" t="str">
            <v>DATE</v>
          </cell>
          <cell r="C1">
            <v>399088</v>
          </cell>
        </row>
        <row r="2">
          <cell r="B2">
            <v>0</v>
          </cell>
          <cell r="C2" t="str">
            <v>PE</v>
          </cell>
          <cell r="D2" t="str">
            <v>PE MEAN</v>
          </cell>
        </row>
        <row r="3">
          <cell r="B3">
            <v>44292</v>
          </cell>
          <cell r="C3">
            <v>45.12</v>
          </cell>
          <cell r="D3">
            <v>45.12</v>
          </cell>
        </row>
        <row r="4">
          <cell r="B4">
            <v>44293</v>
          </cell>
          <cell r="C4">
            <v>44.81</v>
          </cell>
          <cell r="D4">
            <v>44.965000000000003</v>
          </cell>
        </row>
        <row r="5">
          <cell r="B5">
            <v>44294</v>
          </cell>
          <cell r="C5">
            <v>45.06</v>
          </cell>
          <cell r="D5">
            <v>44.99666666666667</v>
          </cell>
        </row>
        <row r="6">
          <cell r="B6">
            <v>44295</v>
          </cell>
          <cell r="C6">
            <v>44.18</v>
          </cell>
          <cell r="D6">
            <v>44.792500000000004</v>
          </cell>
        </row>
        <row r="7">
          <cell r="B7">
            <v>44298</v>
          </cell>
          <cell r="C7">
            <v>43.03</v>
          </cell>
          <cell r="D7">
            <v>44.440000000000005</v>
          </cell>
        </row>
        <row r="8">
          <cell r="B8">
            <v>44299</v>
          </cell>
          <cell r="C8">
            <v>43.34</v>
          </cell>
          <cell r="D8">
            <v>44.256666666666668</v>
          </cell>
        </row>
        <row r="9">
          <cell r="B9">
            <v>44300</v>
          </cell>
          <cell r="C9">
            <v>44.23</v>
          </cell>
          <cell r="D9">
            <v>44.252857142857145</v>
          </cell>
        </row>
        <row r="10">
          <cell r="B10">
            <v>44301</v>
          </cell>
          <cell r="C10">
            <v>43.99</v>
          </cell>
          <cell r="D10">
            <v>44.220000000000006</v>
          </cell>
        </row>
        <row r="11">
          <cell r="B11">
            <v>44302</v>
          </cell>
          <cell r="C11">
            <v>43.87</v>
          </cell>
          <cell r="D11">
            <v>44.181111111111115</v>
          </cell>
        </row>
        <row r="12">
          <cell r="B12">
            <v>44305</v>
          </cell>
          <cell r="C12">
            <v>45.78</v>
          </cell>
          <cell r="D12">
            <v>44.341000000000008</v>
          </cell>
        </row>
        <row r="13">
          <cell r="B13">
            <v>44306</v>
          </cell>
          <cell r="C13">
            <v>45.63</v>
          </cell>
          <cell r="D13">
            <v>44.458181818181828</v>
          </cell>
        </row>
        <row r="14">
          <cell r="B14">
            <v>44307</v>
          </cell>
          <cell r="C14">
            <v>45.89</v>
          </cell>
          <cell r="D14">
            <v>44.577500000000008</v>
          </cell>
        </row>
        <row r="15">
          <cell r="B15">
            <v>44308</v>
          </cell>
          <cell r="C15">
            <v>46.21</v>
          </cell>
          <cell r="D15">
            <v>44.703076923076928</v>
          </cell>
        </row>
        <row r="16">
          <cell r="B16">
            <v>44309</v>
          </cell>
          <cell r="C16">
            <v>46.9</v>
          </cell>
          <cell r="D16">
            <v>44.860000000000007</v>
          </cell>
        </row>
        <row r="17">
          <cell r="B17">
            <v>44312</v>
          </cell>
          <cell r="C17">
            <v>46.48</v>
          </cell>
          <cell r="D17">
            <v>44.968000000000004</v>
          </cell>
        </row>
        <row r="18">
          <cell r="B18">
            <v>44313</v>
          </cell>
          <cell r="C18">
            <v>46.74</v>
          </cell>
          <cell r="D18">
            <v>45.078750000000007</v>
          </cell>
        </row>
        <row r="19">
          <cell r="B19">
            <v>44314</v>
          </cell>
          <cell r="C19">
            <v>47.38</v>
          </cell>
          <cell r="D19">
            <v>45.214117647058828</v>
          </cell>
        </row>
        <row r="20">
          <cell r="B20">
            <v>44315</v>
          </cell>
          <cell r="C20">
            <v>47.58</v>
          </cell>
          <cell r="D20">
            <v>45.345555555555563</v>
          </cell>
        </row>
        <row r="21">
          <cell r="B21">
            <v>44316</v>
          </cell>
          <cell r="C21">
            <v>47.64</v>
          </cell>
          <cell r="D21">
            <v>45.46631578947369</v>
          </cell>
        </row>
        <row r="22">
          <cell r="B22">
            <v>44322</v>
          </cell>
          <cell r="C22">
            <v>37.39</v>
          </cell>
          <cell r="D22">
            <v>45.062500000000007</v>
          </cell>
        </row>
        <row r="23">
          <cell r="B23">
            <v>44323</v>
          </cell>
          <cell r="C23">
            <v>36.26</v>
          </cell>
          <cell r="D23">
            <v>44.643333333333338</v>
          </cell>
        </row>
        <row r="24">
          <cell r="B24">
            <v>44326</v>
          </cell>
          <cell r="C24">
            <v>36.409999999999997</v>
          </cell>
          <cell r="D24">
            <v>44.269090909090913</v>
          </cell>
        </row>
        <row r="25">
          <cell r="B25">
            <v>44327</v>
          </cell>
          <cell r="C25">
            <v>36.44</v>
          </cell>
          <cell r="D25">
            <v>43.928695652173921</v>
          </cell>
        </row>
        <row r="26">
          <cell r="B26">
            <v>44328</v>
          </cell>
          <cell r="C26">
            <v>36.700000000000003</v>
          </cell>
          <cell r="D26">
            <v>43.627500000000005</v>
          </cell>
        </row>
        <row r="27">
          <cell r="B27">
            <v>44329</v>
          </cell>
          <cell r="C27">
            <v>36.25</v>
          </cell>
          <cell r="D27">
            <v>43.332400000000007</v>
          </cell>
        </row>
        <row r="28">
          <cell r="B28">
            <v>44330</v>
          </cell>
          <cell r="C28">
            <v>36.99</v>
          </cell>
          <cell r="D28">
            <v>43.088461538461544</v>
          </cell>
        </row>
        <row r="29">
          <cell r="B29">
            <v>44333</v>
          </cell>
          <cell r="C29">
            <v>38.049999999999997</v>
          </cell>
          <cell r="D29">
            <v>42.901851851851859</v>
          </cell>
        </row>
        <row r="30">
          <cell r="B30">
            <v>44334</v>
          </cell>
          <cell r="C30">
            <v>37.979999999999997</v>
          </cell>
          <cell r="D30">
            <v>42.726071428571437</v>
          </cell>
        </row>
        <row r="31">
          <cell r="B31">
            <v>44335</v>
          </cell>
          <cell r="C31">
            <v>38.200000000000003</v>
          </cell>
          <cell r="D31">
            <v>42.570000000000007</v>
          </cell>
        </row>
        <row r="32">
          <cell r="B32">
            <v>44336</v>
          </cell>
          <cell r="C32">
            <v>38.520000000000003</v>
          </cell>
          <cell r="D32">
            <v>42.435000000000009</v>
          </cell>
        </row>
        <row r="33">
          <cell r="B33">
            <v>44337</v>
          </cell>
          <cell r="C33">
            <v>38.200000000000003</v>
          </cell>
          <cell r="D33">
            <v>42.298387096774199</v>
          </cell>
        </row>
        <row r="34">
          <cell r="B34">
            <v>44340</v>
          </cell>
          <cell r="C34">
            <v>38.479999999999997</v>
          </cell>
          <cell r="D34">
            <v>42.179062500000008</v>
          </cell>
        </row>
        <row r="35">
          <cell r="B35">
            <v>44341</v>
          </cell>
          <cell r="C35">
            <v>39.35</v>
          </cell>
          <cell r="D35">
            <v>42.093333333333341</v>
          </cell>
        </row>
        <row r="36">
          <cell r="B36">
            <v>44342</v>
          </cell>
          <cell r="C36">
            <v>39.090000000000003</v>
          </cell>
          <cell r="D36">
            <v>42.005000000000003</v>
          </cell>
        </row>
        <row r="37">
          <cell r="B37">
            <v>44343</v>
          </cell>
          <cell r="C37">
            <v>39.36</v>
          </cell>
          <cell r="D37">
            <v>41.929428571428573</v>
          </cell>
        </row>
        <row r="38">
          <cell r="B38">
            <v>44344</v>
          </cell>
          <cell r="C38">
            <v>39.31</v>
          </cell>
          <cell r="D38">
            <v>41.856666666666662</v>
          </cell>
        </row>
        <row r="39">
          <cell r="B39">
            <v>44347</v>
          </cell>
          <cell r="C39">
            <v>39.85</v>
          </cell>
          <cell r="D39">
            <v>41.802432432432425</v>
          </cell>
        </row>
        <row r="40">
          <cell r="B40">
            <v>44348</v>
          </cell>
          <cell r="C40">
            <v>39.86</v>
          </cell>
          <cell r="D40">
            <v>41.751315789473679</v>
          </cell>
        </row>
        <row r="41">
          <cell r="B41">
            <v>44349</v>
          </cell>
          <cell r="C41">
            <v>39.36</v>
          </cell>
          <cell r="D41">
            <v>41.689999999999991</v>
          </cell>
        </row>
        <row r="42">
          <cell r="B42">
            <v>44350</v>
          </cell>
          <cell r="C42">
            <v>38.97</v>
          </cell>
          <cell r="D42">
            <v>41.621999999999993</v>
          </cell>
        </row>
        <row r="43">
          <cell r="B43">
            <v>44351</v>
          </cell>
          <cell r="C43">
            <v>39.409999999999997</v>
          </cell>
          <cell r="D43">
            <v>41.5680487804878</v>
          </cell>
        </row>
        <row r="44">
          <cell r="B44">
            <v>44354</v>
          </cell>
          <cell r="C44">
            <v>39.229999999999997</v>
          </cell>
          <cell r="D44">
            <v>41.512380952380944</v>
          </cell>
        </row>
        <row r="45">
          <cell r="B45">
            <v>44355</v>
          </cell>
          <cell r="C45">
            <v>39.01</v>
          </cell>
          <cell r="D45">
            <v>41.454186046511623</v>
          </cell>
        </row>
        <row r="46">
          <cell r="B46">
            <v>44356</v>
          </cell>
          <cell r="C46">
            <v>39.04</v>
          </cell>
          <cell r="D46">
            <v>41.399318181818174</v>
          </cell>
        </row>
        <row r="47">
          <cell r="B47">
            <v>44357</v>
          </cell>
          <cell r="C47">
            <v>39.65</v>
          </cell>
          <cell r="D47">
            <v>41.36044444444444</v>
          </cell>
        </row>
        <row r="48">
          <cell r="B48">
            <v>44358</v>
          </cell>
          <cell r="C48">
            <v>39.61</v>
          </cell>
          <cell r="D48">
            <v>41.322391304347818</v>
          </cell>
        </row>
        <row r="49">
          <cell r="B49">
            <v>44362</v>
          </cell>
          <cell r="C49">
            <v>39.58</v>
          </cell>
          <cell r="D49">
            <v>41.285319148936161</v>
          </cell>
        </row>
        <row r="50">
          <cell r="B50">
            <v>44363</v>
          </cell>
          <cell r="C50">
            <v>38.270000000000003</v>
          </cell>
          <cell r="D50">
            <v>41.222499999999989</v>
          </cell>
        </row>
        <row r="51">
          <cell r="B51">
            <v>44364</v>
          </cell>
          <cell r="C51">
            <v>38.880000000000003</v>
          </cell>
          <cell r="D51">
            <v>41.174693877551015</v>
          </cell>
        </row>
        <row r="52">
          <cell r="B52">
            <v>44365</v>
          </cell>
          <cell r="C52">
            <v>39.4</v>
          </cell>
          <cell r="D52">
            <v>41.139199999999988</v>
          </cell>
        </row>
        <row r="53">
          <cell r="B53">
            <v>44368</v>
          </cell>
          <cell r="C53">
            <v>39.49</v>
          </cell>
          <cell r="D53">
            <v>41.106862745098027</v>
          </cell>
        </row>
        <row r="54">
          <cell r="B54">
            <v>44369</v>
          </cell>
          <cell r="C54">
            <v>39.64</v>
          </cell>
          <cell r="D54">
            <v>41.078653846153834</v>
          </cell>
        </row>
        <row r="55">
          <cell r="B55">
            <v>44370</v>
          </cell>
          <cell r="C55">
            <v>40.22</v>
          </cell>
          <cell r="D55">
            <v>41.062452830188661</v>
          </cell>
        </row>
        <row r="56">
          <cell r="B56">
            <v>44371</v>
          </cell>
          <cell r="C56">
            <v>40.15</v>
          </cell>
          <cell r="D56">
            <v>41.045555555555538</v>
          </cell>
        </row>
        <row r="57">
          <cell r="B57">
            <v>44372</v>
          </cell>
          <cell r="C57">
            <v>40.64</v>
          </cell>
          <cell r="D57">
            <v>41.038181818181798</v>
          </cell>
        </row>
        <row r="58">
          <cell r="B58">
            <v>44375</v>
          </cell>
          <cell r="C58">
            <v>41.08</v>
          </cell>
          <cell r="D58">
            <v>41.038928571428549</v>
          </cell>
        </row>
        <row r="59">
          <cell r="B59">
            <v>44376</v>
          </cell>
          <cell r="C59">
            <v>40.799999999999997</v>
          </cell>
          <cell r="D59">
            <v>41.034736842105247</v>
          </cell>
        </row>
        <row r="60">
          <cell r="B60">
            <v>44377</v>
          </cell>
          <cell r="C60">
            <v>41.45</v>
          </cell>
          <cell r="D60">
            <v>41.041896551724122</v>
          </cell>
        </row>
        <row r="61">
          <cell r="B61">
            <v>44378</v>
          </cell>
          <cell r="C61">
            <v>41.29</v>
          </cell>
          <cell r="D61">
            <v>41.046101694915237</v>
          </cell>
        </row>
        <row r="62">
          <cell r="B62">
            <v>44379</v>
          </cell>
          <cell r="C62">
            <v>40.03</v>
          </cell>
          <cell r="D62">
            <v>41.029166666666654</v>
          </cell>
        </row>
        <row r="63">
          <cell r="B63">
            <v>44382</v>
          </cell>
          <cell r="C63">
            <v>40.21</v>
          </cell>
          <cell r="D63">
            <v>41.015737704918017</v>
          </cell>
        </row>
        <row r="64">
          <cell r="B64">
            <v>44383</v>
          </cell>
          <cell r="C64">
            <v>39.89</v>
          </cell>
          <cell r="D64">
            <v>40.997580645161271</v>
          </cell>
        </row>
        <row r="65">
          <cell r="B65">
            <v>44384</v>
          </cell>
          <cell r="C65">
            <v>40.98</v>
          </cell>
          <cell r="D65">
            <v>40.997301587301571</v>
          </cell>
        </row>
        <row r="66">
          <cell r="B66">
            <v>44385</v>
          </cell>
          <cell r="C66">
            <v>41.06</v>
          </cell>
          <cell r="D66">
            <v>40.998281249999984</v>
          </cell>
        </row>
        <row r="67">
          <cell r="B67">
            <v>44386</v>
          </cell>
          <cell r="C67">
            <v>40.729999999999997</v>
          </cell>
          <cell r="D67">
            <v>40.994153846153829</v>
          </cell>
        </row>
        <row r="68">
          <cell r="B68">
            <v>44389</v>
          </cell>
          <cell r="C68">
            <v>41.78</v>
          </cell>
          <cell r="D68">
            <v>41.006060606060593</v>
          </cell>
        </row>
        <row r="69">
          <cell r="B69">
            <v>44390</v>
          </cell>
          <cell r="C69">
            <v>41.7</v>
          </cell>
          <cell r="D69">
            <v>41.01641791044775</v>
          </cell>
        </row>
        <row r="70">
          <cell r="B70">
            <v>44391</v>
          </cell>
          <cell r="C70">
            <v>41.28</v>
          </cell>
          <cell r="D70">
            <v>41.020294117647047</v>
          </cell>
        </row>
        <row r="71">
          <cell r="B71">
            <v>44392</v>
          </cell>
          <cell r="C71">
            <v>41.54</v>
          </cell>
          <cell r="D71">
            <v>41.027826086956509</v>
          </cell>
        </row>
        <row r="72">
          <cell r="B72">
            <v>44393</v>
          </cell>
          <cell r="C72">
            <v>40.58</v>
          </cell>
          <cell r="D72">
            <v>41.021428571428558</v>
          </cell>
        </row>
        <row r="73">
          <cell r="B73">
            <v>44396</v>
          </cell>
          <cell r="C73">
            <v>40.869999999999997</v>
          </cell>
          <cell r="D73">
            <v>41.019295774647873</v>
          </cell>
        </row>
        <row r="74">
          <cell r="B74">
            <v>44397</v>
          </cell>
          <cell r="C74">
            <v>40.89</v>
          </cell>
          <cell r="D74">
            <v>41.017499999999984</v>
          </cell>
        </row>
        <row r="75">
          <cell r="B75">
            <v>44398</v>
          </cell>
          <cell r="C75">
            <v>41.72</v>
          </cell>
          <cell r="D75">
            <v>41.027123287671216</v>
          </cell>
        </row>
        <row r="76">
          <cell r="B76">
            <v>44399</v>
          </cell>
          <cell r="C76">
            <v>41.69</v>
          </cell>
          <cell r="D76">
            <v>41.036081081081065</v>
          </cell>
        </row>
        <row r="77">
          <cell r="B77">
            <v>44400</v>
          </cell>
          <cell r="C77">
            <v>40.99</v>
          </cell>
          <cell r="D77">
            <v>41.035466666666643</v>
          </cell>
        </row>
        <row r="78">
          <cell r="B78">
            <v>44403</v>
          </cell>
          <cell r="C78">
            <v>39.900001525878906</v>
          </cell>
          <cell r="D78">
            <v>41.020526335866805</v>
          </cell>
        </row>
        <row r="79">
          <cell r="B79">
            <v>44404</v>
          </cell>
          <cell r="C79">
            <v>38.209999084472656</v>
          </cell>
          <cell r="D79">
            <v>40.984025981952598</v>
          </cell>
        </row>
        <row r="80">
          <cell r="B80">
            <v>44405</v>
          </cell>
          <cell r="C80">
            <v>38.619998931884766</v>
          </cell>
          <cell r="D80">
            <v>40.953717942849167</v>
          </cell>
        </row>
        <row r="81">
          <cell r="B81">
            <v>44406</v>
          </cell>
          <cell r="C81">
            <v>40.119998931884766</v>
          </cell>
          <cell r="D81">
            <v>40.943164537647085</v>
          </cell>
        </row>
        <row r="82">
          <cell r="B82">
            <v>44407</v>
          </cell>
          <cell r="C82">
            <v>39.930000305175781</v>
          </cell>
          <cell r="D82">
            <v>40.930499984741189</v>
          </cell>
        </row>
        <row r="83">
          <cell r="B83">
            <v>44410</v>
          </cell>
          <cell r="C83">
            <v>40.659999847412109</v>
          </cell>
          <cell r="D83">
            <v>40.927160476872935</v>
          </cell>
        </row>
        <row r="84">
          <cell r="B84">
            <v>44411</v>
          </cell>
          <cell r="C84">
            <v>40.5</v>
          </cell>
          <cell r="D84">
            <v>40.921951202764724</v>
          </cell>
        </row>
        <row r="85">
          <cell r="B85">
            <v>44412</v>
          </cell>
          <cell r="C85">
            <v>41.509998321533203</v>
          </cell>
          <cell r="D85">
            <v>40.929036107810127</v>
          </cell>
        </row>
        <row r="86">
          <cell r="B86">
            <v>44413</v>
          </cell>
          <cell r="C86">
            <v>41.130001068115234</v>
          </cell>
          <cell r="D86">
            <v>40.931428547813759</v>
          </cell>
        </row>
        <row r="87">
          <cell r="B87">
            <v>44414</v>
          </cell>
          <cell r="C87">
            <v>40.799999237060547</v>
          </cell>
          <cell r="D87">
            <v>40.92988232062843</v>
          </cell>
        </row>
        <row r="88">
          <cell r="B88">
            <v>44417</v>
          </cell>
          <cell r="C88">
            <v>40.799999237060547</v>
          </cell>
          <cell r="D88">
            <v>40.928372052214847</v>
          </cell>
        </row>
        <row r="89">
          <cell r="B89">
            <v>44418</v>
          </cell>
          <cell r="C89">
            <v>40.869998931884766</v>
          </cell>
          <cell r="D89">
            <v>40.927701096808754</v>
          </cell>
        </row>
        <row r="90">
          <cell r="B90">
            <v>44419</v>
          </cell>
          <cell r="C90">
            <v>40.610000610351563</v>
          </cell>
          <cell r="D90">
            <v>40.924090864008107</v>
          </cell>
        </row>
        <row r="91">
          <cell r="B91">
            <v>44420</v>
          </cell>
          <cell r="C91">
            <v>40.340000152587891</v>
          </cell>
          <cell r="D91">
            <v>40.917528047025854</v>
          </cell>
        </row>
        <row r="92">
          <cell r="B92">
            <v>44421</v>
          </cell>
          <cell r="C92">
            <v>39.740001678466797</v>
          </cell>
          <cell r="D92">
            <v>40.904444420708536</v>
          </cell>
        </row>
        <row r="93">
          <cell r="B93">
            <v>44424</v>
          </cell>
          <cell r="C93">
            <v>39.290000915527344</v>
          </cell>
          <cell r="D93">
            <v>40.886703283288959</v>
          </cell>
        </row>
        <row r="94">
          <cell r="B94">
            <v>44425</v>
          </cell>
          <cell r="C94">
            <v>38.419998168945313</v>
          </cell>
          <cell r="D94">
            <v>40.859891271176529</v>
          </cell>
        </row>
        <row r="95">
          <cell r="B95">
            <v>44426</v>
          </cell>
          <cell r="C95">
            <v>38.669998168945313</v>
          </cell>
          <cell r="D95">
            <v>40.836344033518131</v>
          </cell>
        </row>
        <row r="96">
          <cell r="B96">
            <v>44427</v>
          </cell>
          <cell r="C96">
            <v>38.909999847412109</v>
          </cell>
          <cell r="D96">
            <v>40.815851010261682</v>
          </cell>
        </row>
        <row r="97">
          <cell r="B97">
            <v>44428</v>
          </cell>
          <cell r="C97">
            <v>38.139999389648438</v>
          </cell>
          <cell r="D97">
            <v>40.787684151097331</v>
          </cell>
        </row>
        <row r="98">
          <cell r="B98">
            <v>44431</v>
          </cell>
          <cell r="C98">
            <v>39.130001068115234</v>
          </cell>
          <cell r="D98">
            <v>40.770416618982935</v>
          </cell>
        </row>
        <row r="99">
          <cell r="B99">
            <v>44432</v>
          </cell>
          <cell r="C99">
            <v>39.450000762939453</v>
          </cell>
          <cell r="D99">
            <v>40.756804084384548</v>
          </cell>
        </row>
        <row r="100">
          <cell r="B100">
            <v>44433</v>
          </cell>
          <cell r="C100">
            <v>39.549999237060547</v>
          </cell>
          <cell r="D100">
            <v>40.744489749207773</v>
          </cell>
        </row>
        <row r="101">
          <cell r="B101">
            <v>44434</v>
          </cell>
          <cell r="C101">
            <v>38.639999389648438</v>
          </cell>
          <cell r="D101">
            <v>40.723232270828383</v>
          </cell>
        </row>
        <row r="102">
          <cell r="B102">
            <v>44435</v>
          </cell>
          <cell r="C102">
            <v>38.630001068115234</v>
          </cell>
          <cell r="D102">
            <v>40.702299958801255</v>
          </cell>
        </row>
        <row r="103">
          <cell r="B103">
            <v>44438</v>
          </cell>
          <cell r="C103">
            <v>38.479999542236328</v>
          </cell>
          <cell r="D103">
            <v>40.680296984379815</v>
          </cell>
        </row>
        <row r="104">
          <cell r="B104">
            <v>44439</v>
          </cell>
          <cell r="C104">
            <v>38.069999694824219</v>
          </cell>
          <cell r="D104">
            <v>40.654705834482208</v>
          </cell>
        </row>
        <row r="105">
          <cell r="B105">
            <v>44440</v>
          </cell>
          <cell r="C105">
            <v>35.020000457763672</v>
          </cell>
          <cell r="D105">
            <v>40.599999957038342</v>
          </cell>
        </row>
        <row r="106">
          <cell r="B106">
            <v>44441</v>
          </cell>
          <cell r="C106">
            <v>34.639999389648438</v>
          </cell>
          <cell r="D106">
            <v>40.542692259274979</v>
          </cell>
        </row>
        <row r="107">
          <cell r="B107">
            <v>44442</v>
          </cell>
          <cell r="C107">
            <v>34.220001220703125</v>
          </cell>
          <cell r="D107">
            <v>40.482476154145722</v>
          </cell>
        </row>
        <row r="108">
          <cell r="B108">
            <v>44445</v>
          </cell>
          <cell r="C108">
            <v>35.540000915527344</v>
          </cell>
          <cell r="D108">
            <v>40.435849029253099</v>
          </cell>
        </row>
        <row r="109">
          <cell r="B109">
            <v>44446</v>
          </cell>
          <cell r="C109">
            <v>35.720001220703125</v>
          </cell>
          <cell r="D109">
            <v>40.391775685247957</v>
          </cell>
        </row>
        <row r="110">
          <cell r="B110">
            <v>44447</v>
          </cell>
          <cell r="C110">
            <v>35.509998321533203</v>
          </cell>
          <cell r="D110">
            <v>40.346574042991335</v>
          </cell>
        </row>
        <row r="111">
          <cell r="B111">
            <v>44448</v>
          </cell>
          <cell r="C111">
            <v>35.5</v>
          </cell>
          <cell r="D111">
            <v>40.302110060945544</v>
          </cell>
        </row>
        <row r="112">
          <cell r="B112">
            <v>44449</v>
          </cell>
          <cell r="C112">
            <v>35.700000762939453</v>
          </cell>
          <cell r="D112">
            <v>40.260272703690944</v>
          </cell>
        </row>
        <row r="113">
          <cell r="B113">
            <v>44452</v>
          </cell>
          <cell r="C113">
            <v>35.299999237060547</v>
          </cell>
          <cell r="D113">
            <v>40.215585555342926</v>
          </cell>
        </row>
        <row r="114">
          <cell r="B114">
            <v>44453</v>
          </cell>
          <cell r="C114">
            <v>35.470001220703125</v>
          </cell>
          <cell r="D114">
            <v>40.173214266640784</v>
          </cell>
        </row>
        <row r="115">
          <cell r="B115">
            <v>44454</v>
          </cell>
          <cell r="C115">
            <v>35.130001068115234</v>
          </cell>
          <cell r="D115">
            <v>40.128584061344093</v>
          </cell>
        </row>
        <row r="116">
          <cell r="B116">
            <v>44455</v>
          </cell>
          <cell r="C116">
            <v>34.389999389648438</v>
          </cell>
          <cell r="D116">
            <v>40.078245599311678</v>
          </cell>
        </row>
        <row r="117">
          <cell r="B117">
            <v>44456</v>
          </cell>
          <cell r="C117">
            <v>34.819999694824219</v>
          </cell>
          <cell r="D117">
            <v>40.032521721881352</v>
          </cell>
        </row>
        <row r="118">
          <cell r="B118">
            <v>44461</v>
          </cell>
          <cell r="C118">
            <v>34.560001373291016</v>
          </cell>
          <cell r="D118">
            <v>39.985344822324535</v>
          </cell>
        </row>
        <row r="119">
          <cell r="B119">
            <v>44462</v>
          </cell>
          <cell r="C119">
            <v>34.729999542236328</v>
          </cell>
          <cell r="D119">
            <v>39.940427341298147</v>
          </cell>
        </row>
        <row r="120">
          <cell r="B120">
            <v>44463</v>
          </cell>
          <cell r="C120">
            <v>34.819999694824219</v>
          </cell>
          <cell r="D120">
            <v>39.89703388666701</v>
          </cell>
        </row>
        <row r="121">
          <cell r="B121">
            <v>44466</v>
          </cell>
          <cell r="C121">
            <v>35.090000152587891</v>
          </cell>
          <cell r="D121">
            <v>39.856638645204157</v>
          </cell>
        </row>
        <row r="122">
          <cell r="B122">
            <v>44467</v>
          </cell>
          <cell r="C122">
            <v>34.840000152587891</v>
          </cell>
          <cell r="D122">
            <v>39.814833324432357</v>
          </cell>
        </row>
        <row r="123">
          <cell r="B123">
            <v>44468</v>
          </cell>
          <cell r="C123">
            <v>34.360000610351563</v>
          </cell>
          <cell r="D123">
            <v>39.769752062332515</v>
          </cell>
        </row>
        <row r="124">
          <cell r="B124">
            <v>44469</v>
          </cell>
          <cell r="C124">
            <v>35.020000457763672</v>
          </cell>
          <cell r="D124">
            <v>39.730819672131133</v>
          </cell>
        </row>
        <row r="125">
          <cell r="B125" t="str">
            <v xml:space="preserve">2021/10/8
</v>
          </cell>
          <cell r="C125">
            <v>35.279998779296875</v>
          </cell>
          <cell r="D125">
            <v>39.694634136417029</v>
          </cell>
        </row>
        <row r="126">
          <cell r="B126" t="str">
            <v xml:space="preserve">2021/10/11
</v>
          </cell>
          <cell r="C126">
            <v>35.009998321533203</v>
          </cell>
          <cell r="D126">
            <v>39.656854815329261</v>
          </cell>
        </row>
        <row r="127">
          <cell r="B127" t="str">
            <v xml:space="preserve">2021/10/12
</v>
          </cell>
          <cell r="C127">
            <v>34.529998779296875</v>
          </cell>
          <cell r="D127">
            <v>39.615839967040998</v>
          </cell>
        </row>
        <row r="128">
          <cell r="B128" t="str">
            <v xml:space="preserve">2021/10/13
</v>
          </cell>
          <cell r="C128">
            <v>35.150001525878906</v>
          </cell>
          <cell r="D128">
            <v>39.580396804809553</v>
          </cell>
        </row>
        <row r="129">
          <cell r="B129" t="str">
            <v xml:space="preserve">2021/10/14
</v>
          </cell>
          <cell r="C129">
            <v>35.139999389648437</v>
          </cell>
          <cell r="D129">
            <v>39.545433045635058</v>
          </cell>
        </row>
        <row r="130">
          <cell r="B130" t="str">
            <v xml:space="preserve">2021/10/15
</v>
          </cell>
          <cell r="C130">
            <v>35.619998931884766</v>
          </cell>
          <cell r="D130">
            <v>39.514765591621384</v>
          </cell>
        </row>
        <row r="131">
          <cell r="B131" t="str">
            <v xml:space="preserve">2021/10/18
</v>
          </cell>
          <cell r="C131">
            <v>35.540000915527344</v>
          </cell>
          <cell r="D131">
            <v>39.483953462349334</v>
          </cell>
        </row>
        <row r="132">
          <cell r="B132" t="str">
            <v xml:space="preserve">2021/10/19
</v>
          </cell>
          <cell r="C132">
            <v>35.770000457763672</v>
          </cell>
          <cell r="D132">
            <v>39.455384593083295</v>
          </cell>
        </row>
        <row r="133">
          <cell r="B133" t="str">
            <v xml:space="preserve">2021/10/20
</v>
          </cell>
          <cell r="C133">
            <v>35.529998779296875</v>
          </cell>
          <cell r="D133">
            <v>39.425419815878818</v>
          </cell>
        </row>
        <row r="134">
          <cell r="B134" t="str">
            <v xml:space="preserve">2021/10/21
</v>
          </cell>
          <cell r="C134">
            <v>35.619998931884766</v>
          </cell>
          <cell r="D134">
            <v>39.39659086978795</v>
          </cell>
        </row>
        <row r="135">
          <cell r="B135" t="str">
            <v xml:space="preserve">2021/10/22
</v>
          </cell>
          <cell r="C135">
            <v>36.009998321533203</v>
          </cell>
          <cell r="D135">
            <v>39.371127767921372</v>
          </cell>
        </row>
        <row r="136">
          <cell r="B136" t="str">
            <v xml:space="preserve">2021/10/25
</v>
          </cell>
          <cell r="C136">
            <v>36.319999694824219</v>
          </cell>
          <cell r="D136">
            <v>39.348358155435577</v>
          </cell>
        </row>
        <row r="137">
          <cell r="B137" t="str">
            <v xml:space="preserve">2021/10/26
</v>
          </cell>
          <cell r="C137">
            <v>36.299999237060547</v>
          </cell>
          <cell r="D137">
            <v>39.32577771900317</v>
          </cell>
        </row>
        <row r="138">
          <cell r="B138" t="str">
            <v xml:space="preserve">2021/10/27
</v>
          </cell>
          <cell r="C138">
            <v>35.990001678466797</v>
          </cell>
          <cell r="D138">
            <v>39.301249953999225</v>
          </cell>
        </row>
        <row r="139">
          <cell r="B139">
            <v>44497</v>
          </cell>
          <cell r="C139">
            <v>35.729999542236328</v>
          </cell>
          <cell r="D139">
            <v>39.275182432745481</v>
          </cell>
        </row>
        <row r="140">
          <cell r="B140">
            <v>44498</v>
          </cell>
          <cell r="C140">
            <v>36.299999237060547</v>
          </cell>
          <cell r="D140">
            <v>39.253623134226025</v>
          </cell>
        </row>
        <row r="141">
          <cell r="B141" t="str">
            <v xml:space="preserve">2021/11/1
</v>
          </cell>
          <cell r="C141">
            <v>34.930000305175781</v>
          </cell>
          <cell r="D141">
            <v>39.222517934017027</v>
          </cell>
        </row>
        <row r="142">
          <cell r="B142" t="str">
            <v xml:space="preserve">2021/11/2
</v>
          </cell>
          <cell r="C142">
            <v>34.909999847412109</v>
          </cell>
          <cell r="D142">
            <v>39.191714233398422</v>
          </cell>
        </row>
        <row r="143">
          <cell r="B143" t="str">
            <v xml:space="preserve">2021/11/3
</v>
          </cell>
          <cell r="C143">
            <v>34.630001068115234</v>
          </cell>
          <cell r="D143">
            <v>39.159361657758119</v>
          </cell>
        </row>
        <row r="144">
          <cell r="B144" t="str">
            <v xml:space="preserve">2021/11/4
</v>
          </cell>
          <cell r="C144">
            <v>35.090000152587891</v>
          </cell>
          <cell r="D144">
            <v>39.130704182369591</v>
          </cell>
        </row>
        <row r="145">
          <cell r="B145" t="str">
            <v xml:space="preserve">2021/11/5
</v>
          </cell>
          <cell r="C145">
            <v>34.900001525878906</v>
          </cell>
          <cell r="D145">
            <v>39.101118849107422</v>
          </cell>
        </row>
        <row r="146">
          <cell r="B146" t="str">
            <v xml:space="preserve">2021/11/8
</v>
          </cell>
          <cell r="C146">
            <v>35.040000915527344</v>
          </cell>
          <cell r="D146">
            <v>39.072916641235338</v>
          </cell>
        </row>
        <row r="147">
          <cell r="B147" t="str">
            <v xml:space="preserve">2021/11/9
</v>
          </cell>
          <cell r="C147">
            <v>35.220001220703125</v>
          </cell>
          <cell r="D147">
            <v>39.046344810748906</v>
          </cell>
        </row>
        <row r="148">
          <cell r="B148" t="str">
            <v xml:space="preserve">2021/11/10
</v>
          </cell>
          <cell r="C148">
            <v>34.990001678466797</v>
          </cell>
          <cell r="D148">
            <v>39.018561638609988</v>
          </cell>
        </row>
        <row r="149">
          <cell r="B149" t="str">
            <v xml:space="preserve">2021/11/11
</v>
          </cell>
          <cell r="C149">
            <v>35.409999847412109</v>
          </cell>
          <cell r="D149">
            <v>38.994013599214085</v>
          </cell>
        </row>
        <row r="150">
          <cell r="B150" t="str">
            <v xml:space="preserve">2021/11/12
</v>
          </cell>
          <cell r="C150">
            <v>35.259998321533203</v>
          </cell>
          <cell r="D150">
            <v>38.968783766256784</v>
          </cell>
        </row>
        <row r="151">
          <cell r="B151" t="str">
            <v xml:space="preserve">2021/11/15
</v>
          </cell>
          <cell r="C151">
            <v>34.950000762939453</v>
          </cell>
          <cell r="D151">
            <v>38.941812068247941</v>
          </cell>
        </row>
        <row r="152">
          <cell r="B152" t="str">
            <v xml:space="preserve">2021/11/16
</v>
          </cell>
          <cell r="C152">
            <v>34.950000762939453</v>
          </cell>
          <cell r="D152">
            <v>38.915199992879216</v>
          </cell>
        </row>
        <row r="153">
          <cell r="B153" t="str">
            <v xml:space="preserve">2021/11/17
</v>
          </cell>
          <cell r="C153">
            <v>35.229999542236328</v>
          </cell>
          <cell r="D153">
            <v>38.890794691881581</v>
          </cell>
        </row>
        <row r="154">
          <cell r="B154" t="str">
            <v xml:space="preserve">2021/11/18
</v>
          </cell>
          <cell r="C154">
            <v>34.840000152587891</v>
          </cell>
          <cell r="D154">
            <v>38.864144727807286</v>
          </cell>
        </row>
        <row r="155">
          <cell r="B155" t="str">
            <v xml:space="preserve">2021/11/19
</v>
          </cell>
          <cell r="C155">
            <v>35.270000457763672</v>
          </cell>
          <cell r="D155">
            <v>38.84065358878739</v>
          </cell>
        </row>
        <row r="156">
          <cell r="B156" t="str">
            <v xml:space="preserve">2021/11/22
</v>
          </cell>
          <cell r="C156">
            <v>35.990001678466797</v>
          </cell>
          <cell r="D156">
            <v>38.822142862096996</v>
          </cell>
        </row>
        <row r="157">
          <cell r="B157" t="str">
            <v xml:space="preserve">2021/11/23
</v>
          </cell>
          <cell r="C157">
            <v>35.680000305175781</v>
          </cell>
          <cell r="D157">
            <v>38.80187097463299</v>
          </cell>
        </row>
        <row r="158">
          <cell r="B158" t="str">
            <v xml:space="preserve">2021/11/24
</v>
          </cell>
          <cell r="C158">
            <v>35.549999237060547</v>
          </cell>
          <cell r="D158">
            <v>38.781025642981881</v>
          </cell>
        </row>
        <row r="159">
          <cell r="B159" t="str">
            <v xml:space="preserve">2021/11/25
</v>
          </cell>
          <cell r="C159">
            <v>35.389999389648437</v>
          </cell>
          <cell r="D159">
            <v>38.759426749648547</v>
          </cell>
        </row>
        <row r="160">
          <cell r="B160" t="str">
            <v xml:space="preserve">2021/11/26
</v>
          </cell>
          <cell r="C160">
            <v>35.189998626708984</v>
          </cell>
          <cell r="D160">
            <v>38.736835432414757</v>
          </cell>
        </row>
        <row r="161">
          <cell r="B161">
            <v>44529</v>
          </cell>
          <cell r="C161">
            <v>35.409999847412109</v>
          </cell>
          <cell r="D161">
            <v>38.715911938169455</v>
          </cell>
        </row>
        <row r="162">
          <cell r="B162">
            <v>44530</v>
          </cell>
          <cell r="C162">
            <v>35.450000762939453</v>
          </cell>
          <cell r="D162">
            <v>38.695499993324269</v>
          </cell>
        </row>
        <row r="163">
          <cell r="B163">
            <v>44531</v>
          </cell>
          <cell r="C163">
            <v>35.279998779296875</v>
          </cell>
          <cell r="D163">
            <v>38.67428570006944</v>
          </cell>
        </row>
        <row r="164">
          <cell r="B164">
            <v>44532</v>
          </cell>
          <cell r="C164">
            <v>35.220001220703125</v>
          </cell>
          <cell r="D164">
            <v>38.652962956369649</v>
          </cell>
        </row>
        <row r="165">
          <cell r="B165">
            <v>44533</v>
          </cell>
          <cell r="C165">
            <v>35.319999694824219</v>
          </cell>
          <cell r="D165">
            <v>38.632515328998203</v>
          </cell>
        </row>
        <row r="166">
          <cell r="B166">
            <v>44536</v>
          </cell>
          <cell r="C166">
            <v>34.939998626708984</v>
          </cell>
          <cell r="D166">
            <v>38.609999983252536</v>
          </cell>
        </row>
        <row r="167">
          <cell r="B167">
            <v>44537</v>
          </cell>
          <cell r="C167">
            <v>34.709999084472656</v>
          </cell>
          <cell r="D167">
            <v>38.586363614169024</v>
          </cell>
        </row>
        <row r="168">
          <cell r="B168">
            <v>44538</v>
          </cell>
          <cell r="C168">
            <v>35.330001831054688</v>
          </cell>
          <cell r="D168">
            <v>38.566746976921344</v>
          </cell>
        </row>
        <row r="169">
          <cell r="B169">
            <v>44539</v>
          </cell>
          <cell r="C169">
            <v>35.869998931884766</v>
          </cell>
          <cell r="D169">
            <v>38.5505987850349</v>
          </cell>
        </row>
        <row r="170">
          <cell r="B170">
            <v>44540</v>
          </cell>
          <cell r="C170">
            <v>35.860000610351563</v>
          </cell>
          <cell r="D170">
            <v>38.534583319709405</v>
          </cell>
        </row>
        <row r="171">
          <cell r="B171">
            <v>44543</v>
          </cell>
          <cell r="C171">
            <v>35.860000610351563</v>
          </cell>
          <cell r="D171">
            <v>38.518757386517933</v>
          </cell>
        </row>
        <row r="172">
          <cell r="B172">
            <v>44544</v>
          </cell>
          <cell r="C172">
            <v>35.599998474121094</v>
          </cell>
          <cell r="D172">
            <v>38.501588216445015</v>
          </cell>
        </row>
        <row r="173">
          <cell r="B173">
            <v>44545</v>
          </cell>
          <cell r="C173">
            <v>35.290000915527344</v>
          </cell>
          <cell r="D173">
            <v>38.482807004158943</v>
          </cell>
        </row>
        <row r="174">
          <cell r="B174">
            <v>44546</v>
          </cell>
          <cell r="C174">
            <v>35.520000457763672</v>
          </cell>
          <cell r="D174">
            <v>38.465581384703157</v>
          </cell>
        </row>
        <row r="175">
          <cell r="B175">
            <v>44547</v>
          </cell>
          <cell r="C175">
            <v>34.939998626708984</v>
          </cell>
          <cell r="D175">
            <v>38.445202293616489</v>
          </cell>
        </row>
        <row r="176">
          <cell r="B176">
            <v>44550</v>
          </cell>
          <cell r="C176">
            <v>34.099998474121094</v>
          </cell>
          <cell r="D176">
            <v>38.420229857872258</v>
          </cell>
        </row>
        <row r="177">
          <cell r="B177">
            <v>44551</v>
          </cell>
          <cell r="C177">
            <v>34.439998626708984</v>
          </cell>
          <cell r="D177">
            <v>38.397485679408469</v>
          </cell>
        </row>
        <row r="178">
          <cell r="B178">
            <v>44552</v>
          </cell>
          <cell r="C178">
            <v>34.689998626708984</v>
          </cell>
          <cell r="D178">
            <v>38.376420412063588</v>
          </cell>
        </row>
        <row r="179">
          <cell r="B179">
            <v>44553</v>
          </cell>
          <cell r="C179">
            <v>34.810001373291016</v>
          </cell>
          <cell r="D179">
            <v>38.356271151957529</v>
          </cell>
        </row>
        <row r="180">
          <cell r="B180">
            <v>44554</v>
          </cell>
          <cell r="C180">
            <v>34.290000915527344</v>
          </cell>
          <cell r="D180">
            <v>38.333426937146122</v>
          </cell>
        </row>
        <row r="181">
          <cell r="B181">
            <v>44557</v>
          </cell>
          <cell r="C181">
            <v>34.360000610351563</v>
          </cell>
          <cell r="D181">
            <v>38.311229024705931</v>
          </cell>
        </row>
        <row r="182">
          <cell r="B182">
            <v>44558</v>
          </cell>
          <cell r="C182">
            <v>34.650001525878906</v>
          </cell>
          <cell r="D182">
            <v>38.290888871934669</v>
          </cell>
        </row>
        <row r="183">
          <cell r="B183">
            <v>44559</v>
          </cell>
          <cell r="C183">
            <v>34.259998321533203</v>
          </cell>
          <cell r="D183">
            <v>38.268618758396535</v>
          </cell>
        </row>
        <row r="184">
          <cell r="B184">
            <v>44560</v>
          </cell>
          <cell r="C184">
            <v>34.580001831054687</v>
          </cell>
          <cell r="D184">
            <v>38.248351632422136</v>
          </cell>
        </row>
        <row r="185">
          <cell r="B185">
            <v>44561</v>
          </cell>
          <cell r="C185">
            <v>34.630001068115234</v>
          </cell>
          <cell r="D185">
            <v>38.2285792249669</v>
          </cell>
        </row>
        <row r="186">
          <cell r="B186" t="str">
            <v xml:space="preserve">2022/1/4
</v>
          </cell>
          <cell r="C186">
            <v>34.229999542236328</v>
          </cell>
          <cell r="D186">
            <v>38.206847813647713</v>
          </cell>
        </row>
        <row r="187">
          <cell r="B187" t="str">
            <v xml:space="preserve">2022/1/5
</v>
          </cell>
          <cell r="C187">
            <v>33.459999084472656</v>
          </cell>
          <cell r="D187">
            <v>38.18118917186839</v>
          </cell>
        </row>
        <row r="188">
          <cell r="B188" t="str">
            <v xml:space="preserve">2022/1/6
</v>
          </cell>
          <cell r="C188">
            <v>33.099998474121094</v>
          </cell>
          <cell r="D188">
            <v>38.153870942310611</v>
          </cell>
        </row>
        <row r="189">
          <cell r="B189" t="str">
            <v xml:space="preserve">2022/1/7
</v>
          </cell>
          <cell r="C189">
            <v>33.049999237060547</v>
          </cell>
          <cell r="D189">
            <v>38.126577510731735</v>
          </cell>
        </row>
        <row r="190">
          <cell r="B190" t="str">
            <v xml:space="preserve">2022/1/10
</v>
          </cell>
          <cell r="C190">
            <v>33.139999389648437</v>
          </cell>
          <cell r="D190">
            <v>38.100053159023844</v>
          </cell>
        </row>
        <row r="191">
          <cell r="B191" t="str">
            <v xml:space="preserve">2022/1/11
</v>
          </cell>
          <cell r="C191">
            <v>32.65</v>
          </cell>
          <cell r="D191">
            <v>38.071216898923183</v>
          </cell>
        </row>
        <row r="192">
          <cell r="B192" t="str">
            <v xml:space="preserve">2022/1/12
</v>
          </cell>
          <cell r="C192">
            <v>33.209999084472656</v>
          </cell>
          <cell r="D192">
            <v>38.045631542005026</v>
          </cell>
        </row>
        <row r="193">
          <cell r="B193" t="str">
            <v xml:space="preserve">2022/1/13
</v>
          </cell>
          <cell r="C193">
            <v>32.6</v>
          </cell>
          <cell r="D193">
            <v>38.017120382099243</v>
          </cell>
        </row>
        <row r="194">
          <cell r="B194" t="str">
            <v xml:space="preserve">2022/1/14
</v>
          </cell>
          <cell r="C194">
            <v>32.770000457763672</v>
          </cell>
          <cell r="D194">
            <v>37.989791632493329</v>
          </cell>
        </row>
        <row r="195">
          <cell r="B195" t="str">
            <v xml:space="preserve">2022/1/17
</v>
          </cell>
          <cell r="C195">
            <v>33.340000152587891</v>
          </cell>
          <cell r="D195">
            <v>37.96569944865962</v>
          </cell>
        </row>
        <row r="196">
          <cell r="B196" t="str">
            <v xml:space="preserve">2022/1/18
</v>
          </cell>
          <cell r="C196">
            <v>33.340000152587891</v>
          </cell>
          <cell r="D196">
            <v>37.941855637855127</v>
          </cell>
        </row>
        <row r="197">
          <cell r="B197" t="str">
            <v xml:space="preserve">2022/1/19
</v>
          </cell>
          <cell r="C197">
            <v>32.729999542236328</v>
          </cell>
          <cell r="D197">
            <v>37.915128170698104</v>
          </cell>
        </row>
        <row r="198">
          <cell r="B198" t="str">
            <v xml:space="preserve">2022/1/20
</v>
          </cell>
          <cell r="C198">
            <v>32.819999694824219</v>
          </cell>
          <cell r="D198">
            <v>37.889132617249771</v>
          </cell>
        </row>
        <row r="199">
          <cell r="B199" t="str">
            <v xml:space="preserve">2022/1/21
</v>
          </cell>
          <cell r="C199">
            <v>32.400001525878906</v>
          </cell>
          <cell r="D199">
            <v>37.8612690076489</v>
          </cell>
        </row>
        <row r="200">
          <cell r="B200" t="str">
            <v xml:space="preserve">2022/1/24
</v>
          </cell>
          <cell r="C200">
            <v>32.590000152587891</v>
          </cell>
          <cell r="D200">
            <v>37.834646437673847</v>
          </cell>
        </row>
        <row r="201">
          <cell r="B201" t="str">
            <v xml:space="preserve">2022/1/25
</v>
          </cell>
          <cell r="C201">
            <v>31.819999694824219</v>
          </cell>
          <cell r="D201">
            <v>37.804422082182143</v>
          </cell>
        </row>
        <row r="202">
          <cell r="B202" t="str">
            <v xml:space="preserve">2022/1/26
</v>
          </cell>
          <cell r="C202">
            <v>32.119998931884766</v>
          </cell>
          <cell r="D202">
            <v>37.775999966430653</v>
          </cell>
        </row>
        <row r="203">
          <cell r="B203">
            <v>44588</v>
          </cell>
          <cell r="C203">
            <v>31.159999847412109</v>
          </cell>
          <cell r="D203">
            <v>37.74308454295295</v>
          </cell>
        </row>
        <row r="204">
          <cell r="B204">
            <v>44589</v>
          </cell>
          <cell r="C204">
            <v>31.020000457763672</v>
          </cell>
          <cell r="D204">
            <v>37.709801948471814</v>
          </cell>
        </row>
        <row r="205">
          <cell r="B205" t="str">
            <v xml:space="preserve">2022/2/7
</v>
          </cell>
          <cell r="C205">
            <v>31.209999084472656</v>
          </cell>
          <cell r="D205">
            <v>37.677783215151621</v>
          </cell>
        </row>
        <row r="206">
          <cell r="B206" t="str">
            <v xml:space="preserve">2022/2/8
</v>
          </cell>
          <cell r="C206">
            <v>30.620000839233398</v>
          </cell>
          <cell r="D206">
            <v>37.643186242720653</v>
          </cell>
        </row>
        <row r="207">
          <cell r="B207" t="str">
            <v xml:space="preserve">2022/2/9
</v>
          </cell>
          <cell r="C207">
            <v>31.010000228881836</v>
          </cell>
          <cell r="D207">
            <v>37.610829237775093</v>
          </cell>
        </row>
        <row r="208">
          <cell r="B208" t="str">
            <v xml:space="preserve">2022/2/10
</v>
          </cell>
          <cell r="C208">
            <v>30.559999465942383</v>
          </cell>
          <cell r="D208">
            <v>37.576601908785619</v>
          </cell>
        </row>
        <row r="209">
          <cell r="B209" t="str">
            <v xml:space="preserve">2022/2/11
</v>
          </cell>
          <cell r="C209">
            <v>29.899999618530273</v>
          </cell>
          <cell r="D209">
            <v>37.539516873566988</v>
          </cell>
        </row>
        <row r="210">
          <cell r="B210" t="str">
            <v xml:space="preserve">2022/2/14
</v>
          </cell>
          <cell r="C210">
            <v>29.850000381469727</v>
          </cell>
          <cell r="D210">
            <v>37.502548044278065</v>
          </cell>
        </row>
        <row r="211">
          <cell r="B211" t="str">
            <v xml:space="preserve">2022/2/15
</v>
          </cell>
          <cell r="C211">
            <v>30.559999465942383</v>
          </cell>
          <cell r="D211">
            <v>37.46933010849655</v>
          </cell>
        </row>
        <row r="212">
          <cell r="B212" t="str">
            <v xml:space="preserve">2022/2/16
</v>
          </cell>
          <cell r="C212">
            <v>30.620000839233398</v>
          </cell>
          <cell r="D212">
            <v>37.43671425483339</v>
          </cell>
        </row>
        <row r="213">
          <cell r="B213" t="str">
            <v xml:space="preserve">2022/2/17
</v>
          </cell>
          <cell r="C213">
            <v>30.770000457763672</v>
          </cell>
          <cell r="D213">
            <v>37.405118454847283</v>
          </cell>
        </row>
        <row r="214">
          <cell r="B214" t="str">
            <v xml:space="preserve">2022/2/18
</v>
          </cell>
          <cell r="C214">
            <v>30.719999313354492</v>
          </cell>
          <cell r="D214">
            <v>37.373584873991184</v>
          </cell>
        </row>
        <row r="215">
          <cell r="B215" t="str">
            <v xml:space="preserve">2022/2/21
</v>
          </cell>
          <cell r="C215">
            <v>30.639999389648438</v>
          </cell>
          <cell r="D215">
            <v>37.3419717965999</v>
          </cell>
        </row>
        <row r="216">
          <cell r="B216" t="str">
            <v xml:space="preserve">2022/2/22
</v>
          </cell>
          <cell r="C216">
            <v>30.190000534057617</v>
          </cell>
          <cell r="D216">
            <v>37.308551370139426</v>
          </cell>
        </row>
        <row r="217">
          <cell r="B217" t="str">
            <v xml:space="preserve">2022/2/23
</v>
          </cell>
          <cell r="C217">
            <v>30.989999771118164</v>
          </cell>
          <cell r="D217">
            <v>37.279162758050951</v>
          </cell>
        </row>
        <row r="218">
          <cell r="B218" t="str">
            <v xml:space="preserve">2022/2/24
</v>
          </cell>
          <cell r="C218">
            <v>30.340000152587891</v>
          </cell>
          <cell r="D218">
            <v>37.247037005247883</v>
          </cell>
        </row>
        <row r="219">
          <cell r="B219">
            <v>44617</v>
          </cell>
          <cell r="C219">
            <v>30.899999618530273</v>
          </cell>
          <cell r="D219">
            <v>37.217787985032594</v>
          </cell>
        </row>
        <row r="220">
          <cell r="B220">
            <v>44620</v>
          </cell>
          <cell r="C220">
            <v>30.969999313354492</v>
          </cell>
          <cell r="D220">
            <v>37.189128403969853</v>
          </cell>
        </row>
        <row r="221">
          <cell r="B221" t="str">
            <v xml:space="preserve">2022/3/1
</v>
          </cell>
          <cell r="C221">
            <v>30.940000534057617</v>
          </cell>
          <cell r="D221">
            <v>37.16059357351363</v>
          </cell>
        </row>
        <row r="222">
          <cell r="B222" t="str">
            <v xml:space="preserve">2022/3/2
</v>
          </cell>
          <cell r="C222">
            <v>30.459999084472656</v>
          </cell>
          <cell r="D222">
            <v>37.130136325836176</v>
          </cell>
        </row>
        <row r="223">
          <cell r="B223" t="str">
            <v xml:space="preserve">2022/3/3
</v>
          </cell>
          <cell r="C223">
            <v>30.090000152587891</v>
          </cell>
          <cell r="D223">
            <v>37.098280506047722</v>
          </cell>
        </row>
        <row r="224">
          <cell r="B224" t="str">
            <v xml:space="preserve">2022/3/4
</v>
          </cell>
          <cell r="C224">
            <v>29.610000610351563</v>
          </cell>
          <cell r="D224">
            <v>37.064549515526565</v>
          </cell>
        </row>
        <row r="225">
          <cell r="B225" t="str">
            <v xml:space="preserve">2022/3/7
</v>
          </cell>
          <cell r="C225">
            <v>28.340000152587891</v>
          </cell>
          <cell r="D225">
            <v>37.025425975782447</v>
          </cell>
        </row>
        <row r="226">
          <cell r="B226" t="str">
            <v xml:space="preserve">2022/3/8
</v>
          </cell>
          <cell r="C226">
            <v>27.709999084472656</v>
          </cell>
          <cell r="D226">
            <v>36.983839248589099</v>
          </cell>
        </row>
        <row r="227">
          <cell r="B227" t="str">
            <v xml:space="preserve">2022/3/9
</v>
          </cell>
          <cell r="C227">
            <v>27.540000915527344</v>
          </cell>
          <cell r="D227">
            <v>36.94186663377549</v>
          </cell>
        </row>
        <row r="228">
          <cell r="B228" t="str">
            <v xml:space="preserve">2022/3/10
</v>
          </cell>
          <cell r="C228">
            <v>28.209999084472656</v>
          </cell>
          <cell r="D228">
            <v>36.903230051698927</v>
          </cell>
        </row>
        <row r="229">
          <cell r="B229" t="str">
            <v xml:space="preserve">2022/3/11
</v>
          </cell>
          <cell r="C229">
            <v>28.450000762939453</v>
          </cell>
          <cell r="D229">
            <v>36.865991156153733</v>
          </cell>
        </row>
        <row r="230">
          <cell r="B230" t="str">
            <v xml:space="preserve">2022/3/14
</v>
          </cell>
          <cell r="C230">
            <v>27.479999542236328</v>
          </cell>
          <cell r="D230">
            <v>36.824824526268131</v>
          </cell>
        </row>
        <row r="231">
          <cell r="B231" t="str">
            <v xml:space="preserve">2022/3/15
</v>
          </cell>
          <cell r="C231">
            <v>26.540000915527344</v>
          </cell>
          <cell r="D231">
            <v>36.779912632771449</v>
          </cell>
        </row>
        <row r="232">
          <cell r="B232" t="str">
            <v xml:space="preserve">2022/3/16
</v>
          </cell>
          <cell r="C232">
            <v>27.680000305175781</v>
          </cell>
          <cell r="D232">
            <v>36.740347796564507</v>
          </cell>
        </row>
        <row r="233">
          <cell r="B233" t="str">
            <v xml:space="preserve">2022/3/17
</v>
          </cell>
          <cell r="C233">
            <v>28.430000305175781</v>
          </cell>
          <cell r="D233">
            <v>36.704372266298755</v>
          </cell>
        </row>
        <row r="234">
          <cell r="B234" t="str">
            <v xml:space="preserve">2022/3/18
</v>
          </cell>
          <cell r="C234">
            <v>28.340000152587891</v>
          </cell>
          <cell r="D234">
            <v>36.668318938222413</v>
          </cell>
        </row>
        <row r="235">
          <cell r="B235" t="str">
            <v xml:space="preserve">2022/3/21
</v>
          </cell>
          <cell r="C235">
            <v>28.520000457763672</v>
          </cell>
          <cell r="D235">
            <v>36.633347614271948</v>
          </cell>
        </row>
        <row r="236">
          <cell r="B236" t="str">
            <v xml:space="preserve">2022/3/22
</v>
          </cell>
          <cell r="C236">
            <v>28.25</v>
          </cell>
          <cell r="D236">
            <v>36.597521342416087</v>
          </cell>
        </row>
        <row r="237">
          <cell r="B237" t="str">
            <v xml:space="preserve">2022/3/23
</v>
          </cell>
          <cell r="C237">
            <v>28.430000305175781</v>
          </cell>
          <cell r="D237">
            <v>36.562765933746981</v>
          </cell>
        </row>
        <row r="238">
          <cell r="B238" t="str">
            <v xml:space="preserve">2022/3/24
</v>
          </cell>
          <cell r="C238">
            <v>28.280000686645508</v>
          </cell>
          <cell r="D238">
            <v>36.527669470835534</v>
          </cell>
        </row>
        <row r="239">
          <cell r="B239" t="str">
            <v xml:space="preserve">2022/3/25
</v>
          </cell>
          <cell r="C239">
            <v>27.610000610351563</v>
          </cell>
          <cell r="D239">
            <v>36.490042176065558</v>
          </cell>
        </row>
        <row r="240">
          <cell r="B240" t="str">
            <v xml:space="preserve">2022/3/28
</v>
          </cell>
          <cell r="C240">
            <v>27.180000305175781</v>
          </cell>
          <cell r="D240">
            <v>36.450924353078626</v>
          </cell>
        </row>
        <row r="241">
          <cell r="B241" t="str">
            <v xml:space="preserve">2022/3/29
</v>
          </cell>
          <cell r="C241">
            <v>27.010000228881836</v>
          </cell>
          <cell r="D241">
            <v>36.4114225785004</v>
          </cell>
        </row>
        <row r="242">
          <cell r="B242">
            <v>44650</v>
          </cell>
          <cell r="C242">
            <v>27.979999542236328</v>
          </cell>
          <cell r="D242">
            <v>36.376291649182626</v>
          </cell>
        </row>
        <row r="243">
          <cell r="B243">
            <v>44651</v>
          </cell>
          <cell r="C243">
            <v>27.639999389648438</v>
          </cell>
          <cell r="D243">
            <v>36.340041473831867</v>
          </cell>
        </row>
        <row r="244">
          <cell r="B244" t="str">
            <v xml:space="preserve">2022/4/1
</v>
          </cell>
          <cell r="C244">
            <v>27.840000152587891</v>
          </cell>
          <cell r="D244">
            <v>36.304917336140775</v>
          </cell>
        </row>
        <row r="245">
          <cell r="B245" t="str">
            <v xml:space="preserve">2022/4/6
</v>
          </cell>
          <cell r="C245">
            <v>27.649999618530273</v>
          </cell>
          <cell r="D245">
            <v>36.269300390800815</v>
          </cell>
        </row>
        <row r="246">
          <cell r="B246" t="str">
            <v xml:space="preserve">2022/4/7
</v>
          </cell>
          <cell r="C246">
            <v>27.200000762939453</v>
          </cell>
          <cell r="D246">
            <v>36.232131130030886</v>
          </cell>
        </row>
        <row r="247">
          <cell r="B247" t="str">
            <v xml:space="preserve">2022/4/8
</v>
          </cell>
          <cell r="C247">
            <v>27.170000076293945</v>
          </cell>
          <cell r="D247">
            <v>36.195142840015635</v>
          </cell>
        </row>
        <row r="248">
          <cell r="B248" t="str">
            <v xml:space="preserve">2022/4/11
</v>
          </cell>
          <cell r="C248">
            <v>26.110000610351563</v>
          </cell>
          <cell r="D248">
            <v>36.154146326886924</v>
          </cell>
        </row>
        <row r="249">
          <cell r="B249" t="str">
            <v xml:space="preserve">2022/4/12
</v>
          </cell>
          <cell r="C249">
            <v>26.620000839233398</v>
          </cell>
          <cell r="D249">
            <v>36.115546547584678</v>
          </cell>
        </row>
        <row r="250">
          <cell r="B250" t="str">
            <v xml:space="preserve">2022/4/13
</v>
          </cell>
          <cell r="C250">
            <v>26.180000305175781</v>
          </cell>
          <cell r="D250">
            <v>36.075483861123352</v>
          </cell>
        </row>
        <row r="251">
          <cell r="B251" t="str">
            <v xml:space="preserve">2022/4/14
</v>
          </cell>
          <cell r="C251">
            <v>26.340000152587891</v>
          </cell>
          <cell r="D251">
            <v>36.036385532976624</v>
          </cell>
        </row>
        <row r="252">
          <cell r="B252" t="str">
            <v xml:space="preserve">2022/4/15
</v>
          </cell>
          <cell r="C252">
            <v>26.209999084472656</v>
          </cell>
          <cell r="D252">
            <v>35.997079987182609</v>
          </cell>
        </row>
        <row r="253">
          <cell r="B253" t="str">
            <v xml:space="preserve">2022/4/18
</v>
          </cell>
          <cell r="C253">
            <v>26.399999618530273</v>
          </cell>
          <cell r="D253">
            <v>35.958844607227817</v>
          </cell>
        </row>
        <row r="254">
          <cell r="B254" t="str">
            <v xml:space="preserve">2022/4/19
</v>
          </cell>
          <cell r="C254">
            <v>26.120000839233398</v>
          </cell>
          <cell r="D254">
            <v>35.919801576402442</v>
          </cell>
        </row>
        <row r="255">
          <cell r="B255" t="str">
            <v xml:space="preserve">2022/4/20
</v>
          </cell>
          <cell r="C255">
            <v>25.469999313354492</v>
          </cell>
          <cell r="D255">
            <v>35.878498010145336</v>
          </cell>
        </row>
        <row r="256">
          <cell r="B256" t="str">
            <v xml:space="preserve">2022/4/21
</v>
          </cell>
          <cell r="C256">
            <v>24.889999389648437</v>
          </cell>
          <cell r="D256">
            <v>35.835236204552828</v>
          </cell>
        </row>
        <row r="257">
          <cell r="B257" t="str">
            <v xml:space="preserve">2022/4/22
</v>
          </cell>
          <cell r="C257">
            <v>24.889999389648437</v>
          </cell>
          <cell r="D257">
            <v>35.792313707239479</v>
          </cell>
        </row>
        <row r="258">
          <cell r="B258" t="str">
            <v xml:space="preserve">2022/4/25
</v>
          </cell>
          <cell r="C258">
            <v>23.450000762939453</v>
          </cell>
          <cell r="D258">
            <v>35.744101547300808</v>
          </cell>
        </row>
        <row r="259">
          <cell r="B259" t="str">
            <v xml:space="preserve">2022/4/26
</v>
          </cell>
          <cell r="C259">
            <v>23.170000076293945</v>
          </cell>
          <cell r="D259">
            <v>35.695175082433074</v>
          </cell>
        </row>
        <row r="260">
          <cell r="B260" t="str">
            <v xml:space="preserve">2022/4/27
</v>
          </cell>
          <cell r="C260">
            <v>24.280000686645508</v>
          </cell>
          <cell r="D260">
            <v>35.650930220433899</v>
          </cell>
        </row>
        <row r="261">
          <cell r="B261">
            <v>44679</v>
          </cell>
          <cell r="C261">
            <v>24.120000839233398</v>
          </cell>
          <cell r="D261">
            <v>35.606409257572125</v>
          </cell>
        </row>
        <row r="262">
          <cell r="B262">
            <v>44680</v>
          </cell>
          <cell r="C262">
            <v>25.129999160766602</v>
          </cell>
          <cell r="D262">
            <v>35.566115372584406</v>
          </cell>
        </row>
        <row r="263">
          <cell r="B263" t="str">
            <v xml:space="preserve">2022/5/5
</v>
          </cell>
          <cell r="C263">
            <v>23.229999542236328</v>
          </cell>
          <cell r="D263">
            <v>35.518850560973881</v>
          </cell>
        </row>
        <row r="264">
          <cell r="B264" t="str">
            <v xml:space="preserve">2022/5/6
</v>
          </cell>
          <cell r="C264">
            <v>22.719999313354492</v>
          </cell>
          <cell r="D264">
            <v>35.469999983692887</v>
          </cell>
        </row>
        <row r="265">
          <cell r="B265" t="str">
            <v xml:space="preserve">2022/5/9
</v>
          </cell>
          <cell r="C265">
            <v>22.459999084472656</v>
          </cell>
          <cell r="D265">
            <v>35.420532299665439</v>
          </cell>
        </row>
        <row r="266">
          <cell r="B266" t="str">
            <v xml:space="preserve">2022/5/10
</v>
          </cell>
          <cell r="C266">
            <v>22.780000686645508</v>
          </cell>
          <cell r="D266">
            <v>35.372651498100964</v>
          </cell>
        </row>
        <row r="267">
          <cell r="B267" t="str">
            <v xml:space="preserve">2022/5/11
</v>
          </cell>
          <cell r="C267">
            <v>23.450000762939453</v>
          </cell>
          <cell r="D267">
            <v>35.327660363251297</v>
          </cell>
        </row>
        <row r="268">
          <cell r="B268" t="str">
            <v xml:space="preserve">2022/5/12
</v>
          </cell>
          <cell r="C268">
            <v>23.370000839233398</v>
          </cell>
          <cell r="D268">
            <v>35.28270675601815</v>
          </cell>
        </row>
        <row r="269">
          <cell r="B269" t="str">
            <v xml:space="preserve">2022/5/13
</v>
          </cell>
          <cell r="C269">
            <v>23.549999237060547</v>
          </cell>
          <cell r="D269">
            <v>35.238764031228044</v>
          </cell>
        </row>
        <row r="270">
          <cell r="B270" t="str">
            <v xml:space="preserve">2022/5/16
</v>
          </cell>
          <cell r="C270">
            <v>23.290000915527344</v>
          </cell>
          <cell r="D270">
            <v>35.194179094229163</v>
          </cell>
        </row>
        <row r="271">
          <cell r="B271" t="str">
            <v xml:space="preserve">2022/5/17
</v>
          </cell>
          <cell r="C271">
            <v>23.729999542236328</v>
          </cell>
          <cell r="D271">
            <v>35.151561326377887</v>
          </cell>
        </row>
        <row r="272">
          <cell r="B272" t="str">
            <v xml:space="preserve">2022/5/18
</v>
          </cell>
          <cell r="C272">
            <v>23.709999084472656</v>
          </cell>
          <cell r="D272">
            <v>35.109185169926391</v>
          </cell>
        </row>
        <row r="273">
          <cell r="B273" t="str">
            <v xml:space="preserve">2022/5/19
</v>
          </cell>
          <cell r="C273">
            <v>23.790000915527344</v>
          </cell>
          <cell r="D273">
            <v>35.067416962345582</v>
          </cell>
        </row>
        <row r="274">
          <cell r="B274" t="str">
            <v xml:space="preserve">2022/5/20
</v>
          </cell>
          <cell r="C274">
            <v>24.17</v>
          </cell>
          <cell r="D274">
            <v>35.027352929395782</v>
          </cell>
        </row>
        <row r="275">
          <cell r="B275" t="str">
            <v xml:space="preserve">2022/5/23
</v>
          </cell>
          <cell r="C275">
            <v>24.049999237060547</v>
          </cell>
          <cell r="D275">
            <v>34.987142842610673</v>
          </cell>
        </row>
        <row r="276">
          <cell r="B276" t="str">
            <v xml:space="preserve">2022/5/24
</v>
          </cell>
          <cell r="C276">
            <v>23.209999084472656</v>
          </cell>
          <cell r="D276">
            <v>34.944160566121113</v>
          </cell>
        </row>
        <row r="277">
          <cell r="B277" t="str">
            <v xml:space="preserve">2022/5/25
</v>
          </cell>
          <cell r="C277">
            <v>23.309999465942383</v>
          </cell>
          <cell r="D277">
            <v>34.901854525756832</v>
          </cell>
        </row>
        <row r="278">
          <cell r="B278" t="str">
            <v xml:space="preserve">2022/5/26
</v>
          </cell>
          <cell r="C278">
            <v>23.329999923706055</v>
          </cell>
          <cell r="D278">
            <v>34.859927516329108</v>
          </cell>
        </row>
        <row r="279">
          <cell r="B279" t="str">
            <v xml:space="preserve">2022/5/27
</v>
          </cell>
          <cell r="C279">
            <v>23.370000839233398</v>
          </cell>
          <cell r="D279">
            <v>34.818447636628399</v>
          </cell>
        </row>
        <row r="280">
          <cell r="B280">
            <v>44711</v>
          </cell>
          <cell r="C280">
            <v>23.639999389648438</v>
          </cell>
          <cell r="D280">
            <v>34.778237391135669</v>
          </cell>
        </row>
        <row r="281">
          <cell r="B281">
            <v>44712</v>
          </cell>
          <cell r="C281">
            <v>24.129999160766602</v>
          </cell>
          <cell r="D281">
            <v>34.740071662711408</v>
          </cell>
        </row>
        <row r="282">
          <cell r="B282" t="str">
            <v xml:space="preserve">2022/6/1
</v>
          </cell>
          <cell r="C282">
            <v>24.309999465942383</v>
          </cell>
          <cell r="D282">
            <v>34.702821404865801</v>
          </cell>
        </row>
        <row r="283">
          <cell r="B283" t="str">
            <v xml:space="preserve">2022/6/2
</v>
          </cell>
          <cell r="C283">
            <v>24.510000228881836</v>
          </cell>
          <cell r="D283">
            <v>34.666548019897888</v>
          </cell>
        </row>
        <row r="284">
          <cell r="B284" t="str">
            <v xml:space="preserve">2022/6/6
</v>
          </cell>
          <cell r="C284">
            <v>25.329999923706055</v>
          </cell>
          <cell r="D284">
            <v>34.633439693315651</v>
          </cell>
        </row>
        <row r="285">
          <cell r="B285" t="str">
            <v xml:space="preserve">2022/6/7
</v>
          </cell>
          <cell r="C285">
            <v>25.270000457763672</v>
          </cell>
          <cell r="D285">
            <v>34.60035333559285</v>
          </cell>
        </row>
        <row r="286">
          <cell r="B286" t="str">
            <v xml:space="preserve">2022/6/8
</v>
          </cell>
          <cell r="C286">
            <v>25.459999084472656</v>
          </cell>
          <cell r="D286">
            <v>34.568168989638203</v>
          </cell>
        </row>
        <row r="287">
          <cell r="B287" t="str">
            <v xml:space="preserve">2022/6/9
</v>
          </cell>
          <cell r="C287">
            <v>24.75</v>
          </cell>
          <cell r="D287">
            <v>34.533719273885083</v>
          </cell>
        </row>
        <row r="288">
          <cell r="B288" t="str">
            <v xml:space="preserve">2022/6/10
</v>
          </cell>
          <cell r="C288">
            <v>25.379999160766602</v>
          </cell>
          <cell r="D288">
            <v>34.501713259503553</v>
          </cell>
        </row>
        <row r="289">
          <cell r="B289" t="str">
            <v xml:space="preserve">2022/6/13
</v>
          </cell>
          <cell r="C289">
            <v>17.149999618530273</v>
          </cell>
          <cell r="D289">
            <v>34.441254326956603</v>
          </cell>
        </row>
        <row r="290">
          <cell r="B290" t="str">
            <v xml:space="preserve">2022/6/14
</v>
          </cell>
          <cell r="C290">
            <v>25.610000610351563</v>
          </cell>
          <cell r="D290">
            <v>34.410590251551724</v>
          </cell>
        </row>
        <row r="291">
          <cell r="B291" t="str">
            <v xml:space="preserve">2022/6/15
</v>
          </cell>
          <cell r="C291">
            <v>25.979999542236328</v>
          </cell>
          <cell r="D291">
            <v>34.381418657401845</v>
          </cell>
        </row>
        <row r="292">
          <cell r="B292" t="str">
            <v xml:space="preserve">2022/6/16
</v>
          </cell>
          <cell r="C292">
            <v>26</v>
          </cell>
          <cell r="D292">
            <v>34.352517213755632</v>
          </cell>
        </row>
        <row r="293">
          <cell r="B293" t="str">
            <v xml:space="preserve">2022/6/17
</v>
          </cell>
          <cell r="C293">
            <v>26.5</v>
          </cell>
          <cell r="D293">
            <v>34.325532618519361</v>
          </cell>
        </row>
        <row r="294">
          <cell r="B294" t="str">
            <v xml:space="preserve">2022/6/20
</v>
          </cell>
          <cell r="C294">
            <v>27.010000228881836</v>
          </cell>
          <cell r="D294">
            <v>34.300479425404163</v>
          </cell>
        </row>
        <row r="295">
          <cell r="B295" t="str">
            <v xml:space="preserve">2022/6/21
</v>
          </cell>
          <cell r="C295">
            <v>26.989999771118164</v>
          </cell>
          <cell r="D295">
            <v>34.275528982898066</v>
          </cell>
        </row>
        <row r="296">
          <cell r="B296" t="str">
            <v xml:space="preserve">2022/6/22
</v>
          </cell>
          <cell r="C296">
            <v>26.600000381469727</v>
          </cell>
          <cell r="D296">
            <v>34.249421742757157</v>
          </cell>
        </row>
        <row r="297">
          <cell r="B297" t="str">
            <v xml:space="preserve">2022/6/23
</v>
          </cell>
          <cell r="C297">
            <v>27.239999771118164</v>
          </cell>
          <cell r="D297">
            <v>34.225660990310921</v>
          </cell>
        </row>
        <row r="298">
          <cell r="B298" t="str">
            <v xml:space="preserve">2022/6/24
</v>
          </cell>
          <cell r="C298">
            <v>27.739999771118164</v>
          </cell>
          <cell r="D298">
            <v>34.203749972678516</v>
          </cell>
        </row>
        <row r="299">
          <cell r="B299" t="str">
            <v xml:space="preserve">2022/6/27
</v>
          </cell>
          <cell r="C299">
            <v>27.870000839233398</v>
          </cell>
          <cell r="D299">
            <v>34.182424218020451</v>
          </cell>
        </row>
        <row r="300">
          <cell r="B300" t="str">
            <v xml:space="preserve">2022/6/28
</v>
          </cell>
          <cell r="C300">
            <v>28.170000076293945</v>
          </cell>
          <cell r="D300">
            <v>34.162248298081771</v>
          </cell>
        </row>
        <row r="301">
          <cell r="B301">
            <v>44741</v>
          </cell>
          <cell r="C301">
            <v>27.510000228881836</v>
          </cell>
          <cell r="D301">
            <v>34.139999976780096</v>
          </cell>
        </row>
        <row r="302">
          <cell r="B302">
            <v>44742</v>
          </cell>
          <cell r="C302">
            <v>27.809999465942383</v>
          </cell>
          <cell r="D302">
            <v>34.118899975077305</v>
          </cell>
        </row>
        <row r="303">
          <cell r="B303" t="str">
            <v xml:space="preserve">2022/7/1
</v>
          </cell>
          <cell r="C303">
            <v>27.639999389648438</v>
          </cell>
          <cell r="D303">
            <v>34.097375388414747</v>
          </cell>
        </row>
        <row r="304">
          <cell r="B304" t="str">
            <v xml:space="preserve">2022/7/4
</v>
          </cell>
          <cell r="C304">
            <v>28.079999923706055</v>
          </cell>
          <cell r="D304">
            <v>34.077450304094526</v>
          </cell>
        </row>
        <row r="305">
          <cell r="B305" t="str">
            <v xml:space="preserve">2022/7/5
</v>
          </cell>
          <cell r="C305">
            <v>27.930000305175781</v>
          </cell>
          <cell r="D305">
            <v>34.057161690236704</v>
          </cell>
        </row>
        <row r="306">
          <cell r="B306" t="str">
            <v xml:space="preserve">2022/7/6
</v>
          </cell>
          <cell r="C306">
            <v>27.709999084472656</v>
          </cell>
          <cell r="D306">
            <v>34.036282865875641</v>
          </cell>
        </row>
        <row r="307">
          <cell r="B307" t="str">
            <v xml:space="preserve">2022/7/7
</v>
          </cell>
          <cell r="C307">
            <v>28.079999923706055</v>
          </cell>
          <cell r="D307">
            <v>34.016754069343939</v>
          </cell>
        </row>
        <row r="308">
          <cell r="B308" t="str">
            <v xml:space="preserve">2022/7/8
</v>
          </cell>
          <cell r="C308">
            <v>27.860000610351563</v>
          </cell>
          <cell r="D308">
            <v>33.996633960000821</v>
          </cell>
        </row>
        <row r="309">
          <cell r="B309" t="str">
            <v xml:space="preserve">2022/7/11
</v>
          </cell>
          <cell r="C309">
            <v>27.280000686645508</v>
          </cell>
          <cell r="D309">
            <v>33.97475567572279</v>
          </cell>
        </row>
        <row r="310">
          <cell r="B310" t="str">
            <v xml:space="preserve">2022/7/12
</v>
          </cell>
          <cell r="C310">
            <v>26.770000457763672</v>
          </cell>
          <cell r="D310">
            <v>33.951363613326819</v>
          </cell>
        </row>
        <row r="311">
          <cell r="B311" t="str">
            <v xml:space="preserve">2022/7/13
</v>
          </cell>
          <cell r="C311">
            <v>27.020000457763672</v>
          </cell>
          <cell r="D311">
            <v>33.928932017354128</v>
          </cell>
        </row>
        <row r="312">
          <cell r="B312" t="str">
            <v xml:space="preserve">2022/7/14
</v>
          </cell>
          <cell r="C312">
            <v>27.459999084472656</v>
          </cell>
          <cell r="D312">
            <v>33.908064491764186</v>
          </cell>
        </row>
        <row r="313">
          <cell r="B313" t="str">
            <v xml:space="preserve">2022/7/15
</v>
          </cell>
          <cell r="C313">
            <v>27.059999465942383</v>
          </cell>
          <cell r="D313">
            <v>33.886044990073444</v>
          </cell>
        </row>
        <row r="314">
          <cell r="B314" t="str">
            <v xml:space="preserve">2022/7/18
</v>
          </cell>
          <cell r="C314">
            <v>27.329999923706055</v>
          </cell>
          <cell r="D314">
            <v>33.865032025117138</v>
          </cell>
        </row>
        <row r="315">
          <cell r="B315" t="str">
            <v xml:space="preserve">2022/7/19
</v>
          </cell>
          <cell r="C315">
            <v>27.049999237060547</v>
          </cell>
          <cell r="D315">
            <v>33.843258757423662</v>
          </cell>
        </row>
        <row r="316">
          <cell r="B316" t="str">
            <v xml:space="preserve">2022/7/20
</v>
          </cell>
          <cell r="C316">
            <v>27.120000839233398</v>
          </cell>
          <cell r="D316">
            <v>33.821847108002672</v>
          </cell>
        </row>
        <row r="317">
          <cell r="B317" t="str">
            <v xml:space="preserve">2022/7/21
</v>
          </cell>
          <cell r="C317">
            <v>26.889999389648437</v>
          </cell>
          <cell r="D317">
            <v>33.799841242230123</v>
          </cell>
        </row>
        <row r="318">
          <cell r="B318" t="str">
            <v xml:space="preserve">2022/7/22
</v>
          </cell>
          <cell r="C318">
            <v>26.799999237060547</v>
          </cell>
          <cell r="D318">
            <v>33.777689843479585</v>
          </cell>
        </row>
        <row r="319">
          <cell r="B319" t="str">
            <v xml:space="preserve">2022/7/25
</v>
          </cell>
          <cell r="C319">
            <v>26.569999694824219</v>
          </cell>
          <cell r="D319">
            <v>33.754952650581622</v>
          </cell>
        </row>
        <row r="320">
          <cell r="B320" t="str">
            <v xml:space="preserve">2022/7/26
</v>
          </cell>
          <cell r="C320">
            <v>26.709999084472656</v>
          </cell>
          <cell r="D320">
            <v>33.732798708549829</v>
          </cell>
        </row>
        <row r="321">
          <cell r="B321" t="str">
            <v xml:space="preserve">2022/7/27
</v>
          </cell>
          <cell r="C321">
            <v>26.620000839233398</v>
          </cell>
          <cell r="D321">
            <v>33.710501536545699</v>
          </cell>
        </row>
        <row r="322">
          <cell r="B322">
            <v>44770</v>
          </cell>
          <cell r="C322">
            <v>26.709999084472656</v>
          </cell>
          <cell r="D322">
            <v>33.688624966382974</v>
          </cell>
        </row>
        <row r="323">
          <cell r="B323">
            <v>44771</v>
          </cell>
          <cell r="C323">
            <v>26.329999923706055</v>
          </cell>
          <cell r="D323">
            <v>33.665700900829464</v>
          </cell>
        </row>
        <row r="324">
          <cell r="B324" t="str">
            <v xml:space="preserve">2022/8/1
</v>
          </cell>
          <cell r="C324">
            <v>26.870000839233398</v>
          </cell>
          <cell r="D324">
            <v>33.64459624225308</v>
          </cell>
        </row>
        <row r="325">
          <cell r="B325" t="str">
            <v xml:space="preserve">2022/8/2
</v>
          </cell>
          <cell r="C325">
            <v>26.34</v>
          </cell>
          <cell r="D325">
            <v>33.621981393205857</v>
          </cell>
        </row>
        <row r="326">
          <cell r="B326" t="str">
            <v xml:space="preserve">2022/8/3
</v>
          </cell>
          <cell r="C326">
            <v>25.96</v>
          </cell>
          <cell r="D326">
            <v>33.598333302486083</v>
          </cell>
        </row>
        <row r="327">
          <cell r="B327" t="str">
            <v xml:space="preserve">2022/8/4
</v>
          </cell>
          <cell r="C327">
            <v>26.08</v>
          </cell>
          <cell r="D327">
            <v>33.575199969247663</v>
          </cell>
        </row>
        <row r="328">
          <cell r="B328" t="str">
            <v xml:space="preserve">2022/8/5
</v>
          </cell>
          <cell r="C328">
            <v>26.459999084472656</v>
          </cell>
          <cell r="D328">
            <v>33.553374199662464</v>
          </cell>
        </row>
        <row r="329">
          <cell r="B329" t="str">
            <v xml:space="preserve">2022/8/8
</v>
          </cell>
          <cell r="C329">
            <v>26.450000762939453</v>
          </cell>
          <cell r="D329">
            <v>33.531651345115911</v>
          </cell>
        </row>
        <row r="330">
          <cell r="B330" t="str">
            <v xml:space="preserve">2022/8/9
</v>
          </cell>
          <cell r="C330">
            <v>26.559999465942383</v>
          </cell>
          <cell r="D330">
            <v>33.510396308898919</v>
          </cell>
        </row>
        <row r="331">
          <cell r="B331" t="str">
            <v xml:space="preserve">2022/8/10
</v>
          </cell>
          <cell r="C331">
            <v>26.200000762939453</v>
          </cell>
          <cell r="D331">
            <v>33.488176261646764</v>
          </cell>
        </row>
        <row r="332">
          <cell r="B332" t="str">
            <v xml:space="preserve">2022/8/11
</v>
          </cell>
          <cell r="C332">
            <v>26.81</v>
          </cell>
          <cell r="D332">
            <v>33.467939363884192</v>
          </cell>
        </row>
        <row r="333">
          <cell r="B333" t="str">
            <v xml:space="preserve">2022/8/12
</v>
          </cell>
          <cell r="C333">
            <v>26.620000839233398</v>
          </cell>
          <cell r="D333">
            <v>33.447250727858055</v>
          </cell>
        </row>
        <row r="334">
          <cell r="B334" t="str">
            <v xml:space="preserve">2022/8/15
</v>
          </cell>
          <cell r="C334">
            <v>26.709999084472656</v>
          </cell>
          <cell r="D334">
            <v>33.426957801221356</v>
          </cell>
        </row>
        <row r="335">
          <cell r="B335" t="str">
            <v xml:space="preserve">2022/8/16
</v>
          </cell>
          <cell r="C335">
            <v>26.719999313354492</v>
          </cell>
          <cell r="D335">
            <v>33.406816784741274</v>
          </cell>
        </row>
        <row r="336">
          <cell r="B336" t="str">
            <v xml:space="preserve">2022/8/17
</v>
          </cell>
          <cell r="C336">
            <v>27.159999847412109</v>
          </cell>
          <cell r="D336">
            <v>33.388113740018731</v>
          </cell>
        </row>
        <row r="337">
          <cell r="B337" t="str">
            <v xml:space="preserve">2022/8/18
</v>
          </cell>
          <cell r="C337">
            <v>27.030000686645508</v>
          </cell>
          <cell r="D337">
            <v>33.369134298068367</v>
          </cell>
        </row>
        <row r="338">
          <cell r="B338" t="str">
            <v xml:space="preserve">2022/8/19
</v>
          </cell>
          <cell r="C338">
            <v>26.559999465942383</v>
          </cell>
          <cell r="D338">
            <v>33.348869015829891</v>
          </cell>
        </row>
        <row r="339">
          <cell r="B339" t="str">
            <v xml:space="preserve">2022/8/22
</v>
          </cell>
          <cell r="C339">
            <v>26.969999313354492</v>
          </cell>
          <cell r="D339">
            <v>33.329940619086642</v>
          </cell>
        </row>
        <row r="340">
          <cell r="B340" t="str">
            <v xml:space="preserve">2022/8/23
</v>
          </cell>
          <cell r="C340">
            <v>26.860000610351562</v>
          </cell>
          <cell r="D340">
            <v>33.310798784741273</v>
          </cell>
        </row>
        <row r="341">
          <cell r="B341" t="str">
            <v xml:space="preserve">2022/8/24
</v>
          </cell>
          <cell r="C341">
            <v>25.950000762939453</v>
          </cell>
          <cell r="D341">
            <v>33.289085516240384</v>
          </cell>
        </row>
        <row r="342">
          <cell r="B342" t="str">
            <v xml:space="preserve">2022/8/25
</v>
          </cell>
          <cell r="C342">
            <v>25.899999618530273</v>
          </cell>
          <cell r="D342">
            <v>33.267352910658886</v>
          </cell>
        </row>
        <row r="343">
          <cell r="B343" t="str">
            <v xml:space="preserve">2022/8/26
</v>
          </cell>
          <cell r="C343">
            <v>25.780000686645508</v>
          </cell>
          <cell r="D343">
            <v>33.245395866013681</v>
          </cell>
        </row>
        <row r="344">
          <cell r="B344" t="str">
            <v xml:space="preserve">2022/8/29
</v>
          </cell>
          <cell r="C344">
            <v>25.620000839233398</v>
          </cell>
          <cell r="D344">
            <v>33.223099389327189</v>
          </cell>
        </row>
        <row r="345">
          <cell r="B345">
            <v>44803</v>
          </cell>
          <cell r="C345">
            <v>25.479999542236328</v>
          </cell>
          <cell r="D345">
            <v>33.20052475420448</v>
          </cell>
        </row>
        <row r="346">
          <cell r="B346">
            <v>44804</v>
          </cell>
          <cell r="C346">
            <v>25.180000305175781</v>
          </cell>
          <cell r="D346">
            <v>33.177209276154976</v>
          </cell>
        </row>
        <row r="347">
          <cell r="B347" t="str">
            <v xml:space="preserve">2022/9/1
</v>
          </cell>
          <cell r="C347">
            <v>24.680000305175781</v>
          </cell>
          <cell r="D347">
            <v>33.152579684934743</v>
          </cell>
        </row>
        <row r="348">
          <cell r="B348" t="str">
            <v xml:space="preserve">2022/9/2
</v>
          </cell>
          <cell r="C348">
            <v>24.6341</v>
          </cell>
          <cell r="D348">
            <v>33.12795980145227</v>
          </cell>
        </row>
        <row r="349">
          <cell r="B349" t="str">
            <v xml:space="preserve">2022/9/5
</v>
          </cell>
          <cell r="C349">
            <v>24.469999313354492</v>
          </cell>
          <cell r="D349">
            <v>33.103008906673892</v>
          </cell>
        </row>
        <row r="350">
          <cell r="B350" t="str">
            <v xml:space="preserve">2022/9/6
</v>
          </cell>
          <cell r="C350">
            <v>24.540000915527344</v>
          </cell>
          <cell r="D350">
            <v>33.078402561871748</v>
          </cell>
        </row>
        <row r="351">
          <cell r="B351" t="str">
            <v xml:space="preserve">2022/9/7
</v>
          </cell>
          <cell r="C351">
            <v>24.780000686645508</v>
          </cell>
          <cell r="D351">
            <v>33.05462490606881</v>
          </cell>
        </row>
        <row r="352">
          <cell r="B352" t="str">
            <v xml:space="preserve">2022/9/8
</v>
          </cell>
          <cell r="C352">
            <v>24.440000534057617</v>
          </cell>
          <cell r="D352">
            <v>33.030011693577343</v>
          </cell>
        </row>
        <row r="353">
          <cell r="B353" t="str">
            <v xml:space="preserve">2022/9/9
</v>
          </cell>
          <cell r="C353">
            <v>24.770099999999999</v>
          </cell>
          <cell r="D353">
            <v>33.006479181629835</v>
          </cell>
        </row>
        <row r="354">
          <cell r="B354" t="str">
            <v xml:space="preserve">2022/9/13
</v>
          </cell>
          <cell r="C354">
            <v>24.93</v>
          </cell>
          <cell r="D354">
            <v>32.983534638500203</v>
          </cell>
        </row>
        <row r="355">
          <cell r="B355" t="str">
            <v xml:space="preserve">2022/9/14
</v>
          </cell>
          <cell r="C355">
            <v>24.52</v>
          </cell>
          <cell r="D355">
            <v>32.959558619694256</v>
          </cell>
        </row>
        <row r="356">
          <cell r="B356" t="str">
            <v xml:space="preserve">2022/9/15
</v>
          </cell>
          <cell r="C356">
            <v>23.94</v>
          </cell>
          <cell r="D356">
            <v>32.934079640542578</v>
          </cell>
        </row>
        <row r="357">
          <cell r="B357" t="str">
            <v xml:space="preserve">2022/9/16
</v>
          </cell>
          <cell r="C357">
            <v>23.5</v>
          </cell>
          <cell r="D357">
            <v>32.907504768315697</v>
          </cell>
        </row>
        <row r="358">
          <cell r="B358" t="str">
            <v xml:space="preserve">2022/9/19
</v>
          </cell>
          <cell r="C358">
            <v>23.5</v>
          </cell>
          <cell r="D358">
            <v>32.881079193123796</v>
          </cell>
        </row>
        <row r="359">
          <cell r="B359" t="str">
            <v xml:space="preserve">2022/9/20
</v>
          </cell>
          <cell r="C359">
            <v>23.5</v>
          </cell>
          <cell r="D359">
            <v>32.854801660369951</v>
          </cell>
        </row>
        <row r="360">
          <cell r="B360" t="str">
            <v xml:space="preserve">2022/9/21
</v>
          </cell>
          <cell r="C360">
            <v>23.33</v>
          </cell>
          <cell r="D360">
            <v>32.828196069139864</v>
          </cell>
        </row>
        <row r="361">
          <cell r="B361" t="str">
            <v xml:space="preserve">2022/9/22
</v>
          </cell>
          <cell r="C361">
            <v>23.05</v>
          </cell>
          <cell r="D361">
            <v>32.800958754184045</v>
          </cell>
        </row>
        <row r="362">
          <cell r="B362" t="str">
            <v xml:space="preserve">2022/9/23
</v>
          </cell>
          <cell r="C362">
            <v>22.91</v>
          </cell>
          <cell r="D362">
            <v>32.773483868755754</v>
          </cell>
        </row>
        <row r="363">
          <cell r="B363" t="str">
            <v xml:space="preserve">2022/9/26
</v>
          </cell>
          <cell r="C363">
            <v>23</v>
          </cell>
          <cell r="D363">
            <v>32.746410506238426</v>
          </cell>
        </row>
        <row r="364">
          <cell r="B364" t="str">
            <v xml:space="preserve">2022/9/27
</v>
          </cell>
          <cell r="C364">
            <v>23.46</v>
          </cell>
          <cell r="D364">
            <v>32.720757438541632</v>
          </cell>
        </row>
        <row r="365">
          <cell r="B365" t="str">
            <v xml:space="preserve">2022/9/28
</v>
          </cell>
          <cell r="C365">
            <v>22.93</v>
          </cell>
          <cell r="D365">
            <v>32.69378565496438</v>
          </cell>
        </row>
        <row r="366">
          <cell r="B366" t="str">
            <v xml:space="preserve">2022/9/29
</v>
          </cell>
          <cell r="C366">
            <v>23.03</v>
          </cell>
          <cell r="D366">
            <v>32.667236793274924</v>
          </cell>
        </row>
        <row r="367">
          <cell r="B367">
            <v>44834</v>
          </cell>
          <cell r="C367">
            <v>22.610000610351563</v>
          </cell>
          <cell r="D367">
            <v>32.639682721540886</v>
          </cell>
        </row>
        <row r="368">
          <cell r="B368" t="str">
            <v xml:space="preserve">2022/10/10
</v>
          </cell>
          <cell r="C368">
            <v>22.040000915527344</v>
          </cell>
          <cell r="D368">
            <v>32.610721842289479</v>
          </cell>
        </row>
        <row r="369">
          <cell r="B369" t="str">
            <v xml:space="preserve">2022/10/11
</v>
          </cell>
          <cell r="C369">
            <v>22.239999771118164</v>
          </cell>
          <cell r="D369">
            <v>32.582463744002908</v>
          </cell>
        </row>
        <row r="370">
          <cell r="B370" t="str">
            <v xml:space="preserve">2022/10/12
</v>
          </cell>
          <cell r="C370">
            <v>22.920000076293945</v>
          </cell>
          <cell r="D370">
            <v>32.5562070492537</v>
          </cell>
        </row>
        <row r="371">
          <cell r="B371" t="str">
            <v xml:space="preserve">2022/10/13
</v>
          </cell>
          <cell r="C371">
            <v>22.850000381469727</v>
          </cell>
          <cell r="D371">
            <v>32.529902966143176</v>
          </cell>
        </row>
        <row r="372">
          <cell r="B372" t="str">
            <v xml:space="preserve">2022/10/14
</v>
          </cell>
          <cell r="C372">
            <v>23.649999618530273</v>
          </cell>
          <cell r="D372">
            <v>32.505903227365842</v>
          </cell>
        </row>
        <row r="373">
          <cell r="B373" t="str">
            <v xml:space="preserve">2022/10/17
</v>
          </cell>
          <cell r="C373">
            <v>23.719999313354492</v>
          </cell>
          <cell r="D373">
            <v>32.48222154565692</v>
          </cell>
        </row>
        <row r="374">
          <cell r="B374" t="str">
            <v xml:space="preserve">2022/10/18
</v>
          </cell>
          <cell r="C374">
            <v>23.850000381469727</v>
          </cell>
          <cell r="D374">
            <v>32.459016650054267</v>
          </cell>
        </row>
        <row r="375">
          <cell r="B375" t="str">
            <v xml:space="preserve">2022/10/19
</v>
          </cell>
          <cell r="C375">
            <v>23.590000152587891</v>
          </cell>
          <cell r="D375">
            <v>32.43523912593237</v>
          </cell>
        </row>
        <row r="376">
          <cell r="B376" t="str">
            <v xml:space="preserve">2022/10/20
</v>
          </cell>
          <cell r="C376">
            <v>23.399999618530273</v>
          </cell>
          <cell r="D376">
            <v>32.411080731527555</v>
          </cell>
        </row>
        <row r="377">
          <cell r="B377" t="str">
            <v xml:space="preserve">2022/10/21
</v>
          </cell>
          <cell r="C377">
            <v>23.340000152587891</v>
          </cell>
          <cell r="D377">
            <v>32.386891183317047</v>
          </cell>
        </row>
        <row r="378">
          <cell r="B378" t="str">
            <v xml:space="preserve">2022/10/24
</v>
          </cell>
          <cell r="C378">
            <v>22.829999923706055</v>
          </cell>
          <cell r="D378">
            <v>32.361473919328724</v>
          </cell>
        </row>
        <row r="379">
          <cell r="B379" t="str">
            <v xml:space="preserve">2022/10/25
</v>
          </cell>
          <cell r="C379">
            <v>22.739999771118164</v>
          </cell>
          <cell r="D379">
            <v>32.335952767741958</v>
          </cell>
        </row>
        <row r="380">
          <cell r="B380" t="str">
            <v xml:space="preserve">2022/10/26
</v>
          </cell>
          <cell r="C380">
            <v>23.180000305175781</v>
          </cell>
          <cell r="D380">
            <v>32.311730671280138</v>
          </cell>
        </row>
        <row r="381">
          <cell r="B381" t="str">
            <v xml:space="preserve">2022/10/27
</v>
          </cell>
          <cell r="C381">
            <v>22.959999084472656</v>
          </cell>
          <cell r="D381">
            <v>32.287055917752944</v>
          </cell>
        </row>
        <row r="382">
          <cell r="B382">
            <v>44862</v>
          </cell>
          <cell r="C382">
            <v>22.139999389648438</v>
          </cell>
          <cell r="D382">
            <v>32.260353137415827</v>
          </cell>
        </row>
        <row r="383">
          <cell r="B383">
            <v>44865</v>
          </cell>
          <cell r="C383">
            <v>22.239999771118164</v>
          </cell>
          <cell r="D383">
            <v>32.234052997346801</v>
          </cell>
        </row>
        <row r="384">
          <cell r="B384" t="str">
            <v xml:space="preserve">2022/11/1
</v>
          </cell>
          <cell r="C384">
            <v>22.270000457763672</v>
          </cell>
          <cell r="D384">
            <v>32.207969090175119</v>
          </cell>
        </row>
        <row r="385">
          <cell r="B385" t="str">
            <v xml:space="preserve">2022/11/2
</v>
          </cell>
          <cell r="C385">
            <v>22.600000381469727</v>
          </cell>
          <cell r="D385">
            <v>32.182883009995734</v>
          </cell>
        </row>
        <row r="386">
          <cell r="B386" t="str">
            <v xml:space="preserve">2022/11/3
</v>
          </cell>
          <cell r="C386">
            <v>22.479999542236328</v>
          </cell>
          <cell r="D386">
            <v>32.157615084298442</v>
          </cell>
        </row>
        <row r="387">
          <cell r="B387" t="str">
            <v xml:space="preserve">2022/11/4
</v>
          </cell>
          <cell r="C387">
            <v>23.200000762939453</v>
          </cell>
          <cell r="D387">
            <v>32.134348553593611</v>
          </cell>
        </row>
        <row r="388">
          <cell r="B388" t="str">
            <v xml:space="preserve">2022/11/7
</v>
          </cell>
          <cell r="C388">
            <v>23.190000534057617</v>
          </cell>
          <cell r="D388">
            <v>32.111176667532639</v>
          </cell>
        </row>
        <row r="389">
          <cell r="B389" t="str">
            <v xml:space="preserve">2022/11/8
</v>
          </cell>
          <cell r="C389">
            <v>23.030000686645508</v>
          </cell>
          <cell r="D389">
            <v>32.087711096522597</v>
          </cell>
        </row>
        <row r="390">
          <cell r="B390" t="str">
            <v xml:space="preserve">2022/11/9
</v>
          </cell>
          <cell r="C390">
            <v>22.760000228881836</v>
          </cell>
          <cell r="D390">
            <v>32.063670604595686</v>
          </cell>
        </row>
        <row r="391">
          <cell r="B391" t="str">
            <v xml:space="preserve">2022/11/10
</v>
          </cell>
          <cell r="C391">
            <v>22.319999694824219</v>
          </cell>
          <cell r="D391">
            <v>32.038622607398331</v>
          </cell>
        </row>
        <row r="392">
          <cell r="B392" t="str">
            <v xml:space="preserve">2022/11/11
</v>
          </cell>
          <cell r="C392">
            <v>22.870000839233398</v>
          </cell>
          <cell r="D392">
            <v>32.015113320813292</v>
          </cell>
        </row>
        <row r="393">
          <cell r="B393" t="str">
            <v xml:space="preserve">2022/11/14
</v>
          </cell>
          <cell r="C393">
            <v>22.889999389648437</v>
          </cell>
          <cell r="D393">
            <v>31.991775433521308</v>
          </cell>
        </row>
        <row r="394">
          <cell r="B394" t="str">
            <v xml:space="preserve">2022/11/15
</v>
          </cell>
          <cell r="C394">
            <v>23.450000762939453</v>
          </cell>
          <cell r="D394">
            <v>31.969985192014722</v>
          </cell>
        </row>
        <row r="395">
          <cell r="B395" t="str">
            <v xml:space="preserve">2022/11/16
</v>
          </cell>
          <cell r="C395">
            <v>23.129999160766602</v>
          </cell>
          <cell r="D395">
            <v>31.947491588881778</v>
          </cell>
        </row>
        <row r="396">
          <cell r="B396" t="str">
            <v xml:space="preserve">2022/11/17
</v>
          </cell>
          <cell r="C396">
            <v>23.010000228881836</v>
          </cell>
          <cell r="D396">
            <v>31.924807600658426</v>
          </cell>
        </row>
        <row r="397">
          <cell r="B397" t="str">
            <v xml:space="preserve">2022/11/18
</v>
          </cell>
          <cell r="C397">
            <v>23.030000686645508</v>
          </cell>
          <cell r="D397">
            <v>31.902289102141939</v>
          </cell>
        </row>
        <row r="398">
          <cell r="B398" t="str">
            <v xml:space="preserve">2022/11/21
</v>
          </cell>
          <cell r="C398">
            <v>23</v>
          </cell>
          <cell r="D398">
            <v>31.879808574106224</v>
          </cell>
        </row>
        <row r="399">
          <cell r="B399" t="str">
            <v xml:space="preserve">2022/11/22
</v>
          </cell>
          <cell r="C399">
            <v>22.649999618530273</v>
          </cell>
          <cell r="D399">
            <v>31.856559685049358</v>
          </cell>
        </row>
        <row r="400">
          <cell r="B400" t="str">
            <v xml:space="preserve">2022/11/23
</v>
          </cell>
          <cell r="C400">
            <v>22.540000915527344</v>
          </cell>
          <cell r="D400">
            <v>31.833151245929958</v>
          </cell>
        </row>
        <row r="401">
          <cell r="B401" t="str">
            <v xml:space="preserve">2022/11/24
</v>
          </cell>
          <cell r="C401">
            <v>22.510000228881836</v>
          </cell>
          <cell r="D401">
            <v>31.809784952654148</v>
          </cell>
        </row>
        <row r="402">
          <cell r="B402" t="str">
            <v xml:space="preserve">2022/11/25
</v>
          </cell>
          <cell r="C402">
            <v>22.360000610351563</v>
          </cell>
          <cell r="D402">
            <v>31.786160491798391</v>
          </cell>
        </row>
        <row r="403">
          <cell r="B403" t="str">
            <v xml:space="preserve">2022/11/28
</v>
          </cell>
          <cell r="C403">
            <v>22.200000762939453</v>
          </cell>
          <cell r="D403">
            <v>31.762254856564329</v>
          </cell>
        </row>
        <row r="404">
          <cell r="B404" t="str">
            <v xml:space="preserve">2022/11/29
</v>
          </cell>
          <cell r="C404">
            <v>22.700000762939453</v>
          </cell>
          <cell r="D404">
            <v>31.739711935933421</v>
          </cell>
        </row>
        <row r="405">
          <cell r="B405">
            <v>44895</v>
          </cell>
          <cell r="C405">
            <v>22.809999465942383</v>
          </cell>
          <cell r="D405">
            <v>31.717553840474388</v>
          </cell>
        </row>
        <row r="406">
          <cell r="B406" t="str">
            <v xml:space="preserve">2022/12/1
</v>
          </cell>
          <cell r="C406">
            <v>23.170000076293945</v>
          </cell>
          <cell r="D406">
            <v>31.696396529176912</v>
          </cell>
        </row>
        <row r="407">
          <cell r="B407" t="str">
            <v xml:space="preserve">2022/12/2
</v>
          </cell>
          <cell r="C407">
            <v>23.030000686645508</v>
          </cell>
          <cell r="D407">
            <v>31.674998020923745</v>
          </cell>
        </row>
        <row r="408">
          <cell r="B408" t="str">
            <v xml:space="preserve">2022/12/5
</v>
          </cell>
          <cell r="C408">
            <v>23.219999313354492</v>
          </cell>
          <cell r="D408">
            <v>31.654172900954364</v>
          </cell>
        </row>
        <row r="409">
          <cell r="B409" t="str">
            <v xml:space="preserve">2022/12/6
</v>
          </cell>
          <cell r="C409">
            <v>23.459999084472656</v>
          </cell>
          <cell r="D409">
            <v>31.634039795754163</v>
          </cell>
        </row>
        <row r="410">
          <cell r="B410" t="str">
            <v xml:space="preserve">2022/12/7
</v>
          </cell>
          <cell r="C410">
            <v>23.649999618530273</v>
          </cell>
          <cell r="D410">
            <v>31.614471069829595</v>
          </cell>
        </row>
        <row r="411">
          <cell r="B411" t="str">
            <v xml:space="preserve">2022/12/8
</v>
          </cell>
          <cell r="C411">
            <v>23.629999160766602</v>
          </cell>
          <cell r="D411">
            <v>31.594949133621618</v>
          </cell>
        </row>
        <row r="412">
          <cell r="B412" t="str">
            <v xml:space="preserve">2022/12/9
</v>
          </cell>
          <cell r="C412">
            <v>23.840000152587891</v>
          </cell>
          <cell r="D412">
            <v>31.576034623911777</v>
          </cell>
        </row>
        <row r="413">
          <cell r="B413" t="str">
            <v xml:space="preserve">2022/12/12
</v>
          </cell>
          <cell r="C413">
            <v>23.600000381469727</v>
          </cell>
          <cell r="D413">
            <v>31.556628214562771</v>
          </cell>
        </row>
        <row r="414">
          <cell r="B414" t="str">
            <v xml:space="preserve">2022/12/13
</v>
          </cell>
          <cell r="C414">
            <v>23.329999923706055</v>
          </cell>
          <cell r="D414">
            <v>31.536660670167489</v>
          </cell>
        </row>
        <row r="415">
          <cell r="B415" t="str">
            <v xml:space="preserve">2022/12/14
</v>
          </cell>
          <cell r="C415">
            <v>23.270000457763672</v>
          </cell>
          <cell r="D415">
            <v>31.516644543745201</v>
          </cell>
        </row>
        <row r="416">
          <cell r="B416" t="str">
            <v xml:space="preserve">2022/12/15
</v>
          </cell>
          <cell r="C416">
            <v>23.5</v>
          </cell>
          <cell r="D416">
            <v>31.497280668035675</v>
          </cell>
        </row>
        <row r="417">
          <cell r="B417" t="str">
            <v xml:space="preserve">2022/12/16
</v>
          </cell>
          <cell r="C417">
            <v>23.350000381469727</v>
          </cell>
          <cell r="D417">
            <v>31.477648667345154</v>
          </cell>
        </row>
        <row r="418">
          <cell r="B418" t="str">
            <v xml:space="preserve">2022/12/19
</v>
          </cell>
          <cell r="C418">
            <v>23.079999923706055</v>
          </cell>
          <cell r="D418">
            <v>31.457462011711407</v>
          </cell>
        </row>
        <row r="419">
          <cell r="B419" t="str">
            <v xml:space="preserve">2022/12/20
</v>
          </cell>
          <cell r="C419">
            <v>22.709999084472656</v>
          </cell>
          <cell r="D419">
            <v>31.43648488238949</v>
          </cell>
        </row>
        <row r="420">
          <cell r="B420" t="str">
            <v xml:space="preserve">2022/12/21
</v>
          </cell>
          <cell r="C420">
            <v>22.610000610351563</v>
          </cell>
          <cell r="D420">
            <v>31.415368891308059</v>
          </cell>
        </row>
        <row r="421">
          <cell r="B421" t="str">
            <v xml:space="preserve">2022/12/22
</v>
          </cell>
          <cell r="C421">
            <v>22.549999237060547</v>
          </cell>
          <cell r="D421">
            <v>31.39421049117859</v>
          </cell>
        </row>
        <row r="422">
          <cell r="B422" t="str">
            <v xml:space="preserve">2022/12/23
</v>
          </cell>
          <cell r="C422">
            <v>22.450000762939453</v>
          </cell>
          <cell r="D422">
            <v>31.372914753730402</v>
          </cell>
        </row>
        <row r="423">
          <cell r="B423" t="str">
            <v xml:space="preserve">2022/12/26
</v>
          </cell>
          <cell r="C423">
            <v>22.790000915527344</v>
          </cell>
          <cell r="D423">
            <v>31.352527784993576</v>
          </cell>
        </row>
        <row r="424">
          <cell r="B424" t="str">
            <v xml:space="preserve">2022/12/27
</v>
          </cell>
          <cell r="C424">
            <v>23</v>
          </cell>
          <cell r="D424">
            <v>31.332735065123924</v>
          </cell>
        </row>
        <row r="425">
          <cell r="B425" t="str">
            <v xml:space="preserve">2022/12/28
</v>
          </cell>
          <cell r="C425">
            <v>22.729999542236328</v>
          </cell>
          <cell r="D425">
            <v>31.312397628899603</v>
          </cell>
        </row>
        <row r="426">
          <cell r="B426">
            <v>44924</v>
          </cell>
          <cell r="C426">
            <v>22.760000228881836</v>
          </cell>
          <cell r="D426">
            <v>31.292226880314654</v>
          </cell>
        </row>
        <row r="427">
          <cell r="B427">
            <v>44925</v>
          </cell>
          <cell r="C427">
            <v>22.739999771118164</v>
          </cell>
          <cell r="D427">
            <v>31.2721039929989</v>
          </cell>
        </row>
        <row r="428">
          <cell r="B428" t="str">
            <v xml:space="preserve">2023/1/3
</v>
          </cell>
          <cell r="C428">
            <v>22.940000534057617</v>
          </cell>
          <cell r="D428">
            <v>31.252545064691525</v>
          </cell>
        </row>
        <row r="429">
          <cell r="B429" t="str">
            <v xml:space="preserve">2023/1/4
</v>
          </cell>
          <cell r="C429">
            <v>22.829999923706055</v>
          </cell>
          <cell r="D429">
            <v>31.232820134618962</v>
          </cell>
        </row>
        <row r="430">
          <cell r="B430" t="str">
            <v xml:space="preserve">2023/1/5
</v>
          </cell>
          <cell r="C430">
            <v>23.409999847412109</v>
          </cell>
          <cell r="D430">
            <v>31.214542517125487</v>
          </cell>
        </row>
        <row r="431">
          <cell r="B431" t="str">
            <v xml:space="preserve">2023/1/6
</v>
          </cell>
          <cell r="C431">
            <v>23.5</v>
          </cell>
          <cell r="D431">
            <v>31.196559900535451</v>
          </cell>
        </row>
        <row r="432">
          <cell r="B432" t="str">
            <v xml:space="preserve">2023/1/9
</v>
          </cell>
          <cell r="C432">
            <v>23.579999923706055</v>
          </cell>
          <cell r="D432">
            <v>31.178846970356776</v>
          </cell>
        </row>
        <row r="433">
          <cell r="B433" t="str">
            <v xml:space="preserve">2023/1/10
</v>
          </cell>
          <cell r="C433">
            <v>23.819999694824219</v>
          </cell>
          <cell r="D433">
            <v>31.161773078766213</v>
          </cell>
        </row>
        <row r="434">
          <cell r="B434" t="str">
            <v xml:space="preserve">2023/1/11
</v>
          </cell>
          <cell r="C434">
            <v>23.649999618530273</v>
          </cell>
          <cell r="D434">
            <v>31.144384714274928</v>
          </cell>
        </row>
        <row r="435">
          <cell r="B435" t="str">
            <v xml:space="preserve">2023/1/12
</v>
          </cell>
          <cell r="C435">
            <v>23.780000686645508</v>
          </cell>
          <cell r="D435">
            <v>31.127376898968624</v>
          </cell>
        </row>
        <row r="436">
          <cell r="B436" t="str">
            <v xml:space="preserve">2023/1/13
</v>
          </cell>
          <cell r="C436">
            <v>24.100000381469727</v>
          </cell>
          <cell r="D436">
            <v>31.111184787177152</v>
          </cell>
        </row>
        <row r="437">
          <cell r="B437" t="str">
            <v xml:space="preserve">2023/1/16
</v>
          </cell>
          <cell r="C437">
            <v>24.450000762939453</v>
          </cell>
          <cell r="D437">
            <v>31.095871720454767</v>
          </cell>
        </row>
        <row r="438">
          <cell r="B438" t="str">
            <v xml:space="preserve">2023/1/17
</v>
          </cell>
          <cell r="C438">
            <v>24.520000457763672</v>
          </cell>
          <cell r="D438">
            <v>31.080789446916484</v>
          </cell>
        </row>
        <row r="439">
          <cell r="B439" t="str">
            <v xml:space="preserve">2023/1/18
</v>
          </cell>
          <cell r="C439">
            <v>24.530000686645508</v>
          </cell>
          <cell r="D439">
            <v>31.065799083620668</v>
          </cell>
        </row>
        <row r="440">
          <cell r="B440" t="str">
            <v xml:space="preserve">2023/1/19
</v>
          </cell>
          <cell r="C440">
            <v>24.739999771118164</v>
          </cell>
          <cell r="D440">
            <v>31.051356619436874</v>
          </cell>
        </row>
        <row r="441">
          <cell r="B441" t="str">
            <v xml:space="preserve">2023/1/20
</v>
          </cell>
          <cell r="C441">
            <v>24.829999923706055</v>
          </cell>
          <cell r="D441">
            <v>31.037184964093523</v>
          </cell>
        </row>
        <row r="442">
          <cell r="B442">
            <v>44956</v>
          </cell>
          <cell r="C442">
            <v>25.170000076293945</v>
          </cell>
          <cell r="D442">
            <v>31.023850452984888</v>
          </cell>
        </row>
        <row r="443">
          <cell r="B443">
            <v>44957</v>
          </cell>
          <cell r="C443">
            <v>24.899999618530273</v>
          </cell>
          <cell r="D443">
            <v>31.009964169913562</v>
          </cell>
        </row>
        <row r="444">
          <cell r="B444" t="str">
            <v xml:space="preserve">2023/2/1
</v>
          </cell>
          <cell r="C444">
            <v>25.239999771118164</v>
          </cell>
          <cell r="D444">
            <v>30.99690995181674</v>
          </cell>
        </row>
        <row r="445">
          <cell r="B445" t="str">
            <v xml:space="preserve">2023/2/2
</v>
          </cell>
          <cell r="C445">
            <v>25.129999160766602</v>
          </cell>
          <cell r="D445">
            <v>30.983666360866287</v>
          </cell>
        </row>
        <row r="446">
          <cell r="B446" t="str">
            <v xml:space="preserve">2023/2/3
</v>
          </cell>
          <cell r="C446">
            <v>24.930000305175781</v>
          </cell>
          <cell r="D446">
            <v>30.970031977857975</v>
          </cell>
        </row>
        <row r="447">
          <cell r="B447" t="str">
            <v xml:space="preserve">2023/2/6
</v>
          </cell>
          <cell r="C447">
            <v>24.600000381469727</v>
          </cell>
          <cell r="D447">
            <v>30.955717300113285</v>
          </cell>
        </row>
        <row r="448">
          <cell r="B448" t="str">
            <v xml:space="preserve">2023/2/7
</v>
          </cell>
          <cell r="C448">
            <v>24.610000610351563</v>
          </cell>
          <cell r="D448">
            <v>30.941489235786463</v>
          </cell>
        </row>
        <row r="449">
          <cell r="B449" t="str">
            <v xml:space="preserve">2023/2/8
</v>
          </cell>
          <cell r="C449">
            <v>24.5</v>
          </cell>
          <cell r="D449">
            <v>30.927078745326092</v>
          </cell>
        </row>
        <row r="450">
          <cell r="B450" t="str">
            <v xml:space="preserve">2023/2/9
</v>
          </cell>
          <cell r="C450">
            <v>24.870000839233398</v>
          </cell>
          <cell r="D450">
            <v>30.91355848214285</v>
          </cell>
        </row>
        <row r="451">
          <cell r="B451" t="str">
            <v xml:space="preserve">2023/2/10
</v>
          </cell>
          <cell r="C451">
            <v>24.639999389648438</v>
          </cell>
          <cell r="D451">
            <v>30.899586190177381</v>
          </cell>
        </row>
        <row r="452">
          <cell r="B452" t="str">
            <v xml:space="preserve">2023/2/13
</v>
          </cell>
          <cell r="C452">
            <v>24.879999160766602</v>
          </cell>
          <cell r="D452">
            <v>30.886209330112024</v>
          </cell>
        </row>
        <row r="453">
          <cell r="B453" t="str">
            <v xml:space="preserve">2023/2/14
</v>
          </cell>
          <cell r="C453">
            <v>24.809999465942383</v>
          </cell>
          <cell r="D453">
            <v>30.872736580967526</v>
          </cell>
        </row>
        <row r="454">
          <cell r="B454" t="str">
            <v xml:space="preserve">2023/2/15
</v>
          </cell>
          <cell r="C454">
            <v>24.739999771118164</v>
          </cell>
          <cell r="D454">
            <v>30.859168579175822</v>
          </cell>
        </row>
        <row r="455">
          <cell r="B455" t="str">
            <v xml:space="preserve">2023/2/16
</v>
          </cell>
          <cell r="C455">
            <v>24.489999771118164</v>
          </cell>
          <cell r="D455">
            <v>30.845108603882096</v>
          </cell>
        </row>
        <row r="456">
          <cell r="B456" t="str">
            <v xml:space="preserve">2023/2/17
</v>
          </cell>
          <cell r="C456">
            <v>23.950000762939453</v>
          </cell>
          <cell r="D456">
            <v>30.829921141677378</v>
          </cell>
        </row>
        <row r="457">
          <cell r="B457" t="str">
            <v xml:space="preserve">2023/2/20
</v>
          </cell>
          <cell r="C457">
            <v>24.409999847412109</v>
          </cell>
          <cell r="D457">
            <v>30.815811424547125</v>
          </cell>
        </row>
        <row r="458">
          <cell r="B458" t="str">
            <v xml:space="preserve">2023/2/21
</v>
          </cell>
          <cell r="C458">
            <v>24.399999618530273</v>
          </cell>
          <cell r="D458">
            <v>30.801741661814631</v>
          </cell>
        </row>
        <row r="459">
          <cell r="B459" t="str">
            <v xml:space="preserve">2023/2/22
</v>
          </cell>
          <cell r="C459">
            <v>24.200000762939453</v>
          </cell>
          <cell r="D459">
            <v>30.787295839278798</v>
          </cell>
        </row>
        <row r="460">
          <cell r="B460" t="str">
            <v xml:space="preserve">2023/2/23
</v>
          </cell>
          <cell r="C460">
            <v>24.229999542236328</v>
          </cell>
          <cell r="D460">
            <v>30.772978598455563</v>
          </cell>
        </row>
        <row r="461">
          <cell r="B461" t="str">
            <v xml:space="preserve">2023/2/24
</v>
          </cell>
          <cell r="C461">
            <v>24.020000457763672</v>
          </cell>
          <cell r="D461">
            <v>30.758266227778673</v>
          </cell>
        </row>
        <row r="462">
          <cell r="B462">
            <v>44984</v>
          </cell>
          <cell r="C462">
            <v>23.780000686645508</v>
          </cell>
          <cell r="D462">
            <v>30.74309608529795</v>
          </cell>
        </row>
        <row r="463">
          <cell r="B463">
            <v>44985</v>
          </cell>
          <cell r="C463">
            <v>23.979999542236328</v>
          </cell>
          <cell r="D463">
            <v>30.72842559388133</v>
          </cell>
        </row>
        <row r="464">
          <cell r="B464" t="str">
            <v xml:space="preserve">2023/3/1
</v>
          </cell>
          <cell r="C464">
            <v>24.290000915527344</v>
          </cell>
          <cell r="D464">
            <v>30.71448960972905</v>
          </cell>
        </row>
        <row r="465">
          <cell r="B465" t="str">
            <v xml:space="preserve">2023/3/2
</v>
          </cell>
          <cell r="C465">
            <v>24.120000839233398</v>
          </cell>
          <cell r="D465">
            <v>30.700246653421281</v>
          </cell>
        </row>
        <row r="466">
          <cell r="B466" t="str">
            <v xml:space="preserve">2023/3/3
</v>
          </cell>
          <cell r="C466">
            <v>24.120000839233398</v>
          </cell>
          <cell r="D466">
            <v>30.686065089166568</v>
          </cell>
        </row>
        <row r="467">
          <cell r="B467" t="str">
            <v xml:space="preserve">2023/3/6
</v>
          </cell>
          <cell r="C467">
            <v>24.190000534057617</v>
          </cell>
          <cell r="D467">
            <v>30.672095057865256</v>
          </cell>
        </row>
        <row r="468">
          <cell r="B468" t="str">
            <v xml:space="preserve">2023/3/7
</v>
          </cell>
          <cell r="C468">
            <v>23.739999771118164</v>
          </cell>
          <cell r="D468">
            <v>30.657219316906573</v>
          </cell>
        </row>
        <row r="469">
          <cell r="B469" t="str">
            <v xml:space="preserve">2023/3/8
</v>
          </cell>
          <cell r="C469">
            <v>23.659999847412109</v>
          </cell>
          <cell r="D469">
            <v>30.642235977571467</v>
          </cell>
        </row>
        <row r="470">
          <cell r="B470" t="str">
            <v xml:space="preserve">2023/3/9
</v>
          </cell>
          <cell r="C470">
            <v>23.670000076293945</v>
          </cell>
          <cell r="D470">
            <v>30.627338037611473</v>
          </cell>
        </row>
        <row r="471">
          <cell r="B471" t="str">
            <v xml:space="preserve">2023/3/10
</v>
          </cell>
          <cell r="C471">
            <v>23.459999084472656</v>
          </cell>
          <cell r="D471">
            <v>30.612055865003502</v>
          </cell>
        </row>
        <row r="472">
          <cell r="B472" t="str">
            <v xml:space="preserve">2023/3/13
</v>
          </cell>
          <cell r="C472">
            <v>23.5</v>
          </cell>
          <cell r="D472">
            <v>30.596923831248173</v>
          </cell>
        </row>
        <row r="473">
          <cell r="B473" t="str">
            <v xml:space="preserve">2023/3/14
</v>
          </cell>
          <cell r="C473">
            <v>23.299999237060547</v>
          </cell>
          <cell r="D473">
            <v>30.581431422343318</v>
          </cell>
        </row>
        <row r="474">
          <cell r="B474" t="str">
            <v xml:space="preserve">2023/3/15
</v>
          </cell>
          <cell r="C474">
            <v>23.280000686645508</v>
          </cell>
          <cell r="D474">
            <v>30.565962289428704</v>
          </cell>
        </row>
        <row r="475">
          <cell r="B475" t="str">
            <v xml:space="preserve">2023/3/16
</v>
          </cell>
          <cell r="C475">
            <v>22.920000076293945</v>
          </cell>
          <cell r="D475">
            <v>30.549797464453789</v>
          </cell>
        </row>
        <row r="476">
          <cell r="B476" t="str">
            <v xml:space="preserve">2023/3/17
</v>
          </cell>
          <cell r="C476">
            <v>22.940000534057617</v>
          </cell>
          <cell r="D476">
            <v>30.53374304055</v>
          </cell>
        </row>
        <row r="477">
          <cell r="B477" t="str">
            <v xml:space="preserve">2023/3/20
</v>
          </cell>
          <cell r="C477">
            <v>22.959999084472656</v>
          </cell>
          <cell r="D477">
            <v>30.517798316431939</v>
          </cell>
        </row>
        <row r="478">
          <cell r="B478" t="str">
            <v xml:space="preserve">2023/3/21
</v>
          </cell>
          <cell r="C478">
            <v>23.350000381469727</v>
          </cell>
          <cell r="D478">
            <v>30.50273991740891</v>
          </cell>
        </row>
        <row r="479">
          <cell r="B479" t="str">
            <v xml:space="preserve">2023/3/22
</v>
          </cell>
          <cell r="C479">
            <v>23.579999923706055</v>
          </cell>
          <cell r="D479">
            <v>30.488226835661106</v>
          </cell>
        </row>
        <row r="480">
          <cell r="B480" t="str">
            <v xml:space="preserve">2023/3/23
</v>
          </cell>
          <cell r="C480">
            <v>23.879999160766602</v>
          </cell>
          <cell r="D480">
            <v>30.47440209157137</v>
          </cell>
        </row>
        <row r="481">
          <cell r="B481" t="str">
            <v xml:space="preserve">2023/3/24
</v>
          </cell>
          <cell r="C481">
            <v>23.899999618530273</v>
          </cell>
          <cell r="D481">
            <v>30.460676825448111</v>
          </cell>
        </row>
        <row r="482">
          <cell r="B482" t="str">
            <v xml:space="preserve">2023/3/27
</v>
          </cell>
          <cell r="C482">
            <v>23.940000534057617</v>
          </cell>
          <cell r="D482">
            <v>30.447092083174379</v>
          </cell>
        </row>
        <row r="483">
          <cell r="B483" t="str">
            <v xml:space="preserve">2023/3/28
</v>
          </cell>
          <cell r="C483">
            <v>23.680000305175781</v>
          </cell>
          <cell r="D483">
            <v>30.433023285299122</v>
          </cell>
        </row>
        <row r="484">
          <cell r="B484" t="str">
            <v xml:space="preserve">2023/3/29
</v>
          </cell>
          <cell r="C484">
            <v>23.829999923706055</v>
          </cell>
          <cell r="D484">
            <v>30.419324066706604</v>
          </cell>
        </row>
        <row r="485">
          <cell r="B485">
            <v>45015</v>
          </cell>
          <cell r="C485">
            <v>23.979999542236328</v>
          </cell>
          <cell r="D485">
            <v>30.405992131873333</v>
          </cell>
        </row>
        <row r="486">
          <cell r="B486">
            <v>45016</v>
          </cell>
          <cell r="C486">
            <v>24.159999847412109</v>
          </cell>
          <cell r="D486">
            <v>30.393087189136843</v>
          </cell>
        </row>
        <row r="487">
          <cell r="B487" t="str">
            <v xml:space="preserve">2023/4/3
</v>
          </cell>
          <cell r="C487">
            <v>24.370000839233398</v>
          </cell>
          <cell r="D487">
            <v>30.380668454394776</v>
          </cell>
        </row>
        <row r="488">
          <cell r="B488" t="str">
            <v xml:space="preserve">2023/4/4
</v>
          </cell>
          <cell r="C488">
            <v>24.25</v>
          </cell>
          <cell r="D488">
            <v>30.36805391024993</v>
          </cell>
        </row>
        <row r="489">
          <cell r="B489" t="str">
            <v xml:space="preserve">2023/4/6
</v>
          </cell>
          <cell r="C489">
            <v>24.329999923706055</v>
          </cell>
          <cell r="D489">
            <v>30.355655442105075</v>
          </cell>
        </row>
        <row r="490">
          <cell r="B490" t="str">
            <v xml:space="preserve">2023/4/7
</v>
          </cell>
          <cell r="C490">
            <v>24.620000839233398</v>
          </cell>
          <cell r="D490">
            <v>30.343902051525422</v>
          </cell>
        </row>
        <row r="491">
          <cell r="B491" t="str">
            <v xml:space="preserve">2023/4/10
</v>
          </cell>
          <cell r="C491">
            <v>24.510000228881836</v>
          </cell>
          <cell r="D491">
            <v>30.331971781949463</v>
          </cell>
        </row>
        <row r="492">
          <cell r="B492" t="str">
            <v xml:space="preserve">2023/4/11
</v>
          </cell>
          <cell r="C492">
            <v>24.5</v>
          </cell>
          <cell r="D492">
            <v>30.320069798720994</v>
          </cell>
        </row>
        <row r="493">
          <cell r="B493" t="str">
            <v xml:space="preserve">2023/4/12
</v>
          </cell>
          <cell r="C493">
            <v>24.489999771118164</v>
          </cell>
          <cell r="D493">
            <v>30.30819592901101</v>
          </cell>
        </row>
        <row r="494">
          <cell r="B494" t="str">
            <v xml:space="preserve">2023/4/13
</v>
          </cell>
          <cell r="C494">
            <v>24.100000381469727</v>
          </cell>
          <cell r="D494">
            <v>30.295577645377794</v>
          </cell>
        </row>
        <row r="495">
          <cell r="B495" t="str">
            <v xml:space="preserve">2023/4/14
</v>
          </cell>
          <cell r="C495">
            <v>24.309999465942383</v>
          </cell>
          <cell r="D495">
            <v>30.283436513167988</v>
          </cell>
        </row>
        <row r="496">
          <cell r="B496" t="str">
            <v xml:space="preserve">2023/4/17
</v>
          </cell>
          <cell r="C496">
            <v>24.450000762939453</v>
          </cell>
          <cell r="D496">
            <v>30.271627938774813</v>
          </cell>
        </row>
        <row r="497">
          <cell r="B497" t="str">
            <v xml:space="preserve">2023/4/18
</v>
          </cell>
          <cell r="C497">
            <v>24.520000457763672</v>
          </cell>
          <cell r="D497">
            <v>30.260008489318224</v>
          </cell>
        </row>
        <row r="498">
          <cell r="B498" t="str">
            <v xml:space="preserve">2023/4/19
</v>
          </cell>
          <cell r="C498">
            <v>24.319999694824219</v>
          </cell>
          <cell r="D498">
            <v>30.248032665135774</v>
          </cell>
        </row>
        <row r="499">
          <cell r="B499" t="str">
            <v xml:space="preserve">2023/4/20
</v>
          </cell>
          <cell r="C499">
            <v>24.139999389648438</v>
          </cell>
          <cell r="D499">
            <v>30.235742859752502</v>
          </cell>
        </row>
        <row r="500">
          <cell r="B500" t="str">
            <v xml:space="preserve">2023/4/21
</v>
          </cell>
          <cell r="C500">
            <v>23.690000534057617</v>
          </cell>
          <cell r="D500">
            <v>30.222598798857533</v>
          </cell>
        </row>
        <row r="501">
          <cell r="B501" t="str">
            <v xml:space="preserve">2023/4/24
</v>
          </cell>
          <cell r="C501">
            <v>23.459999084472656</v>
          </cell>
          <cell r="D501">
            <v>30.20904649482069</v>
          </cell>
        </row>
        <row r="502">
          <cell r="B502" t="str">
            <v xml:space="preserve">2023/4/25
</v>
          </cell>
          <cell r="C502">
            <v>23.049999237060547</v>
          </cell>
          <cell r="D502">
            <v>30.19472840030517</v>
          </cell>
        </row>
        <row r="503">
          <cell r="B503" t="str">
            <v xml:space="preserve">2023/4/26
</v>
          </cell>
          <cell r="C503">
            <v>23.239999771118164</v>
          </cell>
          <cell r="D503">
            <v>30.180846706434536</v>
          </cell>
        </row>
        <row r="504">
          <cell r="B504">
            <v>45043</v>
          </cell>
          <cell r="C504">
            <v>23.469999313354492</v>
          </cell>
          <cell r="D504">
            <v>30.16747848453597</v>
          </cell>
        </row>
        <row r="505">
          <cell r="B505">
            <v>45044</v>
          </cell>
          <cell r="C505">
            <v>23.579999923706055</v>
          </cell>
          <cell r="D505">
            <v>30.1543821056874</v>
          </cell>
        </row>
        <row r="506">
          <cell r="B506" t="str">
            <v xml:space="preserve">2023/5/4
</v>
          </cell>
          <cell r="C506">
            <v>22.129999160766602</v>
          </cell>
          <cell r="D506">
            <v>30.138460710955414</v>
          </cell>
        </row>
        <row r="507">
          <cell r="B507" t="str">
            <v xml:space="preserve">2023/5/5
</v>
          </cell>
          <cell r="C507">
            <v>21.889999389648437</v>
          </cell>
          <cell r="D507">
            <v>30.122127124180551</v>
          </cell>
        </row>
        <row r="508">
          <cell r="B508" t="str">
            <v xml:space="preserve">2023/5/8
</v>
          </cell>
          <cell r="C508">
            <v>21.920000076293945</v>
          </cell>
          <cell r="D508">
            <v>30.105917386931761</v>
          </cell>
        </row>
        <row r="509">
          <cell r="B509" t="str">
            <v xml:space="preserve">2023/5/9
</v>
          </cell>
          <cell r="C509">
            <v>21.690000534057617</v>
          </cell>
          <cell r="D509">
            <v>30.089317945407355</v>
          </cell>
        </row>
        <row r="510">
          <cell r="B510" t="str">
            <v xml:space="preserve">2023/5/10
</v>
          </cell>
          <cell r="C510">
            <v>21.819999694824219</v>
          </cell>
          <cell r="D510">
            <v>30.07303975987471</v>
          </cell>
        </row>
        <row r="511">
          <cell r="B511" t="str">
            <v xml:space="preserve">2023/5/11
</v>
          </cell>
          <cell r="C511">
            <v>21.860000610351563</v>
          </cell>
          <cell r="D511">
            <v>30.056904123038713</v>
          </cell>
        </row>
        <row r="512">
          <cell r="B512" t="str">
            <v xml:space="preserve">2023/5/12
</v>
          </cell>
          <cell r="C512">
            <v>21.639999389648438</v>
          </cell>
          <cell r="D512">
            <v>30.040400388267361</v>
          </cell>
        </row>
        <row r="513">
          <cell r="B513" t="str">
            <v xml:space="preserve">2023/5/15
</v>
          </cell>
          <cell r="C513">
            <v>22.020000457763672</v>
          </cell>
          <cell r="D513">
            <v>30.024704889381834</v>
          </cell>
        </row>
        <row r="514">
          <cell r="B514" t="str">
            <v xml:space="preserve">2023/5/16
</v>
          </cell>
          <cell r="C514">
            <v>21.930000305175781</v>
          </cell>
          <cell r="D514">
            <v>30.008894919490807</v>
          </cell>
        </row>
        <row r="515">
          <cell r="B515" t="str">
            <v xml:space="preserve">2023/5/17
</v>
          </cell>
          <cell r="C515">
            <v>21.950000762939453</v>
          </cell>
          <cell r="D515">
            <v>29.993185574156399</v>
          </cell>
        </row>
        <row r="516">
          <cell r="B516" t="str">
            <v xml:space="preserve">2023/5/18
</v>
          </cell>
          <cell r="C516">
            <v>21.930000305175781</v>
          </cell>
          <cell r="D516">
            <v>29.977498443282897</v>
          </cell>
        </row>
        <row r="517">
          <cell r="B517" t="str">
            <v xml:space="preserve">2023/5/19
</v>
          </cell>
          <cell r="C517">
            <v>21.989999771118164</v>
          </cell>
          <cell r="D517">
            <v>29.961988737123352</v>
          </cell>
        </row>
        <row r="518">
          <cell r="B518" t="str">
            <v xml:space="preserve">2023/5/22
</v>
          </cell>
          <cell r="C518">
            <v>22.020000457763672</v>
          </cell>
          <cell r="D518">
            <v>29.946597286969556</v>
          </cell>
        </row>
        <row r="519">
          <cell r="B519" t="str">
            <v xml:space="preserve">2023/5/23
</v>
          </cell>
          <cell r="C519">
            <v>21.83</v>
          </cell>
          <cell r="D519">
            <v>29.930897872487989</v>
          </cell>
        </row>
        <row r="520">
          <cell r="B520" t="str">
            <v xml:space="preserve">2023/5/24
</v>
          </cell>
          <cell r="C520">
            <v>21.659999847412109</v>
          </cell>
          <cell r="D520">
            <v>29.914930887883596</v>
          </cell>
        </row>
        <row r="521">
          <cell r="B521" t="str">
            <v xml:space="preserve">2023/5/25
</v>
          </cell>
          <cell r="C521">
            <v>21.649999618530273</v>
          </cell>
          <cell r="D521">
            <v>29.899006164821259</v>
          </cell>
        </row>
        <row r="522">
          <cell r="B522" t="str">
            <v xml:space="preserve">2023/5/26
</v>
          </cell>
          <cell r="C522">
            <v>21.590000152587891</v>
          </cell>
          <cell r="D522">
            <v>29.883027307105422</v>
          </cell>
        </row>
        <row r="523">
          <cell r="B523" t="str">
            <v xml:space="preserve">2023/5/29
</v>
          </cell>
          <cell r="C523">
            <v>21.329999923706055</v>
          </cell>
          <cell r="D523">
            <v>29.866610747828265</v>
          </cell>
        </row>
        <row r="524">
          <cell r="B524">
            <v>45076</v>
          </cell>
          <cell r="C524">
            <v>21.520000457763672</v>
          </cell>
          <cell r="D524">
            <v>29.850621072943085</v>
          </cell>
        </row>
        <row r="525">
          <cell r="B525">
            <v>45077</v>
          </cell>
          <cell r="C525">
            <v>21.329999923706055</v>
          </cell>
          <cell r="D525">
            <v>29.834329254302094</v>
          </cell>
        </row>
        <row r="526">
          <cell r="B526" t="str">
            <v xml:space="preserve">2023/6/1
</v>
          </cell>
          <cell r="C526">
            <v>21.420000076293945</v>
          </cell>
          <cell r="D526">
            <v>29.818271374191394</v>
          </cell>
        </row>
        <row r="527">
          <cell r="B527" t="str">
            <v xml:space="preserve">2023/6/2
</v>
          </cell>
          <cell r="C527">
            <v>21.729999542236328</v>
          </cell>
          <cell r="D527">
            <v>29.802865142130525</v>
          </cell>
        </row>
        <row r="528">
          <cell r="B528" t="str">
            <v xml:space="preserve">2023/6/5
</v>
          </cell>
          <cell r="C528">
            <v>21.629999160766602</v>
          </cell>
          <cell r="D528">
            <v>29.787327374105121</v>
          </cell>
        </row>
        <row r="529">
          <cell r="B529" t="str">
            <v xml:space="preserve">2023/6/6
</v>
          </cell>
          <cell r="C529">
            <v>21.299999237060547</v>
          </cell>
          <cell r="D529">
            <v>29.771222387127807</v>
          </cell>
        </row>
        <row r="530">
          <cell r="B530" t="str">
            <v xml:space="preserve">2023/6/7
</v>
          </cell>
          <cell r="C530">
            <v>21.069999694824219</v>
          </cell>
          <cell r="D530">
            <v>29.754742798695414</v>
          </cell>
        </row>
        <row r="531">
          <cell r="B531" t="str">
            <v xml:space="preserve">2023/6/8
</v>
          </cell>
          <cell r="C531">
            <v>21.079999923706055</v>
          </cell>
          <cell r="D531">
            <v>29.738344418969536</v>
          </cell>
        </row>
        <row r="532">
          <cell r="B532" t="str">
            <v xml:space="preserve">2023/6/9
</v>
          </cell>
          <cell r="C532">
            <v>21.229999542236328</v>
          </cell>
          <cell r="D532">
            <v>29.722290938070039</v>
          </cell>
        </row>
        <row r="533">
          <cell r="B533" t="str">
            <v xml:space="preserve">2023/6/12
</v>
          </cell>
          <cell r="C533">
            <v>21.420000076293945</v>
          </cell>
          <cell r="D533">
            <v>29.706655738706996</v>
          </cell>
        </row>
        <row r="534">
          <cell r="B534" t="str">
            <v xml:space="preserve">2023/6/13
</v>
          </cell>
          <cell r="C534">
            <v>21.649999618530273</v>
          </cell>
          <cell r="D534">
            <v>29.691511648255535</v>
          </cell>
        </row>
        <row r="535">
          <cell r="B535" t="str">
            <v xml:space="preserve">2023/6/14
</v>
          </cell>
          <cell r="C535">
            <v>21.670000076293945</v>
          </cell>
          <cell r="D535">
            <v>29.676461907970427</v>
          </cell>
        </row>
        <row r="536">
          <cell r="B536" t="str">
            <v xml:space="preserve">2023/6/15
</v>
          </cell>
          <cell r="C536">
            <v>22.270000457763672</v>
          </cell>
          <cell r="D536">
            <v>29.662592129973788</v>
          </cell>
        </row>
        <row r="537">
          <cell r="B537" t="str">
            <v xml:space="preserve">2023/6/16
</v>
          </cell>
          <cell r="C537">
            <v>22.579999923706055</v>
          </cell>
          <cell r="D537">
            <v>29.649353639868615</v>
          </cell>
        </row>
        <row r="538">
          <cell r="B538" t="str">
            <v xml:space="preserve">2023/6/19
</v>
          </cell>
          <cell r="C538">
            <v>22.559999465942383</v>
          </cell>
          <cell r="D538">
            <v>29.636127232827707</v>
          </cell>
        </row>
        <row r="539">
          <cell r="B539" t="str">
            <v xml:space="preserve">2023/6/20
</v>
          </cell>
          <cell r="C539">
            <v>22.760000228881836</v>
          </cell>
          <cell r="D539">
            <v>29.623322527047545</v>
          </cell>
        </row>
        <row r="540">
          <cell r="B540" t="str">
            <v xml:space="preserve">2023/6/21
</v>
          </cell>
          <cell r="C540">
            <v>22.319999694824219</v>
          </cell>
          <cell r="D540">
            <v>29.609747577545271</v>
          </cell>
        </row>
        <row r="541">
          <cell r="B541" t="str">
            <v xml:space="preserve">2023/6/26
</v>
          </cell>
          <cell r="C541">
            <v>22.010000228881836</v>
          </cell>
          <cell r="D541">
            <v>29.595647860757399</v>
          </cell>
        </row>
        <row r="542">
          <cell r="B542" t="str">
            <v xml:space="preserve">2023/6/27
</v>
          </cell>
          <cell r="C542">
            <v>22.190000534057617</v>
          </cell>
          <cell r="D542">
            <v>29.58193369904129</v>
          </cell>
        </row>
        <row r="543">
          <cell r="B543" t="str">
            <v xml:space="preserve">2023/6/28
</v>
          </cell>
          <cell r="C543">
            <v>22.049999237060547</v>
          </cell>
          <cell r="D543">
            <v>29.568011454194743</v>
          </cell>
        </row>
        <row r="544">
          <cell r="B544">
            <v>45106</v>
          </cell>
          <cell r="C544">
            <v>21.989999771118164</v>
          </cell>
          <cell r="D544">
            <v>29.554029882823755</v>
          </cell>
        </row>
        <row r="545">
          <cell r="B545">
            <v>45107</v>
          </cell>
          <cell r="C545">
            <v>22.200000762939453</v>
          </cell>
          <cell r="D545">
            <v>29.540486551111261</v>
          </cell>
        </row>
        <row r="546">
          <cell r="B546" t="str">
            <v xml:space="preserve">2023/7/3
</v>
          </cell>
          <cell r="C546">
            <v>22.340000152587891</v>
          </cell>
          <cell r="D546">
            <v>29.527250362878679</v>
          </cell>
        </row>
        <row r="547">
          <cell r="B547" t="str">
            <v xml:space="preserve">2023/7/4
</v>
          </cell>
          <cell r="C547">
            <v>22.469999313354492</v>
          </cell>
          <cell r="D547">
            <v>29.514301278384142</v>
          </cell>
        </row>
        <row r="548">
          <cell r="B548" t="str">
            <v xml:space="preserve">2023/7/5
</v>
          </cell>
          <cell r="C548">
            <v>22.25</v>
          </cell>
          <cell r="D548">
            <v>29.500996697288198</v>
          </cell>
        </row>
        <row r="549">
          <cell r="B549" t="str">
            <v xml:space="preserve">2023/7/6
</v>
          </cell>
          <cell r="C549">
            <v>22.120000839233398</v>
          </cell>
          <cell r="D549">
            <v>29.487503103397788</v>
          </cell>
        </row>
        <row r="550">
          <cell r="B550" t="str">
            <v xml:space="preserve">2023/7/7
</v>
          </cell>
          <cell r="C550">
            <v>21.879999160766602</v>
          </cell>
          <cell r="D550">
            <v>29.473620796933133</v>
          </cell>
        </row>
        <row r="551">
          <cell r="B551" t="str">
            <v xml:space="preserve">2023/7/10
</v>
          </cell>
          <cell r="C551">
            <v>22.040000915527344</v>
          </cell>
          <cell r="D551">
            <v>29.46008050571017</v>
          </cell>
        </row>
        <row r="552">
          <cell r="B552" t="str">
            <v xml:space="preserve">2023/7/11
</v>
          </cell>
          <cell r="C552">
            <v>22.280000686645508</v>
          </cell>
          <cell r="D552">
            <v>29.447025815130054</v>
          </cell>
        </row>
        <row r="553">
          <cell r="B553" t="str">
            <v xml:space="preserve">2023/7/12
</v>
          </cell>
          <cell r="C553">
            <v>22.040000915527344</v>
          </cell>
          <cell r="D553">
            <v>29.433582938724239</v>
          </cell>
        </row>
        <row r="554">
          <cell r="B554" t="str">
            <v xml:space="preserve">2023/7/13
</v>
          </cell>
          <cell r="C554">
            <v>22.370000839233398</v>
          </cell>
          <cell r="D554">
            <v>29.420786594341106</v>
          </cell>
        </row>
        <row r="555">
          <cell r="B555" t="str">
            <v xml:space="preserve">2023/7/14
</v>
          </cell>
          <cell r="C555">
            <v>22.319999694824219</v>
          </cell>
          <cell r="D555">
            <v>29.407946111701833</v>
          </cell>
        </row>
        <row r="556">
          <cell r="B556" t="str">
            <v xml:space="preserve">2023/7/17
</v>
          </cell>
          <cell r="C556">
            <v>22.190000534057617</v>
          </cell>
          <cell r="D556">
            <v>29.394917329070708</v>
          </cell>
        </row>
        <row r="557">
          <cell r="B557" t="str">
            <v xml:space="preserve">2023/7/18
</v>
          </cell>
          <cell r="C557">
            <v>22.090000152587891</v>
          </cell>
          <cell r="D557">
            <v>29.381755316140108</v>
          </cell>
        </row>
        <row r="558">
          <cell r="B558" t="str">
            <v xml:space="preserve">2023/7/19
</v>
          </cell>
          <cell r="C558">
            <v>21.969999313354492</v>
          </cell>
          <cell r="D558">
            <v>29.368424819732219</v>
          </cell>
        </row>
        <row r="559">
          <cell r="B559" t="str">
            <v xml:space="preserve">2023/7/20
</v>
          </cell>
          <cell r="C559">
            <v>21.719999313354492</v>
          </cell>
          <cell r="D559">
            <v>29.354693355627411</v>
          </cell>
        </row>
        <row r="560">
          <cell r="B560" t="str">
            <v xml:space="preserve">2023/7/21
</v>
          </cell>
          <cell r="C560">
            <v>21.649999618530273</v>
          </cell>
          <cell r="D560">
            <v>29.340885660758062</v>
          </cell>
        </row>
        <row r="561">
          <cell r="B561" t="str">
            <v xml:space="preserve">2023/7/24
</v>
          </cell>
          <cell r="C561">
            <v>21.510000228881836</v>
          </cell>
          <cell r="D561">
            <v>29.326876921166154</v>
          </cell>
        </row>
        <row r="562">
          <cell r="B562" t="str">
            <v xml:space="preserve">2023/7/25
</v>
          </cell>
          <cell r="C562">
            <v>22.069999694824219</v>
          </cell>
          <cell r="D562">
            <v>29.3139182118334</v>
          </cell>
        </row>
        <row r="563">
          <cell r="B563" t="str">
            <v xml:space="preserve">2023/7/26
</v>
          </cell>
          <cell r="C563">
            <v>21.969999313354492</v>
          </cell>
          <cell r="D563">
            <v>29.300827447308482</v>
          </cell>
        </row>
        <row r="564">
          <cell r="B564" t="str">
            <v xml:space="preserve">2023/7/27
</v>
          </cell>
          <cell r="C564">
            <v>21.920000076293945</v>
          </cell>
          <cell r="D564">
            <v>29.287694302520197</v>
          </cell>
        </row>
        <row r="565">
          <cell r="B565">
            <v>45135</v>
          </cell>
          <cell r="C565">
            <v>22.25</v>
          </cell>
          <cell r="D565">
            <v>29.275193957400269</v>
          </cell>
        </row>
        <row r="566">
          <cell r="B566">
            <v>45138</v>
          </cell>
          <cell r="C566">
            <v>22.409999847412109</v>
          </cell>
          <cell r="D566">
            <v>29.26302162741802</v>
          </cell>
        </row>
        <row r="567">
          <cell r="B567" t="str">
            <v xml:space="preserve">2023/8/1
</v>
          </cell>
          <cell r="C567">
            <v>22.309999465942383</v>
          </cell>
          <cell r="D567">
            <v>29.250715393503906</v>
          </cell>
        </row>
        <row r="568">
          <cell r="B568" t="str">
            <v xml:space="preserve">2023/8/2
</v>
          </cell>
          <cell r="C568">
            <v>22.239999771118164</v>
          </cell>
          <cell r="D568">
            <v>29.238328970142799</v>
          </cell>
        </row>
        <row r="569">
          <cell r="B569" t="str">
            <v xml:space="preserve">2023/8/3
</v>
          </cell>
          <cell r="C569">
            <v>22.350000381469727</v>
          </cell>
          <cell r="D569">
            <v>29.22618024247318</v>
          </cell>
        </row>
        <row r="570">
          <cell r="B570" t="str">
            <v xml:space="preserve">2023/8/4
</v>
          </cell>
          <cell r="C570">
            <v>22.510000228881836</v>
          </cell>
          <cell r="D570">
            <v>29.214355981885873</v>
          </cell>
        </row>
        <row r="571">
          <cell r="B571" t="str">
            <v xml:space="preserve">2023/8/7
</v>
          </cell>
          <cell r="C571">
            <v>22.290000915527344</v>
          </cell>
          <cell r="D571">
            <v>29.202186640820216</v>
          </cell>
        </row>
        <row r="572">
          <cell r="B572" t="str">
            <v xml:space="preserve">2023/8/8
</v>
          </cell>
          <cell r="C572">
            <v>22.219999313354492</v>
          </cell>
          <cell r="D572">
            <v>29.189937189368521</v>
          </cell>
        </row>
        <row r="573">
          <cell r="B573" t="str">
            <v xml:space="preserve">2023/8/9
</v>
          </cell>
          <cell r="C573">
            <v>22.100000381469727</v>
          </cell>
          <cell r="D573">
            <v>29.177520487428243</v>
          </cell>
        </row>
        <row r="574">
          <cell r="B574" t="str">
            <v xml:space="preserve">2023/8/10
</v>
          </cell>
          <cell r="C574">
            <v>22.090000152587891</v>
          </cell>
          <cell r="D574">
            <v>29.165129717612089</v>
          </cell>
        </row>
        <row r="575">
          <cell r="B575" t="str">
            <v xml:space="preserve">2023/8/11
</v>
          </cell>
          <cell r="C575">
            <v>21.620000839233398</v>
          </cell>
          <cell r="D575">
            <v>29.151961953426436</v>
          </cell>
        </row>
        <row r="576">
          <cell r="B576" t="str">
            <v xml:space="preserve">2023/8/14
</v>
          </cell>
          <cell r="C576">
            <v>21.409999847412109</v>
          </cell>
          <cell r="D576">
            <v>29.138474214565786</v>
          </cell>
        </row>
        <row r="577">
          <cell r="B577" t="str">
            <v xml:space="preserve">2023/8/15
</v>
          </cell>
          <cell r="C577">
            <v>21.229999542236328</v>
          </cell>
          <cell r="D577">
            <v>29.124720345570431</v>
          </cell>
        </row>
        <row r="578">
          <cell r="B578" t="str">
            <v xml:space="preserve">2023/8/16
</v>
          </cell>
          <cell r="C578">
            <v>21.010000228881836</v>
          </cell>
          <cell r="D578">
            <v>29.11063228981229</v>
          </cell>
        </row>
        <row r="579">
          <cell r="B579" t="str">
            <v xml:space="preserve">2023/8/17
</v>
          </cell>
          <cell r="C579">
            <v>21.149999618530273</v>
          </cell>
          <cell r="D579">
            <v>29.096835699394124</v>
          </cell>
        </row>
        <row r="580">
          <cell r="B580" t="str">
            <v xml:space="preserve">2023/8/18
</v>
          </cell>
          <cell r="C580">
            <v>20.829999923706055</v>
          </cell>
          <cell r="D580">
            <v>29.082533215353141</v>
          </cell>
        </row>
        <row r="581">
          <cell r="B581" t="str">
            <v xml:space="preserve">2023/8/21
</v>
          </cell>
          <cell r="C581">
            <v>20.549999237060547</v>
          </cell>
          <cell r="D581">
            <v>29.067796541815504</v>
          </cell>
        </row>
        <row r="582">
          <cell r="B582" t="str">
            <v xml:space="preserve">2023/8/22
</v>
          </cell>
          <cell r="C582">
            <v>20.629999160766602</v>
          </cell>
          <cell r="D582">
            <v>29.053248615296454</v>
          </cell>
        </row>
        <row r="583">
          <cell r="B583" t="str">
            <v xml:space="preserve">2023/8/23
</v>
          </cell>
          <cell r="C583">
            <v>20.159999847412109</v>
          </cell>
          <cell r="D583">
            <v>29.037941818794071</v>
          </cell>
        </row>
        <row r="584">
          <cell r="B584" t="str">
            <v xml:space="preserve">2023/8/24
</v>
          </cell>
          <cell r="C584">
            <v>20.399999618530273</v>
          </cell>
          <cell r="D584">
            <v>29.023099993707707</v>
          </cell>
        </row>
        <row r="585">
          <cell r="B585" t="str">
            <v xml:space="preserve">2023/8/25
</v>
          </cell>
          <cell r="C585">
            <v>20.149999618530273</v>
          </cell>
          <cell r="D585">
            <v>29.007880267506717</v>
          </cell>
        </row>
        <row r="586">
          <cell r="B586" t="str">
            <v xml:space="preserve">2023/8/28
</v>
          </cell>
          <cell r="C586">
            <v>20.399999618530273</v>
          </cell>
          <cell r="D586">
            <v>28.993140745847509</v>
          </cell>
        </row>
        <row r="587">
          <cell r="B587" t="str">
            <v xml:space="preserve">2023/8/29
</v>
          </cell>
          <cell r="C587">
            <v>20.879999160766602</v>
          </cell>
          <cell r="D587">
            <v>28.979272127753354</v>
          </cell>
        </row>
        <row r="588">
          <cell r="B588">
            <v>45168</v>
          </cell>
          <cell r="C588">
            <v>20.989999771118164</v>
          </cell>
          <cell r="D588">
            <v>28.965638557178892</v>
          </cell>
        </row>
        <row r="589">
          <cell r="B589">
            <v>45169</v>
          </cell>
          <cell r="C589">
            <v>20.899999618530273</v>
          </cell>
          <cell r="D589">
            <v>28.951898116056832</v>
          </cell>
        </row>
        <row r="590">
          <cell r="B590" t="str">
            <v xml:space="preserve">2023/9/1
</v>
          </cell>
          <cell r="C590">
            <v>20.190000534057617</v>
          </cell>
          <cell r="D590">
            <v>28.936996929692889</v>
          </cell>
        </row>
        <row r="591">
          <cell r="B591" t="str">
            <v xml:space="preserve">2023/9/4
</v>
          </cell>
          <cell r="C591">
            <v>20.379999160766602</v>
          </cell>
          <cell r="D591">
            <v>28.922468919898446</v>
          </cell>
        </row>
        <row r="592">
          <cell r="B592" t="str">
            <v xml:space="preserve">2023/9/5
</v>
          </cell>
          <cell r="C592">
            <v>20.25</v>
          </cell>
          <cell r="D592">
            <v>28.907769820034211</v>
          </cell>
        </row>
        <row r="593">
          <cell r="B593" t="str">
            <v xml:space="preserve">2023/9/6
</v>
          </cell>
          <cell r="C593">
            <v>20.149999618530273</v>
          </cell>
          <cell r="D593">
            <v>28.892951257933529</v>
          </cell>
        </row>
        <row r="594">
          <cell r="B594" t="str">
            <v xml:space="preserve">2023/9/7
</v>
          </cell>
          <cell r="C594">
            <v>19.729999542236328</v>
          </cell>
          <cell r="D594">
            <v>28.87747329895431</v>
          </cell>
        </row>
        <row r="595">
          <cell r="B595" t="str">
            <v xml:space="preserve">2023/9/8
</v>
          </cell>
          <cell r="C595">
            <v>19.610000610351562</v>
          </cell>
          <cell r="D595">
            <v>28.861845183121929</v>
          </cell>
        </row>
        <row r="596">
          <cell r="B596" t="str">
            <v xml:space="preserve">2023/9/11
</v>
          </cell>
          <cell r="C596">
            <v>19.770000457763672</v>
          </cell>
          <cell r="D596">
            <v>28.846539047220652</v>
          </cell>
        </row>
        <row r="597">
          <cell r="B597" t="str">
            <v xml:space="preserve">2023/9/12
</v>
          </cell>
          <cell r="C597">
            <v>19.770000457763672</v>
          </cell>
          <cell r="D597">
            <v>28.831284360515681</v>
          </cell>
        </row>
        <row r="598">
          <cell r="B598" t="str">
            <v xml:space="preserve">2023/9/13
</v>
          </cell>
          <cell r="C598">
            <v>19.520000457763672</v>
          </cell>
          <cell r="D598">
            <v>28.815661400947306</v>
          </cell>
        </row>
        <row r="599">
          <cell r="B599" t="str">
            <v xml:space="preserve">2023/9/14
</v>
          </cell>
          <cell r="C599">
            <v>19.360000610351563</v>
          </cell>
          <cell r="D599">
            <v>28.799822773157363</v>
          </cell>
        </row>
        <row r="600">
          <cell r="B600" t="str">
            <v xml:space="preserve">2023/9/15
</v>
          </cell>
          <cell r="C600">
            <v>19.219999313354492</v>
          </cell>
          <cell r="D600">
            <v>28.783803001485452</v>
          </cell>
        </row>
        <row r="601">
          <cell r="B601" t="str">
            <v xml:space="preserve">2023/9/18
</v>
          </cell>
          <cell r="C601">
            <v>19.370000839233398</v>
          </cell>
          <cell r="D601">
            <v>28.768087138109404</v>
          </cell>
        </row>
        <row r="602">
          <cell r="B602" t="str">
            <v xml:space="preserve">2023/9/19
</v>
          </cell>
          <cell r="C602">
            <v>19.219999313354492</v>
          </cell>
          <cell r="D602">
            <v>28.752173658401478</v>
          </cell>
        </row>
        <row r="603">
          <cell r="B603" t="str">
            <v xml:space="preserve">2023/9/20
</v>
          </cell>
          <cell r="C603">
            <v>19.120000839233398</v>
          </cell>
          <cell r="D603">
            <v>28.736146748552613</v>
          </cell>
        </row>
        <row r="604">
          <cell r="B604" t="str">
            <v xml:space="preserve">2023/9/21
</v>
          </cell>
          <cell r="C604">
            <v>18.959999084472656</v>
          </cell>
          <cell r="D604">
            <v>28.719907300605637</v>
          </cell>
        </row>
        <row r="605">
          <cell r="B605" t="str">
            <v xml:space="preserve">2023/9/22
</v>
          </cell>
          <cell r="C605">
            <v>19.370000839233398</v>
          </cell>
          <cell r="D605">
            <v>28.704401651415967</v>
          </cell>
        </row>
        <row r="606">
          <cell r="B606" t="str">
            <v xml:space="preserve">2023/9/25
</v>
          </cell>
          <cell r="C606">
            <v>19.290000915527344</v>
          </cell>
          <cell r="D606">
            <v>28.68881489523072</v>
          </cell>
        </row>
        <row r="607">
          <cell r="B607" t="str">
            <v xml:space="preserve">2023/9/26
</v>
          </cell>
          <cell r="C607">
            <v>19.170000076293945</v>
          </cell>
          <cell r="D607">
            <v>28.673081317017601</v>
          </cell>
        </row>
        <row r="608">
          <cell r="B608">
            <v>45196</v>
          </cell>
          <cell r="C608">
            <v>19.25</v>
          </cell>
          <cell r="D608">
            <v>28.657531677880609</v>
          </cell>
        </row>
        <row r="609">
          <cell r="B609">
            <v>45197</v>
          </cell>
          <cell r="C609">
            <v>19.25</v>
          </cell>
          <cell r="D609">
            <v>28.642033273139454</v>
          </cell>
        </row>
        <row r="610">
          <cell r="B610" t="str">
            <v xml:space="preserve">2023/10/9
</v>
          </cell>
          <cell r="C610">
            <v>19.350000381469727</v>
          </cell>
          <cell r="D610">
            <v>28.626750324304471</v>
          </cell>
        </row>
        <row r="611">
          <cell r="B611" t="str">
            <v xml:space="preserve">2023/10/10
</v>
          </cell>
          <cell r="C611">
            <v>19.180000305175781</v>
          </cell>
          <cell r="D611">
            <v>28.611238419511157</v>
          </cell>
        </row>
        <row r="612">
          <cell r="B612" t="str">
            <v xml:space="preserve">2023/10/11
</v>
          </cell>
          <cell r="C612">
            <v>19.309999465942383</v>
          </cell>
          <cell r="D612">
            <v>28.595990486800389</v>
          </cell>
        </row>
        <row r="613">
          <cell r="B613" t="str">
            <v xml:space="preserve">2023/10/12
</v>
          </cell>
          <cell r="C613">
            <v>19.459999084472656</v>
          </cell>
          <cell r="D613">
            <v>28.581037964046988</v>
          </cell>
        </row>
        <row r="614">
          <cell r="B614" t="str">
            <v xml:space="preserve">2023/10/13
</v>
          </cell>
          <cell r="C614">
            <v>19.219999313354492</v>
          </cell>
          <cell r="D614">
            <v>28.565742149258273</v>
          </cell>
        </row>
        <row r="615">
          <cell r="B615" t="str">
            <v xml:space="preserve">2023/10/16
</v>
          </cell>
          <cell r="C615">
            <v>18.930000305175781</v>
          </cell>
          <cell r="D615">
            <v>28.550023157669234</v>
          </cell>
        </row>
        <row r="616">
          <cell r="B616" t="str">
            <v xml:space="preserve">2023/10/17
</v>
          </cell>
          <cell r="C616">
            <v>18.950000762939453</v>
          </cell>
          <cell r="D616">
            <v>28.534387942042638</v>
          </cell>
        </row>
        <row r="617">
          <cell r="B617" t="str">
            <v xml:space="preserve">2023/10/18
</v>
          </cell>
          <cell r="C617">
            <v>18.760000228881836</v>
          </cell>
          <cell r="D617">
            <v>28.518494628687904</v>
          </cell>
        </row>
        <row r="618">
          <cell r="B618" t="str">
            <v xml:space="preserve">2023/10/19
</v>
          </cell>
          <cell r="C618">
            <v>18.409999847412109</v>
          </cell>
          <cell r="D618">
            <v>28.502084734562455</v>
          </cell>
        </row>
        <row r="619">
          <cell r="B619" t="str">
            <v xml:space="preserve">2023/10/20
</v>
          </cell>
          <cell r="C619">
            <v>18.200000762939453</v>
          </cell>
          <cell r="D619">
            <v>28.485387677882354</v>
          </cell>
        </row>
        <row r="620">
          <cell r="B620" t="str">
            <v xml:space="preserve">2023/10/23
</v>
          </cell>
          <cell r="C620">
            <v>18.040000915527344</v>
          </cell>
          <cell r="D620">
            <v>28.46848575755492</v>
          </cell>
        </row>
        <row r="621">
          <cell r="B621" t="str">
            <v xml:space="preserve">2023/10/24
</v>
          </cell>
          <cell r="C621">
            <v>18.059999465942383</v>
          </cell>
          <cell r="D621">
            <v>28.451670755468307</v>
          </cell>
        </row>
        <row r="622">
          <cell r="B622" t="str">
            <v xml:space="preserve">2023/10/25
</v>
          </cell>
          <cell r="C622">
            <v>18.100000381469727</v>
          </cell>
          <cell r="D622">
            <v>28.4349745129296</v>
          </cell>
        </row>
        <row r="623">
          <cell r="B623" t="str">
            <v xml:space="preserve">2023/10/26
</v>
          </cell>
          <cell r="C623">
            <v>18.159999847412109</v>
          </cell>
          <cell r="D623">
            <v>28.418428660006061</v>
          </cell>
        </row>
        <row r="624">
          <cell r="B624" t="str">
            <v xml:space="preserve">2023/10/27
</v>
          </cell>
          <cell r="C624">
            <v>18.620000839233398</v>
          </cell>
          <cell r="D624">
            <v>28.402675560615751</v>
          </cell>
        </row>
        <row r="625">
          <cell r="B625">
            <v>45229</v>
          </cell>
          <cell r="C625">
            <v>18.969999313354492</v>
          </cell>
          <cell r="D625">
            <v>28.38753482827665</v>
          </cell>
        </row>
        <row r="626">
          <cell r="B626">
            <v>45230</v>
          </cell>
          <cell r="C626">
            <v>18.770000457763672</v>
          </cell>
          <cell r="D626">
            <v>28.372122112939287</v>
          </cell>
        </row>
        <row r="627">
          <cell r="B627" t="str">
            <v xml:space="preserve">2023/11/1
</v>
          </cell>
          <cell r="C627">
            <v>18.219999313354492</v>
          </cell>
          <cell r="D627">
            <v>28.355878716459952</v>
          </cell>
        </row>
        <row r="628">
          <cell r="B628" t="str">
            <v xml:space="preserve">2023/11/2
</v>
          </cell>
          <cell r="C628">
            <v>18.069999694824219</v>
          </cell>
          <cell r="D628">
            <v>28.339447599811972</v>
          </cell>
        </row>
        <row r="629">
          <cell r="B629" t="str">
            <v xml:space="preserve">2023/11/3
</v>
          </cell>
          <cell r="C629">
            <v>18.280000686645508</v>
          </cell>
          <cell r="D629">
            <v>28.323403824830844</v>
          </cell>
        </row>
        <row r="630">
          <cell r="B630" t="str">
            <v xml:space="preserve">2023/11/6
</v>
          </cell>
          <cell r="C630">
            <v>18.790000915527344</v>
          </cell>
          <cell r="D630">
            <v>28.308223246949787</v>
          </cell>
        </row>
        <row r="631">
          <cell r="B631" t="str">
            <v xml:space="preserve">2023/11/7
</v>
          </cell>
          <cell r="C631">
            <v>18.709999084472656</v>
          </cell>
          <cell r="D631">
            <v>28.292963749076215</v>
          </cell>
        </row>
        <row r="632">
          <cell r="B632" t="str">
            <v xml:space="preserve">2023/11/8
</v>
          </cell>
          <cell r="C632">
            <v>18.709999084472656</v>
          </cell>
          <cell r="D632">
            <v>28.277752694053035</v>
          </cell>
        </row>
        <row r="633">
          <cell r="B633" t="str">
            <v xml:space="preserve">2023/11/9
</v>
          </cell>
          <cell r="C633">
            <v>18.700000762939453</v>
          </cell>
          <cell r="D633">
            <v>28.262574006365057</v>
          </cell>
        </row>
        <row r="634">
          <cell r="B634" t="str">
            <v xml:space="preserve">2023/11/10
</v>
          </cell>
          <cell r="C634">
            <v>18.569999694824219</v>
          </cell>
          <cell r="D634">
            <v>28.247237654606291</v>
          </cell>
        </row>
        <row r="635">
          <cell r="B635" t="str">
            <v xml:space="preserve">2023/11/13
</v>
          </cell>
          <cell r="C635">
            <v>18.549999237060547</v>
          </cell>
          <cell r="D635">
            <v>28.231918162635445</v>
          </cell>
        </row>
        <row r="636">
          <cell r="B636" t="str">
            <v xml:space="preserve">2023/11/14
</v>
          </cell>
          <cell r="C636">
            <v>18.530000686645508</v>
          </cell>
          <cell r="D636">
            <v>28.216615453682778</v>
          </cell>
        </row>
        <row r="637">
          <cell r="B637" t="str">
            <v xml:space="preserve">2023/11/15
</v>
          </cell>
          <cell r="C637">
            <v>18.690000534057617</v>
          </cell>
          <cell r="D637">
            <v>28.201612910502266</v>
          </cell>
        </row>
        <row r="638">
          <cell r="B638" t="str">
            <v xml:space="preserve">2023/11/16
</v>
          </cell>
          <cell r="C638">
            <v>18.440000534057617</v>
          </cell>
          <cell r="D638">
            <v>28.186264463369493</v>
          </cell>
        </row>
        <row r="639">
          <cell r="B639" t="str">
            <v xml:space="preserve">2023/11/17
</v>
          </cell>
          <cell r="C639">
            <v>18.459999084472656</v>
          </cell>
          <cell r="D639">
            <v>28.170995600922243</v>
          </cell>
        </row>
        <row r="640">
          <cell r="B640" t="str">
            <v xml:space="preserve">2023/11/20
</v>
          </cell>
          <cell r="C640">
            <v>18.510000228881836</v>
          </cell>
          <cell r="D640">
            <v>28.155852974947258</v>
          </cell>
        </row>
        <row r="641">
          <cell r="B641" t="str">
            <v xml:space="preserve">2023/11/21
</v>
          </cell>
          <cell r="C641">
            <v>18.450000762939453</v>
          </cell>
          <cell r="D641">
            <v>28.140663847854917</v>
          </cell>
        </row>
        <row r="642">
          <cell r="B642" t="str">
            <v xml:space="preserve">2023/11/22
</v>
          </cell>
          <cell r="C642">
            <v>18.149999618530273</v>
          </cell>
          <cell r="D642">
            <v>28.125053434996595</v>
          </cell>
        </row>
        <row r="643">
          <cell r="B643" t="str">
            <v xml:space="preserve">2023/11/23
</v>
          </cell>
          <cell r="C643">
            <v>18.309999465942383</v>
          </cell>
          <cell r="D643">
            <v>28.109741338321005</v>
          </cell>
        </row>
        <row r="644">
          <cell r="B644" t="str">
            <v xml:space="preserve">2023/11/24
</v>
          </cell>
          <cell r="C644">
            <v>18.129999160766602</v>
          </cell>
          <cell r="D644">
            <v>28.094196568574034</v>
          </cell>
        </row>
        <row r="645">
          <cell r="B645" t="str">
            <v xml:space="preserve">2023/11/27
</v>
          </cell>
          <cell r="C645">
            <v>18.020000457763672</v>
          </cell>
          <cell r="D645">
            <v>28.078529078510567</v>
          </cell>
        </row>
        <row r="646">
          <cell r="B646" t="str">
            <v xml:space="preserve">2023/11/28
</v>
          </cell>
          <cell r="C646">
            <v>18.170000076293945</v>
          </cell>
          <cell r="D646">
            <v>28.063143163910851</v>
          </cell>
        </row>
        <row r="647">
          <cell r="B647" t="str">
            <v xml:space="preserve">2023/11/29
</v>
          </cell>
          <cell r="C647">
            <v>17.959999084472656</v>
          </cell>
          <cell r="D647">
            <v>28.047479374640403</v>
          </cell>
        </row>
        <row r="648">
          <cell r="B648">
            <v>45260</v>
          </cell>
          <cell r="C648">
            <v>17.930000305175781</v>
          </cell>
          <cell r="D648">
            <v>28.031817642334733</v>
          </cell>
        </row>
        <row r="649">
          <cell r="B649" t="str">
            <v xml:space="preserve">2023/12/1
</v>
          </cell>
          <cell r="C649">
            <v>17.860000610351563</v>
          </cell>
          <cell r="D649">
            <v>28.016096132238932</v>
          </cell>
        </row>
        <row r="650">
          <cell r="B650" t="str">
            <v xml:space="preserve">2023/12/4
</v>
          </cell>
          <cell r="C650">
            <v>17.719999313354492</v>
          </cell>
          <cell r="D650">
            <v>28.000207093938183</v>
          </cell>
        </row>
        <row r="651">
          <cell r="B651" t="str">
            <v xml:space="preserve">2023/12/5
</v>
          </cell>
          <cell r="C651">
            <v>17.379999160766602</v>
          </cell>
          <cell r="D651">
            <v>27.983843137184451</v>
          </cell>
        </row>
        <row r="652">
          <cell r="B652" t="str">
            <v xml:space="preserve">2023/12/6
</v>
          </cell>
          <cell r="C652">
            <v>17.440000534057617</v>
          </cell>
          <cell r="D652">
            <v>27.967621840871949</v>
          </cell>
        </row>
        <row r="653">
          <cell r="B653" t="str">
            <v xml:space="preserve">2023/12/7
</v>
          </cell>
          <cell r="C653">
            <v>17.399999618530273</v>
          </cell>
          <cell r="D653">
            <v>27.951388934232408</v>
          </cell>
        </row>
        <row r="654">
          <cell r="B654" t="str">
            <v xml:space="preserve">2023/12/8
</v>
          </cell>
          <cell r="C654">
            <v>17.530000686645508</v>
          </cell>
          <cell r="D654">
            <v>27.935405209926291</v>
          </cell>
        </row>
        <row r="655">
          <cell r="B655" t="str">
            <v xml:space="preserve">2023/12/11
</v>
          </cell>
          <cell r="C655">
            <v>17.760000228881836</v>
          </cell>
          <cell r="D655">
            <v>27.91982266018503</v>
          </cell>
        </row>
        <row r="656">
          <cell r="B656" t="str">
            <v xml:space="preserve">2023/12/12
</v>
          </cell>
          <cell r="C656">
            <v>17.700000762939453</v>
          </cell>
          <cell r="D656">
            <v>27.904196021198416</v>
          </cell>
        </row>
        <row r="657">
          <cell r="B657" t="str">
            <v xml:space="preserve">2023/12/13
</v>
          </cell>
          <cell r="C657">
            <v>17.450000762939453</v>
          </cell>
          <cell r="D657">
            <v>27.888235417750693</v>
          </cell>
        </row>
        <row r="658">
          <cell r="B658" t="str">
            <v xml:space="preserve">2023/12/14
</v>
          </cell>
          <cell r="C658">
            <v>17.340000152587891</v>
          </cell>
          <cell r="D658">
            <v>27.872155790822092</v>
          </cell>
        </row>
        <row r="659">
          <cell r="B659" t="str">
            <v xml:space="preserve">2023/12/15
</v>
          </cell>
          <cell r="C659">
            <v>17.25</v>
          </cell>
          <cell r="D659">
            <v>27.855988125995879</v>
          </cell>
        </row>
        <row r="660">
          <cell r="B660" t="str">
            <v xml:space="preserve">2023/12/18
</v>
          </cell>
          <cell r="C660">
            <v>17.049999237060547</v>
          </cell>
          <cell r="D660">
            <v>27.839565650480779</v>
          </cell>
        </row>
        <row r="661">
          <cell r="B661" t="str">
            <v xml:space="preserve">2023/12/19
</v>
          </cell>
          <cell r="C661">
            <v>17.079999923706055</v>
          </cell>
          <cell r="D661">
            <v>27.823238540121483</v>
          </cell>
        </row>
        <row r="662">
          <cell r="B662" t="str">
            <v xml:space="preserve">2023/12/20
</v>
          </cell>
          <cell r="C662">
            <v>16.860000610351563</v>
          </cell>
          <cell r="D662">
            <v>27.806627573561226</v>
          </cell>
        </row>
        <row r="663">
          <cell r="B663" t="str">
            <v xml:space="preserve">2023/12/21
</v>
          </cell>
          <cell r="C663">
            <v>17.090000152587891</v>
          </cell>
          <cell r="D663">
            <v>27.790414824058999</v>
          </cell>
        </row>
        <row r="664">
          <cell r="B664" t="str">
            <v xml:space="preserve">2023/12/22
</v>
          </cell>
          <cell r="C664">
            <v>17.079999923706055</v>
          </cell>
          <cell r="D664">
            <v>27.774235949587165</v>
          </cell>
        </row>
        <row r="665">
          <cell r="B665" t="str">
            <v xml:space="preserve">2023/12/25
</v>
          </cell>
          <cell r="C665">
            <v>17.170000076293945</v>
          </cell>
          <cell r="D665">
            <v>27.758241627003013</v>
          </cell>
        </row>
        <row r="666">
          <cell r="B666" t="str">
            <v xml:space="preserve">2023/12/26
</v>
          </cell>
          <cell r="C666">
            <v>16.989999771118164</v>
          </cell>
          <cell r="D666">
            <v>27.742024395292344</v>
          </cell>
        </row>
        <row r="667">
          <cell r="B667" t="str">
            <v xml:space="preserve">2023/12/27
</v>
          </cell>
          <cell r="C667">
            <v>17.040000915527344</v>
          </cell>
          <cell r="D667">
            <v>27.725931126901717</v>
          </cell>
        </row>
        <row r="668">
          <cell r="B668">
            <v>45288</v>
          </cell>
          <cell r="C668">
            <v>17.569999694824219</v>
          </cell>
          <cell r="D668">
            <v>27.710681980607308</v>
          </cell>
        </row>
        <row r="669">
          <cell r="B669">
            <v>45289</v>
          </cell>
          <cell r="C669">
            <v>17.709999084472656</v>
          </cell>
          <cell r="D669">
            <v>27.695688453026897</v>
          </cell>
        </row>
        <row r="670">
          <cell r="B670" t="str">
            <v xml:space="preserve">2024/1/2
</v>
          </cell>
          <cell r="C670">
            <v>17.389999389648437</v>
          </cell>
          <cell r="D670">
            <v>27.680260774788305</v>
          </cell>
        </row>
        <row r="671">
          <cell r="B671" t="str">
            <v xml:space="preserve">2024/1/3
</v>
          </cell>
          <cell r="C671">
            <v>17.209999084472656</v>
          </cell>
          <cell r="D671">
            <v>27.664610159406667</v>
          </cell>
        </row>
        <row r="672">
          <cell r="B672" t="str">
            <v xml:space="preserve">2024/1/4
</v>
          </cell>
          <cell r="C672">
            <v>16.98</v>
          </cell>
          <cell r="D672">
            <v>27.64866298006427</v>
          </cell>
        </row>
        <row r="673">
          <cell r="B673" t="str">
            <v xml:space="preserve">2024/1/5
</v>
          </cell>
          <cell r="C673">
            <v>16.850000000000001</v>
          </cell>
          <cell r="D673">
            <v>27.632569592612608</v>
          </cell>
        </row>
        <row r="674">
          <cell r="B674" t="str">
            <v xml:space="preserve">2024/1/8
</v>
          </cell>
          <cell r="C674">
            <v>16.590000152587891</v>
          </cell>
          <cell r="D674">
            <v>27.61613719761257</v>
          </cell>
        </row>
        <row r="675">
          <cell r="B675" t="str">
            <v xml:space="preserve">2024/1/9
</v>
          </cell>
          <cell r="C675">
            <v>16.629999160766602</v>
          </cell>
          <cell r="D675">
            <v>27.599813069771788</v>
          </cell>
        </row>
        <row r="676">
          <cell r="B676" t="str">
            <v xml:space="preserve">2024/1/10
</v>
          </cell>
          <cell r="C676">
            <v>16.530000686645508</v>
          </cell>
          <cell r="D676">
            <v>27.583389015790889</v>
          </cell>
        </row>
        <row r="677">
          <cell r="B677" t="str">
            <v xml:space="preserve">2024/1/11
</v>
          </cell>
          <cell r="C677">
            <v>16.75</v>
          </cell>
          <cell r="D677">
            <v>27.567339550582311</v>
          </cell>
        </row>
        <row r="678">
          <cell r="B678" t="str">
            <v xml:space="preserve">2024/1/12
</v>
          </cell>
          <cell r="C678">
            <v>16.610000610351563</v>
          </cell>
          <cell r="D678">
            <v>27.551130469309779</v>
          </cell>
        </row>
        <row r="679">
          <cell r="B679" t="str">
            <v xml:space="preserve">2024/1/15
</v>
          </cell>
          <cell r="C679">
            <v>16.549999237060547</v>
          </cell>
          <cell r="D679">
            <v>27.534880644742202</v>
          </cell>
        </row>
        <row r="680">
          <cell r="B680" t="str">
            <v xml:space="preserve">2024/1/16
</v>
          </cell>
          <cell r="C680">
            <v>16.649999618530273</v>
          </cell>
          <cell r="D680">
            <v>27.518826247948379</v>
          </cell>
        </row>
        <row r="681">
          <cell r="B681" t="str">
            <v xml:space="preserve">2024/1/17
</v>
          </cell>
          <cell r="C681">
            <v>16.229999542236328</v>
          </cell>
          <cell r="D681">
            <v>27.502200582696961</v>
          </cell>
        </row>
        <row r="682">
          <cell r="B682" t="str">
            <v xml:space="preserve">2024/1/18
</v>
          </cell>
          <cell r="C682">
            <v>16.469999313354492</v>
          </cell>
          <cell r="D682">
            <v>27.485976757300872</v>
          </cell>
        </row>
        <row r="683">
          <cell r="B683" t="str">
            <v xml:space="preserve">2024/1/19
</v>
          </cell>
          <cell r="C683">
            <v>16.389999389648437</v>
          </cell>
          <cell r="D683">
            <v>27.469683104778621</v>
          </cell>
        </row>
        <row r="684">
          <cell r="B684" t="str">
            <v xml:space="preserve">2024/1/22
</v>
          </cell>
          <cell r="C684">
            <v>15.989999771118164</v>
          </cell>
          <cell r="D684">
            <v>27.452850724523987</v>
          </cell>
        </row>
        <row r="685">
          <cell r="B685" t="str">
            <v xml:space="preserve">2024/1/23
</v>
          </cell>
          <cell r="C685">
            <v>16.180000305175781</v>
          </cell>
          <cell r="D685">
            <v>27.43634581907838</v>
          </cell>
        </row>
        <row r="686">
          <cell r="B686" t="str">
            <v xml:space="preserve">2024/1/24
</v>
          </cell>
          <cell r="C686">
            <v>16.309999465942383</v>
          </cell>
          <cell r="D686">
            <v>27.420079230842802</v>
          </cell>
        </row>
        <row r="687">
          <cell r="B687" t="str">
            <v xml:space="preserve">2024/1/25
</v>
          </cell>
          <cell r="C687">
            <v>16.510000228881836</v>
          </cell>
          <cell r="D687">
            <v>27.404152108212202</v>
          </cell>
        </row>
        <row r="688">
          <cell r="B688" t="str">
            <v xml:space="preserve">2024/1/26
</v>
          </cell>
          <cell r="C688">
            <v>16.280000686645508</v>
          </cell>
          <cell r="D688">
            <v>27.387936144040822</v>
          </cell>
        </row>
        <row r="689">
          <cell r="B689" t="str">
            <v xml:space="preserve">2024/1/29
</v>
          </cell>
          <cell r="C689">
            <v>15.909999847412109</v>
          </cell>
          <cell r="D689">
            <v>27.371228813186924</v>
          </cell>
        </row>
        <row r="690">
          <cell r="B690">
            <v>45321</v>
          </cell>
          <cell r="C690">
            <v>15.520000457763672</v>
          </cell>
          <cell r="D690">
            <v>27.354003190577295</v>
          </cell>
        </row>
        <row r="691">
          <cell r="B691">
            <v>45322</v>
          </cell>
          <cell r="C691">
            <v>15.380000114440918</v>
          </cell>
          <cell r="D691">
            <v>27.336624376243282</v>
          </cell>
        </row>
        <row r="692">
          <cell r="B692" t="str">
            <v xml:space="preserve">2024/2/1
</v>
          </cell>
          <cell r="C692">
            <v>15.5</v>
          </cell>
          <cell r="D692">
            <v>27.31946984816177</v>
          </cell>
        </row>
        <row r="693">
          <cell r="B693" t="str">
            <v xml:space="preserve">2024/2/2
</v>
          </cell>
          <cell r="C693">
            <v>15.170000076293945</v>
          </cell>
          <cell r="D693">
            <v>27.301887402761093</v>
          </cell>
        </row>
        <row r="694">
          <cell r="B694" t="str">
            <v xml:space="preserve">2024/2/5
</v>
          </cell>
          <cell r="C694">
            <v>15.3</v>
          </cell>
          <cell r="D694">
            <v>27.284543634838027</v>
          </cell>
        </row>
        <row r="695">
          <cell r="B695" t="str">
            <v xml:space="preserve">2024/2/6
</v>
          </cell>
          <cell r="C695">
            <v>16.100000381469727</v>
          </cell>
          <cell r="D695">
            <v>27.268404322784104</v>
          </cell>
        </row>
        <row r="696">
          <cell r="B696" t="str">
            <v xml:space="preserve">2024/2/7
</v>
          </cell>
          <cell r="C696">
            <v>16.399999618530273</v>
          </cell>
          <cell r="D696">
            <v>27.252743797273652</v>
          </cell>
        </row>
        <row r="697">
          <cell r="B697" t="str">
            <v xml:space="preserve">2024/2/8
</v>
          </cell>
          <cell r="C697">
            <v>16.590000152587891</v>
          </cell>
          <cell r="D697">
            <v>27.237401720087053</v>
          </cell>
        </row>
        <row r="698">
          <cell r="B698" t="str">
            <v xml:space="preserve">2024/2/19
</v>
          </cell>
          <cell r="C698">
            <v>16.719999313354492</v>
          </cell>
          <cell r="D698">
            <v>27.222290509732552</v>
          </cell>
        </row>
        <row r="699">
          <cell r="B699" t="str">
            <v xml:space="preserve">2024/2/20
</v>
          </cell>
          <cell r="C699">
            <v>16.709999084472656</v>
          </cell>
          <cell r="D699">
            <v>27.207208312565751</v>
          </cell>
        </row>
        <row r="700">
          <cell r="B700" t="str">
            <v xml:space="preserve">2024/2/21
</v>
          </cell>
          <cell r="C700">
            <v>16.870000839233398</v>
          </cell>
          <cell r="D700">
            <v>27.192398559738628</v>
          </cell>
        </row>
        <row r="701">
          <cell r="B701" t="str">
            <v xml:space="preserve">2024/2/22
</v>
          </cell>
          <cell r="C701">
            <v>16.959999084472656</v>
          </cell>
          <cell r="D701">
            <v>27.17775993387988</v>
          </cell>
        </row>
        <row r="702">
          <cell r="B702" t="str">
            <v xml:space="preserve">2024/2/23
</v>
          </cell>
          <cell r="C702">
            <v>16.950000762939453</v>
          </cell>
          <cell r="D702">
            <v>27.163148849349962</v>
          </cell>
        </row>
        <row r="703">
          <cell r="B703" t="str">
            <v xml:space="preserve">2024/2/26
</v>
          </cell>
          <cell r="C703">
            <v>16.959999084472656</v>
          </cell>
          <cell r="D703">
            <v>27.14859371416469</v>
          </cell>
        </row>
        <row r="704">
          <cell r="B704" t="str">
            <v xml:space="preserve">2024/2/27
</v>
          </cell>
          <cell r="C704">
            <v>17.340000152587891</v>
          </cell>
          <cell r="D704">
            <v>27.134621358663868</v>
          </cell>
        </row>
        <row r="705">
          <cell r="B705" t="str">
            <v xml:space="preserve">2024/2/28
</v>
          </cell>
          <cell r="C705">
            <v>16.959999084472656</v>
          </cell>
          <cell r="D705">
            <v>27.120148211758902</v>
          </cell>
        </row>
        <row r="706">
          <cell r="B706">
            <v>45351</v>
          </cell>
          <cell r="C706">
            <v>17.479999542236328</v>
          </cell>
          <cell r="D706">
            <v>27.106454818762419</v>
          </cell>
        </row>
        <row r="707">
          <cell r="B707" t="str">
            <v xml:space="preserve">2024/3/1
</v>
          </cell>
          <cell r="C707">
            <v>17.709999084472656</v>
          </cell>
          <cell r="D707">
            <v>27.093126512756335</v>
          </cell>
        </row>
        <row r="708">
          <cell r="B708" t="str">
            <v xml:space="preserve">2024/3/4
</v>
          </cell>
          <cell r="C708">
            <v>17.739999771118164</v>
          </cell>
          <cell r="D708">
            <v>27.079878457881495</v>
          </cell>
        </row>
        <row r="709">
          <cell r="B709" t="str">
            <v xml:space="preserve">2024/3/5
</v>
          </cell>
          <cell r="C709">
            <v>17.760000228881836</v>
          </cell>
          <cell r="D709">
            <v>27.066696169014453</v>
          </cell>
        </row>
        <row r="710">
          <cell r="B710" t="str">
            <v xml:space="preserve">2024/3/6
</v>
          </cell>
          <cell r="C710">
            <v>17.700000762939453</v>
          </cell>
          <cell r="D710">
            <v>27.053466373243158</v>
          </cell>
        </row>
        <row r="711">
          <cell r="B711" t="str">
            <v xml:space="preserve">2024/3/7
</v>
          </cell>
          <cell r="C711">
            <v>17.450000762939453</v>
          </cell>
          <cell r="D711">
            <v>27.03992128775613</v>
          </cell>
        </row>
        <row r="712">
          <cell r="B712" t="str">
            <v xml:space="preserve">2024/3/8
</v>
          </cell>
          <cell r="C712">
            <v>17.610000610351563</v>
          </cell>
          <cell r="D712">
            <v>27.02663970933725</v>
          </cell>
        </row>
        <row r="713">
          <cell r="B713" t="str">
            <v xml:space="preserve">2024/3/11
</v>
          </cell>
          <cell r="C713">
            <v>18.129999160766602</v>
          </cell>
          <cell r="D713">
            <v>27.014126853432089</v>
          </cell>
        </row>
        <row r="714">
          <cell r="B714" t="str">
            <v xml:space="preserve">2024/3/12
</v>
          </cell>
          <cell r="C714">
            <v>18.25</v>
          </cell>
          <cell r="D714">
            <v>27.001817686503109</v>
          </cell>
        </row>
        <row r="715">
          <cell r="B715" t="str">
            <v xml:space="preserve">2024/3/13
</v>
          </cell>
          <cell r="C715">
            <v>18.159999847412109</v>
          </cell>
          <cell r="D715">
            <v>26.989416819968621</v>
          </cell>
        </row>
        <row r="716">
          <cell r="B716" t="str">
            <v xml:space="preserve">2024/3/14
</v>
          </cell>
          <cell r="C716">
            <v>18.040000915527344</v>
          </cell>
          <cell r="D716">
            <v>26.976882624024025</v>
          </cell>
        </row>
        <row r="717">
          <cell r="B717" t="str">
            <v xml:space="preserve">2024/3/15
</v>
          </cell>
          <cell r="C717">
            <v>18.049999237060547</v>
          </cell>
          <cell r="D717">
            <v>26.964397472433866</v>
          </cell>
        </row>
        <row r="718">
          <cell r="B718" t="str">
            <v xml:space="preserve">2024/3/18
</v>
          </cell>
          <cell r="C718">
            <v>18.350000381469727</v>
          </cell>
          <cell r="D718">
            <v>26.952366191580563</v>
          </cell>
        </row>
        <row r="719">
          <cell r="B719" t="str">
            <v xml:space="preserve">2024/3/19
</v>
          </cell>
          <cell r="C719">
            <v>18.200000762939453</v>
          </cell>
          <cell r="D719">
            <v>26.940159266296547</v>
          </cell>
        </row>
        <row r="720">
          <cell r="B720" t="str">
            <v xml:space="preserve">2024/3/20
</v>
          </cell>
          <cell r="C720">
            <v>18.219999313354492</v>
          </cell>
          <cell r="D720">
            <v>26.928014196724202</v>
          </cell>
        </row>
        <row r="721">
          <cell r="B721" t="str">
            <v xml:space="preserve">2024/3/21
</v>
          </cell>
          <cell r="C721">
            <v>18.100000381469727</v>
          </cell>
          <cell r="D721">
            <v>26.915736013392834</v>
          </cell>
        </row>
        <row r="722">
          <cell r="B722" t="str">
            <v xml:space="preserve">2024/3/22
</v>
          </cell>
          <cell r="C722">
            <v>17.950000762939453</v>
          </cell>
          <cell r="D722">
            <v>26.903283603322759</v>
          </cell>
        </row>
        <row r="723">
          <cell r="B723" t="str">
            <v xml:space="preserve">2024/3/25
</v>
          </cell>
          <cell r="C723">
            <v>17.739999771118164</v>
          </cell>
          <cell r="D723">
            <v>26.890574471794043</v>
          </cell>
        </row>
        <row r="724">
          <cell r="B724" t="str">
            <v xml:space="preserve">2024/3/26
</v>
          </cell>
          <cell r="C724">
            <v>17.840000152587891</v>
          </cell>
          <cell r="D724">
            <v>26.878039050299297</v>
          </cell>
        </row>
        <row r="725">
          <cell r="B725" t="str">
            <v xml:space="preserve">2024/3/27
</v>
          </cell>
          <cell r="C725">
            <v>17.459999084472656</v>
          </cell>
          <cell r="D725">
            <v>26.865012715630105</v>
          </cell>
        </row>
        <row r="726">
          <cell r="B726">
            <v>45379</v>
          </cell>
          <cell r="C726">
            <v>17.659999847412109</v>
          </cell>
          <cell r="D726">
            <v>26.852298609458533</v>
          </cell>
        </row>
        <row r="727">
          <cell r="B727">
            <v>45380</v>
          </cell>
          <cell r="C727">
            <v>17.700000762939453</v>
          </cell>
          <cell r="D727">
            <v>26.839674750359887</v>
          </cell>
        </row>
        <row r="728">
          <cell r="B728" t="str">
            <v xml:space="preserve">2024/4/1
</v>
          </cell>
          <cell r="C728">
            <v>18.159999847412109</v>
          </cell>
          <cell r="D728">
            <v>26.827719275286956</v>
          </cell>
        </row>
        <row r="729">
          <cell r="B729" t="str">
            <v xml:space="preserve">2024/4/2
</v>
          </cell>
          <cell r="C729">
            <v>18.040000915527344</v>
          </cell>
          <cell r="D729">
            <v>26.815631629675181</v>
          </cell>
        </row>
        <row r="730">
          <cell r="B730" t="str">
            <v xml:space="preserve">2024/4/3
</v>
          </cell>
          <cell r="C730">
            <v>17.909999847412109</v>
          </cell>
          <cell r="D730">
            <v>26.803398618985259</v>
          </cell>
        </row>
        <row r="731">
          <cell r="B731" t="str">
            <v xml:space="preserve">2024/4/8
</v>
          </cell>
          <cell r="C731">
            <v>17.690000534057617</v>
          </cell>
          <cell r="D731">
            <v>26.790897387044343</v>
          </cell>
        </row>
        <row r="732">
          <cell r="B732" t="str">
            <v xml:space="preserve">2024/4/9
</v>
          </cell>
          <cell r="C732">
            <v>17.780000686645508</v>
          </cell>
          <cell r="D732">
            <v>26.778553692934207</v>
          </cell>
        </row>
        <row r="733">
          <cell r="B733" t="str">
            <v xml:space="preserve">2024/4/10
</v>
          </cell>
          <cell r="C733">
            <v>17.5</v>
          </cell>
          <cell r="D733">
            <v>26.765860733025953</v>
          </cell>
        </row>
        <row r="734">
          <cell r="B734" t="str">
            <v xml:space="preserve">2024/4/11
</v>
          </cell>
          <cell r="C734">
            <v>17.489999771118164</v>
          </cell>
          <cell r="D734">
            <v>26.753188791821159</v>
          </cell>
        </row>
        <row r="735">
          <cell r="B735" t="str">
            <v xml:space="preserve">2024/4/12
</v>
          </cell>
          <cell r="C735">
            <v>17.350000381469727</v>
          </cell>
          <cell r="D735">
            <v>26.740360431097624</v>
          </cell>
        </row>
        <row r="736">
          <cell r="B736" t="str">
            <v xml:space="preserve">2024/4/15
</v>
          </cell>
          <cell r="C736">
            <v>17.719999313354492</v>
          </cell>
          <cell r="D736">
            <v>26.728071110773726</v>
          </cell>
        </row>
        <row r="737">
          <cell r="B737" t="str">
            <v xml:space="preserve">2024/4/16
</v>
          </cell>
          <cell r="C737">
            <v>17.440000534057617</v>
          </cell>
          <cell r="D737">
            <v>26.715434280057103</v>
          </cell>
        </row>
        <row r="738">
          <cell r="B738" t="str">
            <v xml:space="preserve">2024/4/17
</v>
          </cell>
          <cell r="C738">
            <v>17.780000686645508</v>
          </cell>
          <cell r="D738">
            <v>26.703293745283446</v>
          </cell>
        </row>
        <row r="739">
          <cell r="B739" t="str">
            <v xml:space="preserve">2024/4/18
</v>
          </cell>
          <cell r="C739">
            <v>17.75</v>
          </cell>
          <cell r="D739">
            <v>26.6911454498353</v>
          </cell>
        </row>
        <row r="740">
          <cell r="B740" t="str">
            <v xml:space="preserve">2024/4/19
</v>
          </cell>
          <cell r="C740">
            <v>17.5</v>
          </cell>
          <cell r="D740">
            <v>26.67869132320951</v>
          </cell>
        </row>
        <row r="741">
          <cell r="B741" t="str">
            <v xml:space="preserve">2024/4/22
</v>
          </cell>
          <cell r="C741">
            <v>17.459999084472656</v>
          </cell>
          <cell r="D741">
            <v>26.666216773495385</v>
          </cell>
        </row>
        <row r="742">
          <cell r="B742" t="str">
            <v xml:space="preserve">2024/4/23
</v>
          </cell>
          <cell r="C742">
            <v>17.340000152587891</v>
          </cell>
          <cell r="D742">
            <v>26.653613778061725</v>
          </cell>
        </row>
        <row r="743">
          <cell r="B743" t="str">
            <v xml:space="preserve">2024/4/24
</v>
          </cell>
          <cell r="C743">
            <v>17.399999618530273</v>
          </cell>
          <cell r="D743">
            <v>26.641125769749269</v>
          </cell>
        </row>
        <row r="744">
          <cell r="B744" t="str">
            <v xml:space="preserve">2024/4/25
</v>
          </cell>
          <cell r="C744">
            <v>17.459999084472656</v>
          </cell>
          <cell r="D744">
            <v>26.628752283650513</v>
          </cell>
        </row>
        <row r="745">
          <cell r="B745" t="str">
            <v xml:space="preserve">2024/4/26
</v>
          </cell>
          <cell r="C745">
            <v>17.829999923706055</v>
          </cell>
          <cell r="D745">
            <v>26.616910086665392</v>
          </cell>
        </row>
        <row r="746">
          <cell r="B746">
            <v>45411</v>
          </cell>
          <cell r="C746">
            <v>18.290000915527344</v>
          </cell>
          <cell r="D746">
            <v>26.605718004446121</v>
          </cell>
        </row>
        <row r="747">
          <cell r="B747">
            <v>45412</v>
          </cell>
          <cell r="C747">
            <v>18.110000610351563</v>
          </cell>
          <cell r="D747">
            <v>26.594314356937268</v>
          </cell>
        </row>
        <row r="748">
          <cell r="B748" t="str">
            <v xml:space="preserve">2024/5/6
</v>
          </cell>
          <cell r="C748">
            <v>19.219999313354492</v>
          </cell>
          <cell r="D748">
            <v>26.584429216128179</v>
          </cell>
        </row>
        <row r="749">
          <cell r="B749" t="str">
            <v xml:space="preserve">2024/5/7
</v>
          </cell>
          <cell r="C749">
            <v>19.200000762939453</v>
          </cell>
          <cell r="D749">
            <v>26.574543769738366</v>
          </cell>
        </row>
        <row r="750">
          <cell r="B750" t="str">
            <v xml:space="preserve">2024/5/8
</v>
          </cell>
          <cell r="C750">
            <v>18.899999618530273</v>
          </cell>
          <cell r="D750">
            <v>26.564283683974718</v>
          </cell>
        </row>
        <row r="751">
          <cell r="B751" t="str">
            <v xml:space="preserve">2024/5/9
</v>
          </cell>
          <cell r="C751">
            <v>19.190000534057617</v>
          </cell>
          <cell r="D751">
            <v>26.554438179101666</v>
          </cell>
        </row>
        <row r="752">
          <cell r="B752" t="str">
            <v xml:space="preserve">2024/5/10
</v>
          </cell>
          <cell r="C752">
            <v>19.010000228881836</v>
          </cell>
          <cell r="D752">
            <v>26.544378928501374</v>
          </cell>
        </row>
        <row r="753">
          <cell r="B753" t="str">
            <v xml:space="preserve">2024/5/13
</v>
          </cell>
          <cell r="C753">
            <v>18.930000305175781</v>
          </cell>
          <cell r="D753">
            <v>26.534239942318514</v>
          </cell>
        </row>
        <row r="754">
          <cell r="B754" t="str">
            <v xml:space="preserve">2024/5/14
</v>
          </cell>
          <cell r="C754">
            <v>18.889999389648438</v>
          </cell>
          <cell r="D754">
            <v>26.524074728817624</v>
          </cell>
        </row>
        <row r="755">
          <cell r="B755" t="str">
            <v xml:space="preserve">2024/5/15
</v>
          </cell>
          <cell r="C755">
            <v>18.729999542236328</v>
          </cell>
          <cell r="D755">
            <v>26.513724031358684</v>
          </cell>
        </row>
        <row r="756">
          <cell r="B756" t="str">
            <v xml:space="preserve">2024/5/16
</v>
          </cell>
          <cell r="C756">
            <v>18.770000457763672</v>
          </cell>
          <cell r="D756">
            <v>26.503453840942775</v>
          </cell>
        </row>
        <row r="757">
          <cell r="B757" t="str">
            <v xml:space="preserve">2024/5/17
</v>
          </cell>
          <cell r="C757">
            <v>18.889999389648438</v>
          </cell>
          <cell r="D757">
            <v>26.493369795311924</v>
          </cell>
        </row>
        <row r="758">
          <cell r="B758" t="str">
            <v xml:space="preserve">2024/5/20
</v>
          </cell>
          <cell r="C758">
            <v>18.909999847412109</v>
          </cell>
          <cell r="D758">
            <v>26.483338882682425</v>
          </cell>
        </row>
        <row r="759">
          <cell r="B759" t="str">
            <v xml:space="preserve">2024/5/21
</v>
          </cell>
          <cell r="C759">
            <v>18.790000915527344</v>
          </cell>
          <cell r="D759">
            <v>26.473175952739023</v>
          </cell>
        </row>
        <row r="760">
          <cell r="B760" t="str">
            <v xml:space="preserve">2024/5/22
</v>
          </cell>
          <cell r="C760">
            <v>18.879999160766602</v>
          </cell>
          <cell r="D760">
            <v>26.463158569108455</v>
          </cell>
        </row>
        <row r="761">
          <cell r="B761" t="str">
            <v xml:space="preserve">2024/5/23
</v>
          </cell>
          <cell r="C761">
            <v>18.680000305175781</v>
          </cell>
          <cell r="D761">
            <v>26.452904078642138</v>
          </cell>
        </row>
        <row r="762">
          <cell r="B762" t="str">
            <v xml:space="preserve">2024/5/24
</v>
          </cell>
          <cell r="C762">
            <v>18.399999618530273</v>
          </cell>
          <cell r="D762">
            <v>26.44230815172094</v>
          </cell>
        </row>
        <row r="763">
          <cell r="B763" t="str">
            <v xml:space="preserve">2024/5/27
</v>
          </cell>
          <cell r="C763">
            <v>18.540000915527344</v>
          </cell>
          <cell r="D763">
            <v>26.43192404234355</v>
          </cell>
        </row>
        <row r="764">
          <cell r="B764" t="str">
            <v xml:space="preserve">2024/5/28
</v>
          </cell>
          <cell r="C764">
            <v>18.309999465942383</v>
          </cell>
          <cell r="D764">
            <v>26.421265348673732</v>
          </cell>
        </row>
        <row r="765">
          <cell r="B765" t="str">
            <v xml:space="preserve">2024/5/29
</v>
          </cell>
          <cell r="C765">
            <v>18.389999389648438</v>
          </cell>
          <cell r="D765">
            <v>26.410739443091785</v>
          </cell>
        </row>
        <row r="766">
          <cell r="B766">
            <v>45442</v>
          </cell>
          <cell r="C766">
            <v>18.409999847412109</v>
          </cell>
          <cell r="D766">
            <v>26.400267270846133</v>
          </cell>
        </row>
        <row r="767">
          <cell r="B767">
            <v>45443</v>
          </cell>
          <cell r="C767">
            <v>18.329999919999999</v>
          </cell>
          <cell r="D767">
            <v>26.389717901760058</v>
          </cell>
        </row>
        <row r="768">
          <cell r="B768" t="str">
            <v xml:space="preserve">2024/6/3
</v>
          </cell>
          <cell r="C768">
            <v>18.489999770000001</v>
          </cell>
          <cell r="D768">
            <v>26.37940495380737</v>
          </cell>
        </row>
        <row r="769">
          <cell r="B769" t="str">
            <v xml:space="preserve">2024/6/4
</v>
          </cell>
          <cell r="C769">
            <v>18.670000080000001</v>
          </cell>
          <cell r="D769">
            <v>26.369353578482979</v>
          </cell>
        </row>
        <row r="770">
          <cell r="B770" t="str">
            <v xml:space="preserve">2024/6/5
</v>
          </cell>
          <cell r="C770">
            <v>18.63999939</v>
          </cell>
          <cell r="D770">
            <v>26.359289315216728</v>
          </cell>
        </row>
        <row r="771">
          <cell r="B771" t="str">
            <v xml:space="preserve">2024/6/6
</v>
          </cell>
          <cell r="C771">
            <v>18.61000061</v>
          </cell>
          <cell r="D771">
            <v>26.349212216770411</v>
          </cell>
        </row>
        <row r="772">
          <cell r="B772" t="str">
            <v xml:space="preserve">2024/6/7
</v>
          </cell>
          <cell r="C772">
            <v>18.31999969</v>
          </cell>
          <cell r="D772">
            <v>26.338784668034346</v>
          </cell>
        </row>
        <row r="773">
          <cell r="B773" t="str">
            <v xml:space="preserve">2024/6/11
</v>
          </cell>
          <cell r="C773">
            <v>18.36000061</v>
          </cell>
          <cell r="D773">
            <v>26.328436050579047</v>
          </cell>
        </row>
        <row r="774">
          <cell r="B774" t="str">
            <v xml:space="preserve">2024/6/12
</v>
          </cell>
          <cell r="C774">
            <v>18.350000380000001</v>
          </cell>
          <cell r="D774">
            <v>26.318101289347727</v>
          </cell>
        </row>
        <row r="775">
          <cell r="B775" t="str">
            <v xml:space="preserve">2024/6/13
</v>
          </cell>
          <cell r="C775">
            <v>18.309999470000001</v>
          </cell>
          <cell r="D775">
            <v>26.307741519853096</v>
          </cell>
        </row>
        <row r="776">
          <cell r="B776" t="str">
            <v xml:space="preserve">2024/6/14
</v>
          </cell>
          <cell r="C776">
            <v>18.399999619999999</v>
          </cell>
          <cell r="D776">
            <v>26.297524799052251</v>
          </cell>
        </row>
        <row r="777">
          <cell r="B777" t="str">
            <v xml:space="preserve">2024/6/17
</v>
          </cell>
          <cell r="C777">
            <v>18.559999470000001</v>
          </cell>
          <cell r="D777">
            <v>26.287540895401861</v>
          </cell>
        </row>
        <row r="778">
          <cell r="B778" t="str">
            <v xml:space="preserve">2024/6/18
</v>
          </cell>
          <cell r="C778">
            <v>18.659999849999998</v>
          </cell>
          <cell r="D778">
            <v>26.277711589930981</v>
          </cell>
        </row>
        <row r="779">
          <cell r="B779" t="str">
            <v xml:space="preserve">2024/6/19
</v>
          </cell>
          <cell r="C779">
            <v>18.459999079999999</v>
          </cell>
          <cell r="D779">
            <v>26.267650183869296</v>
          </cell>
        </row>
        <row r="780">
          <cell r="B780" t="str">
            <v xml:space="preserve">2024/6/20
</v>
          </cell>
          <cell r="C780">
            <v>18.209999079999999</v>
          </cell>
          <cell r="D780">
            <v>26.25729330584376</v>
          </cell>
        </row>
        <row r="781">
          <cell r="B781" t="str">
            <v xml:space="preserve">2024/6/21
</v>
          </cell>
          <cell r="C781">
            <v>18.18000031</v>
          </cell>
          <cell r="D781">
            <v>26.246924508673228</v>
          </cell>
        </row>
        <row r="782">
          <cell r="B782" t="str">
            <v xml:space="preserve">2024/6/24
</v>
          </cell>
          <cell r="C782">
            <v>18</v>
          </cell>
          <cell r="D782">
            <v>26.236351528533902</v>
          </cell>
        </row>
        <row r="783">
          <cell r="B783" t="str">
            <v xml:space="preserve">2024/6/25
</v>
          </cell>
          <cell r="C783">
            <v>17.840000150000002</v>
          </cell>
          <cell r="D783">
            <v>26.225600758522976</v>
          </cell>
        </row>
        <row r="784">
          <cell r="B784" t="str">
            <v xml:space="preserve">2024/6/26
</v>
          </cell>
          <cell r="C784">
            <v>18.06999969</v>
          </cell>
          <cell r="D784">
            <v>26.215171601146348</v>
          </cell>
        </row>
        <row r="785">
          <cell r="B785">
            <v>45470</v>
          </cell>
          <cell r="C785">
            <v>17.870000839999999</v>
          </cell>
          <cell r="D785">
            <v>26.204513656368388</v>
          </cell>
        </row>
        <row r="786">
          <cell r="B786">
            <v>45471</v>
          </cell>
          <cell r="C786">
            <v>17.86000061</v>
          </cell>
          <cell r="D786">
            <v>26.193870144829649</v>
          </cell>
        </row>
        <row r="787">
          <cell r="B787" t="str">
            <v xml:space="preserve">2024/7/1
</v>
          </cell>
          <cell r="C787">
            <v>17.799999239999998</v>
          </cell>
          <cell r="D787">
            <v>26.183177315651523</v>
          </cell>
        </row>
        <row r="788">
          <cell r="B788" t="str">
            <v xml:space="preserve">2024/7/2
</v>
          </cell>
          <cell r="C788">
            <v>17.590000150000002</v>
          </cell>
          <cell r="D788">
            <v>26.172244520275378</v>
          </cell>
        </row>
        <row r="789">
          <cell r="B789" t="str">
            <v xml:space="preserve">2024/7/3
</v>
          </cell>
          <cell r="C789">
            <v>17.530000690000001</v>
          </cell>
          <cell r="D789">
            <v>26.161263270173375</v>
          </cell>
        </row>
        <row r="790">
          <cell r="B790" t="str">
            <v xml:space="preserve">2024/7/4
</v>
          </cell>
          <cell r="C790">
            <v>17.459999079999999</v>
          </cell>
          <cell r="D790">
            <v>26.150221056734072</v>
          </cell>
        </row>
        <row r="791">
          <cell r="B791" t="str">
            <v xml:space="preserve">2024/7/5
</v>
          </cell>
          <cell r="C791">
            <v>17.450000760000002</v>
          </cell>
          <cell r="D791">
            <v>26.139194161554432</v>
          </cell>
        </row>
        <row r="792">
          <cell r="B792" t="str">
            <v xml:space="preserve">2024/7/8
</v>
          </cell>
          <cell r="C792">
            <v>17.270000459999999</v>
          </cell>
          <cell r="D792">
            <v>26.127967334084111</v>
          </cell>
        </row>
        <row r="793">
          <cell r="B793" t="str">
            <v xml:space="preserve">2024/7/9
</v>
          </cell>
          <cell r="C793">
            <v>17.579999919999999</v>
          </cell>
          <cell r="D793">
            <v>26.117160801322942</v>
          </cell>
        </row>
        <row r="794">
          <cell r="B794" t="str">
            <v xml:space="preserve">2024/7/10
</v>
          </cell>
          <cell r="C794">
            <v>17.590000150000002</v>
          </cell>
          <cell r="D794">
            <v>26.106394184338949</v>
          </cell>
        </row>
        <row r="795">
          <cell r="B795" t="str">
            <v xml:space="preserve">2024/7/11
</v>
          </cell>
          <cell r="C795">
            <v>17.879999160000001</v>
          </cell>
          <cell r="D795">
            <v>26.096020420121622</v>
          </cell>
        </row>
        <row r="796">
          <cell r="B796" t="str">
            <v xml:space="preserve">2024/7/12
</v>
          </cell>
          <cell r="C796">
            <v>17.93000031</v>
          </cell>
          <cell r="D796">
            <v>26.085735760033309</v>
          </cell>
        </row>
        <row r="797">
          <cell r="B797" t="str">
            <v xml:space="preserve">2024/7/15
</v>
          </cell>
          <cell r="C797">
            <v>17.829999919999999</v>
          </cell>
          <cell r="D797">
            <v>26.07535118664962</v>
          </cell>
        </row>
        <row r="798">
          <cell r="B798" t="str">
            <v xml:space="preserve">2024/7/16
</v>
          </cell>
          <cell r="C798">
            <v>18.040000920000001</v>
          </cell>
          <cell r="D798">
            <v>26.065256525510609</v>
          </cell>
        </row>
        <row r="799">
          <cell r="B799" t="str">
            <v xml:space="preserve">2024/7/17
</v>
          </cell>
          <cell r="C799">
            <v>17.989999770000001</v>
          </cell>
          <cell r="D799">
            <v>26.055124459318002</v>
          </cell>
        </row>
        <row r="800">
          <cell r="B800" t="str">
            <v xml:space="preserve">2024/7/18
</v>
          </cell>
          <cell r="C800">
            <v>18.129999160000001</v>
          </cell>
          <cell r="D800">
            <v>26.045193224607075</v>
          </cell>
        </row>
        <row r="801">
          <cell r="B801" t="str">
            <v xml:space="preserve">2024/7/19
</v>
          </cell>
          <cell r="C801">
            <v>18.190000529999999</v>
          </cell>
          <cell r="D801">
            <v>26.035361944638858</v>
          </cell>
        </row>
        <row r="802">
          <cell r="B802" t="str">
            <v xml:space="preserve">2024/7/22
</v>
          </cell>
          <cell r="C802">
            <v>18.159999849999998</v>
          </cell>
          <cell r="D802">
            <v>26.025517742020558</v>
          </cell>
        </row>
        <row r="803">
          <cell r="B803" t="str">
            <v xml:space="preserve">2024/7/23
</v>
          </cell>
          <cell r="C803">
            <v>17.61000061</v>
          </cell>
          <cell r="D803">
            <v>26.01501147843501</v>
          </cell>
        </row>
        <row r="804">
          <cell r="B804" t="str">
            <v xml:space="preserve">2024/7/24
</v>
          </cell>
          <cell r="C804">
            <v>17.370000839999999</v>
          </cell>
          <cell r="D804">
            <v>26.004232163424494</v>
          </cell>
        </row>
        <row r="805">
          <cell r="B805" t="str">
            <v xml:space="preserve">2024/7/25
</v>
          </cell>
          <cell r="C805">
            <v>17.340000150000002</v>
          </cell>
          <cell r="D805">
            <v>25.993442335263321</v>
          </cell>
        </row>
        <row r="806">
          <cell r="B806" t="str">
            <v xml:space="preserve">2024/7/26
</v>
          </cell>
          <cell r="C806">
            <v>17.61000061</v>
          </cell>
          <cell r="D806">
            <v>25.983015168938365</v>
          </cell>
        </row>
        <row r="807">
          <cell r="B807" t="str">
            <v xml:space="preserve">2024/7/29
</v>
          </cell>
          <cell r="C807">
            <v>17.38999939</v>
          </cell>
          <cell r="D807">
            <v>25.97234061517571</v>
          </cell>
        </row>
        <row r="808">
          <cell r="B808">
            <v>45503</v>
          </cell>
          <cell r="C808">
            <v>17.219999309999999</v>
          </cell>
          <cell r="D808">
            <v>25.961481630926112</v>
          </cell>
        </row>
        <row r="809">
          <cell r="B809">
            <v>45504</v>
          </cell>
          <cell r="C809">
            <v>17.709999079999999</v>
          </cell>
          <cell r="D809">
            <v>25.951256745485065</v>
          </cell>
        </row>
        <row r="810">
          <cell r="B810" t="str">
            <v xml:space="preserve">2024/8/1
</v>
          </cell>
          <cell r="C810">
            <v>17.520000459999999</v>
          </cell>
          <cell r="D810">
            <v>25.940822022359466</v>
          </cell>
        </row>
        <row r="811">
          <cell r="B811" t="str">
            <v xml:space="preserve">2024/8/2
</v>
          </cell>
          <cell r="C811">
            <v>17.260000229999999</v>
          </cell>
          <cell r="D811">
            <v>25.930091711120454</v>
          </cell>
        </row>
        <row r="812">
          <cell r="B812" t="str">
            <v xml:space="preserve">2024/8/5
</v>
          </cell>
          <cell r="C812">
            <v>16.899999619999999</v>
          </cell>
          <cell r="D812">
            <v>25.918943449279563</v>
          </cell>
        </row>
        <row r="813">
          <cell r="B813" t="str">
            <v xml:space="preserve">2024/8/6
</v>
          </cell>
          <cell r="C813">
            <v>16.979999540000001</v>
          </cell>
          <cell r="D813">
            <v>25.907921323620773</v>
          </cell>
        </row>
        <row r="814">
          <cell r="B814" t="str">
            <v xml:space="preserve">2024/8/7
</v>
          </cell>
          <cell r="C814">
            <v>16.950000760000002</v>
          </cell>
          <cell r="D814">
            <v>25.896889401744392</v>
          </cell>
        </row>
        <row r="815">
          <cell r="B815" t="str">
            <v xml:space="preserve">2024/8/8
</v>
          </cell>
          <cell r="C815">
            <v>16.920000080000001</v>
          </cell>
          <cell r="D815">
            <v>25.885847717461804</v>
          </cell>
        </row>
        <row r="816">
          <cell r="B816" t="str">
            <v xml:space="preserve">2024/8/9
</v>
          </cell>
          <cell r="C816">
            <v>16.829999919999999</v>
          </cell>
          <cell r="D816">
            <v>25.874722597317501</v>
          </cell>
        </row>
        <row r="817">
          <cell r="B817" t="str">
            <v xml:space="preserve">2024/8/12
</v>
          </cell>
          <cell r="C817">
            <v>16.809999470000001</v>
          </cell>
          <cell r="D817">
            <v>25.863600237652079</v>
          </cell>
        </row>
        <row r="818">
          <cell r="B818" t="str">
            <v xml:space="preserve">2024/8/13
</v>
          </cell>
          <cell r="C818">
            <v>16.879999160000001</v>
          </cell>
          <cell r="D818">
            <v>25.852590922605938</v>
          </cell>
        </row>
        <row r="819">
          <cell r="B819" t="str">
            <v xml:space="preserve">2024/8/14
</v>
          </cell>
          <cell r="C819">
            <v>16.690000529999999</v>
          </cell>
          <cell r="D819">
            <v>25.841376001684758</v>
          </cell>
        </row>
        <row r="820">
          <cell r="B820" t="str">
            <v xml:space="preserve">2024/8/15
</v>
          </cell>
          <cell r="C820">
            <v>16.780000690000001</v>
          </cell>
          <cell r="D820">
            <v>25.830298525753602</v>
          </cell>
        </row>
        <row r="821">
          <cell r="B821" t="str">
            <v xml:space="preserve">2024/8/16
</v>
          </cell>
          <cell r="C821">
            <v>16.81999969</v>
          </cell>
          <cell r="D821">
            <v>25.81929693987356</v>
          </cell>
        </row>
        <row r="822">
          <cell r="B822" t="str">
            <v xml:space="preserve">2024/8/19
</v>
          </cell>
          <cell r="C822">
            <v>16.739999999999998</v>
          </cell>
          <cell r="D822">
            <v>25.808224626532251</v>
          </cell>
        </row>
        <row r="823">
          <cell r="B823" t="str">
            <v xml:space="preserve">2024/8/20
</v>
          </cell>
          <cell r="C823">
            <v>16.659999849999998</v>
          </cell>
          <cell r="D823">
            <v>25.79708184361321</v>
          </cell>
        </row>
        <row r="824">
          <cell r="B824" t="str">
            <v xml:space="preserve">2024/8/21
</v>
          </cell>
          <cell r="C824">
            <v>16.670000080000001</v>
          </cell>
          <cell r="D824">
            <v>25.785978337818062</v>
          </cell>
        </row>
        <row r="825">
          <cell r="B825" t="str">
            <v xml:space="preserve">2024/8/22
</v>
          </cell>
          <cell r="C825">
            <v>16.600000380000001</v>
          </cell>
          <cell r="D825">
            <v>25.774816760712572</v>
          </cell>
        </row>
        <row r="826">
          <cell r="B826" t="str">
            <v xml:space="preserve">2024/8/23
</v>
          </cell>
          <cell r="C826">
            <v>16.690000529999999</v>
          </cell>
          <cell r="D826">
            <v>25.763791498296662</v>
          </cell>
        </row>
        <row r="827">
          <cell r="B827" t="str">
            <v xml:space="preserve">2024/8/26
</v>
          </cell>
          <cell r="C827">
            <v>20.13999939</v>
          </cell>
          <cell r="D827">
            <v>25.756974780589637</v>
          </cell>
        </row>
        <row r="828">
          <cell r="B828" t="str">
            <v xml:space="preserve">2024/8/27
</v>
          </cell>
          <cell r="C828">
            <v>19.969999309999999</v>
          </cell>
          <cell r="D828">
            <v>25.749968757017495</v>
          </cell>
        </row>
        <row r="829">
          <cell r="B829" t="str">
            <v xml:space="preserve">2024/8/28
</v>
          </cell>
          <cell r="C829">
            <v>19.909999849999998</v>
          </cell>
          <cell r="D829">
            <v>25.742907125932827</v>
          </cell>
        </row>
        <row r="830">
          <cell r="B830">
            <v>45533</v>
          </cell>
          <cell r="C830">
            <v>19.979999540000001</v>
          </cell>
          <cell r="D830">
            <v>25.735947092616481</v>
          </cell>
        </row>
        <row r="831">
          <cell r="B831">
            <v>45534</v>
          </cell>
          <cell r="C831">
            <v>20.56999969</v>
          </cell>
          <cell r="D831">
            <v>25.729715551720684</v>
          </cell>
        </row>
        <row r="832">
          <cell r="B832" t="str">
            <v xml:space="preserve">2024/9/2
</v>
          </cell>
          <cell r="C832">
            <v>19.579999919999999</v>
          </cell>
          <cell r="D832">
            <v>25.72230625577885</v>
          </cell>
        </row>
        <row r="833">
          <cell r="B833" t="str">
            <v xml:space="preserve">2024/9/3
</v>
          </cell>
          <cell r="C833">
            <v>19.870000839999999</v>
          </cell>
          <cell r="D833">
            <v>25.715263770320636</v>
          </cell>
        </row>
        <row r="834">
          <cell r="B834" t="str">
            <v xml:space="preserve">2024/9/4
</v>
          </cell>
          <cell r="C834">
            <v>19.879999160000001</v>
          </cell>
          <cell r="D834">
            <v>25.708250231125536</v>
          </cell>
        </row>
        <row r="835">
          <cell r="B835" t="str">
            <v xml:space="preserve">2024/9/5
</v>
          </cell>
          <cell r="C835">
            <v>19.899999619999999</v>
          </cell>
          <cell r="D835">
            <v>25.701277541316262</v>
          </cell>
        </row>
        <row r="836">
          <cell r="B836" t="str">
            <v xml:space="preserve">2024/9/6
</v>
          </cell>
          <cell r="C836">
            <v>19.61000061</v>
          </cell>
          <cell r="D836">
            <v>25.693973851950176</v>
          </cell>
        </row>
        <row r="837">
          <cell r="B837" t="str">
            <v xml:space="preserve">2024/9/9
</v>
          </cell>
          <cell r="C837">
            <v>19.450000760000002</v>
          </cell>
          <cell r="D837">
            <v>25.686496039864007</v>
          </cell>
        </row>
        <row r="838">
          <cell r="B838" t="str">
            <v xml:space="preserve">2024/9/10
</v>
          </cell>
          <cell r="C838">
            <v>19.510000229999999</v>
          </cell>
          <cell r="D838">
            <v>25.679107886981392</v>
          </cell>
        </row>
        <row r="839">
          <cell r="B839" t="str">
            <v xml:space="preserve">2024/9/11
</v>
          </cell>
          <cell r="C839">
            <v>19.75</v>
          </cell>
          <cell r="D839">
            <v>25.672024126065047</v>
          </cell>
        </row>
        <row r="840">
          <cell r="B840" t="str">
            <v xml:space="preserve">2024/9/12
</v>
          </cell>
          <cell r="C840">
            <v>19.649999619999999</v>
          </cell>
          <cell r="D840">
            <v>25.664837939303634</v>
          </cell>
        </row>
        <row r="841">
          <cell r="B841" t="str">
            <v xml:space="preserve">2024/9/13
</v>
          </cell>
          <cell r="C841">
            <v>19.489999770000001</v>
          </cell>
          <cell r="D841">
            <v>25.657478179864654</v>
          </cell>
        </row>
        <row r="842">
          <cell r="B842" t="str">
            <v xml:space="preserve">2024/9/18
</v>
          </cell>
          <cell r="C842">
            <v>19.629999160000001</v>
          </cell>
          <cell r="D842">
            <v>25.65030260960291</v>
          </cell>
        </row>
        <row r="843">
          <cell r="B843" t="str">
            <v xml:space="preserve">2024/9/19
</v>
          </cell>
          <cell r="C843">
            <v>19.670000080000001</v>
          </cell>
          <cell r="D843">
            <v>25.643191667237154</v>
          </cell>
        </row>
        <row r="844">
          <cell r="B844" t="str">
            <v xml:space="preserve">2024/9/20
</v>
          </cell>
          <cell r="C844">
            <v>19.649999619999999</v>
          </cell>
          <cell r="D844">
            <v>25.636073861955399</v>
          </cell>
        </row>
        <row r="845">
          <cell r="B845" t="str">
            <v xml:space="preserve">2024/9/23
</v>
          </cell>
          <cell r="C845">
            <v>19.620000839999999</v>
          </cell>
          <cell r="D845">
            <v>25.628937357777517</v>
          </cell>
        </row>
        <row r="846">
          <cell r="B846" t="str">
            <v xml:space="preserve">2024/9/24
</v>
          </cell>
          <cell r="C846">
            <v>20.299999239999998</v>
          </cell>
          <cell r="D846">
            <v>25.622623450055031</v>
          </cell>
        </row>
        <row r="847">
          <cell r="B847" t="str">
            <v xml:space="preserve">2024/9/25
</v>
          </cell>
          <cell r="C847">
            <v>20.670000080000001</v>
          </cell>
          <cell r="D847">
            <v>25.616762357309405</v>
          </cell>
        </row>
        <row r="848">
          <cell r="B848" t="str">
            <v xml:space="preserve">2024/9/26
</v>
          </cell>
          <cell r="C848">
            <v>21.299999239999998</v>
          </cell>
          <cell r="D848">
            <v>25.611659800433152</v>
          </cell>
        </row>
        <row r="849">
          <cell r="B849">
            <v>45562</v>
          </cell>
          <cell r="C849">
            <v>22.780000690000001</v>
          </cell>
          <cell r="D849">
            <v>25.608316637374791</v>
          </cell>
        </row>
        <row r="850">
          <cell r="B850">
            <v>45565</v>
          </cell>
          <cell r="C850">
            <v>25.239999770000001</v>
          </cell>
          <cell r="D850">
            <v>25.607882301446285</v>
          </cell>
        </row>
        <row r="851">
          <cell r="B851" t="str">
            <v xml:space="preserve">2024/10/8
</v>
          </cell>
          <cell r="C851">
            <v>28.299999239999998</v>
          </cell>
          <cell r="D851">
            <v>25.611053228346819</v>
          </cell>
        </row>
        <row r="852">
          <cell r="B852" t="str">
            <v xml:space="preserve">2024/10/9
</v>
          </cell>
          <cell r="C852">
            <v>25.780000690000001</v>
          </cell>
          <cell r="D852">
            <v>25.61125199006641</v>
          </cell>
        </row>
        <row r="853">
          <cell r="B853" t="str">
            <v xml:space="preserve">2024/10/10
</v>
          </cell>
          <cell r="C853">
            <v>25.760000229999999</v>
          </cell>
          <cell r="D853">
            <v>25.611426782357753</v>
          </cell>
        </row>
        <row r="854">
          <cell r="B854" t="str">
            <v xml:space="preserve">2024/10/11
</v>
          </cell>
          <cell r="C854">
            <v>24.489999770000001</v>
          </cell>
          <cell r="D854">
            <v>25.610110553470008</v>
          </cell>
        </row>
        <row r="855">
          <cell r="B855" t="str">
            <v xml:space="preserve">2024/10/14
</v>
          </cell>
          <cell r="C855">
            <v>25.090000150000002</v>
          </cell>
          <cell r="D855">
            <v>25.609500810910259</v>
          </cell>
        </row>
        <row r="856">
          <cell r="B856" t="str">
            <v xml:space="preserve">2024/10/15
</v>
          </cell>
          <cell r="C856">
            <v>24.43000031</v>
          </cell>
          <cell r="D856">
            <v>25.608119662782727</v>
          </cell>
        </row>
        <row r="857">
          <cell r="B857" t="str">
            <v xml:space="preserve">2024/10/16
</v>
          </cell>
          <cell r="C857">
            <v>23.850000380000001</v>
          </cell>
          <cell r="D857">
            <v>25.606063382919825</v>
          </cell>
        </row>
        <row r="858">
          <cell r="B858" t="str">
            <v xml:space="preserve">2024/10/17
</v>
          </cell>
          <cell r="C858">
            <v>23.75</v>
          </cell>
          <cell r="D858">
            <v>25.603895084575292</v>
          </cell>
        </row>
        <row r="859">
          <cell r="B859" t="str">
            <v xml:space="preserve">2024/10/18
</v>
          </cell>
          <cell r="C859">
            <v>25.129999160000001</v>
          </cell>
          <cell r="D859">
            <v>25.603342113834827</v>
          </cell>
        </row>
        <row r="860">
          <cell r="B860" t="str">
            <v xml:space="preserve">2024/10/21
</v>
          </cell>
          <cell r="C860">
            <v>25.510000229999999</v>
          </cell>
          <cell r="D860">
            <v>25.603233323760428</v>
          </cell>
        </row>
        <row r="861">
          <cell r="B861" t="str">
            <v xml:space="preserve">2024/10/22
</v>
          </cell>
          <cell r="C861">
            <v>25.530000690000001</v>
          </cell>
          <cell r="D861">
            <v>25.603148070403314</v>
          </cell>
        </row>
        <row r="862">
          <cell r="B862" t="str">
            <v xml:space="preserve">2024/10/23
</v>
          </cell>
          <cell r="C862">
            <v>25.520000459999999</v>
          </cell>
          <cell r="D862">
            <v>25.603051387135405</v>
          </cell>
        </row>
        <row r="863">
          <cell r="B863" t="str">
            <v xml:space="preserve">2024/10/24
</v>
          </cell>
          <cell r="C863">
            <v>25.190000529999999</v>
          </cell>
          <cell r="D863">
            <v>25.602571653271138</v>
          </cell>
        </row>
        <row r="864">
          <cell r="B864" t="str">
            <v xml:space="preserve">2024/10/25
</v>
          </cell>
          <cell r="C864">
            <v>25.670000080000001</v>
          </cell>
          <cell r="D864">
            <v>25.602649876504003</v>
          </cell>
        </row>
        <row r="865">
          <cell r="B865" t="str">
            <v xml:space="preserve">2024/10/28
</v>
          </cell>
          <cell r="C865">
            <v>25.579999919999999</v>
          </cell>
          <cell r="D865">
            <v>25.602623630899711</v>
          </cell>
        </row>
        <row r="866">
          <cell r="B866" t="str">
            <v xml:space="preserve">2024/10/29
</v>
          </cell>
          <cell r="C866">
            <v>25.260000229999999</v>
          </cell>
          <cell r="D866">
            <v>25.602227076037554</v>
          </cell>
        </row>
        <row r="867">
          <cell r="B867">
            <v>45595</v>
          </cell>
          <cell r="C867">
            <v>25.049999239999998</v>
          </cell>
          <cell r="D867">
            <v>25.601588662354274</v>
          </cell>
        </row>
        <row r="868">
          <cell r="B868">
            <v>45596</v>
          </cell>
          <cell r="C868">
            <v>24.940000529999999</v>
          </cell>
          <cell r="D868">
            <v>25.600824703771881</v>
          </cell>
        </row>
        <row r="869">
          <cell r="B869" t="str">
            <v xml:space="preserve">2024/11/1
</v>
          </cell>
          <cell r="C869">
            <v>24.25</v>
          </cell>
          <cell r="D869">
            <v>25.599266659130851</v>
          </cell>
        </row>
        <row r="870">
          <cell r="B870" t="str">
            <v xml:space="preserve">2024/11/4
</v>
          </cell>
          <cell r="C870">
            <v>24.879999160000001</v>
          </cell>
          <cell r="D870">
            <v>25.598438009938306</v>
          </cell>
        </row>
        <row r="871">
          <cell r="B871" t="str">
            <v xml:space="preserve">2024/11/5
</v>
          </cell>
          <cell r="C871">
            <v>25.620000839999999</v>
          </cell>
          <cell r="D871">
            <v>25.598462823321576</v>
          </cell>
        </row>
        <row r="872">
          <cell r="B872" t="str">
            <v xml:space="preserve">2024/11/6
</v>
          </cell>
          <cell r="C872">
            <v>25.409999849999998</v>
          </cell>
          <cell r="D872">
            <v>25.598246199214309</v>
          </cell>
        </row>
        <row r="873">
          <cell r="B873" t="str">
            <v xml:space="preserve">2024/11/7
</v>
          </cell>
          <cell r="C873">
            <v>25.780000690000001</v>
          </cell>
          <cell r="D873">
            <v>25.598454872567679</v>
          </cell>
        </row>
        <row r="874">
          <cell r="B874" t="str">
            <v xml:space="preserve">2024/11/8
</v>
          </cell>
          <cell r="C874">
            <v>25.780000690000001</v>
          </cell>
          <cell r="D874">
            <v>25.59866306731244</v>
          </cell>
        </row>
        <row r="875">
          <cell r="B875" t="str">
            <v xml:space="preserve">2024/11/11
</v>
          </cell>
          <cell r="C875">
            <v>26.629999160000001</v>
          </cell>
          <cell r="D875">
            <v>25.599844437407153</v>
          </cell>
        </row>
        <row r="876">
          <cell r="B876" t="str">
            <v xml:space="preserve">2024/11/12
</v>
          </cell>
          <cell r="C876">
            <v>26.540000920000001</v>
          </cell>
          <cell r="D876">
            <v>25.600920131323164</v>
          </cell>
        </row>
        <row r="877">
          <cell r="B877" t="str">
            <v xml:space="preserve">2024/11/13
</v>
          </cell>
          <cell r="C877">
            <v>26.81999969</v>
          </cell>
          <cell r="D877">
            <v>25.602313365104507</v>
          </cell>
        </row>
        <row r="878">
          <cell r="B878" t="str">
            <v xml:space="preserve">2024/11/14
</v>
          </cell>
          <cell r="C878">
            <v>26.090000150000002</v>
          </cell>
          <cell r="D878">
            <v>25.602870085178591</v>
          </cell>
        </row>
        <row r="879">
          <cell r="B879" t="str">
            <v xml:space="preserve">2024/11/15
</v>
          </cell>
          <cell r="C879">
            <v>25.340000150000002</v>
          </cell>
          <cell r="D879">
            <v>25.602570347510202</v>
          </cell>
        </row>
        <row r="880">
          <cell r="B880" t="str">
            <v xml:space="preserve">2024/11/18
</v>
          </cell>
          <cell r="C880">
            <v>24.780000690000001</v>
          </cell>
          <cell r="D880">
            <v>25.601633480018734</v>
          </cell>
        </row>
        <row r="881">
          <cell r="B881" t="str">
            <v xml:space="preserve">2024/11/19
</v>
          </cell>
          <cell r="C881">
            <v>25.270000459999999</v>
          </cell>
          <cell r="D881">
            <v>25.601256195581854</v>
          </cell>
        </row>
        <row r="882">
          <cell r="B882" t="str">
            <v xml:space="preserve">2024/11/20
</v>
          </cell>
          <cell r="C882">
            <v>25.43000031</v>
          </cell>
          <cell r="D882">
            <v>25.601061586620965</v>
          </cell>
        </row>
        <row r="883">
          <cell r="B883" t="str">
            <v xml:space="preserve">2024/11/21
</v>
          </cell>
          <cell r="C883">
            <v>25.31999969</v>
          </cell>
          <cell r="D883">
            <v>25.600742560631609</v>
          </cell>
        </row>
        <row r="884">
          <cell r="B884" t="str">
            <v xml:space="preserve">2024/11/22
</v>
          </cell>
          <cell r="C884">
            <v>24.540000920000001</v>
          </cell>
          <cell r="D884">
            <v>25.599539905710255</v>
          </cell>
        </row>
        <row r="885">
          <cell r="B885" t="str">
            <v xml:space="preserve">2024/11/25
</v>
          </cell>
          <cell r="C885">
            <v>24.520000459999999</v>
          </cell>
          <cell r="D885">
            <v>25.598317324231537</v>
          </cell>
        </row>
        <row r="886">
          <cell r="B886" t="str">
            <v xml:space="preserve">2024/11/26
</v>
          </cell>
          <cell r="C886">
            <v>24.229999540000001</v>
          </cell>
          <cell r="D886">
            <v>25.596769453434895</v>
          </cell>
        </row>
        <row r="887">
          <cell r="B887" t="str">
            <v xml:space="preserve">2024/11/27
</v>
          </cell>
          <cell r="C887">
            <v>24.690000529999999</v>
          </cell>
          <cell r="D887">
            <v>25.595744855781298</v>
          </cell>
        </row>
        <row r="888">
          <cell r="B888">
            <v>45624</v>
          </cell>
          <cell r="C888">
            <v>24.31999969</v>
          </cell>
          <cell r="D888">
            <v>25.594304962817663</v>
          </cell>
        </row>
        <row r="889">
          <cell r="B889">
            <v>45625</v>
          </cell>
          <cell r="C889">
            <v>24.719999309999999</v>
          </cell>
          <cell r="D889">
            <v>25.593319274370291</v>
          </cell>
        </row>
        <row r="890">
          <cell r="B890" t="str">
            <v xml:space="preserve">2024/12/2
</v>
          </cell>
          <cell r="C890">
            <v>25.049999239999998</v>
          </cell>
          <cell r="D890">
            <v>25.59270742748474</v>
          </cell>
        </row>
        <row r="891">
          <cell r="B891" t="str">
            <v xml:space="preserve">2024/12/3
</v>
          </cell>
          <cell r="C891">
            <v>24.870000839999999</v>
          </cell>
          <cell r="D891">
            <v>25.59189448419173</v>
          </cell>
        </row>
        <row r="892">
          <cell r="B892" t="str">
            <v xml:space="preserve">2024/12/4
</v>
          </cell>
          <cell r="C892">
            <v>24.709999079999999</v>
          </cell>
          <cell r="D892">
            <v>25.590903590479158</v>
          </cell>
        </row>
        <row r="893">
          <cell r="B893" t="str">
            <v xml:space="preserve">2024/12/5
</v>
          </cell>
          <cell r="C893">
            <v>24.659999849999998</v>
          </cell>
          <cell r="D893">
            <v>25.589858805136306</v>
          </cell>
        </row>
        <row r="894">
          <cell r="B894" t="str">
            <v xml:space="preserve">2024/12/6
</v>
          </cell>
          <cell r="C894">
            <v>25.200000760000002</v>
          </cell>
          <cell r="D894">
            <v>25.58942174454759</v>
          </cell>
        </row>
        <row r="895">
          <cell r="B895" t="str">
            <v xml:space="preserve">2024/12/9
</v>
          </cell>
          <cell r="C895">
            <v>25.18000031</v>
          </cell>
          <cell r="D895">
            <v>25.58896326589748</v>
          </cell>
        </row>
        <row r="896">
          <cell r="B896" t="str">
            <v xml:space="preserve">2024/12/10
</v>
          </cell>
          <cell r="C896">
            <v>25.340000150000002</v>
          </cell>
          <cell r="D896">
            <v>25.588684783664934</v>
          </cell>
        </row>
        <row r="897">
          <cell r="B897" t="str">
            <v xml:space="preserve">2024/12/11
</v>
          </cell>
          <cell r="C897">
            <v>25.280000690000001</v>
          </cell>
          <cell r="D897">
            <v>25.588339885236259</v>
          </cell>
        </row>
        <row r="898">
          <cell r="B898" t="str">
            <v xml:space="preserve">2024/12/12
</v>
          </cell>
          <cell r="C898">
            <v>25.549999239999998</v>
          </cell>
          <cell r="D898">
            <v>25.588297094337555</v>
          </cell>
        </row>
        <row r="899">
          <cell r="B899" t="str">
            <v xml:space="preserve">2024/12/13
</v>
          </cell>
          <cell r="C899">
            <v>24.950000760000002</v>
          </cell>
          <cell r="D899">
            <v>25.587585504221238</v>
          </cell>
        </row>
        <row r="900">
          <cell r="B900" t="str">
            <v xml:space="preserve">2024/12/16
</v>
          </cell>
          <cell r="C900">
            <v>24.469999309999999</v>
          </cell>
          <cell r="D900">
            <v>25.586340976165314</v>
          </cell>
        </row>
        <row r="901">
          <cell r="B901" t="str">
            <v xml:space="preserve">2024/12/17
</v>
          </cell>
          <cell r="C901">
            <v>24.649999619999999</v>
          </cell>
          <cell r="D901">
            <v>25.585299439617852</v>
          </cell>
        </row>
        <row r="902">
          <cell r="B902" t="str">
            <v xml:space="preserve">2024/12/18
</v>
          </cell>
          <cell r="C902">
            <v>24.760000229999999</v>
          </cell>
          <cell r="D902">
            <v>25.584382440496054</v>
          </cell>
        </row>
        <row r="903">
          <cell r="B903" t="str">
            <v xml:space="preserve">2024/12/19
</v>
          </cell>
          <cell r="C903">
            <v>25.010000229999999</v>
          </cell>
          <cell r="D903">
            <v>25.583744946366757</v>
          </cell>
        </row>
        <row r="904">
          <cell r="B904" t="str">
            <v xml:space="preserve">2024/12/20
</v>
          </cell>
          <cell r="C904">
            <v>24.93000031</v>
          </cell>
          <cell r="D904">
            <v>25.583020174042627</v>
          </cell>
        </row>
        <row r="905">
          <cell r="B905" t="str">
            <v xml:space="preserve">2024/12/23
</v>
          </cell>
          <cell r="C905">
            <v>24.809999470000001</v>
          </cell>
          <cell r="D905">
            <v>25.582164115677127</v>
          </cell>
        </row>
        <row r="906">
          <cell r="B906" t="str">
            <v xml:space="preserve">2024/12/24
</v>
          </cell>
          <cell r="C906">
            <v>25.200000760000002</v>
          </cell>
          <cell r="D906">
            <v>25.581741368602263</v>
          </cell>
        </row>
        <row r="907">
          <cell r="B907" t="str">
            <v xml:space="preserve">2024/12/25
</v>
          </cell>
          <cell r="C907">
            <v>25.129999160000001</v>
          </cell>
          <cell r="D907">
            <v>25.581242205940825</v>
          </cell>
        </row>
        <row r="908">
          <cell r="B908" t="str">
            <v xml:space="preserve">2024/12/26
</v>
          </cell>
          <cell r="C908">
            <v>25.329999919999999</v>
          </cell>
          <cell r="D908">
            <v>25.580964896574443</v>
          </cell>
        </row>
        <row r="909">
          <cell r="B909" t="str">
            <v xml:space="preserve">2024/12/27
</v>
          </cell>
          <cell r="C909">
            <v>25.209999079999999</v>
          </cell>
          <cell r="D909">
            <v>25.580555893469068</v>
          </cell>
        </row>
        <row r="910">
          <cell r="B910">
            <v>45656</v>
          </cell>
          <cell r="C910">
            <v>25.270000459999999</v>
          </cell>
          <cell r="D910">
            <v>25.580213872066572</v>
          </cell>
        </row>
        <row r="911">
          <cell r="B911">
            <v>45657</v>
          </cell>
          <cell r="C911">
            <v>24.799999239999998</v>
          </cell>
          <cell r="D911">
            <v>25.579355550139105</v>
          </cell>
        </row>
        <row r="912">
          <cell r="B912" t="str">
            <v xml:space="preserve">2025/1/2
</v>
          </cell>
          <cell r="C912">
            <v>23.979999540000001</v>
          </cell>
          <cell r="D912">
            <v>25.57759801606203</v>
          </cell>
        </row>
        <row r="913">
          <cell r="B913" t="str">
            <v xml:space="preserve">2025/1/3
</v>
          </cell>
          <cell r="C913">
            <v>23.56999969</v>
          </cell>
          <cell r="D913">
            <v>25.575394285737044</v>
          </cell>
        </row>
        <row r="914">
          <cell r="B914" t="str">
            <v xml:space="preserve">2025/1/6
</v>
          </cell>
          <cell r="C914">
            <v>23.549999239999998</v>
          </cell>
          <cell r="D914">
            <v>25.573173457836017</v>
          </cell>
        </row>
        <row r="915">
          <cell r="B915" t="str">
            <v xml:space="preserve">2025/1/7
</v>
          </cell>
          <cell r="C915">
            <v>23.729999540000001</v>
          </cell>
          <cell r="D915">
            <v>25.571154647411223</v>
          </cell>
        </row>
        <row r="916">
          <cell r="B916" t="str">
            <v xml:space="preserve">2025/1/8
</v>
          </cell>
          <cell r="C916">
            <v>23.61000061</v>
          </cell>
          <cell r="D916">
            <v>25.569008964656941</v>
          </cell>
        </row>
        <row r="917">
          <cell r="B917" t="str">
            <v xml:space="preserve">2025/1/9
</v>
          </cell>
          <cell r="C917">
            <v>23.799999239999998</v>
          </cell>
          <cell r="D917">
            <v>25.567075620695569</v>
          </cell>
        </row>
        <row r="918">
          <cell r="B918" t="str">
            <v xml:space="preserve">2025/1/10
</v>
          </cell>
          <cell r="C918">
            <v>23.5</v>
          </cell>
          <cell r="D918">
            <v>25.564818987921882</v>
          </cell>
        </row>
        <row r="919">
          <cell r="B919" t="str">
            <v xml:space="preserve">2025/1/13
</v>
          </cell>
          <cell r="C919">
            <v>23.38999939</v>
          </cell>
          <cell r="D919">
            <v>25.562447319876167</v>
          </cell>
        </row>
        <row r="920">
          <cell r="B920" t="str">
            <v xml:space="preserve">2025/1/14
</v>
          </cell>
          <cell r="C920">
            <v>24.309999470000001</v>
          </cell>
          <cell r="D920">
            <v>25.561082997599613</v>
          </cell>
        </row>
        <row r="921">
          <cell r="B921" t="str">
            <v xml:space="preserve">2025/1/15
</v>
          </cell>
          <cell r="C921">
            <v>23.93000031</v>
          </cell>
          <cell r="D921">
            <v>25.559308152455326</v>
          </cell>
        </row>
        <row r="922">
          <cell r="B922" t="str">
            <v xml:space="preserve">2025/1/16
</v>
          </cell>
          <cell r="C922">
            <v>23.979999540000001</v>
          </cell>
          <cell r="D922">
            <v>25.557591512659176</v>
          </cell>
        </row>
        <row r="923">
          <cell r="B923" t="str">
            <v xml:space="preserve">2025/1/17
</v>
          </cell>
          <cell r="C923">
            <v>24.18000031</v>
          </cell>
          <cell r="D923">
            <v>25.556095756738809</v>
          </cell>
        </row>
        <row r="924">
          <cell r="B924" t="str">
            <v xml:space="preserve">2025/1/20
</v>
          </cell>
          <cell r="C924">
            <v>24.68000031</v>
          </cell>
          <cell r="D924">
            <v>25.555145544757529</v>
          </cell>
        </row>
        <row r="925">
          <cell r="B925" t="str">
            <v xml:space="preserve">2025/1/21
</v>
          </cell>
          <cell r="C925">
            <v>24.879999160000001</v>
          </cell>
          <cell r="D925">
            <v>25.554414075218247</v>
          </cell>
        </row>
        <row r="926">
          <cell r="B926" t="str">
            <v xml:space="preserve">2025/1/22
</v>
          </cell>
          <cell r="C926">
            <v>24.659999849999998</v>
          </cell>
          <cell r="D926">
            <v>25.553446094455023</v>
          </cell>
        </row>
        <row r="927">
          <cell r="B927" t="str">
            <v xml:space="preserve">2025/1/23
</v>
          </cell>
          <cell r="C927">
            <v>24.479999540000001</v>
          </cell>
          <cell r="D927">
            <v>25.552285611693449</v>
          </cell>
        </row>
        <row r="928">
          <cell r="B928">
            <v>45681</v>
          </cell>
          <cell r="C928">
            <v>24.850000380000001</v>
          </cell>
          <cell r="D928">
            <v>25.551527204315811</v>
          </cell>
        </row>
        <row r="929">
          <cell r="B929">
            <v>45684</v>
          </cell>
          <cell r="C929">
            <v>24.409999849999998</v>
          </cell>
          <cell r="D929">
            <v>25.550295783221614</v>
          </cell>
        </row>
        <row r="930">
          <cell r="B930" t="str">
            <v xml:space="preserve">2025/2/5
</v>
          </cell>
          <cell r="C930">
            <v>24.469999309999999</v>
          </cell>
          <cell r="D930">
            <v>25.549131670642712</v>
          </cell>
        </row>
        <row r="931">
          <cell r="B931" t="str">
            <v xml:space="preserve">2025/2/6
</v>
          </cell>
          <cell r="C931">
            <v>25.270000459999999</v>
          </cell>
          <cell r="D931">
            <v>25.548831206476255</v>
          </cell>
        </row>
        <row r="932">
          <cell r="B932" t="str">
            <v xml:space="preserve">2025/2/7
</v>
          </cell>
          <cell r="C932">
            <v>25.809999470000001</v>
          </cell>
          <cell r="D932">
            <v>25.549112032566061</v>
          </cell>
        </row>
        <row r="933">
          <cell r="B933" t="str">
            <v xml:space="preserve">2025/2/10
</v>
          </cell>
          <cell r="C933">
            <v>25.829999919999999</v>
          </cell>
          <cell r="D933">
            <v>25.549413738137957</v>
          </cell>
        </row>
        <row r="934">
          <cell r="B934" t="str">
            <v xml:space="preserve">2025/2/11
</v>
          </cell>
          <cell r="C934">
            <v>25.68000031</v>
          </cell>
          <cell r="D934">
            <v>25.549553852485445</v>
          </cell>
        </row>
        <row r="935">
          <cell r="B935" t="str">
            <v xml:space="preserve">2025/2/12
</v>
          </cell>
          <cell r="C935">
            <v>26.059999470000001</v>
          </cell>
          <cell r="D935">
            <v>25.550100953897573</v>
          </cell>
        </row>
        <row r="936">
          <cell r="B936" t="str">
            <v xml:space="preserve">2025/2/13
</v>
          </cell>
          <cell r="C936">
            <v>25.719999309999999</v>
          </cell>
          <cell r="D936">
            <v>25.550282857919097</v>
          </cell>
        </row>
        <row r="937">
          <cell r="B937" t="str">
            <v xml:space="preserve">2025/2/14
</v>
          </cell>
          <cell r="C937">
            <v>26.209999079999999</v>
          </cell>
          <cell r="D937">
            <v>25.550988436766243</v>
          </cell>
        </row>
        <row r="938">
          <cell r="B938" t="str">
            <v xml:space="preserve">2025/2/17
</v>
          </cell>
          <cell r="C938">
            <v>26.340000150000002</v>
          </cell>
          <cell r="D938">
            <v>25.551831397998331</v>
          </cell>
        </row>
        <row r="939">
          <cell r="B939" t="str">
            <v xml:space="preserve">2025/2/18
</v>
          </cell>
          <cell r="C939">
            <v>26.170000080000001</v>
          </cell>
          <cell r="D939">
            <v>25.552491129782751</v>
          </cell>
        </row>
        <row r="940">
          <cell r="B940" t="str">
            <v xml:space="preserve">2025/2/19
</v>
          </cell>
          <cell r="C940">
            <v>26.620000839999999</v>
          </cell>
          <cell r="D940">
            <v>25.553629199836291</v>
          </cell>
        </row>
        <row r="941">
          <cell r="B941" t="str">
            <v xml:space="preserve">2025/2/20
</v>
          </cell>
          <cell r="C941">
            <v>26.63999939</v>
          </cell>
          <cell r="D941">
            <v>25.554786143595784</v>
          </cell>
        </row>
        <row r="942">
          <cell r="B942" t="str">
            <v xml:space="preserve">2025/2/21
</v>
          </cell>
          <cell r="C942">
            <v>27.309999470000001</v>
          </cell>
          <cell r="D942">
            <v>25.556653391815363</v>
          </cell>
        </row>
        <row r="943">
          <cell r="B943" t="str">
            <v xml:space="preserve">2025/2/24
</v>
          </cell>
          <cell r="C943">
            <v>27.149999619999999</v>
          </cell>
          <cell r="D943">
            <v>25.55834663966678</v>
          </cell>
        </row>
        <row r="944">
          <cell r="B944" t="str">
            <v xml:space="preserve">2025/2/25
</v>
          </cell>
          <cell r="C944">
            <v>26.829999919999999</v>
          </cell>
          <cell r="D944">
            <v>25.55969659007053</v>
          </cell>
        </row>
        <row r="945">
          <cell r="B945" t="str">
            <v xml:space="preserve">2025/2/26
</v>
          </cell>
          <cell r="C945">
            <v>27.049999239999998</v>
          </cell>
          <cell r="D945">
            <v>25.561276974640975</v>
          </cell>
        </row>
        <row r="946">
          <cell r="B946">
            <v>45715</v>
          </cell>
          <cell r="C946">
            <v>26.959999079999999</v>
          </cell>
          <cell r="D946">
            <v>25.562758671786483</v>
          </cell>
        </row>
        <row r="947">
          <cell r="B947">
            <v>45716</v>
          </cell>
          <cell r="C947">
            <v>26.079999923706055</v>
          </cell>
          <cell r="D947">
            <v>25.563306017026612</v>
          </cell>
        </row>
        <row r="948">
          <cell r="B948" t="str">
            <v xml:space="preserve">2025/3/3
</v>
          </cell>
          <cell r="C948">
            <v>26.13999939</v>
          </cell>
          <cell r="D948">
            <v>25.563915629471616</v>
          </cell>
        </row>
        <row r="949">
          <cell r="B949" t="str">
            <v xml:space="preserve">2025/3/4
</v>
          </cell>
          <cell r="C949">
            <v>25.989999770000001</v>
          </cell>
          <cell r="D949">
            <v>25.564365559926241</v>
          </cell>
        </row>
        <row r="950">
          <cell r="B950" t="str">
            <v xml:space="preserve">2025/3/5
</v>
          </cell>
          <cell r="C950">
            <v>26.079999919999999</v>
          </cell>
          <cell r="D950">
            <v>25.564909478027584</v>
          </cell>
        </row>
        <row r="951">
          <cell r="B951" t="str">
            <v xml:space="preserve">2025/3/6
</v>
          </cell>
          <cell r="C951">
            <v>26.629999160000001</v>
          </cell>
          <cell r="D951">
            <v>25.566031806459588</v>
          </cell>
        </row>
        <row r="952">
          <cell r="B952" t="str">
            <v xml:space="preserve">2025/3/7
</v>
          </cell>
          <cell r="C952">
            <v>26.469999309999999</v>
          </cell>
          <cell r="D952">
            <v>25.566983351200157</v>
          </cell>
        </row>
        <row r="953">
          <cell r="B953" t="str">
            <v xml:space="preserve">2025/3/10
</v>
          </cell>
          <cell r="C953">
            <v>26.340000150000002</v>
          </cell>
          <cell r="D953">
            <v>25.567796197465981</v>
          </cell>
        </row>
        <row r="954">
          <cell r="B954" t="str">
            <v xml:space="preserve">2025/3/11
</v>
          </cell>
          <cell r="C954">
            <v>26.239999770000001</v>
          </cell>
          <cell r="D954">
            <v>25.568502293655619</v>
          </cell>
        </row>
        <row r="955">
          <cell r="B955" t="str">
            <v xml:space="preserve">2025/3/12
</v>
          </cell>
          <cell r="C955">
            <v>26.200000760000002</v>
          </cell>
          <cell r="D955">
            <v>25.569164936327546</v>
          </cell>
        </row>
        <row r="956">
          <cell r="B956" t="str">
            <v xml:space="preserve">2025/3/13
</v>
          </cell>
          <cell r="C956">
            <v>25.909999849999998</v>
          </cell>
          <cell r="D956">
            <v>25.569522205629088</v>
          </cell>
        </row>
        <row r="957">
          <cell r="B957" t="str">
            <v xml:space="preserve">2025/3/14
</v>
          </cell>
          <cell r="C957">
            <v>26.56999969</v>
          </cell>
          <cell r="D957">
            <v>25.570569826031569</v>
          </cell>
        </row>
        <row r="958">
          <cell r="B958" t="str">
            <v xml:space="preserve">2025/3/17
</v>
          </cell>
          <cell r="C958">
            <v>26.440000529999999</v>
          </cell>
          <cell r="D958">
            <v>25.571479272374635</v>
          </cell>
        </row>
        <row r="959">
          <cell r="B959" t="str">
            <v xml:space="preserve">2025/3/18
</v>
          </cell>
          <cell r="C959">
            <v>26.68000031</v>
          </cell>
          <cell r="D959">
            <v>25.572637601567557</v>
          </cell>
        </row>
        <row r="960">
          <cell r="B960" t="str">
            <v xml:space="preserve">2025/3/19
</v>
          </cell>
          <cell r="C960">
            <v>26.799999239999998</v>
          </cell>
          <cell r="D960">
            <v>25.573918772380114</v>
          </cell>
        </row>
        <row r="961">
          <cell r="B961" t="str">
            <v xml:space="preserve">2025/3/20
</v>
          </cell>
          <cell r="C961">
            <v>26.56999969</v>
          </cell>
          <cell r="D961">
            <v>25.574957438613296</v>
          </cell>
        </row>
        <row r="962">
          <cell r="B962" t="str">
            <v xml:space="preserve">2025/3/21
</v>
          </cell>
          <cell r="C962">
            <v>25.870000839999999</v>
          </cell>
          <cell r="D962">
            <v>25.575264775489742</v>
          </cell>
        </row>
        <row r="963">
          <cell r="B963" t="str">
            <v xml:space="preserve">2025/3/24
</v>
          </cell>
          <cell r="C963">
            <v>25.959999079999999</v>
          </cell>
          <cell r="D963">
            <v>25.57566512336124</v>
          </cell>
        </row>
        <row r="964">
          <cell r="B964" t="str">
            <v xml:space="preserve">2025/3/25
</v>
          </cell>
          <cell r="C964">
            <v>25.88999939</v>
          </cell>
          <cell r="D964">
            <v>25.575991874158166</v>
          </cell>
        </row>
        <row r="965">
          <cell r="B965" t="str">
            <v xml:space="preserve">2025/3/26
</v>
          </cell>
          <cell r="C965">
            <v>25.870000839999999</v>
          </cell>
          <cell r="D965">
            <v>25.576297179418646</v>
          </cell>
        </row>
        <row r="966">
          <cell r="B966" t="str">
            <v xml:space="preserve">2025/3/27
</v>
          </cell>
          <cell r="C966">
            <v>26.030000690000001</v>
          </cell>
          <cell r="D966">
            <v>25.576767826213853</v>
          </cell>
        </row>
        <row r="967">
          <cell r="B967">
            <v>45744</v>
          </cell>
          <cell r="C967">
            <v>25.850000380000001</v>
          </cell>
          <cell r="D967">
            <v>25.577050968756637</v>
          </cell>
        </row>
        <row r="968">
          <cell r="B968">
            <v>45747</v>
          </cell>
          <cell r="C968">
            <v>25.629999160000001</v>
          </cell>
          <cell r="D968">
            <v>25.577105780548813</v>
          </cell>
        </row>
        <row r="969">
          <cell r="B969" t="str">
            <v xml:space="preserve">2025/4/1
</v>
          </cell>
          <cell r="C969">
            <v>25.440000529999999</v>
          </cell>
          <cell r="D969">
            <v>25.576963996422084</v>
          </cell>
        </row>
        <row r="970">
          <cell r="B970" t="str">
            <v xml:space="preserve">2025/4/2
</v>
          </cell>
          <cell r="C970">
            <v>25.450000760000002</v>
          </cell>
          <cell r="D970">
            <v>25.576832836053878</v>
          </cell>
        </row>
        <row r="971">
          <cell r="B971" t="str">
            <v xml:space="preserve">2025/4/3
</v>
          </cell>
          <cell r="C971">
            <v>24.920000080000001</v>
          </cell>
          <cell r="D971">
            <v>25.5761549900724</v>
          </cell>
        </row>
        <row r="972">
          <cell r="B972" t="str">
            <v xml:space="preserve">2025/4/7
</v>
          </cell>
          <cell r="C972">
            <v>22.459999079999999</v>
          </cell>
          <cell r="D972">
            <v>25.572942458206349</v>
          </cell>
        </row>
        <row r="973">
          <cell r="B973" t="str">
            <v xml:space="preserve">2025/4/8
</v>
          </cell>
          <cell r="C973">
            <v>22.510000229999999</v>
          </cell>
          <cell r="D973">
            <v>25.569788037785951</v>
          </cell>
        </row>
        <row r="974">
          <cell r="B974" t="str">
            <v xml:space="preserve">2025/4/9
</v>
          </cell>
          <cell r="C974">
            <v>22.510000229999999</v>
          </cell>
          <cell r="D974">
            <v>25.566640107942547</v>
          </cell>
        </row>
        <row r="975">
          <cell r="B975" t="str">
            <v xml:space="preserve">2025/4/10
</v>
          </cell>
          <cell r="C975">
            <v>23.209999079999999</v>
          </cell>
          <cell r="D975">
            <v>25.564218071942609</v>
          </cell>
        </row>
        <row r="976">
          <cell r="B976" t="str">
            <v xml:space="preserve">2025/4/11
</v>
          </cell>
          <cell r="C976">
            <v>23.68000031</v>
          </cell>
          <cell r="D976">
            <v>25.56228355678661</v>
          </cell>
        </row>
        <row r="977">
          <cell r="B977" t="str">
            <v xml:space="preserve">2025/4/14
</v>
          </cell>
          <cell r="C977">
            <v>23.739999770000001</v>
          </cell>
          <cell r="D977">
            <v>25.560414547774521</v>
          </cell>
        </row>
        <row r="978">
          <cell r="B978" t="str">
            <v xml:space="preserve">2025/4/15
</v>
          </cell>
          <cell r="C978">
            <v>23.739999770000001</v>
          </cell>
          <cell r="D978">
            <v>25.558549368698934</v>
          </cell>
        </row>
        <row r="979">
          <cell r="B979" t="str">
            <v xml:space="preserve">2025/4/16
</v>
          </cell>
          <cell r="C979">
            <v>23.739999770000001</v>
          </cell>
          <cell r="D979">
            <v>25.556688007799551</v>
          </cell>
        </row>
        <row r="980">
          <cell r="B980" t="str">
            <v xml:space="preserve">2025/4/17
</v>
          </cell>
          <cell r="C980">
            <v>23.469999309999999</v>
          </cell>
          <cell r="D980">
            <v>25.554554379274194</v>
          </cell>
        </row>
        <row r="981">
          <cell r="B981" t="str">
            <v xml:space="preserve">2025/4/18
</v>
          </cell>
          <cell r="C981">
            <v>23.459999079999999</v>
          </cell>
          <cell r="D981">
            <v>25.552414894800982</v>
          </cell>
        </row>
        <row r="982">
          <cell r="B982" t="str">
            <v xml:space="preserve">2025/4/21
</v>
          </cell>
          <cell r="C982">
            <v>23.81999969</v>
          </cell>
          <cell r="D982">
            <v>25.55064712418384</v>
          </cell>
        </row>
        <row r="983">
          <cell r="B983" t="str">
            <v xml:space="preserve">2025/4/22
</v>
          </cell>
          <cell r="C983">
            <v>23.760000229999999</v>
          </cell>
          <cell r="D983">
            <v>25.548821796055211</v>
          </cell>
        </row>
        <row r="984">
          <cell r="B984" t="str">
            <v xml:space="preserve">2025/4/23
</v>
          </cell>
          <cell r="C984">
            <v>24.049999239999998</v>
          </cell>
          <cell r="D984">
            <v>25.547295500173281</v>
          </cell>
        </row>
        <row r="985">
          <cell r="B985" t="str">
            <v xml:space="preserve">2025/4/24
</v>
          </cell>
          <cell r="C985">
            <v>24.049999239999998</v>
          </cell>
          <cell r="D985">
            <v>25.545772309674632</v>
          </cell>
        </row>
        <row r="986">
          <cell r="B986" t="str">
            <v xml:space="preserve">2025/4/25
</v>
          </cell>
          <cell r="C986">
            <v>24.06999969</v>
          </cell>
          <cell r="D986">
            <v>25.544272540752196</v>
          </cell>
        </row>
        <row r="987">
          <cell r="B987" t="str">
            <v xml:space="preserve">2025/4/28
</v>
          </cell>
          <cell r="C987">
            <v>23.909999849999998</v>
          </cell>
          <cell r="D987">
            <v>25.542613380660061</v>
          </cell>
        </row>
        <row r="988">
          <cell r="B988">
            <v>45776</v>
          </cell>
          <cell r="C988">
            <v>23.88999939</v>
          </cell>
          <cell r="D988">
            <v>25.540937301562032</v>
          </cell>
        </row>
        <row r="989">
          <cell r="B989">
            <v>45777</v>
          </cell>
          <cell r="C989">
            <v>24.010000229999999</v>
          </cell>
          <cell r="D989">
            <v>25.539386200172402</v>
          </cell>
        </row>
        <row r="990">
          <cell r="B990" t="str">
            <v xml:space="preserve">2025/5/6
</v>
          </cell>
          <cell r="C990">
            <v>23.280000690000001</v>
          </cell>
          <cell r="D990">
            <v>25.537099372732957</v>
          </cell>
        </row>
        <row r="991">
          <cell r="B991" t="str">
            <v xml:space="preserve">2025/5/7
</v>
          </cell>
          <cell r="C991">
            <v>23.340000150000002</v>
          </cell>
          <cell r="D991">
            <v>25.534877836612903</v>
          </cell>
        </row>
        <row r="992">
          <cell r="B992" t="str">
            <v xml:space="preserve">2025/5/8
</v>
          </cell>
          <cell r="C992">
            <v>23.649999619999999</v>
          </cell>
          <cell r="D992">
            <v>25.532973919222385</v>
          </cell>
        </row>
        <row r="993">
          <cell r="B993" t="str">
            <v xml:space="preserve">2025/5/9
</v>
          </cell>
          <cell r="C993">
            <v>23.559999470000001</v>
          </cell>
          <cell r="D993">
            <v>25.530983026740827</v>
          </cell>
        </row>
        <row r="994">
          <cell r="B994" t="str">
            <v xml:space="preserve">2025/5/12
</v>
          </cell>
          <cell r="C994">
            <v>24.079999919999999</v>
          </cell>
          <cell r="D994">
            <v>25.529520342157419</v>
          </cell>
        </row>
        <row r="995">
          <cell r="B995" t="str">
            <v xml:space="preserve">2025/5/13
</v>
          </cell>
          <cell r="C995">
            <v>24.030000690000001</v>
          </cell>
          <cell r="D995">
            <v>25.528010251873273</v>
          </cell>
        </row>
        <row r="996">
          <cell r="B996" t="str">
            <v xml:space="preserve">2025/5/14
</v>
          </cell>
          <cell r="C996">
            <v>24.129999160000001</v>
          </cell>
          <cell r="D996">
            <v>25.526603802082654</v>
          </cell>
        </row>
        <row r="997">
          <cell r="B997" t="str">
            <v xml:space="preserve">2025/5/15
</v>
          </cell>
          <cell r="C997">
            <v>23.799999239999998</v>
          </cell>
          <cell r="D997">
            <v>25.524868521115739</v>
          </cell>
        </row>
        <row r="998">
          <cell r="B998" t="str">
            <v xml:space="preserve">2025/5/16
</v>
          </cell>
          <cell r="C998">
            <v>23.909999849999998</v>
          </cell>
          <cell r="D998">
            <v>25.52324716702827</v>
          </cell>
        </row>
        <row r="999">
          <cell r="B999" t="str">
            <v xml:space="preserve">2025/5/19
</v>
          </cell>
          <cell r="C999">
            <v>23.88999939</v>
          </cell>
          <cell r="D999">
            <v>25.52160900476445</v>
          </cell>
        </row>
        <row r="1000">
          <cell r="B1000" t="str">
            <v xml:space="preserve">2025/5/20
</v>
          </cell>
          <cell r="C1000">
            <v>24.06999969</v>
          </cell>
          <cell r="D1000">
            <v>25.520154486412984</v>
          </cell>
        </row>
        <row r="1001">
          <cell r="B1001" t="str">
            <v xml:space="preserve">2025/5/21
</v>
          </cell>
          <cell r="C1001">
            <v>24.340000150000002</v>
          </cell>
          <cell r="D1001">
            <v>25.518973150740901</v>
          </cell>
        </row>
        <row r="1002">
          <cell r="B1002" t="str">
            <v xml:space="preserve">2025/5/22
</v>
          </cell>
          <cell r="C1002">
            <v>24.170000080000001</v>
          </cell>
          <cell r="D1002">
            <v>25.517624177670161</v>
          </cell>
        </row>
        <row r="1003">
          <cell r="B1003" t="str">
            <v xml:space="preserve">2025/5/23
</v>
          </cell>
          <cell r="C1003">
            <v>24.059999470000001</v>
          </cell>
          <cell r="D1003">
            <v>25.516168009131029</v>
          </cell>
        </row>
        <row r="1004">
          <cell r="B1004" t="str">
            <v xml:space="preserve">2025/5/26
</v>
          </cell>
          <cell r="C1004">
            <v>23.68000031</v>
          </cell>
          <cell r="D1004">
            <v>25.514335506437284</v>
          </cell>
        </row>
        <row r="1005">
          <cell r="B1005" t="str">
            <v xml:space="preserve">2025/5/27
</v>
          </cell>
          <cell r="C1005">
            <v>23.68000031</v>
          </cell>
          <cell r="D1005">
            <v>25.512506657786798</v>
          </cell>
        </row>
        <row r="1006">
          <cell r="B1006" t="str">
            <v xml:space="preserve">2025/5/28
</v>
          </cell>
          <cell r="C1006">
            <v>23.36000061</v>
          </cell>
          <cell r="D1006">
            <v>25.510362727460315</v>
          </cell>
        </row>
        <row r="1007">
          <cell r="B1007">
            <v>45806</v>
          </cell>
          <cell r="C1007">
            <v>23.600000380000001</v>
          </cell>
          <cell r="D1007">
            <v>25.508461869403142</v>
          </cell>
        </row>
        <row r="1008">
          <cell r="B1008">
            <v>45807</v>
          </cell>
          <cell r="C1008">
            <v>23.299999239999998</v>
          </cell>
          <cell r="D1008">
            <v>25.506266578519043</v>
          </cell>
        </row>
        <row r="1009">
          <cell r="B1009" t="str">
            <v xml:space="preserve">2025/6/3
</v>
          </cell>
          <cell r="C1009">
            <v>23.299999239999998</v>
          </cell>
          <cell r="D1009">
            <v>25.504075647696283</v>
          </cell>
        </row>
        <row r="1010">
          <cell r="B1010" t="str">
            <v xml:space="preserve">2025/6/4
</v>
          </cell>
          <cell r="C1010">
            <v>23.440000529999999</v>
          </cell>
          <cell r="D1010">
            <v>25.502027954127144</v>
          </cell>
        </row>
        <row r="1011">
          <cell r="B1011" t="str">
            <v xml:space="preserve">2025/6/5
</v>
          </cell>
          <cell r="C1011">
            <v>23.649999619999999</v>
          </cell>
          <cell r="D1011">
            <v>25.500192445371813</v>
          </cell>
        </row>
        <row r="1012">
          <cell r="B1012" t="str">
            <v xml:space="preserve">2025/6/6
</v>
          </cell>
          <cell r="C1012">
            <v>23.559999470000001</v>
          </cell>
          <cell r="D1012">
            <v>25.49827146222788</v>
          </cell>
        </row>
        <row r="1013">
          <cell r="B1013" t="str">
            <v xml:space="preserve">2025/6/9
</v>
          </cell>
          <cell r="C1013">
            <v>23.540000920000001</v>
          </cell>
          <cell r="D1013">
            <v>25.496334498288977</v>
          </cell>
        </row>
        <row r="1014">
          <cell r="B1014" t="str">
            <v xml:space="preserve">2025/6/10
</v>
          </cell>
          <cell r="C1014">
            <v>23.350000380000001</v>
          </cell>
          <cell r="D1014">
            <v>25.494213614772882</v>
          </cell>
        </row>
        <row r="1015">
          <cell r="B1015" t="str">
            <v xml:space="preserve">2025/6/11
</v>
          </cell>
          <cell r="C1015">
            <v>23.600000380000001</v>
          </cell>
          <cell r="D1015">
            <v>25.492343710296304</v>
          </cell>
        </row>
        <row r="1016">
          <cell r="B1016" t="str">
            <v xml:space="preserve">2025/6/12
</v>
          </cell>
          <cell r="C1016">
            <v>23.450000760000002</v>
          </cell>
          <cell r="D1016">
            <v>25.490329565374907</v>
          </cell>
        </row>
        <row r="1017">
          <cell r="B1017" t="str">
            <v xml:space="preserve">2025/6/13
</v>
          </cell>
          <cell r="C1017">
            <v>23.229999540000001</v>
          </cell>
          <cell r="D1017">
            <v>25.488102639241532</v>
          </cell>
        </row>
        <row r="1018">
          <cell r="B1018" t="str">
            <v xml:space="preserve">2025/6/16
</v>
          </cell>
          <cell r="C1018">
            <v>23.600000380000001</v>
          </cell>
          <cell r="D1018">
            <v>25.486244270876139</v>
          </cell>
        </row>
        <row r="1019">
          <cell r="B1019" t="str">
            <v xml:space="preserve">2025/6/17
</v>
          </cell>
          <cell r="C1019">
            <v>23.520000459999999</v>
          </cell>
          <cell r="D1019">
            <v>25.484310894464265</v>
          </cell>
        </row>
        <row r="1020">
          <cell r="B1020" t="str">
            <v xml:space="preserve">2025/6/18
</v>
          </cell>
          <cell r="C1020">
            <v>23.629999160000001</v>
          </cell>
          <cell r="D1020">
            <v>25.482489370167148</v>
          </cell>
        </row>
        <row r="1021">
          <cell r="B1021" t="str">
            <v xml:space="preserve">2025/6/19
</v>
          </cell>
          <cell r="C1021">
            <v>23.370000839999999</v>
          </cell>
          <cell r="D1021">
            <v>25.480416270530085</v>
          </cell>
        </row>
        <row r="1022">
          <cell r="B1022" t="str">
            <v xml:space="preserve">2025/6/20
</v>
          </cell>
          <cell r="C1022">
            <v>23.260000229999999</v>
          </cell>
          <cell r="D1022">
            <v>25.478239392058974</v>
          </cell>
        </row>
        <row r="1023">
          <cell r="B1023" t="str">
            <v xml:space="preserve">2025/6/23
</v>
          </cell>
          <cell r="C1023">
            <v>23.329999919999999</v>
          </cell>
          <cell r="D1023">
            <v>25.476135337727868</v>
          </cell>
        </row>
        <row r="1024">
          <cell r="B1024" t="str">
            <v xml:space="preserve">2025/6/24
</v>
          </cell>
          <cell r="C1024">
            <v>23.790000920000001</v>
          </cell>
          <cell r="D1024">
            <v>25.474485499745747</v>
          </cell>
        </row>
        <row r="1025">
          <cell r="B1025" t="str">
            <v xml:space="preserve">2025/6/25
</v>
          </cell>
          <cell r="C1025">
            <v>24.350000380000001</v>
          </cell>
          <cell r="D1025">
            <v>25.473386296305133</v>
          </cell>
        </row>
        <row r="1026">
          <cell r="B1026" t="str">
            <v xml:space="preserve">2025/6/26
</v>
          </cell>
          <cell r="C1026">
            <v>24.090000150000002</v>
          </cell>
          <cell r="D1026">
            <v>25.472035333271634</v>
          </cell>
        </row>
        <row r="1027">
          <cell r="B1027">
            <v>45835</v>
          </cell>
          <cell r="C1027">
            <v>24.100000380000001</v>
          </cell>
          <cell r="D1027">
            <v>25.470696762585515</v>
          </cell>
        </row>
        <row r="1028">
          <cell r="B1028">
            <v>45838</v>
          </cell>
          <cell r="C1028">
            <v>24.299999239999998</v>
          </cell>
          <cell r="D1028">
            <v>25.46955573186175</v>
          </cell>
        </row>
        <row r="1029">
          <cell r="B1029" t="str">
            <v xml:space="preserve">2025/7/1
</v>
          </cell>
          <cell r="C1029">
            <v>24.280000690000001</v>
          </cell>
          <cell r="D1029">
            <v>25.468397450418845</v>
          </cell>
        </row>
        <row r="1030">
          <cell r="B1030" t="str">
            <v xml:space="preserve">2025/7/2
</v>
          </cell>
          <cell r="C1030">
            <v>24.030000690000001</v>
          </cell>
          <cell r="D1030">
            <v>25.466998231780305</v>
          </cell>
        </row>
        <row r="1031">
          <cell r="B1031" t="str">
            <v xml:space="preserve">2025/7/3
</v>
          </cell>
          <cell r="C1031">
            <v>24.450000760000002</v>
          </cell>
          <cell r="D1031">
            <v>25.466009896044852</v>
          </cell>
        </row>
        <row r="1032">
          <cell r="B1032" t="str">
            <v xml:space="preserve">2025/7/4
</v>
          </cell>
          <cell r="C1032">
            <v>24.409999849999998</v>
          </cell>
          <cell r="D1032">
            <v>25.464984643572961</v>
          </cell>
        </row>
        <row r="1033">
          <cell r="B1033" t="str">
            <v xml:space="preserve">2025/7/7
</v>
          </cell>
          <cell r="C1033">
            <v>24.100000380000001</v>
          </cell>
          <cell r="D1033">
            <v>25.463660701513241</v>
          </cell>
        </row>
        <row r="1034">
          <cell r="B1034" t="str">
            <v xml:space="preserve">2025/7/8
</v>
          </cell>
          <cell r="C1034">
            <v>24.440000529999999</v>
          </cell>
          <cell r="D1034">
            <v>25.462668782742398</v>
          </cell>
        </row>
        <row r="1035">
          <cell r="B1035" t="str">
            <v xml:space="preserve">2025/7/9
</v>
          </cell>
          <cell r="C1035">
            <v>24.450000760000002</v>
          </cell>
          <cell r="D1035">
            <v>25.461688465198598</v>
          </cell>
        </row>
        <row r="1036">
          <cell r="B1036" t="str">
            <v xml:space="preserve">2025/7/10
</v>
          </cell>
          <cell r="C1036">
            <v>24.5</v>
          </cell>
          <cell r="D1036">
            <v>25.460758398984673</v>
          </cell>
        </row>
        <row r="1037">
          <cell r="B1037" t="str">
            <v xml:space="preserve">2025/7/11
</v>
          </cell>
          <cell r="C1037">
            <v>24.670000080000001</v>
          </cell>
          <cell r="D1037">
            <v>25.459994381285174</v>
          </cell>
        </row>
        <row r="1038">
          <cell r="B1038" t="str">
            <v xml:space="preserve">2025/7/14
</v>
          </cell>
          <cell r="C1038">
            <v>24.61000061</v>
          </cell>
          <cell r="D1038">
            <v>25.45917392397698</v>
          </cell>
        </row>
        <row r="1039">
          <cell r="B1039" t="str">
            <v xml:space="preserve">2025/7/15
</v>
          </cell>
          <cell r="C1039">
            <v>24.61000061</v>
          </cell>
          <cell r="D1039">
            <v>25.458355049035827</v>
          </cell>
        </row>
        <row r="1040">
          <cell r="B1040" t="str">
            <v xml:space="preserve">2025/7/16
</v>
          </cell>
          <cell r="C1040">
            <v>24.75</v>
          </cell>
          <cell r="D1040">
            <v>25.457672626059875</v>
          </cell>
        </row>
        <row r="1041">
          <cell r="B1041" t="str">
            <v xml:space="preserve">2025/7/17
</v>
          </cell>
          <cell r="C1041">
            <v>25.040000920000001</v>
          </cell>
          <cell r="D1041">
            <v>25.457270632117563</v>
          </cell>
        </row>
        <row r="1042">
          <cell r="B1042" t="str">
            <v xml:space="preserve">2025/7/18
</v>
          </cell>
          <cell r="C1042">
            <v>25.219999309999999</v>
          </cell>
          <cell r="D1042">
            <v>25.457042486615528</v>
          </cell>
        </row>
        <row r="1043">
          <cell r="B1043" t="str">
            <v xml:space="preserve">2025/7/21
</v>
          </cell>
          <cell r="C1043">
            <v>25.469999309999999</v>
          </cell>
          <cell r="D1043">
            <v>25.457054933131747</v>
          </cell>
        </row>
        <row r="1044">
          <cell r="B1044" t="str">
            <v xml:space="preserve">2025/7/22
</v>
          </cell>
          <cell r="C1044">
            <v>25.659999849999998</v>
          </cell>
          <cell r="D1044">
            <v>25.457249697927207</v>
          </cell>
        </row>
        <row r="1045">
          <cell r="B1045" t="str">
            <v xml:space="preserve">2025/7/23
</v>
          </cell>
          <cell r="C1045">
            <v>25.63999939</v>
          </cell>
          <cell r="D1045">
            <v>25.457424913355847</v>
          </cell>
        </row>
        <row r="1046">
          <cell r="B1046" t="str">
            <v xml:space="preserve">2025/7/24
</v>
          </cell>
          <cell r="C1046">
            <v>25.88999939</v>
          </cell>
          <cell r="D1046">
            <v>25.457839256724284</v>
          </cell>
        </row>
        <row r="1047">
          <cell r="B1047" t="str">
            <v xml:space="preserve">2025/7/25
</v>
          </cell>
          <cell r="C1047">
            <v>25.88999939</v>
          </cell>
          <cell r="D1047">
            <v>25.458252807091057</v>
          </cell>
        </row>
        <row r="1048">
          <cell r="B1048" t="str">
            <v xml:space="preserve">2025/7/28
</v>
          </cell>
          <cell r="C1048">
            <v>25.969999309999999</v>
          </cell>
          <cell r="D1048">
            <v>25.458742048489629</v>
          </cell>
        </row>
        <row r="1049">
          <cell r="B1049" t="str">
            <v xml:space="preserve">2025/7/29
</v>
          </cell>
          <cell r="C1049">
            <v>26.170000080000001</v>
          </cell>
          <cell r="D1049">
            <v>25.459421378032619</v>
          </cell>
        </row>
        <row r="1050">
          <cell r="B1050">
            <v>45868</v>
          </cell>
          <cell r="C1050">
            <v>25.760000229999999</v>
          </cell>
          <cell r="D1050">
            <v>25.459708189914267</v>
          </cell>
        </row>
        <row r="1051">
          <cell r="B1051">
            <v>45869</v>
          </cell>
          <cell r="C1051">
            <v>25.25</v>
          </cell>
          <cell r="D1051">
            <v>25.459508277435798</v>
          </cell>
        </row>
        <row r="1052">
          <cell r="B1052" t="str">
            <v xml:space="preserve">2025/8/1
</v>
          </cell>
          <cell r="C1052">
            <v>25.229999540000001</v>
          </cell>
          <cell r="D1052">
            <v>25.459289697685858</v>
          </cell>
        </row>
        <row r="1053">
          <cell r="B1053" t="str">
            <v xml:space="preserve">2025/8/4
</v>
          </cell>
          <cell r="C1053">
            <v>25.350000380000001</v>
          </cell>
          <cell r="D1053">
            <v>25.45918571165571</v>
          </cell>
        </row>
        <row r="1054">
          <cell r="B1054" t="str">
            <v xml:space="preserve">2025/8/5
</v>
          </cell>
          <cell r="C1054">
            <v>25.479999540000001</v>
          </cell>
          <cell r="D1054">
            <v>25.459205496663643</v>
          </cell>
        </row>
        <row r="1055">
          <cell r="B1055" t="str">
            <v xml:space="preserve">2025/8/6
</v>
          </cell>
          <cell r="C1055">
            <v>25.600000380000001</v>
          </cell>
          <cell r="D1055">
            <v>25.459339205004891</v>
          </cell>
        </row>
        <row r="1056">
          <cell r="B1056" t="str">
            <v xml:space="preserve">2025/8/7
</v>
          </cell>
          <cell r="C1056">
            <v>25.520000459999999</v>
          </cell>
          <cell r="D1056">
            <v>25.459396758377753</v>
          </cell>
        </row>
        <row r="1057">
          <cell r="B1057" t="str">
            <v xml:space="preserve">2025/8/8
</v>
          </cell>
          <cell r="C1057">
            <v>25.440000529999999</v>
          </cell>
          <cell r="D1057">
            <v>25.459378373327159</v>
          </cell>
        </row>
        <row r="1058">
          <cell r="B1058" t="str">
            <v xml:space="preserve">2025/8/11
</v>
          </cell>
          <cell r="C1058">
            <v>25.790000920000001</v>
          </cell>
          <cell r="D1058">
            <v>25.459691462859993</v>
          </cell>
        </row>
        <row r="1059">
          <cell r="B1059" t="str">
            <v xml:space="preserve">2025/8/12
</v>
          </cell>
          <cell r="C1059">
            <v>25.790000920000001</v>
          </cell>
          <cell r="D1059">
            <v>25.460003959981222</v>
          </cell>
        </row>
        <row r="1060">
          <cell r="B1060" t="str">
            <v xml:space="preserve">2025/8/13
</v>
          </cell>
          <cell r="C1060">
            <v>26.020000459999999</v>
          </cell>
          <cell r="D1060">
            <v>25.460533257240218</v>
          </cell>
        </row>
        <row r="1061">
          <cell r="B1061" t="str">
            <v xml:space="preserve">2025/8/14
</v>
          </cell>
          <cell r="C1061">
            <v>26.579999919999999</v>
          </cell>
          <cell r="D1061">
            <v>25.461590355127619</v>
          </cell>
        </row>
        <row r="1062">
          <cell r="B1062" t="str">
            <v xml:space="preserve">2025/8/15
</v>
          </cell>
          <cell r="C1062">
            <v>27.010000229999999</v>
          </cell>
          <cell r="D1062">
            <v>25.463051119160518</v>
          </cell>
        </row>
        <row r="1063">
          <cell r="B1063" t="str">
            <v xml:space="preserve">2025/8/18
</v>
          </cell>
          <cell r="C1063">
            <v>27.649999619999999</v>
          </cell>
          <cell r="D1063">
            <v>25.465112333581668</v>
          </cell>
        </row>
        <row r="1064">
          <cell r="B1064" t="str">
            <v xml:space="preserve">2025/8/19
</v>
          </cell>
          <cell r="C1064">
            <v>27.520000459999999</v>
          </cell>
          <cell r="D1064">
            <v>25.467047256487898</v>
          </cell>
        </row>
        <row r="1065">
          <cell r="B1065" t="str">
            <v xml:space="preserve">2025/8/20
</v>
          </cell>
          <cell r="C1065">
            <v>27.780000690000001</v>
          </cell>
          <cell r="D1065">
            <v>25.469223129896658</v>
          </cell>
        </row>
        <row r="1066">
          <cell r="B1066" t="str">
            <v xml:space="preserve">2025/8/21
</v>
          </cell>
          <cell r="C1066">
            <v>27.780000690000001</v>
          </cell>
          <cell r="D1066">
            <v>25.471394913317809</v>
          </cell>
        </row>
        <row r="1067">
          <cell r="B1067" t="str">
            <v xml:space="preserve">2025/8/22
</v>
          </cell>
          <cell r="C1067">
            <v>28.579999919999999</v>
          </cell>
          <cell r="D1067">
            <v>25.474313791258353</v>
          </cell>
        </row>
        <row r="1068">
          <cell r="B1068" t="str">
            <v xml:space="preserve">2025/8/25
</v>
          </cell>
          <cell r="C1068">
            <v>29.129999160000001</v>
          </cell>
          <cell r="D1068">
            <v>25.477743139634285</v>
          </cell>
        </row>
        <row r="1069">
          <cell r="B1069" t="str">
            <v xml:space="preserve">2025/8/26
</v>
          </cell>
          <cell r="C1069">
            <v>29.090000150000002</v>
          </cell>
          <cell r="D1069">
            <v>25.48112857263369</v>
          </cell>
        </row>
        <row r="1070">
          <cell r="B1070" t="str">
            <v xml:space="preserve">2025/8/27
</v>
          </cell>
          <cell r="C1070">
            <v>29.090000150000002</v>
          </cell>
          <cell r="D1070">
            <v>25.484507665870925</v>
          </cell>
        </row>
        <row r="1071">
          <cell r="B1071">
            <v>45897</v>
          </cell>
          <cell r="C1071">
            <v>29.409999849999998</v>
          </cell>
          <cell r="D1071">
            <v>25.488179782039428</v>
          </cell>
        </row>
        <row r="1072">
          <cell r="B1072">
            <v>45898</v>
          </cell>
          <cell r="C1072">
            <v>30.020000459999999</v>
          </cell>
          <cell r="D1072">
            <v>25.492415128467428</v>
          </cell>
        </row>
        <row r="1073">
          <cell r="B1073" t="str">
            <v xml:space="preserve">2025/9/1
</v>
          </cell>
          <cell r="C1073">
            <v>29.75</v>
          </cell>
          <cell r="D1073">
            <v>25.496390464481934</v>
          </cell>
        </row>
        <row r="1074">
          <cell r="B1074" t="str">
            <v xml:space="preserve">2025/9/2
</v>
          </cell>
          <cell r="C1074">
            <v>29.120000839999999</v>
          </cell>
          <cell r="D1074">
            <v>25.499770698041186</v>
          </cell>
        </row>
        <row r="1075">
          <cell r="B1075" t="str">
            <v xml:space="preserve">2025/9/3
</v>
          </cell>
          <cell r="C1075">
            <v>29.170000080000001</v>
          </cell>
          <cell r="D1075">
            <v>25.503191228686067</v>
          </cell>
        </row>
        <row r="1076">
          <cell r="B1076" t="str">
            <v xml:space="preserve">2025/9/4
</v>
          </cell>
          <cell r="C1076">
            <v>28.18000031</v>
          </cell>
          <cell r="D1076">
            <v>25.505683602132358</v>
          </cell>
        </row>
        <row r="1077">
          <cell r="B1077" t="str">
            <v xml:space="preserve">2025/9/5
</v>
          </cell>
          <cell r="C1077">
            <v>28.18000031</v>
          </cell>
          <cell r="D1077">
            <v>25.508171338604793</v>
          </cell>
        </row>
        <row r="1078">
          <cell r="B1078" t="str">
            <v xml:space="preserve">2025/9/8
</v>
          </cell>
          <cell r="C1078">
            <v>29.68000031</v>
          </cell>
          <cell r="D1078">
            <v>25.512048503076347</v>
          </cell>
        </row>
        <row r="1079">
          <cell r="B1079" t="str">
            <v xml:space="preserve">2025/9/9
</v>
          </cell>
          <cell r="C1079">
            <v>29.090000150000002</v>
          </cell>
          <cell r="D1079">
            <v>25.515370649452322</v>
          </cell>
        </row>
        <row r="1080">
          <cell r="B1080" t="str">
            <v xml:space="preserve">2025/9/10
</v>
          </cell>
          <cell r="C1080">
            <v>29.219999309999999</v>
          </cell>
          <cell r="D1080">
            <v>25.518807225204224</v>
          </cell>
        </row>
        <row r="1081">
          <cell r="B1081" t="str">
            <v xml:space="preserve">2025/9/11
</v>
          </cell>
          <cell r="C1081">
            <v>30.219999309999999</v>
          </cell>
          <cell r="D1081">
            <v>25.523164215088187</v>
          </cell>
        </row>
        <row r="1082">
          <cell r="B1082" t="str">
            <v xml:space="preserve">2025/9/12
</v>
          </cell>
          <cell r="C1082">
            <v>30</v>
          </cell>
          <cell r="D1082">
            <v>25.527309433407549</v>
          </cell>
        </row>
        <row r="1083">
          <cell r="B1083" t="str">
            <v xml:space="preserve">2025/9/15
</v>
          </cell>
          <cell r="C1083">
            <v>30.559999470000001</v>
          </cell>
          <cell r="D1083">
            <v>25.531965020860454</v>
          </cell>
        </row>
        <row r="1084">
          <cell r="B1084" t="str">
            <v xml:space="preserve">2025/9/16
</v>
          </cell>
          <cell r="C1084">
            <v>30.760000229999999</v>
          </cell>
          <cell r="D1084">
            <v>25.536796846377218</v>
          </cell>
        </row>
        <row r="1085">
          <cell r="B1085" t="str">
            <v xml:space="preserve">2025/9/17
</v>
          </cell>
          <cell r="C1085">
            <v>31.459999079999999</v>
          </cell>
          <cell r="D1085">
            <v>25.542266100517221</v>
          </cell>
        </row>
        <row r="1086">
          <cell r="B1086" t="str">
            <v xml:space="preserve">2025/9/18
</v>
          </cell>
          <cell r="C1086">
            <v>31.329999919999999</v>
          </cell>
          <cell r="D1086">
            <v>25.547605338358071</v>
          </cell>
        </row>
        <row r="1087">
          <cell r="B1087" t="str">
            <v xml:space="preserve">2025/9/19
</v>
          </cell>
          <cell r="C1087">
            <v>31.159999849999998</v>
          </cell>
          <cell r="D1087">
            <v>25.552778052193688</v>
          </cell>
        </row>
        <row r="1088">
          <cell r="B1088" t="str">
            <v xml:space="preserve">2025/9/22
</v>
          </cell>
          <cell r="C1088">
            <v>31.489999770000001</v>
          </cell>
          <cell r="D1088">
            <v>25.558245107182458</v>
          </cell>
        </row>
        <row r="1089">
          <cell r="B1089" t="str">
            <v xml:space="preserve">2025/9/23
</v>
          </cell>
          <cell r="C1089">
            <v>31.520000459999999</v>
          </cell>
          <cell r="D1089">
            <v>25.563729702723229</v>
          </cell>
        </row>
        <row r="1090">
          <cell r="B1090" t="str">
            <v xml:space="preserve">2025/9/24
</v>
          </cell>
          <cell r="C1090">
            <v>32.240001679999999</v>
          </cell>
          <cell r="D1090">
            <v>25.569865982114109</v>
          </cell>
        </row>
        <row r="1091">
          <cell r="B1091" t="str">
            <v xml:space="preserve">2025/9/25
</v>
          </cell>
          <cell r="C1091">
            <v>32.72000122</v>
          </cell>
          <cell r="D1091">
            <v>25.576431762865152</v>
          </cell>
        </row>
        <row r="1092">
          <cell r="B1092" t="str">
            <v xml:space="preserve">2025/9/26
</v>
          </cell>
          <cell r="C1092">
            <v>32.009998320000001</v>
          </cell>
          <cell r="D1092">
            <v>25.582334117504725</v>
          </cell>
        </row>
        <row r="1093">
          <cell r="B1093">
            <v>45929</v>
          </cell>
          <cell r="C1093">
            <v>32.75</v>
          </cell>
          <cell r="D1093">
            <v>25.588903930412606</v>
          </cell>
        </row>
        <row r="1094">
          <cell r="B1094">
            <v>45930</v>
          </cell>
          <cell r="C1094">
            <v>32.849998470000003</v>
          </cell>
          <cell r="D1094">
            <v>25.595553284386586</v>
          </cell>
        </row>
        <row r="1095">
          <cell r="B1095" t="str">
            <v xml:space="preserve">2025/10/9
</v>
          </cell>
          <cell r="C1095">
            <v>33.430000309999997</v>
          </cell>
          <cell r="D1095">
            <v>25.602721122470403</v>
          </cell>
        </row>
        <row r="1096">
          <cell r="B1096" t="str">
            <v xml:space="preserve">2025/10/10
</v>
          </cell>
          <cell r="C1096">
            <v>32.08000183</v>
          </cell>
          <cell r="D1096">
            <v>25.608641854378565</v>
          </cell>
        </row>
        <row r="1097">
          <cell r="B1097" t="str">
            <v xml:space="preserve">2025/10/13
</v>
          </cell>
          <cell r="C1097">
            <v>31.590000150000002</v>
          </cell>
          <cell r="D1097">
            <v>25.614104282045801</v>
          </cell>
        </row>
        <row r="1098">
          <cell r="B1098" t="str">
            <v xml:space="preserve">2025/10/14
</v>
          </cell>
          <cell r="C1098">
            <v>30.540000920000001</v>
          </cell>
          <cell r="D1098">
            <v>25.618598713284808</v>
          </cell>
        </row>
        <row r="1099">
          <cell r="B1099" t="str">
            <v xml:space="preserve">2025/10/15
</v>
          </cell>
          <cell r="C1099">
            <v>31.200000760000002</v>
          </cell>
          <cell r="D1099">
            <v>25.623686591176071</v>
          </cell>
        </row>
        <row r="1100">
          <cell r="B1100" t="str">
            <v xml:space="preserve">2025/10/16
</v>
          </cell>
          <cell r="C1100">
            <v>31.309999470000001</v>
          </cell>
          <cell r="D1100">
            <v>25.628865382504689</v>
          </cell>
        </row>
        <row r="1101">
          <cell r="B1101" t="str">
            <v xml:space="preserve">2025/10/17
</v>
          </cell>
          <cell r="C1101">
            <v>30.270000459999999</v>
          </cell>
          <cell r="D1101">
            <v>25.633088435350455</v>
          </cell>
        </row>
        <row r="1102">
          <cell r="B1102" t="str">
            <v xml:space="preserve">2025/10/20
</v>
          </cell>
          <cell r="C1102">
            <v>30.709999079999999</v>
          </cell>
          <cell r="D1102">
            <v>25.637703808663776</v>
          </cell>
        </row>
        <row r="1103">
          <cell r="B1103" t="str">
            <v xml:space="preserve">2025/10/21
</v>
          </cell>
          <cell r="C1103">
            <v>31.43000031</v>
          </cell>
          <cell r="D1103">
            <v>25.64296475008188</v>
          </cell>
        </row>
        <row r="1104">
          <cell r="B1104" t="str">
            <v xml:space="preserve">2025/10/22
</v>
          </cell>
          <cell r="C1104">
            <v>31.239999770000001</v>
          </cell>
          <cell r="D1104">
            <v>25.648043729228814</v>
          </cell>
        </row>
        <row r="1105">
          <cell r="B1105" t="str">
            <v xml:space="preserve">2025/10/23
</v>
          </cell>
          <cell r="C1105">
            <v>31.25</v>
          </cell>
          <cell r="D1105">
            <v>25.653122565376385</v>
          </cell>
        </row>
        <row r="1106">
          <cell r="B1106" t="str">
            <v xml:space="preserve">2025/10/24
</v>
          </cell>
          <cell r="C1106">
            <v>32.119998930000001</v>
          </cell>
          <cell r="D1106">
            <v>25.658980243242894</v>
          </cell>
        </row>
        <row r="1107">
          <cell r="B1107" t="str">
            <v xml:space="preserve">2025/10/27
</v>
          </cell>
          <cell r="C1107">
            <v>32.509998320000001</v>
          </cell>
          <cell r="D1107">
            <v>25.66518025960195</v>
          </cell>
        </row>
        <row r="1108">
          <cell r="B1108" t="str">
            <v xml:space="preserve">2025/10/28
</v>
          </cell>
          <cell r="C1108">
            <v>32.439998629999998</v>
          </cell>
          <cell r="D1108">
            <v>25.671305773499238</v>
          </cell>
        </row>
        <row r="1109">
          <cell r="B1109" t="str">
            <v xml:space="preserve">2025/10/29
</v>
          </cell>
          <cell r="C1109">
            <v>33.189998629999998</v>
          </cell>
          <cell r="D1109">
            <v>25.67809772729915</v>
          </cell>
        </row>
        <row r="1110">
          <cell r="B1110">
            <v>45960</v>
          </cell>
          <cell r="C1110">
            <v>32.790000919999997</v>
          </cell>
          <cell r="D1110">
            <v>25.684516412491117</v>
          </cell>
        </row>
        <row r="1111">
          <cell r="B1111">
            <v>45961</v>
          </cell>
          <cell r="C1111">
            <v>32.159999849999998</v>
          </cell>
          <cell r="D1111">
            <v>25.690355441740447</v>
          </cell>
        </row>
        <row r="1112">
          <cell r="B1112" t="str">
            <v xml:space="preserve">2025/11/3
</v>
          </cell>
          <cell r="C1112">
            <v>30.829999919999999</v>
          </cell>
          <cell r="D1112">
            <v>25.694985752081219</v>
          </cell>
        </row>
        <row r="1113">
          <cell r="B1113" t="str">
            <v xml:space="preserve">2025/11/4
</v>
          </cell>
          <cell r="C1113">
            <v>30.270000459999999</v>
          </cell>
          <cell r="D1113">
            <v>25.699103677110852</v>
          </cell>
        </row>
        <row r="1114">
          <cell r="B1114" t="str">
            <v xml:space="preserve">2025/11/5
</v>
          </cell>
          <cell r="C1114">
            <v>30.450000760000002</v>
          </cell>
          <cell r="D1114">
            <v>25.703376066573881</v>
          </cell>
        </row>
        <row r="1115">
          <cell r="B1115" t="str">
            <v xml:space="preserve">2025/11/6
</v>
          </cell>
          <cell r="C1115">
            <v>31.159999849999998</v>
          </cell>
          <cell r="D1115">
            <v>25.708278693513165</v>
          </cell>
        </row>
        <row r="1116">
          <cell r="B1116" t="str">
            <v xml:space="preserve">2025/11/7
</v>
          </cell>
          <cell r="C1116">
            <v>30.909999849999998</v>
          </cell>
          <cell r="D1116">
            <v>25.712948102091698</v>
          </cell>
        </row>
        <row r="1117">
          <cell r="B1117" t="str">
            <v xml:space="preserve">2025/11/10
</v>
          </cell>
          <cell r="C1117">
            <v>30.659999849999998</v>
          </cell>
          <cell r="D1117">
            <v>25.717384919802825</v>
          </cell>
        </row>
        <row r="1118">
          <cell r="B1118" t="str">
            <v xml:space="preserve">2025/11/11
</v>
          </cell>
          <cell r="C1118">
            <v>30.31999969</v>
          </cell>
          <cell r="D1118">
            <v>25.721509126586156</v>
          </cell>
        </row>
        <row r="1119">
          <cell r="B1119" t="str">
            <v xml:space="preserve">2025/11/12
</v>
          </cell>
          <cell r="C1119">
            <v>30.270000459999999</v>
          </cell>
          <cell r="D1119">
            <v>25.725581186866744</v>
          </cell>
        </row>
        <row r="1120">
          <cell r="B1120" t="str">
            <v xml:space="preserve">2025/11/13
</v>
          </cell>
          <cell r="C1120">
            <v>31.010000229999999</v>
          </cell>
          <cell r="D1120">
            <v>25.730307858640565</v>
          </cell>
        </row>
        <row r="1121">
          <cell r="B1121" t="str">
            <v xml:space="preserve">2025/11/14
</v>
          </cell>
          <cell r="C1121">
            <v>30.340000150000002</v>
          </cell>
          <cell r="D1121">
            <v>25.734427333431771</v>
          </cell>
        </row>
        <row r="1122">
          <cell r="B1122" t="str">
            <v xml:space="preserve">2025/11/17
</v>
          </cell>
          <cell r="C1122">
            <v>30.079999919999999</v>
          </cell>
          <cell r="D1122">
            <v>25.738307308955491</v>
          </cell>
        </row>
        <row r="1123">
          <cell r="B1123" t="str">
            <v xml:space="preserve">2025/11/18
</v>
          </cell>
          <cell r="C1123">
            <v>29.850000380000001</v>
          </cell>
          <cell r="D1123">
            <v>25.741975188590679</v>
          </cell>
        </row>
        <row r="1124">
          <cell r="B1124" t="str">
            <v xml:space="preserve">2025/11/19
</v>
          </cell>
          <cell r="C1124">
            <v>29.840000150000002</v>
          </cell>
          <cell r="D1124">
            <v>25.745627617255039</v>
          </cell>
        </row>
        <row r="1125">
          <cell r="B1125" t="str">
            <v xml:space="preserve">2025/11/20
</v>
          </cell>
          <cell r="C1125">
            <v>29.5</v>
          </cell>
          <cell r="D1125">
            <v>25.748970780552227</v>
          </cell>
        </row>
        <row r="1126">
          <cell r="B1126" t="str">
            <v xml:space="preserve">2025/11/21
</v>
          </cell>
          <cell r="C1126">
            <v>28.670000080000001</v>
          </cell>
          <cell r="D1126">
            <v>25.751569561067754</v>
          </cell>
        </row>
        <row r="1127">
          <cell r="B1127" t="str">
            <v xml:space="preserve">2025/11/24
</v>
          </cell>
          <cell r="C1127">
            <v>28.850000380000001</v>
          </cell>
          <cell r="D1127">
            <v>25.754323721795693</v>
          </cell>
        </row>
        <row r="1128">
          <cell r="B1128" t="str">
            <v xml:space="preserve">2025/11/25
</v>
          </cell>
          <cell r="C1128">
            <v>29.270000459999999</v>
          </cell>
          <cell r="D1128">
            <v>25.757445992433532</v>
          </cell>
        </row>
        <row r="1129">
          <cell r="B1129" t="str">
            <v xml:space="preserve">2025/11/26
</v>
          </cell>
          <cell r="C1129">
            <v>29.719999309999999</v>
          </cell>
          <cell r="D1129">
            <v>25.760962011348852</v>
          </cell>
        </row>
        <row r="1130">
          <cell r="B1130">
            <v>45988</v>
          </cell>
          <cell r="C1130">
            <v>29.559999470000001</v>
          </cell>
          <cell r="D1130">
            <v>25.764329952358292</v>
          </cell>
        </row>
        <row r="1131">
          <cell r="B1131">
            <v>45989</v>
          </cell>
          <cell r="C1131">
            <v>29.780000690000001</v>
          </cell>
          <cell r="D1131">
            <v>25.767886790921306</v>
          </cell>
        </row>
        <row r="1132">
          <cell r="B1132">
            <v>45992</v>
          </cell>
          <cell r="C1132">
            <v>30.299999237060547</v>
          </cell>
          <cell r="D1132">
            <v>25.771897509900189</v>
          </cell>
        </row>
        <row r="1133">
          <cell r="B1133">
            <v>45993</v>
          </cell>
          <cell r="C1133">
            <v>30.129999160766602</v>
          </cell>
          <cell r="D1133">
            <v>25.775750827009709</v>
          </cell>
        </row>
        <row r="1134">
          <cell r="B1134">
            <v>45994</v>
          </cell>
          <cell r="C1134">
            <v>29.819999694824219</v>
          </cell>
          <cell r="D1134">
            <v>25.779323485020146</v>
          </cell>
        </row>
        <row r="1135">
          <cell r="B1135">
            <v>45995</v>
          </cell>
          <cell r="C1135">
            <v>30.149999618530273</v>
          </cell>
          <cell r="D1135">
            <v>25.783181098553694</v>
          </cell>
        </row>
        <row r="1136">
          <cell r="B1136">
            <v>45996</v>
          </cell>
          <cell r="C1136">
            <v>30.459999084472656</v>
          </cell>
          <cell r="D1136">
            <v>25.787305276671788</v>
          </cell>
        </row>
        <row r="1137">
          <cell r="B1137">
            <v>45999</v>
          </cell>
          <cell r="C1137">
            <v>30.950000762939453</v>
          </cell>
          <cell r="D1137">
            <v>25.791853907056165</v>
          </cell>
        </row>
        <row r="1138">
          <cell r="B1138">
            <v>46000</v>
          </cell>
          <cell r="C1138">
            <v>30.909999847412109</v>
          </cell>
          <cell r="D1138">
            <v>25.796359317214929</v>
          </cell>
        </row>
        <row r="1139">
          <cell r="B1139">
            <v>46001</v>
          </cell>
          <cell r="C1139">
            <v>30.860000610351562</v>
          </cell>
          <cell r="D1139">
            <v>25.80081282758708</v>
          </cell>
        </row>
        <row r="1140">
          <cell r="B1140">
            <v>46002</v>
          </cell>
          <cell r="C1140">
            <v>30.540000915527344</v>
          </cell>
          <cell r="D1140">
            <v>25.804977316240805</v>
          </cell>
        </row>
        <row r="1141">
          <cell r="B1141">
            <v>46003</v>
          </cell>
          <cell r="C1141">
            <v>30.75</v>
          </cell>
          <cell r="D1141">
            <v>25.809318863812148</v>
          </cell>
        </row>
        <row r="1142">
          <cell r="B1142">
            <v>46006</v>
          </cell>
          <cell r="C1142">
            <v>30.479999542236328</v>
          </cell>
          <cell r="D1142">
            <v>25.813415952126558</v>
          </cell>
        </row>
        <row r="1143">
          <cell r="B1143">
            <v>46007</v>
          </cell>
          <cell r="C1143">
            <v>29.969999313354492</v>
          </cell>
          <cell r="D1143">
            <v>25.81705888232921</v>
          </cell>
        </row>
        <row r="1144">
          <cell r="B1144">
            <v>46008</v>
          </cell>
          <cell r="C1144">
            <v>30.709999084472656</v>
          </cell>
          <cell r="D1144">
            <v>25.821343418408144</v>
          </cell>
        </row>
        <row r="1145">
          <cell r="B1145">
            <v>46009</v>
          </cell>
          <cell r="C1145">
            <v>30.180000305175781</v>
          </cell>
          <cell r="D1145">
            <v>25.825156766515555</v>
          </cell>
        </row>
        <row r="1146">
          <cell r="B1146">
            <v>46010</v>
          </cell>
          <cell r="C1146">
            <v>30.360000610351563</v>
          </cell>
          <cell r="D1146">
            <v>25.829120790854571</v>
          </cell>
        </row>
        <row r="1147">
          <cell r="B1147">
            <v>46013</v>
          </cell>
          <cell r="C1147">
            <v>30.860000610351562</v>
          </cell>
          <cell r="D1147">
            <v>25.833514572356314</v>
          </cell>
        </row>
        <row r="1148">
          <cell r="B1148">
            <v>46014</v>
          </cell>
          <cell r="C1148">
            <v>31.059999465942383</v>
          </cell>
          <cell r="D1148">
            <v>25.838075204898711</v>
          </cell>
        </row>
        <row r="1149">
          <cell r="B1149">
            <v>46015</v>
          </cell>
          <cell r="C1149">
            <v>31.219999313354492</v>
          </cell>
          <cell r="D1149">
            <v>25.842767379361185</v>
          </cell>
        </row>
        <row r="1150">
          <cell r="B1150">
            <v>46016</v>
          </cell>
          <cell r="C1150">
            <v>31.329999923706055</v>
          </cell>
          <cell r="D1150">
            <v>25.847547198650684</v>
          </cell>
        </row>
        <row r="1151">
          <cell r="B1151">
            <v>46017</v>
          </cell>
          <cell r="C1151">
            <v>31.469999313354492</v>
          </cell>
          <cell r="D1151">
            <v>25.85244054252771</v>
          </cell>
        </row>
        <row r="1152">
          <cell r="B1152">
            <v>46020</v>
          </cell>
          <cell r="C1152">
            <v>31.229999542236328</v>
          </cell>
          <cell r="D1152">
            <v>25.857116680788327</v>
          </cell>
        </row>
        <row r="1153">
          <cell r="B1153">
            <v>46021</v>
          </cell>
          <cell r="C1153">
            <v>31.450000762939453</v>
          </cell>
          <cell r="D1153">
            <v>25.8619758329014</v>
          </cell>
        </row>
        <row r="1154">
          <cell r="B1154">
            <v>46022</v>
          </cell>
          <cell r="C1154">
            <v>31.129999160000001</v>
          </cell>
          <cell r="D1154">
            <v>25.866548769817285</v>
          </cell>
        </row>
        <row r="1155">
          <cell r="B1155" t="str">
            <v xml:space="preserve">2026/1/5
</v>
          </cell>
          <cell r="C1155">
            <v>31.879999160766602</v>
          </cell>
          <cell r="D1155">
            <v>25.871764251509347</v>
          </cell>
        </row>
        <row r="1156">
          <cell r="B1156" t="str">
            <v xml:space="preserve">2026/1/6
</v>
          </cell>
          <cell r="C1156">
            <v>32.090000152587891</v>
          </cell>
          <cell r="D1156">
            <v>25.877152670834374</v>
          </cell>
        </row>
        <row r="1157">
          <cell r="B1157" t="str">
            <v xml:space="preserve">2026/1/7
</v>
          </cell>
          <cell r="C1157">
            <v>32.189998626708984</v>
          </cell>
          <cell r="D1157">
            <v>25.882618338328637</v>
          </cell>
        </row>
        <row r="1158">
          <cell r="B1158" t="str">
            <v xml:space="preserve">2026/1/8
</v>
          </cell>
          <cell r="C1158">
            <v>31.979999542236328</v>
          </cell>
          <cell r="D1158">
            <v>25.887892889543089</v>
          </cell>
        </row>
        <row r="1159">
          <cell r="B1159" t="str">
            <v xml:space="preserve">2026/1/9
</v>
          </cell>
          <cell r="C1159">
            <v>32.330001831054687</v>
          </cell>
          <cell r="D1159">
            <v>25.893460831584154</v>
          </cell>
        </row>
        <row r="1160">
          <cell r="B1160" t="str">
            <v xml:space="preserve">2026/1/12
</v>
          </cell>
          <cell r="C1160">
            <v>32.669998168945313</v>
          </cell>
          <cell r="D1160">
            <v>25.899312763654414</v>
          </cell>
        </row>
        <row r="1161">
          <cell r="B1161" t="str">
            <v xml:space="preserve">2026/1/13
</v>
          </cell>
          <cell r="C1161">
            <v>32.029998779296875</v>
          </cell>
          <cell r="D1161">
            <v>25.904602397835298</v>
          </cell>
        </row>
        <row r="1162">
          <cell r="B1162" t="str">
            <v xml:space="preserve">2026/1/14
</v>
          </cell>
          <cell r="C1162">
            <v>32.090000152587891</v>
          </cell>
          <cell r="D1162">
            <v>25.909934637279051</v>
          </cell>
        </row>
        <row r="1163">
          <cell r="B1163" t="str">
            <v xml:space="preserve">2026/1/15
</v>
          </cell>
          <cell r="C1163">
            <v>32.299999237060547</v>
          </cell>
          <cell r="D1163">
            <v>25.915438568889542</v>
          </cell>
        </row>
        <row r="1164">
          <cell r="B1164" t="str">
            <v xml:space="preserve">2026/1/16
</v>
          </cell>
          <cell r="C1164">
            <v>32.520000457763672</v>
          </cell>
          <cell r="D1164">
            <v>25.921122357089949</v>
          </cell>
        </row>
        <row r="1165">
          <cell r="B1165" t="str">
            <v xml:space="preserve">2026/1/19
</v>
          </cell>
          <cell r="C1165">
            <v>32.470001220703125</v>
          </cell>
          <cell r="D1165">
            <v>25.926753379328655</v>
          </cell>
        </row>
        <row r="1166">
          <cell r="B1166" t="str">
            <v xml:space="preserve">2026/1/20
</v>
          </cell>
          <cell r="C1166">
            <v>31.969999313354492</v>
          </cell>
          <cell r="D1166">
            <v>25.931945171368195</v>
          </cell>
        </row>
        <row r="1167">
          <cell r="B1167" t="str">
            <v xml:space="preserve">2026/1/21
</v>
          </cell>
          <cell r="C1167">
            <v>32.180000305175781</v>
          </cell>
          <cell r="D1167">
            <v>25.937308308822107</v>
          </cell>
        </row>
        <row r="1168">
          <cell r="B1168" t="str">
            <v xml:space="preserve">2026/1/22
</v>
          </cell>
          <cell r="C1168">
            <v>32.25</v>
          </cell>
          <cell r="D1168">
            <v>25.942722281112996</v>
          </cell>
        </row>
        <row r="1169">
          <cell r="B1169" t="str">
            <v xml:space="preserve">2026/1/23
</v>
          </cell>
          <cell r="C1169">
            <v>32.389999389648438</v>
          </cell>
          <cell r="D1169">
            <v>25.948246940160587</v>
          </cell>
        </row>
        <row r="1170">
          <cell r="B1170" t="str">
            <v xml:space="preserve">2026/1/26
</v>
          </cell>
          <cell r="C1170">
            <v>31.930000305175781</v>
          </cell>
          <cell r="D1170">
            <v>25.953368304342963</v>
          </cell>
        </row>
        <row r="1171">
          <cell r="B1171" t="str">
            <v xml:space="preserve">2026/1/27
</v>
          </cell>
          <cell r="C1171">
            <v>32.029998779296875</v>
          </cell>
          <cell r="D1171">
            <v>25.958566448461827</v>
          </cell>
        </row>
        <row r="1172">
          <cell r="B1172" t="str">
            <v xml:space="preserve">2026/1/28
</v>
          </cell>
          <cell r="C1172">
            <v>31.959999084472656</v>
          </cell>
          <cell r="D1172">
            <v>25.963695878065256</v>
          </cell>
        </row>
        <row r="1173">
          <cell r="B1173">
            <v>46051</v>
          </cell>
          <cell r="C1173">
            <v>31.540000915527344</v>
          </cell>
          <cell r="D1173">
            <v>25.968457880659159</v>
          </cell>
        </row>
        <row r="1174">
          <cell r="B1174">
            <v>46052</v>
          </cell>
          <cell r="C1174">
            <v>31.709999079999999</v>
          </cell>
          <cell r="D1174">
            <v>25.973356806597167</v>
          </cell>
        </row>
        <row r="1175">
          <cell r="B1175" t="str">
            <v xml:space="preserve">2026/2/2
</v>
          </cell>
          <cell r="C1175">
            <v>30.950000760000002</v>
          </cell>
          <cell r="D1175">
            <v>25.977599469814049</v>
          </cell>
        </row>
        <row r="1176">
          <cell r="B1176" t="str">
            <v xml:space="preserve">2026/2/3
</v>
          </cell>
          <cell r="C1176">
            <v>31.409999849999998</v>
          </cell>
          <cell r="D1176">
            <v>25.982226727378087</v>
          </cell>
        </row>
        <row r="1177">
          <cell r="B1177" t="str">
            <v xml:space="preserve">2026/2/4
</v>
          </cell>
          <cell r="C1177">
            <v>31.579999919999999</v>
          </cell>
          <cell r="D1177">
            <v>25.986990789669679</v>
          </cell>
        </row>
        <row r="1178">
          <cell r="B1178" t="str">
            <v xml:space="preserve">2026/2/5
</v>
          </cell>
          <cell r="C1178">
            <v>31.229999540000001</v>
          </cell>
          <cell r="D1178">
            <v>25.991449130443769</v>
          </cell>
        </row>
        <row r="1179">
          <cell r="B1179" t="str">
            <v xml:space="preserve">2026/2/6
</v>
          </cell>
          <cell r="C1179">
            <v>31.219999309999999</v>
          </cell>
          <cell r="D1179">
            <v>25.995891399075511</v>
          </cell>
        </row>
        <row r="1180">
          <cell r="B1180" t="str">
            <v xml:space="preserve">2026/2/9
</v>
          </cell>
          <cell r="C1180">
            <v>31.729999540000001</v>
          </cell>
          <cell r="D1180">
            <v>26.000759063032152</v>
          </cell>
        </row>
        <row r="1181">
          <cell r="B1181" t="str">
            <v xml:space="preserve">2026/2/10
</v>
          </cell>
          <cell r="C1181">
            <v>31.760000229999999</v>
          </cell>
          <cell r="D1181">
            <v>26.005643915591069</v>
          </cell>
        </row>
        <row r="1182">
          <cell r="B1182" t="str">
            <v xml:space="preserve">2026/2/11
</v>
          </cell>
          <cell r="C1182">
            <v>31.590000150000002</v>
          </cell>
          <cell r="D1182">
            <v>26.010376420874469</v>
          </cell>
        </row>
        <row r="1183">
          <cell r="B1183" t="str">
            <v xml:space="preserve">2026/2/12
</v>
          </cell>
          <cell r="C1183">
            <v>32</v>
          </cell>
          <cell r="D1183">
            <v>26.015448075048155</v>
          </cell>
        </row>
        <row r="1184">
          <cell r="B1184" t="str">
            <v xml:space="preserve">2026/2/13
</v>
          </cell>
          <cell r="C1184">
            <v>31.590000150000002</v>
          </cell>
          <cell r="D1184">
            <v>26.020164278157253</v>
          </cell>
        </row>
        <row r="1185">
          <cell r="B1185" t="str">
            <v xml:space="preserve">2026/2/24
</v>
          </cell>
          <cell r="C1185">
            <v>31.829999919999999</v>
          </cell>
          <cell r="D1185">
            <v>26.025075381827449</v>
          </cell>
        </row>
        <row r="1186">
          <cell r="B1186" t="str">
            <v xml:space="preserve">2026/2/25
</v>
          </cell>
          <cell r="C1186">
            <v>32.090000150000002</v>
          </cell>
          <cell r="D1186">
            <v>26.030197784503272</v>
          </cell>
        </row>
        <row r="1187">
          <cell r="B1187">
            <v>46079</v>
          </cell>
          <cell r="C1187">
            <v>31.920000080000001</v>
          </cell>
          <cell r="D1187">
            <v>26.03516808179905</v>
          </cell>
        </row>
        <row r="1188">
          <cell r="B1188">
            <v>46080</v>
          </cell>
          <cell r="C1188">
            <v>31.549999239999998</v>
          </cell>
          <cell r="D1188">
            <v>26.039818023753689</v>
          </cell>
        </row>
        <row r="1189">
          <cell r="B1189" t="str">
            <v xml:space="preserve">2026/3/2
</v>
          </cell>
          <cell r="C1189">
            <v>31.690000529999999</v>
          </cell>
          <cell r="D1189">
            <v>26.044578076412702</v>
          </cell>
        </row>
        <row r="1190">
          <cell r="B1190" t="str">
            <v xml:space="preserve">2026/3/3
</v>
          </cell>
          <cell r="C1190">
            <v>30.899999619999999</v>
          </cell>
          <cell r="D1190">
            <v>26.048665131584073</v>
          </cell>
        </row>
        <row r="1191">
          <cell r="B1191" t="str">
            <v xml:space="preserve">2026/3/4
</v>
          </cell>
          <cell r="C1191">
            <v>30.629999160000001</v>
          </cell>
          <cell r="D1191">
            <v>26.052518230009987</v>
          </cell>
        </row>
        <row r="1192">
          <cell r="B1192" t="str">
            <v xml:space="preserve">2026/3/5
</v>
          </cell>
          <cell r="C1192">
            <v>31.059999470000001</v>
          </cell>
          <cell r="D1192">
            <v>26.05672619743855</v>
          </cell>
        </row>
        <row r="1193">
          <cell r="B1193" t="str">
            <v xml:space="preserve">2026/3/6
</v>
          </cell>
          <cell r="C1193">
            <v>31.170000080000001</v>
          </cell>
          <cell r="D1193">
            <v>26.061019458465051</v>
          </cell>
        </row>
        <row r="1194">
          <cell r="B1194" t="str">
            <v xml:space="preserve">2026/3/9
</v>
          </cell>
          <cell r="C1194">
            <v>30.950000760000002</v>
          </cell>
          <cell r="D1194">
            <v>26.065120952845533</v>
          </cell>
        </row>
        <row r="1195">
          <cell r="B1195" t="str">
            <v xml:space="preserve">2026/3/10
</v>
          </cell>
          <cell r="C1195">
            <v>30.950000760000002</v>
          </cell>
          <cell r="D1195">
            <v>26.069215571292435</v>
          </cell>
        </row>
        <row r="1196">
          <cell r="B1196" t="str">
            <v xml:space="preserve">2026/3/11
</v>
          </cell>
          <cell r="C1196">
            <v>32.36000061</v>
          </cell>
          <cell r="D1196">
            <v>26.074484235478955</v>
          </cell>
        </row>
        <row r="1197">
          <cell r="B1197" t="str">
            <v xml:space="preserve">2026/3/12
</v>
          </cell>
          <cell r="C1197">
            <v>32.150001529999997</v>
          </cell>
          <cell r="D1197">
            <v>26.079568350369769</v>
          </cell>
        </row>
        <row r="1198">
          <cell r="B1198" t="str">
            <v xml:space="preserve">2026/3/13
</v>
          </cell>
          <cell r="C1198">
            <v>31.950000760000002</v>
          </cell>
          <cell r="D1198">
            <v>26.084476738672137</v>
          </cell>
        </row>
        <row r="1199">
          <cell r="B1199" t="str">
            <v xml:space="preserve">2026/3/16
</v>
          </cell>
          <cell r="C1199">
            <v>32.25</v>
          </cell>
          <cell r="D1199">
            <v>26.089627551755953</v>
          </cell>
        </row>
        <row r="1200">
          <cell r="B1200" t="str">
            <v xml:space="preserve">2026/3/17
</v>
          </cell>
          <cell r="C1200">
            <v>31.719999309999999</v>
          </cell>
          <cell r="D1200">
            <v>26.094327361236957</v>
          </cell>
        </row>
        <row r="1201">
          <cell r="B1201" t="str">
            <v xml:space="preserve">2026/3/18
</v>
          </cell>
          <cell r="C1201">
            <v>32.060001370000002</v>
          </cell>
          <cell r="D1201">
            <v>26.09930290252867</v>
          </cell>
        </row>
        <row r="1202">
          <cell r="B1202" t="str">
            <v xml:space="preserve">2026/3/19
</v>
          </cell>
          <cell r="C1202">
            <v>31.549999239999998</v>
          </cell>
          <cell r="D1202">
            <v>26.103845149476562</v>
          </cell>
        </row>
        <row r="1203">
          <cell r="B1203" t="str">
            <v xml:space="preserve">2026/3/20
</v>
          </cell>
          <cell r="C1203">
            <v>31.729999540000001</v>
          </cell>
          <cell r="D1203">
            <v>26.108529707670169</v>
          </cell>
        </row>
        <row r="1204">
          <cell r="B1204" t="str">
            <v xml:space="preserve">2026/3/23
</v>
          </cell>
          <cell r="C1204">
            <v>30.75</v>
          </cell>
          <cell r="D1204">
            <v>26.112391163820195</v>
          </cell>
        </row>
        <row r="1205">
          <cell r="B1205" t="str">
            <v xml:space="preserve">2026/3/24
</v>
          </cell>
          <cell r="C1205">
            <v>30.870000839999999</v>
          </cell>
          <cell r="D1205">
            <v>26.116345951580943</v>
          </cell>
        </row>
        <row r="1206">
          <cell r="B1206" t="str">
            <v xml:space="preserve">2026/3/25
</v>
          </cell>
          <cell r="C1206">
            <v>31.38999939</v>
          </cell>
          <cell r="D1206">
            <v>26.120726062410196</v>
          </cell>
        </row>
        <row r="1207">
          <cell r="B1207" t="str">
            <v xml:space="preserve">2026/3/26
</v>
          </cell>
          <cell r="C1207">
            <v>30.969999309999999</v>
          </cell>
          <cell r="D1207">
            <v>26.124750355561723</v>
          </cell>
        </row>
        <row r="1208">
          <cell r="B1208" t="str">
            <v xml:space="preserve">2026/3/27
</v>
          </cell>
          <cell r="C1208">
            <v>31.299999239999998</v>
          </cell>
          <cell r="D1208">
            <v>26.129041606709681</v>
          </cell>
        </row>
        <row r="1209">
          <cell r="B1209">
            <v>46111</v>
          </cell>
          <cell r="C1209">
            <v>31.299999239999998</v>
          </cell>
          <cell r="D1209">
            <v>26.133325747250932</v>
          </cell>
        </row>
        <row r="1210">
          <cell r="B1210">
            <v>46112</v>
          </cell>
          <cell r="C1210">
            <v>30.549999239999998</v>
          </cell>
          <cell r="D1210">
            <v>26.136981933917117</v>
          </cell>
        </row>
        <row r="1211">
          <cell r="B1211" t="str">
            <v xml:space="preserve">2026/4/1
</v>
          </cell>
          <cell r="C1211">
            <v>30.549999239999998</v>
          </cell>
          <cell r="D1211">
            <v>26.140632072300974</v>
          </cell>
        </row>
        <row r="1212">
          <cell r="B1212" t="str">
            <v xml:space="preserve">2026/4/2
</v>
          </cell>
          <cell r="C1212">
            <v>30.340000150000002</v>
          </cell>
          <cell r="D1212">
            <v>26.144102624431305</v>
          </cell>
        </row>
        <row r="1213">
          <cell r="B1213" t="str">
            <v xml:space="preserve">2026/4/3
</v>
          </cell>
          <cell r="C1213">
            <v>29.940000529999999</v>
          </cell>
          <cell r="D1213">
            <v>26.147237139629958</v>
          </cell>
        </row>
        <row r="1214">
          <cell r="B1214" t="str">
            <v xml:space="preserve">2026/4/7
</v>
          </cell>
          <cell r="C1214">
            <v>29.979999540000001</v>
          </cell>
          <cell r="D1214">
            <v>26.150399484844783</v>
          </cell>
        </row>
        <row r="1215">
          <cell r="B1215" t="str">
            <v xml:space="preserve">2026/4/8
</v>
          </cell>
          <cell r="C1215">
            <v>31.379999160000001</v>
          </cell>
          <cell r="D1215">
            <v>26.154710778888603</v>
          </cell>
        </row>
        <row r="1216">
          <cell r="B1216" t="str">
            <v xml:space="preserve">2026/4/9
</v>
          </cell>
          <cell r="C1216">
            <v>31.299999239999998</v>
          </cell>
          <cell r="D1216">
            <v>26.158949072513902</v>
          </cell>
        </row>
        <row r="1217">
          <cell r="B1217" t="str">
            <v xml:space="preserve">2026/4/10
</v>
          </cell>
          <cell r="C1217">
            <v>32.38999939</v>
          </cell>
          <cell r="D1217">
            <v>26.164077508989202</v>
          </cell>
        </row>
        <row r="1218">
          <cell r="B1218" t="str">
            <v xml:space="preserve">2026/4/13
</v>
          </cell>
          <cell r="C1218">
            <v>32.72000122</v>
          </cell>
          <cell r="D1218">
            <v>26.169468893619968</v>
          </cell>
        </row>
        <row r="1219">
          <cell r="B1219" t="str">
            <v xml:space="preserve">2026/4/14
</v>
          </cell>
          <cell r="C1219">
            <v>33.349998470000003</v>
          </cell>
          <cell r="D1219">
            <v>26.175369082261199</v>
          </cell>
        </row>
        <row r="1220">
          <cell r="B1220" t="str">
            <v xml:space="preserve">2026/4/15
</v>
          </cell>
          <cell r="C1220">
            <v>33.060001370000002</v>
          </cell>
          <cell r="D1220">
            <v>26.181021489722394</v>
          </cell>
        </row>
        <row r="1221">
          <cell r="B1221" t="str">
            <v xml:space="preserve">2026/4/16
</v>
          </cell>
          <cell r="C1221">
            <v>33.799999239999998</v>
          </cell>
          <cell r="D1221">
            <v>26.187271676556094</v>
          </cell>
        </row>
        <row r="1222">
          <cell r="B1222" t="str">
            <v xml:space="preserve">2026/4/17
</v>
          </cell>
          <cell r="C1222">
            <v>33.91999817</v>
          </cell>
          <cell r="D1222">
            <v>26.193609976960555</v>
          </cell>
        </row>
        <row r="1223">
          <cell r="B1223" t="str">
            <v xml:space="preserve">2026/4/20
</v>
          </cell>
          <cell r="C1223">
            <v>34.040000919999997</v>
          </cell>
          <cell r="D1223">
            <v>26.200036177569103</v>
          </cell>
        </row>
        <row r="1224">
          <cell r="B1224" t="str">
            <v xml:space="preserve">2026/4/21
</v>
          </cell>
          <cell r="C1224">
            <v>34.159999849999998</v>
          </cell>
          <cell r="D1224">
            <v>26.206550059461435</v>
          </cell>
        </row>
        <row r="1225">
          <cell r="B1225" t="str">
            <v xml:space="preserve">2026/4/22
</v>
          </cell>
          <cell r="C1225">
            <v>34.380001069999999</v>
          </cell>
          <cell r="D1225">
            <v>26.213233175577983</v>
          </cell>
        </row>
        <row r="1226">
          <cell r="B1226" t="str">
            <v xml:space="preserve">2026/4/23
</v>
          </cell>
          <cell r="C1226">
            <v>34.32</v>
          </cell>
          <cell r="D1226">
            <v>26.219856351088133</v>
          </cell>
        </row>
        <row r="1227">
          <cell r="B1227" t="str">
            <v xml:space="preserve">2026/4/24
</v>
          </cell>
          <cell r="C1227">
            <v>34.25</v>
          </cell>
          <cell r="D1227">
            <v>26.226411570393367</v>
          </cell>
        </row>
        <row r="1228">
          <cell r="B1228" t="str">
            <v xml:space="preserve">2026/4/27
</v>
          </cell>
          <cell r="C1228">
            <v>34.270000459999999</v>
          </cell>
          <cell r="D1228">
            <v>26.232972409618167</v>
          </cell>
        </row>
        <row r="1229">
          <cell r="B1229" t="str">
            <v xml:space="preserve">2026/4/28
</v>
          </cell>
          <cell r="C1229">
            <v>33.75</v>
          </cell>
          <cell r="D1229">
            <v>26.239098756472597</v>
          </cell>
        </row>
        <row r="1230">
          <cell r="B1230">
            <v>46141</v>
          </cell>
          <cell r="C1230">
            <v>34.459999080000003</v>
          </cell>
          <cell r="D1230">
            <v>26.245793300709998</v>
          </cell>
        </row>
        <row r="1231">
          <cell r="B1231">
            <v>46142</v>
          </cell>
          <cell r="C1231">
            <v>34.549999239999998</v>
          </cell>
          <cell r="D1231">
            <v>26.252550181051159</v>
          </cell>
        </row>
        <row r="1232">
          <cell r="B1232" t="str">
            <v xml:space="preserve">2026/5/6
</v>
          </cell>
          <cell r="C1232">
            <v>34.16999817</v>
          </cell>
          <cell r="D1232">
            <v>26.258987130635671</v>
          </cell>
        </row>
        <row r="1233">
          <cell r="B1233" t="str">
            <v xml:space="preserve">2026/5/7
</v>
          </cell>
          <cell r="C1233">
            <v>34.459999080000003</v>
          </cell>
          <cell r="D1233">
            <v>26.265649203705831</v>
          </cell>
        </row>
        <row r="1234">
          <cell r="B1234" t="str">
            <v xml:space="preserve">2026/5/8
</v>
          </cell>
          <cell r="C1234">
            <v>34.240001679999999</v>
          </cell>
          <cell r="D1234">
            <v>26.272121892404122</v>
          </cell>
        </row>
        <row r="1235">
          <cell r="B1235" t="str">
            <v xml:space="preserve">2026/5/11
</v>
          </cell>
          <cell r="C1235">
            <v>35.180000309999997</v>
          </cell>
          <cell r="D1235">
            <v>26.27934644910939</v>
          </cell>
        </row>
        <row r="1236">
          <cell r="B1236" t="str">
            <v xml:space="preserve">2026/5/12
</v>
          </cell>
          <cell r="C1236">
            <v>35.060001370000002</v>
          </cell>
          <cell r="D1236">
            <v>26.286462052772993</v>
          </cell>
        </row>
        <row r="1237">
          <cell r="B1237" t="str">
            <v xml:space="preserve">2026/5/13
</v>
          </cell>
          <cell r="C1237">
            <v>35.630001069999999</v>
          </cell>
          <cell r="D1237">
            <v>26.294027671410426</v>
          </cell>
        </row>
        <row r="1238">
          <cell r="B1238" t="str">
            <v xml:space="preserve">2026/5/14
</v>
          </cell>
          <cell r="C1238">
            <v>35.060001370000002</v>
          </cell>
          <cell r="D1238">
            <v>26.301119883140675</v>
          </cell>
        </row>
        <row r="1239">
          <cell r="B1239" t="str">
            <v xml:space="preserve">2026/5/15
</v>
          </cell>
          <cell r="C1239">
            <v>34.909999849999998</v>
          </cell>
          <cell r="D1239">
            <v>26.308079365733121</v>
          </cell>
        </row>
        <row r="1240">
          <cell r="B1240" t="str">
            <v xml:space="preserve">2026/5/18
</v>
          </cell>
          <cell r="C1240">
            <v>34.930000309999997</v>
          </cell>
          <cell r="D1240">
            <v>26.315043760680027</v>
          </cell>
        </row>
        <row r="1241">
          <cell r="B1241" t="str">
            <v xml:space="preserve">2026/5/19
</v>
          </cell>
          <cell r="C1241">
            <v>35.11000061</v>
          </cell>
          <cell r="D1241">
            <v>26.32214219235825</v>
          </cell>
        </row>
        <row r="1242">
          <cell r="B1242" t="str">
            <v xml:space="preserve">2026/5/20
</v>
          </cell>
          <cell r="C1242">
            <v>35.11000061</v>
          </cell>
          <cell r="D1242">
            <v>26.32922917495312</v>
          </cell>
        </row>
        <row r="1243">
          <cell r="B1243" t="str">
            <v xml:space="preserve">2026/5/21
</v>
          </cell>
          <cell r="C1243">
            <v>35.209999080000003</v>
          </cell>
          <cell r="D1243">
            <v>26.336385315086115</v>
          </cell>
        </row>
        <row r="1244">
          <cell r="B1244" t="str">
            <v xml:space="preserve">2026/5/22
</v>
          </cell>
          <cell r="C1244">
            <v>35.270000459999999</v>
          </cell>
          <cell r="D1244">
            <v>26.343578241933873</v>
          </cell>
        </row>
        <row r="1245">
          <cell r="B1245" t="str">
            <v xml:space="preserve">2026/5/25
</v>
          </cell>
          <cell r="C1245">
            <v>35.86000061</v>
          </cell>
          <cell r="D1245">
            <v>26.351234253493057</v>
          </cell>
        </row>
        <row r="1246">
          <cell r="B1246" t="str">
            <v xml:space="preserve">2026/5/26
</v>
          </cell>
          <cell r="C1246">
            <v>35.77999878</v>
          </cell>
          <cell r="D1246">
            <v>26.358813646199255</v>
          </cell>
        </row>
        <row r="1247">
          <cell r="B1247" t="str">
            <v xml:space="preserve">2026/5/27
</v>
          </cell>
          <cell r="C1247">
            <v>35.689998629999998</v>
          </cell>
          <cell r="D1247">
            <v>26.366308573897086</v>
          </cell>
        </row>
        <row r="1248">
          <cell r="B1248">
            <v>46170</v>
          </cell>
          <cell r="C1248">
            <v>36.229999540000001</v>
          </cell>
          <cell r="D1248">
            <v>26.374224858781599</v>
          </cell>
        </row>
        <row r="1249">
          <cell r="B1249">
            <v>46171</v>
          </cell>
          <cell r="C1249">
            <v>35.509998320000001</v>
          </cell>
          <cell r="D1249">
            <v>26.381551060434539</v>
          </cell>
        </row>
        <row r="1250">
          <cell r="B1250" t="str">
            <v xml:space="preserve">2026/6/1
</v>
          </cell>
          <cell r="C1250">
            <v>34.83000183</v>
          </cell>
          <cell r="D1250">
            <v>26.388320652397333</v>
          </cell>
        </row>
        <row r="1251">
          <cell r="B1251" t="str">
            <v xml:space="preserve">2026/6/2
</v>
          </cell>
          <cell r="C1251">
            <v>35.590000150000002</v>
          </cell>
          <cell r="D1251">
            <v>26.395687889785322</v>
          </cell>
        </row>
        <row r="1252">
          <cell r="B1252" t="str">
            <v xml:space="preserve">2026/6/3
</v>
          </cell>
          <cell r="C1252">
            <v>35.950000760000002</v>
          </cell>
          <cell r="D1252">
            <v>26.403331340081493</v>
          </cell>
        </row>
        <row r="1253">
          <cell r="B1253" t="str">
            <v xml:space="preserve">2026/6/4
</v>
          </cell>
          <cell r="C1253">
            <v>35.700000760000002</v>
          </cell>
          <cell r="D1253">
            <v>26.410762730505091</v>
          </cell>
        </row>
        <row r="1254">
          <cell r="B1254" t="str">
            <v xml:space="preserve">2026/6/5
</v>
          </cell>
          <cell r="C1254">
            <v>34.849998470000003</v>
          </cell>
          <cell r="D1254">
            <v>26.417503334130888</v>
          </cell>
        </row>
        <row r="1255">
          <cell r="B1255" t="str">
            <v xml:space="preserve">2026/6/8
</v>
          </cell>
          <cell r="C1255">
            <v>33.819999690000003</v>
          </cell>
          <cell r="D1255">
            <v>26.423411152451614</v>
          </cell>
        </row>
        <row r="1256">
          <cell r="B1256" t="str">
            <v xml:space="preserve">2026/6/9
</v>
          </cell>
          <cell r="C1256">
            <v>34.659999849999998</v>
          </cell>
          <cell r="D1256">
            <v>26.429979405001493</v>
          </cell>
        </row>
        <row r="1257">
          <cell r="B1257" t="str">
            <v xml:space="preserve">2026/6/10
</v>
          </cell>
          <cell r="C1257">
            <v>33.900001529999997</v>
          </cell>
          <cell r="D1257">
            <v>26.435931613866032</v>
          </cell>
        </row>
        <row r="1258">
          <cell r="B1258" t="str">
            <v xml:space="preserve">2026/6/11
</v>
          </cell>
          <cell r="C1258">
            <v>33.709999080000003</v>
          </cell>
          <cell r="D1258">
            <v>26.441723068854991</v>
          </cell>
        </row>
        <row r="1259">
          <cell r="B1259" t="str">
            <v xml:space="preserve">2026/6/12
</v>
          </cell>
          <cell r="C1259">
            <v>34.099998470000003</v>
          </cell>
          <cell r="D1259">
            <v>26.447815571162984</v>
          </cell>
        </row>
        <row r="1260">
          <cell r="B1260" t="str">
            <v xml:space="preserve">2026/6/15
</v>
          </cell>
          <cell r="C1260">
            <v>39.680000309999997</v>
          </cell>
          <cell r="D1260">
            <v>26.458334001003077</v>
          </cell>
        </row>
        <row r="1261">
          <cell r="B1261" t="str">
            <v xml:space="preserve">2026/6/16
</v>
          </cell>
          <cell r="C1261">
            <v>40.299999239999998</v>
          </cell>
          <cell r="D1261">
            <v>26.469328175140486</v>
          </cell>
        </row>
        <row r="1262">
          <cell r="B1262" t="str">
            <v xml:space="preserve">2026/6/17
</v>
          </cell>
          <cell r="C1262">
            <v>40.819999690000003</v>
          </cell>
          <cell r="D1262">
            <v>26.480717596977676</v>
          </cell>
        </row>
        <row r="1263">
          <cell r="B1263" t="str">
            <v xml:space="preserve">2026/6/18
</v>
          </cell>
          <cell r="C1263">
            <v>40.819999690000003</v>
          </cell>
          <cell r="D1263">
            <v>26.492088954704101</v>
          </cell>
        </row>
        <row r="1264">
          <cell r="B1264" t="str">
            <v xml:space="preserve">2026/6/22
</v>
          </cell>
          <cell r="C1264">
            <v>42.52999878</v>
          </cell>
          <cell r="D1264">
            <v>26.504797282616384</v>
          </cell>
        </row>
        <row r="1265">
          <cell r="B1265" t="str">
            <v xml:space="preserve">2026/6/23
</v>
          </cell>
          <cell r="C1265">
            <v>41.090000150000002</v>
          </cell>
          <cell r="D1265">
            <v>26.516345345060866</v>
          </cell>
        </row>
        <row r="1266">
          <cell r="B1266" t="str">
            <v xml:space="preserve">2026/6/24
</v>
          </cell>
          <cell r="C1266">
            <v>41.560001370000002</v>
          </cell>
          <cell r="D1266">
            <v>26.528246971662877</v>
          </cell>
        </row>
        <row r="1267">
          <cell r="B1267" t="str">
            <v xml:space="preserve">2026/6/25
</v>
          </cell>
          <cell r="C1267">
            <v>42.229999540000001</v>
          </cell>
          <cell r="D1267">
            <v>26.540659424286069</v>
          </cell>
        </row>
        <row r="1268">
          <cell r="B1268" t="str">
            <v xml:space="preserve">2026/6/26
</v>
          </cell>
          <cell r="C1268">
            <v>40.5</v>
          </cell>
          <cell r="D1268">
            <v>26.551685759653932</v>
          </cell>
        </row>
        <row r="1269">
          <cell r="B1269">
            <v>46202</v>
          </cell>
          <cell r="C1269">
            <v>40.700000760000002</v>
          </cell>
          <cell r="D1269">
            <v>26.562852543395326</v>
          </cell>
        </row>
        <row r="1270">
          <cell r="B1270">
            <v>46203</v>
          </cell>
          <cell r="C1270">
            <v>41.799999239999998</v>
          </cell>
          <cell r="D1270">
            <v>26.574869220600849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1"/>
      <sheetName val="model1&amp;CCI"/>
      <sheetName val="model1&amp;RSI"/>
      <sheetName val="model1&amp;KDJ"/>
      <sheetName val="model1&amp;pe"/>
    </sheetNames>
    <sheetDataSet>
      <sheetData sheetId="0"/>
      <sheetData sheetId="1"/>
      <sheetData sheetId="2">
        <row r="1">
          <cell r="A1" t="str">
            <v>date</v>
          </cell>
          <cell r="B1" t="str">
            <v>深创100ETF</v>
          </cell>
          <cell r="C1" t="str">
            <v>sales amount</v>
          </cell>
          <cell r="D1" t="str">
            <v>sales shares</v>
          </cell>
          <cell r="E1" t="str">
            <v>shares held</v>
          </cell>
          <cell r="F1" t="str">
            <v>market value</v>
          </cell>
          <cell r="G1" t="str">
            <v>accumulated investment</v>
          </cell>
          <cell r="H1" t="str">
            <v>total assets</v>
          </cell>
          <cell r="I1" t="str">
            <v>profit amount</v>
          </cell>
          <cell r="J1" t="str">
            <v>MAX</v>
          </cell>
          <cell r="K1" t="str">
            <v>SMA value of MAX</v>
          </cell>
          <cell r="L1" t="str">
            <v>ABS</v>
          </cell>
          <cell r="M1" t="str">
            <v>SMA value of ABS</v>
          </cell>
          <cell r="N1" t="str">
            <v>RSI</v>
          </cell>
        </row>
        <row r="2">
          <cell r="C2">
            <v>2000</v>
          </cell>
          <cell r="D2" t="str">
            <v>unit:yuan</v>
          </cell>
        </row>
        <row r="3">
          <cell r="A3">
            <v>44377</v>
          </cell>
          <cell r="B3">
            <v>1.0309999999999999</v>
          </cell>
          <cell r="C3">
            <v>2000</v>
          </cell>
          <cell r="D3">
            <v>1939.8642095053349</v>
          </cell>
          <cell r="E3">
            <v>1939.8642095053349</v>
          </cell>
          <cell r="F3">
            <v>2000</v>
          </cell>
          <cell r="G3">
            <v>2000</v>
          </cell>
          <cell r="H3">
            <v>2000</v>
          </cell>
          <cell r="I3">
            <v>0</v>
          </cell>
        </row>
        <row r="4">
          <cell r="A4">
            <v>44407</v>
          </cell>
          <cell r="B4">
            <v>1.006</v>
          </cell>
          <cell r="C4">
            <v>3000</v>
          </cell>
          <cell r="D4">
            <v>2982.1073558648113</v>
          </cell>
          <cell r="E4">
            <v>4921.971565370146</v>
          </cell>
          <cell r="F4">
            <v>4951.503394762367</v>
          </cell>
          <cell r="G4">
            <v>5000</v>
          </cell>
          <cell r="H4">
            <v>4951.503394762367</v>
          </cell>
          <cell r="I4">
            <v>-48.496605237633048</v>
          </cell>
          <cell r="J4">
            <v>0</v>
          </cell>
          <cell r="K4">
            <v>0</v>
          </cell>
          <cell r="L4">
            <v>2.4999999999999911E-2</v>
          </cell>
          <cell r="M4">
            <v>2.4999999999999911E-2</v>
          </cell>
          <cell r="N4">
            <v>0</v>
          </cell>
        </row>
        <row r="5">
          <cell r="A5">
            <v>44439</v>
          </cell>
          <cell r="B5">
            <v>0.96599999999999997</v>
          </cell>
          <cell r="C5">
            <v>3000</v>
          </cell>
          <cell r="D5">
            <v>3105.5900621118012</v>
          </cell>
          <cell r="E5">
            <v>8027.5616274819477</v>
          </cell>
          <cell r="F5">
            <v>7754.6245321475608</v>
          </cell>
          <cell r="G5">
            <v>8000</v>
          </cell>
          <cell r="H5">
            <v>7754.6245321475608</v>
          </cell>
          <cell r="I5">
            <v>-245.37546785243921</v>
          </cell>
          <cell r="J5">
            <v>0</v>
          </cell>
          <cell r="K5">
            <v>0</v>
          </cell>
          <cell r="L5">
            <v>4.0000000000000036E-2</v>
          </cell>
          <cell r="M5">
            <v>2.7499999999999931E-2</v>
          </cell>
          <cell r="N5">
            <v>0</v>
          </cell>
        </row>
        <row r="6">
          <cell r="A6">
            <v>44469</v>
          </cell>
          <cell r="B6">
            <v>0.96099999999999997</v>
          </cell>
          <cell r="C6">
            <v>3000</v>
          </cell>
          <cell r="D6">
            <v>3121.7481789802291</v>
          </cell>
          <cell r="E6">
            <v>11149.309806462177</v>
          </cell>
          <cell r="F6">
            <v>10714.486724010152</v>
          </cell>
          <cell r="G6">
            <v>11000</v>
          </cell>
          <cell r="H6">
            <v>10714.486724010152</v>
          </cell>
          <cell r="I6">
            <v>-285.5132759898479</v>
          </cell>
          <cell r="J6">
            <v>0</v>
          </cell>
          <cell r="K6">
            <v>0</v>
          </cell>
          <cell r="L6">
            <v>5.0000000000000044E-3</v>
          </cell>
          <cell r="M6">
            <v>2.3749999999999941E-2</v>
          </cell>
          <cell r="N6">
            <v>0</v>
          </cell>
        </row>
        <row r="7">
          <cell r="A7">
            <v>44498</v>
          </cell>
          <cell r="B7">
            <v>0.99299997091293335</v>
          </cell>
          <cell r="C7">
            <v>2000</v>
          </cell>
          <cell r="D7">
            <v>2014.098749833056</v>
          </cell>
          <cell r="E7">
            <v>13163.408556295233</v>
          </cell>
          <cell r="F7">
            <v>13071.264313516225</v>
          </cell>
          <cell r="G7">
            <v>13000</v>
          </cell>
          <cell r="H7">
            <v>13071.264313516225</v>
          </cell>
          <cell r="I7">
            <v>71.264313516225229</v>
          </cell>
          <cell r="J7">
            <v>3.1999970912933384E-2</v>
          </cell>
          <cell r="K7">
            <v>5.3333284854888974E-3</v>
          </cell>
          <cell r="L7">
            <v>3.1999970912933384E-2</v>
          </cell>
          <cell r="M7">
            <v>2.5124995152155511E-2</v>
          </cell>
          <cell r="N7">
            <v>21.227182147461402</v>
          </cell>
        </row>
        <row r="8">
          <cell r="A8">
            <v>44530</v>
          </cell>
          <cell r="B8">
            <v>1.0110000371932983</v>
          </cell>
          <cell r="C8">
            <v>2000</v>
          </cell>
          <cell r="D8">
            <v>1978.239294186702</v>
          </cell>
          <cell r="E8">
            <v>15141.647850481935</v>
          </cell>
          <cell r="F8">
            <v>15308.206540005061</v>
          </cell>
          <cell r="G8">
            <v>15000</v>
          </cell>
          <cell r="H8">
            <v>15308.206540005061</v>
          </cell>
          <cell r="I8">
            <v>308.20654000506147</v>
          </cell>
          <cell r="J8">
            <v>1.800006628036499E-2</v>
          </cell>
          <cell r="K8">
            <v>7.4444514513015798E-3</v>
          </cell>
          <cell r="L8">
            <v>1.800006628036499E-2</v>
          </cell>
          <cell r="M8">
            <v>2.3937507006857092E-2</v>
          </cell>
          <cell r="N8">
            <v>31.099526985700965</v>
          </cell>
        </row>
        <row r="9">
          <cell r="A9">
            <v>44561</v>
          </cell>
          <cell r="B9">
            <v>0.99199998378753662</v>
          </cell>
          <cell r="C9">
            <v>2000</v>
          </cell>
          <cell r="D9">
            <v>2016.1290652080834</v>
          </cell>
          <cell r="E9">
            <v>17157.776915690018</v>
          </cell>
          <cell r="F9">
            <v>17020.514422194668</v>
          </cell>
          <cell r="G9">
            <v>17000</v>
          </cell>
          <cell r="H9">
            <v>17020.514422194668</v>
          </cell>
          <cell r="I9">
            <v>20.514422194668441</v>
          </cell>
          <cell r="J9">
            <v>0</v>
          </cell>
          <cell r="K9">
            <v>6.2037095427513169E-3</v>
          </cell>
          <cell r="L9">
            <v>1.9000053405761719E-2</v>
          </cell>
          <cell r="M9">
            <v>2.3114598073341198E-2</v>
          </cell>
          <cell r="N9">
            <v>26.838924575142201</v>
          </cell>
        </row>
        <row r="10">
          <cell r="A10">
            <v>44589</v>
          </cell>
          <cell r="B10">
            <v>0.89099997282028198</v>
          </cell>
          <cell r="C10">
            <v>3000</v>
          </cell>
          <cell r="D10">
            <v>3367.0034697129122</v>
          </cell>
          <cell r="E10">
            <v>20524.78038540293</v>
          </cell>
          <cell r="F10">
            <v>18287.578765536266</v>
          </cell>
          <cell r="G10">
            <v>20000</v>
          </cell>
          <cell r="H10">
            <v>18287.578765536266</v>
          </cell>
          <cell r="I10">
            <v>-1712.4212344637344</v>
          </cell>
          <cell r="J10">
            <v>0</v>
          </cell>
          <cell r="K10">
            <v>5.1697579522927643E-3</v>
          </cell>
          <cell r="L10">
            <v>0.10100001096725464</v>
          </cell>
          <cell r="M10">
            <v>3.6095500222326771E-2</v>
          </cell>
          <cell r="N10">
            <v>14.322444405674213</v>
          </cell>
        </row>
        <row r="11">
          <cell r="A11">
            <v>44620</v>
          </cell>
          <cell r="B11">
            <v>0.88200002908706665</v>
          </cell>
          <cell r="C11">
            <v>3000</v>
          </cell>
          <cell r="D11">
            <v>3401.3604320458076</v>
          </cell>
          <cell r="E11">
            <v>23926.140817448737</v>
          </cell>
          <cell r="F11">
            <v>21102.85689693104</v>
          </cell>
          <cell r="G11">
            <v>23000</v>
          </cell>
          <cell r="H11">
            <v>21102.85689693104</v>
          </cell>
          <cell r="I11">
            <v>-1897.14310306896</v>
          </cell>
          <cell r="J11">
            <v>0</v>
          </cell>
          <cell r="K11">
            <v>4.3081316269106369E-3</v>
          </cell>
          <cell r="L11">
            <v>8.999943733215332E-3</v>
          </cell>
          <cell r="M11">
            <v>3.1579574140808198E-2</v>
          </cell>
          <cell r="N11">
            <v>13.642146052069533</v>
          </cell>
        </row>
        <row r="12">
          <cell r="A12">
            <v>44651</v>
          </cell>
          <cell r="B12">
            <v>0.79199999570846558</v>
          </cell>
          <cell r="C12">
            <v>3000</v>
          </cell>
          <cell r="D12">
            <v>3787.8788084038033</v>
          </cell>
          <cell r="E12">
            <v>27714.019625852539</v>
          </cell>
          <cell r="F12">
            <v>21949.503424739542</v>
          </cell>
          <cell r="G12">
            <v>26000</v>
          </cell>
          <cell r="H12">
            <v>21949.503424739542</v>
          </cell>
          <cell r="I12">
            <v>-4050.4965752604585</v>
          </cell>
          <cell r="J12">
            <v>0</v>
          </cell>
          <cell r="K12">
            <v>3.5901096890921975E-3</v>
          </cell>
          <cell r="L12">
            <v>9.0000033378601074E-2</v>
          </cell>
          <cell r="M12">
            <v>4.1316317347107008E-2</v>
          </cell>
          <cell r="N12">
            <v>8.689326444394684</v>
          </cell>
        </row>
        <row r="13">
          <cell r="A13">
            <v>44680</v>
          </cell>
          <cell r="B13">
            <v>0.71899998188018799</v>
          </cell>
          <cell r="C13">
            <v>3000</v>
          </cell>
          <cell r="D13">
            <v>4172.4618575858476</v>
          </cell>
          <cell r="E13">
            <v>31886.481483438387</v>
          </cell>
          <cell r="F13">
            <v>22926.37960881515</v>
          </cell>
          <cell r="G13">
            <v>29000</v>
          </cell>
          <cell r="H13">
            <v>22926.37960881515</v>
          </cell>
          <cell r="I13">
            <v>-6073.6203911848497</v>
          </cell>
          <cell r="J13">
            <v>0</v>
          </cell>
          <cell r="K13">
            <v>2.9917580742434978E-3</v>
          </cell>
          <cell r="L13">
            <v>7.3000013828277588E-2</v>
          </cell>
          <cell r="M13">
            <v>4.659693342730211E-2</v>
          </cell>
          <cell r="N13">
            <v>6.4205042138901032</v>
          </cell>
        </row>
        <row r="14">
          <cell r="A14">
            <v>44712</v>
          </cell>
          <cell r="B14">
            <v>0.74699997901916504</v>
          </cell>
          <cell r="C14">
            <v>3000</v>
          </cell>
          <cell r="D14">
            <v>4016.0643698264844</v>
          </cell>
          <cell r="E14">
            <v>35902.54585326487</v>
          </cell>
          <cell r="F14">
            <v>26819.20099912347</v>
          </cell>
          <cell r="G14">
            <v>32000</v>
          </cell>
          <cell r="H14">
            <v>26819.20099912347</v>
          </cell>
          <cell r="I14">
            <v>-5180.79900087653</v>
          </cell>
          <cell r="J14">
            <v>2.7999997138977051E-2</v>
          </cell>
          <cell r="K14">
            <v>7.1597979183657566E-3</v>
          </cell>
          <cell r="L14">
            <v>2.7999997138977051E-2</v>
          </cell>
          <cell r="M14">
            <v>4.3497444045914602E-2</v>
          </cell>
          <cell r="N14">
            <v>16.460272725009055</v>
          </cell>
        </row>
        <row r="15">
          <cell r="A15">
            <v>44742</v>
          </cell>
          <cell r="B15">
            <v>0.84500002861022949</v>
          </cell>
          <cell r="C15">
            <v>2000</v>
          </cell>
          <cell r="D15">
            <v>2366.8638251875536</v>
          </cell>
          <cell r="E15">
            <v>38269.409678452423</v>
          </cell>
          <cell r="F15">
            <v>32337.652273188891</v>
          </cell>
          <cell r="G15">
            <v>34000</v>
          </cell>
          <cell r="H15">
            <v>32337.652273188891</v>
          </cell>
          <cell r="I15">
            <v>-1662.3477268111092</v>
          </cell>
          <cell r="J15">
            <v>9.8000049591064453E-2</v>
          </cell>
          <cell r="K15">
            <v>2.2299839863815538E-2</v>
          </cell>
          <cell r="L15">
            <v>9.8000049591064453E-2</v>
          </cell>
          <cell r="M15">
            <v>5.2581211636772908E-2</v>
          </cell>
          <cell r="N15">
            <v>42.410281485830289</v>
          </cell>
        </row>
        <row r="16">
          <cell r="A16">
            <v>44771</v>
          </cell>
          <cell r="B16">
            <v>0.80099999904632568</v>
          </cell>
          <cell r="C16">
            <v>2000</v>
          </cell>
          <cell r="D16">
            <v>2496.8789043460788</v>
          </cell>
          <cell r="E16">
            <v>40766.288582798501</v>
          </cell>
          <cell r="F16">
            <v>32653.797115943838</v>
          </cell>
          <cell r="G16">
            <v>36000</v>
          </cell>
          <cell r="H16">
            <v>32653.797115943838</v>
          </cell>
          <cell r="I16">
            <v>-3346.2028840561616</v>
          </cell>
          <cell r="J16">
            <v>0</v>
          </cell>
          <cell r="K16">
            <v>1.8583199886512948E-2</v>
          </cell>
          <cell r="L16">
            <v>4.4000029563903809E-2</v>
          </cell>
          <cell r="M16">
            <v>5.1151014624628059E-2</v>
          </cell>
          <cell r="N16">
            <v>36.33007091430315</v>
          </cell>
        </row>
        <row r="17">
          <cell r="A17">
            <v>44804</v>
          </cell>
          <cell r="B17">
            <v>0.76499998569488525</v>
          </cell>
          <cell r="C17">
            <v>2000</v>
          </cell>
          <cell r="D17">
            <v>2614.3791338548936</v>
          </cell>
          <cell r="E17">
            <v>43380.667716653392</v>
          </cell>
          <cell r="F17">
            <v>33186.210182674418</v>
          </cell>
          <cell r="G17">
            <v>38000</v>
          </cell>
          <cell r="H17">
            <v>33186.210182674418</v>
          </cell>
          <cell r="I17">
            <v>-4813.7898173255817</v>
          </cell>
          <cell r="J17">
            <v>0</v>
          </cell>
          <cell r="K17">
            <v>1.5485999905427456E-2</v>
          </cell>
          <cell r="L17">
            <v>3.600001335144043E-2</v>
          </cell>
          <cell r="M17">
            <v>4.8625847745763451E-2</v>
          </cell>
          <cell r="N17">
            <v>31.847259478939737</v>
          </cell>
        </row>
        <row r="18">
          <cell r="A18">
            <v>44834</v>
          </cell>
          <cell r="B18">
            <v>0.69599997997283936</v>
          </cell>
          <cell r="C18">
            <v>2000</v>
          </cell>
          <cell r="D18">
            <v>2873.5633010766005</v>
          </cell>
          <cell r="E18">
            <v>46254.231017729995</v>
          </cell>
          <cell r="F18">
            <v>32192.94386199916</v>
          </cell>
          <cell r="G18">
            <v>40000</v>
          </cell>
          <cell r="H18">
            <v>32192.94386199916</v>
          </cell>
          <cell r="I18">
            <v>-7807.0561380008403</v>
          </cell>
          <cell r="J18">
            <v>0</v>
          </cell>
          <cell r="K18">
            <v>1.2904999921189547E-2</v>
          </cell>
          <cell r="L18">
            <v>6.9000005722045898E-2</v>
          </cell>
          <cell r="M18">
            <v>5.2021540741810528E-2</v>
          </cell>
          <cell r="N18">
            <v>24.80703135118333</v>
          </cell>
        </row>
        <row r="19">
          <cell r="A19">
            <v>44865</v>
          </cell>
          <cell r="B19">
            <v>0.68699997663497925</v>
          </cell>
          <cell r="C19">
            <v>2000</v>
          </cell>
          <cell r="D19">
            <v>2911.2082503936554</v>
          </cell>
          <cell r="E19">
            <v>49165.43926812365</v>
          </cell>
          <cell r="F19">
            <v>33776.655628449436</v>
          </cell>
          <cell r="G19">
            <v>42000</v>
          </cell>
          <cell r="H19">
            <v>33776.655628449436</v>
          </cell>
          <cell r="I19">
            <v>-8223.3443715505637</v>
          </cell>
          <cell r="J19">
            <v>0</v>
          </cell>
          <cell r="K19">
            <v>1.0754166600991289E-2</v>
          </cell>
          <cell r="L19">
            <v>9.0000033378601074E-3</v>
          </cell>
          <cell r="M19">
            <v>4.4851284507818785E-2</v>
          </cell>
          <cell r="N19">
            <v>23.977388204158451</v>
          </cell>
        </row>
        <row r="20">
          <cell r="A20">
            <v>44895</v>
          </cell>
          <cell r="B20">
            <v>0.72000002861022949</v>
          </cell>
          <cell r="C20">
            <v>2000</v>
          </cell>
          <cell r="D20">
            <v>2777.7776673988105</v>
          </cell>
          <cell r="E20">
            <v>51943.216935522461</v>
          </cell>
          <cell r="F20">
            <v>37399.117679683528</v>
          </cell>
          <cell r="G20">
            <v>44000</v>
          </cell>
          <cell r="H20">
            <v>37399.117679683528</v>
          </cell>
          <cell r="I20">
            <v>-6600.882320316472</v>
          </cell>
          <cell r="J20">
            <v>3.3000051975250244E-2</v>
          </cell>
          <cell r="K20">
            <v>1.4461814163367781E-2</v>
          </cell>
          <cell r="L20">
            <v>3.3000051975250244E-2</v>
          </cell>
          <cell r="M20">
            <v>4.287607908572403E-2</v>
          </cell>
          <cell r="N20">
            <v>33.729329900837342</v>
          </cell>
        </row>
        <row r="21">
          <cell r="A21">
            <v>44925</v>
          </cell>
          <cell r="B21">
            <v>0.72299998998641968</v>
          </cell>
          <cell r="C21">
            <v>2000</v>
          </cell>
          <cell r="D21">
            <v>2766.2517672200333</v>
          </cell>
          <cell r="E21">
            <v>54709.468702742495</v>
          </cell>
          <cell r="F21">
            <v>39554.945324245164</v>
          </cell>
          <cell r="G21">
            <v>46000</v>
          </cell>
          <cell r="H21">
            <v>39554.945324245164</v>
          </cell>
          <cell r="I21">
            <v>-6445.0546757548364</v>
          </cell>
          <cell r="J21">
            <v>2.9999613761901855E-3</v>
          </cell>
          <cell r="K21">
            <v>1.2551505365504848E-2</v>
          </cell>
          <cell r="L21">
            <v>2.9999613761901855E-3</v>
          </cell>
          <cell r="M21">
            <v>3.6230059467468385E-2</v>
          </cell>
          <cell r="N21">
            <v>34.643899430457921</v>
          </cell>
        </row>
        <row r="22">
          <cell r="A22">
            <v>44957</v>
          </cell>
          <cell r="B22">
            <v>0.78899997472763062</v>
          </cell>
          <cell r="C22">
            <v>2000</v>
          </cell>
          <cell r="D22">
            <v>2534.8543270744931</v>
          </cell>
          <cell r="E22">
            <v>57244.323029816987</v>
          </cell>
          <cell r="F22">
            <v>45165.769423825928</v>
          </cell>
          <cell r="G22">
            <v>48000</v>
          </cell>
          <cell r="H22">
            <v>45165.769423825928</v>
          </cell>
          <cell r="I22">
            <v>-2834.2305761740718</v>
          </cell>
          <cell r="J22">
            <v>6.5999984741210938E-2</v>
          </cell>
          <cell r="K22">
            <v>2.145958526145586E-2</v>
          </cell>
          <cell r="L22">
            <v>6.5999984741210938E-2</v>
          </cell>
          <cell r="M22">
            <v>4.119171367975881E-2</v>
          </cell>
          <cell r="N22">
            <v>52.096849935138493</v>
          </cell>
        </row>
        <row r="23">
          <cell r="A23">
            <v>44985</v>
          </cell>
          <cell r="B23">
            <v>0.7630000114440918</v>
          </cell>
          <cell r="C23">
            <v>2000</v>
          </cell>
          <cell r="D23">
            <v>2621.2319397147853</v>
          </cell>
          <cell r="E23">
            <v>59865.554969531775</v>
          </cell>
          <cell r="F23">
            <v>45677.419126859648</v>
          </cell>
          <cell r="G23">
            <v>50000</v>
          </cell>
          <cell r="H23">
            <v>45677.419126859648</v>
          </cell>
          <cell r="I23">
            <v>-4322.5808731403522</v>
          </cell>
          <cell r="J23">
            <v>0</v>
          </cell>
          <cell r="K23">
            <v>1.7882987717879884E-2</v>
          </cell>
          <cell r="L23">
            <v>2.5999963283538818E-2</v>
          </cell>
          <cell r="M23">
            <v>3.8659755280388813E-2</v>
          </cell>
          <cell r="N23">
            <v>46.257374337161167</v>
          </cell>
        </row>
        <row r="24">
          <cell r="A24">
            <v>45016</v>
          </cell>
          <cell r="B24">
            <v>0.77100002765655518</v>
          </cell>
          <cell r="C24">
            <v>2000</v>
          </cell>
          <cell r="D24">
            <v>2594.0336293877635</v>
          </cell>
          <cell r="E24">
            <v>62459.588598919538</v>
          </cell>
          <cell r="F24">
            <v>48156.344537184021</v>
          </cell>
          <cell r="G24">
            <v>52000</v>
          </cell>
          <cell r="H24">
            <v>48156.344537184021</v>
          </cell>
          <cell r="I24">
            <v>-3843.6554628159793</v>
          </cell>
          <cell r="J24">
            <v>8.0000162124633789E-3</v>
          </cell>
          <cell r="K24">
            <v>1.6235825800310466E-2</v>
          </cell>
          <cell r="L24">
            <v>8.0000162124633789E-3</v>
          </cell>
          <cell r="M24">
            <v>3.3549798769067905E-2</v>
          </cell>
          <cell r="N24">
            <v>48.393213658495924</v>
          </cell>
        </row>
        <row r="25">
          <cell r="A25">
            <v>45044</v>
          </cell>
          <cell r="B25">
            <v>0.75099998712539673</v>
          </cell>
          <cell r="C25">
            <v>2000</v>
          </cell>
          <cell r="D25">
            <v>2663.1158911938223</v>
          </cell>
          <cell r="E25">
            <v>65122.704490113363</v>
          </cell>
          <cell r="F25">
            <v>48907.150233646149</v>
          </cell>
          <cell r="G25">
            <v>54000</v>
          </cell>
          <cell r="H25">
            <v>48907.150233646149</v>
          </cell>
          <cell r="I25">
            <v>-5092.849766353851</v>
          </cell>
          <cell r="J25">
            <v>0</v>
          </cell>
          <cell r="K25">
            <v>1.3529854833592056E-2</v>
          </cell>
          <cell r="L25">
            <v>2.0000040531158447E-2</v>
          </cell>
          <cell r="M25">
            <v>3.129150572941633E-2</v>
          </cell>
          <cell r="N25">
            <v>43.238107333623745</v>
          </cell>
        </row>
        <row r="26">
          <cell r="A26">
            <v>45077</v>
          </cell>
          <cell r="B26">
            <v>0.72000002861022949</v>
          </cell>
          <cell r="C26">
            <v>2000</v>
          </cell>
          <cell r="D26">
            <v>2777.7776673988105</v>
          </cell>
          <cell r="E26">
            <v>67900.482157512175</v>
          </cell>
          <cell r="F26">
            <v>48888.349096057143</v>
          </cell>
          <cell r="G26">
            <v>56000</v>
          </cell>
          <cell r="H26">
            <v>48888.349096057143</v>
          </cell>
          <cell r="I26">
            <v>-7111.6509039428565</v>
          </cell>
          <cell r="J26">
            <v>0</v>
          </cell>
          <cell r="K26">
            <v>1.127487902799338E-2</v>
          </cell>
          <cell r="L26">
            <v>3.0999958515167236E-2</v>
          </cell>
          <cell r="M26">
            <v>3.124291452704148E-2</v>
          </cell>
          <cell r="N26">
            <v>36.087795260697291</v>
          </cell>
        </row>
        <row r="27">
          <cell r="A27">
            <v>45107</v>
          </cell>
          <cell r="B27">
            <v>0.75499999523162842</v>
          </cell>
          <cell r="C27">
            <v>2000</v>
          </cell>
          <cell r="D27">
            <v>2649.0066392469512</v>
          </cell>
          <cell r="E27">
            <v>70549.48879675912</v>
          </cell>
          <cell r="F27">
            <v>53264.863705146956</v>
          </cell>
          <cell r="G27">
            <v>58000</v>
          </cell>
          <cell r="H27">
            <v>53264.863705146956</v>
          </cell>
          <cell r="I27">
            <v>-4735.1362948530441</v>
          </cell>
          <cell r="J27">
            <v>3.4999966621398926E-2</v>
          </cell>
          <cell r="K27">
            <v>1.522906029356097E-2</v>
          </cell>
          <cell r="L27">
            <v>3.4999966621398926E-2</v>
          </cell>
          <cell r="M27">
            <v>3.1869089876101056E-2</v>
          </cell>
          <cell r="N27">
            <v>47.786304387002254</v>
          </cell>
        </row>
        <row r="28">
          <cell r="A28">
            <v>45138</v>
          </cell>
          <cell r="B28">
            <v>0.76099997758865356</v>
          </cell>
          <cell r="C28">
            <v>2000</v>
          </cell>
          <cell r="D28">
            <v>2628.1209709589089</v>
          </cell>
          <cell r="E28">
            <v>73177.609767718022</v>
          </cell>
          <cell r="F28">
            <v>55688.159393224654</v>
          </cell>
          <cell r="G28">
            <v>60000</v>
          </cell>
          <cell r="H28">
            <v>55688.159393224654</v>
          </cell>
          <cell r="I28">
            <v>-4311.8406067753458</v>
          </cell>
          <cell r="J28">
            <v>5.9999823570251465E-3</v>
          </cell>
          <cell r="K28">
            <v>1.3690880637471666E-2</v>
          </cell>
          <cell r="L28">
            <v>5.9999823570251465E-3</v>
          </cell>
          <cell r="M28">
            <v>2.7557571956255068E-2</v>
          </cell>
          <cell r="N28">
            <v>49.681012025314104</v>
          </cell>
        </row>
        <row r="29">
          <cell r="A29">
            <v>45169</v>
          </cell>
          <cell r="B29">
            <v>0.71399998664855957</v>
          </cell>
          <cell r="C29">
            <v>2000</v>
          </cell>
          <cell r="D29">
            <v>2801.1205005588145</v>
          </cell>
          <cell r="E29">
            <v>75978.730268276835</v>
          </cell>
          <cell r="F29">
            <v>54248.812397124166</v>
          </cell>
          <cell r="G29">
            <v>62000</v>
          </cell>
          <cell r="H29">
            <v>54248.812397124166</v>
          </cell>
          <cell r="I29">
            <v>-7751.1876028758343</v>
          </cell>
          <cell r="J29">
            <v>0</v>
          </cell>
          <cell r="K29">
            <v>1.1409067197893056E-2</v>
          </cell>
          <cell r="L29">
            <v>4.6999990940093994E-2</v>
          </cell>
          <cell r="M29">
            <v>3.0797975120228221E-2</v>
          </cell>
          <cell r="N29">
            <v>37.04486140194178</v>
          </cell>
        </row>
        <row r="30">
          <cell r="A30">
            <v>45197</v>
          </cell>
          <cell r="B30">
            <v>0.68500000238418579</v>
          </cell>
          <cell r="C30">
            <v>2000</v>
          </cell>
          <cell r="D30">
            <v>2919.708019034852</v>
          </cell>
          <cell r="E30">
            <v>78898.438287311685</v>
          </cell>
          <cell r="F30">
            <v>54045.430414917042</v>
          </cell>
          <cell r="G30">
            <v>64000</v>
          </cell>
          <cell r="H30">
            <v>54045.430414917042</v>
          </cell>
          <cell r="I30">
            <v>-9954.5695850829579</v>
          </cell>
          <cell r="J30">
            <v>0</v>
          </cell>
          <cell r="K30">
            <v>9.5075559982442139E-3</v>
          </cell>
          <cell r="L30">
            <v>2.8999984264373779E-2</v>
          </cell>
          <cell r="M30">
            <v>3.0498309977585816E-2</v>
          </cell>
          <cell r="N30">
            <v>31.174042119814576</v>
          </cell>
        </row>
        <row r="31">
          <cell r="A31">
            <v>45230</v>
          </cell>
          <cell r="B31">
            <v>0.66299998760223389</v>
          </cell>
          <cell r="C31">
            <v>2000</v>
          </cell>
          <cell r="D31">
            <v>3016.5913082941079</v>
          </cell>
          <cell r="E31">
            <v>81915.029595605796</v>
          </cell>
          <cell r="F31">
            <v>54309.663606323265</v>
          </cell>
          <cell r="G31">
            <v>66000</v>
          </cell>
          <cell r="H31">
            <v>54309.663606323265</v>
          </cell>
          <cell r="I31">
            <v>-11690.336393676735</v>
          </cell>
          <cell r="J31">
            <v>0</v>
          </cell>
          <cell r="K31">
            <v>7.9229633318701771E-3</v>
          </cell>
          <cell r="L31">
            <v>2.2000014781951904E-2</v>
          </cell>
          <cell r="M31">
            <v>2.9081927444980161E-2</v>
          </cell>
          <cell r="N31">
            <v>27.24359775279531</v>
          </cell>
        </row>
        <row r="32">
          <cell r="A32">
            <v>45260</v>
          </cell>
          <cell r="B32">
            <v>0.65100002288818359</v>
          </cell>
          <cell r="C32">
            <v>2000</v>
          </cell>
          <cell r="D32">
            <v>3072.1965125698957</v>
          </cell>
          <cell r="E32">
            <v>84987.226108175688</v>
          </cell>
          <cell r="F32">
            <v>55326.686141625607</v>
          </cell>
          <cell r="G32">
            <v>68000</v>
          </cell>
          <cell r="H32">
            <v>55326.686141625607</v>
          </cell>
          <cell r="I32">
            <v>-12673.313858374393</v>
          </cell>
          <cell r="J32">
            <v>0</v>
          </cell>
          <cell r="K32">
            <v>6.6024694432251473E-3</v>
          </cell>
          <cell r="L32">
            <v>1.1999964714050293E-2</v>
          </cell>
          <cell r="M32">
            <v>2.6234933656491849E-2</v>
          </cell>
          <cell r="N32">
            <v>25.166709127893537</v>
          </cell>
        </row>
        <row r="33">
          <cell r="A33">
            <v>45289</v>
          </cell>
          <cell r="B33">
            <v>0.64499998092651367</v>
          </cell>
          <cell r="C33">
            <v>2000</v>
          </cell>
          <cell r="D33">
            <v>3100.7752854923956</v>
          </cell>
          <cell r="E33">
            <v>88088.001393668077</v>
          </cell>
          <cell r="F33">
            <v>56816.759218770618</v>
          </cell>
          <cell r="G33">
            <v>70000</v>
          </cell>
          <cell r="H33">
            <v>56816.759218770618</v>
          </cell>
          <cell r="I33">
            <v>-13183.240781229382</v>
          </cell>
          <cell r="J33">
            <v>0</v>
          </cell>
          <cell r="K33">
            <v>5.5020578693542902E-3</v>
          </cell>
          <cell r="L33">
            <v>6.0000419616699219E-3</v>
          </cell>
          <cell r="M33">
            <v>2.2862451707354861E-2</v>
          </cell>
          <cell r="N33">
            <v>24.065913576470347</v>
          </cell>
        </row>
        <row r="34">
          <cell r="A34">
            <v>45322</v>
          </cell>
          <cell r="B34">
            <v>0.56099998950958252</v>
          </cell>
          <cell r="C34">
            <v>3000</v>
          </cell>
          <cell r="D34">
            <v>5347.593682885009</v>
          </cell>
          <cell r="E34">
            <v>93435.595076553087</v>
          </cell>
          <cell r="F34">
            <v>52417.36785776788</v>
          </cell>
          <cell r="G34">
            <v>73000</v>
          </cell>
          <cell r="H34">
            <v>52417.36785776788</v>
          </cell>
          <cell r="I34">
            <v>-20582.63214223212</v>
          </cell>
          <cell r="J34">
            <v>0</v>
          </cell>
          <cell r="K34">
            <v>4.5850482244619087E-3</v>
          </cell>
          <cell r="L34">
            <v>8.3999991416931152E-2</v>
          </cell>
          <cell r="M34">
            <v>3.3052041658950905E-2</v>
          </cell>
          <cell r="N34">
            <v>13.872208778425705</v>
          </cell>
        </row>
        <row r="35">
          <cell r="A35">
            <v>45351</v>
          </cell>
          <cell r="B35">
            <v>0.6380000114440918</v>
          </cell>
          <cell r="C35">
            <v>2000</v>
          </cell>
          <cell r="D35">
            <v>3134.7961820142709</v>
          </cell>
          <cell r="E35">
            <v>96570.391258567353</v>
          </cell>
          <cell r="F35">
            <v>61611.910728126393</v>
          </cell>
          <cell r="G35">
            <v>75000</v>
          </cell>
          <cell r="H35">
            <v>61611.910728126393</v>
          </cell>
          <cell r="I35">
            <v>-13388.089271873607</v>
          </cell>
          <cell r="J35">
            <v>7.7000021934509277E-2</v>
          </cell>
          <cell r="K35">
            <v>1.6654210509469802E-2</v>
          </cell>
          <cell r="L35">
            <v>7.7000021934509277E-2</v>
          </cell>
          <cell r="M35">
            <v>4.0376705038210635E-2</v>
          </cell>
          <cell r="N35">
            <v>41.247076733252584</v>
          </cell>
        </row>
        <row r="36">
          <cell r="A36">
            <v>45380</v>
          </cell>
          <cell r="B36">
            <v>0.64600002765655518</v>
          </cell>
          <cell r="C36">
            <v>2000</v>
          </cell>
          <cell r="D36">
            <v>3095.9750996532412</v>
          </cell>
          <cell r="E36">
            <v>99666.366358220592</v>
          </cell>
          <cell r="F36">
            <v>64384.475423838863</v>
          </cell>
          <cell r="G36">
            <v>77000</v>
          </cell>
          <cell r="H36">
            <v>64384.475423838863</v>
          </cell>
          <cell r="I36">
            <v>-12615.524576161137</v>
          </cell>
          <cell r="J36">
            <v>8.0000162124633789E-3</v>
          </cell>
          <cell r="K36">
            <v>1.5211844793302065E-2</v>
          </cell>
          <cell r="L36">
            <v>8.0000162124633789E-3</v>
          </cell>
          <cell r="M36">
            <v>3.4980590233919424E-2</v>
          </cell>
          <cell r="N36">
            <v>43.48652979146042</v>
          </cell>
        </row>
        <row r="37">
          <cell r="A37">
            <v>45412</v>
          </cell>
          <cell r="B37">
            <v>0.66399997472763062</v>
          </cell>
          <cell r="C37">
            <v>2000</v>
          </cell>
          <cell r="D37">
            <v>3012.0483074120443</v>
          </cell>
          <cell r="E37">
            <v>102678.41466563263</v>
          </cell>
          <cell r="F37">
            <v>68178.46474305325</v>
          </cell>
          <cell r="G37">
            <v>79000</v>
          </cell>
          <cell r="H37">
            <v>68178.46474305325</v>
          </cell>
          <cell r="I37">
            <v>-10821.53525694675</v>
          </cell>
          <cell r="J37">
            <v>1.7999947071075439E-2</v>
          </cell>
          <cell r="K37">
            <v>1.5676528506264293E-2</v>
          </cell>
          <cell r="L37">
            <v>1.7999947071075439E-2</v>
          </cell>
          <cell r="M37">
            <v>3.2150483040112095E-2</v>
          </cell>
          <cell r="N37">
            <v>48.759853737518327</v>
          </cell>
        </row>
        <row r="38">
          <cell r="A38">
            <v>45443</v>
          </cell>
          <cell r="B38">
            <v>0.64999997615814209</v>
          </cell>
          <cell r="C38">
            <v>2000</v>
          </cell>
          <cell r="D38">
            <v>3076.9231897839468</v>
          </cell>
          <cell r="E38">
            <v>105755.33785541658</v>
          </cell>
          <cell r="F38">
            <v>68740.967084617034</v>
          </cell>
          <cell r="G38">
            <v>81000</v>
          </cell>
          <cell r="H38">
            <v>68740.967084617034</v>
          </cell>
          <cell r="I38">
            <v>-12259.032915382966</v>
          </cell>
          <cell r="J38">
            <v>0</v>
          </cell>
          <cell r="K38">
            <v>1.3063773755220243E-2</v>
          </cell>
          <cell r="L38">
            <v>1.3999998569488525E-2</v>
          </cell>
          <cell r="M38">
            <v>2.9125402295008165E-2</v>
          </cell>
          <cell r="N38">
            <v>44.853539267539169</v>
          </cell>
        </row>
        <row r="39">
          <cell r="A39">
            <v>45471</v>
          </cell>
          <cell r="B39">
            <v>0.63599997758865356</v>
          </cell>
          <cell r="C39">
            <v>2000</v>
          </cell>
          <cell r="D39">
            <v>3144.6541988615327</v>
          </cell>
          <cell r="E39">
            <v>108899.99205427812</v>
          </cell>
          <cell r="F39">
            <v>69260.39250592544</v>
          </cell>
          <cell r="G39">
            <v>83000</v>
          </cell>
          <cell r="H39">
            <v>69260.39250592544</v>
          </cell>
          <cell r="I39">
            <v>-13739.60749407456</v>
          </cell>
          <cell r="J39">
            <v>0</v>
          </cell>
          <cell r="K39">
            <v>1.0886478129350202E-2</v>
          </cell>
          <cell r="L39">
            <v>1.3999998569488525E-2</v>
          </cell>
          <cell r="M39">
            <v>2.6604501674088222E-2</v>
          </cell>
          <cell r="N39">
            <v>40.919684430523347</v>
          </cell>
        </row>
        <row r="40">
          <cell r="A40">
            <v>45504</v>
          </cell>
          <cell r="B40">
            <v>0.63300001621246338</v>
          </cell>
          <cell r="C40">
            <v>2000</v>
          </cell>
          <cell r="D40">
            <v>3159.5575810044052</v>
          </cell>
          <cell r="E40">
            <v>112059.54963528253</v>
          </cell>
          <cell r="F40">
            <v>70933.696735895181</v>
          </cell>
          <cell r="G40">
            <v>85000</v>
          </cell>
          <cell r="H40">
            <v>70933.696735895181</v>
          </cell>
          <cell r="I40">
            <v>-14066.303264104819</v>
          </cell>
          <cell r="J40">
            <v>0</v>
          </cell>
          <cell r="K40">
            <v>9.0720651077918352E-3</v>
          </cell>
          <cell r="L40">
            <v>2.9999613761901855E-3</v>
          </cell>
          <cell r="M40">
            <v>2.2670411624438547E-2</v>
          </cell>
          <cell r="N40">
            <v>40.017205060415456</v>
          </cell>
        </row>
        <row r="41">
          <cell r="A41">
            <v>45534</v>
          </cell>
          <cell r="B41">
            <v>0.61000001430511475</v>
          </cell>
          <cell r="C41">
            <v>2000</v>
          </cell>
          <cell r="D41">
            <v>3278.6884477016156</v>
          </cell>
          <cell r="E41">
            <v>115338.23808298414</v>
          </cell>
          <cell r="F41">
            <v>70356.326880547058</v>
          </cell>
          <cell r="G41">
            <v>87000</v>
          </cell>
          <cell r="H41">
            <v>70356.326880547058</v>
          </cell>
          <cell r="I41">
            <v>-16643.673119452942</v>
          </cell>
          <cell r="J41">
            <v>0</v>
          </cell>
          <cell r="K41">
            <v>7.5600542564931957E-3</v>
          </cell>
          <cell r="L41">
            <v>2.3000001907348633E-2</v>
          </cell>
          <cell r="M41">
            <v>2.2725343338256893E-2</v>
          </cell>
          <cell r="N41">
            <v>33.267062873220716</v>
          </cell>
        </row>
        <row r="42">
          <cell r="A42">
            <v>45565</v>
          </cell>
          <cell r="B42">
            <v>0.76700001955032349</v>
          </cell>
          <cell r="C42">
            <v>2000</v>
          </cell>
          <cell r="D42">
            <v>2607.561863130798</v>
          </cell>
          <cell r="E42">
            <v>117945.79994611494</v>
          </cell>
          <cell r="F42">
            <v>90464.430864548704</v>
          </cell>
          <cell r="G42">
            <v>89000</v>
          </cell>
          <cell r="H42">
            <v>90464.430864548704</v>
          </cell>
          <cell r="I42">
            <v>1464.4308645487035</v>
          </cell>
          <cell r="J42">
            <v>0.15700000524520874</v>
          </cell>
          <cell r="K42">
            <v>3.2466712754612458E-2</v>
          </cell>
          <cell r="L42">
            <v>0.15700000524520874</v>
          </cell>
          <cell r="M42">
            <v>4.5104453656082198E-2</v>
          </cell>
          <cell r="N42">
            <v>71.981168427775472</v>
          </cell>
        </row>
        <row r="43">
          <cell r="A43">
            <v>45596</v>
          </cell>
          <cell r="B43">
            <v>0.77700001001358032</v>
          </cell>
          <cell r="C43">
            <v>2000</v>
          </cell>
          <cell r="D43">
            <v>2574.0025408301399</v>
          </cell>
          <cell r="E43">
            <v>120519.80248694509</v>
          </cell>
          <cell r="F43">
            <v>93643.88773919105</v>
          </cell>
          <cell r="G43">
            <v>91000</v>
          </cell>
          <cell r="H43">
            <v>93643.88773919105</v>
          </cell>
          <cell r="I43">
            <v>2643.8877391910501</v>
          </cell>
          <cell r="J43">
            <v>9.9999904632568359E-3</v>
          </cell>
          <cell r="K43">
            <v>2.8722259039386522E-2</v>
          </cell>
          <cell r="L43">
            <v>9.9999904632568359E-3</v>
          </cell>
          <cell r="M43">
            <v>3.9253709790611303E-2</v>
          </cell>
          <cell r="N43">
            <v>73.17081415386707</v>
          </cell>
        </row>
        <row r="44">
          <cell r="A44">
            <v>45625</v>
          </cell>
          <cell r="B44">
            <v>0.78100001811981201</v>
          </cell>
          <cell r="C44">
            <v>2000</v>
          </cell>
          <cell r="D44">
            <v>2560.819402814896</v>
          </cell>
          <cell r="E44">
            <v>123080.62188975999</v>
          </cell>
          <cell r="F44">
            <v>96125.967926100289</v>
          </cell>
          <cell r="G44">
            <v>93000</v>
          </cell>
          <cell r="H44">
            <v>96125.967926100289</v>
          </cell>
          <cell r="I44">
            <v>3125.9679261002893</v>
          </cell>
          <cell r="J44">
            <v>4.0000081062316895E-3</v>
          </cell>
          <cell r="K44">
            <v>2.4601883883860715E-2</v>
          </cell>
          <cell r="L44">
            <v>4.0000081062316895E-3</v>
          </cell>
          <cell r="M44">
            <v>3.3378092843214698E-2</v>
          </cell>
          <cell r="N44">
            <v>73.706679406225973</v>
          </cell>
        </row>
        <row r="45">
          <cell r="A45">
            <v>45657</v>
          </cell>
          <cell r="B45">
            <v>0.78899997472763062</v>
          </cell>
          <cell r="C45">
            <v>2000</v>
          </cell>
          <cell r="D45">
            <v>2534.8543270744931</v>
          </cell>
          <cell r="E45">
            <v>125615.47621683449</v>
          </cell>
          <cell r="F45">
            <v>99110.607560481702</v>
          </cell>
          <cell r="G45">
            <v>95000</v>
          </cell>
          <cell r="H45">
            <v>99110.607560481702</v>
          </cell>
          <cell r="I45">
            <v>4110.6075604817015</v>
          </cell>
          <cell r="J45">
            <v>7.9999566078186035E-3</v>
          </cell>
          <cell r="K45">
            <v>2.1834896004520363E-2</v>
          </cell>
          <cell r="L45">
            <v>7.9999566078186035E-3</v>
          </cell>
          <cell r="M45">
            <v>2.914840347064868E-2</v>
          </cell>
          <cell r="N45">
            <v>74.909406364253414</v>
          </cell>
        </row>
        <row r="46">
          <cell r="A46">
            <v>45684</v>
          </cell>
          <cell r="B46">
            <v>0.78100001811981201</v>
          </cell>
          <cell r="C46">
            <v>2000</v>
          </cell>
          <cell r="D46">
            <v>2560.819402814896</v>
          </cell>
          <cell r="E46">
            <v>128176.29561964939</v>
          </cell>
          <cell r="F46">
            <v>100105.68920147656</v>
          </cell>
          <cell r="G46">
            <v>97000</v>
          </cell>
          <cell r="H46">
            <v>100105.68920147656</v>
          </cell>
          <cell r="I46">
            <v>3105.6892014765617</v>
          </cell>
          <cell r="J46">
            <v>0</v>
          </cell>
          <cell r="K46">
            <v>1.8195746670433634E-2</v>
          </cell>
          <cell r="L46">
            <v>7.9999566078186035E-3</v>
          </cell>
          <cell r="M46">
            <v>2.5623662326843669E-2</v>
          </cell>
          <cell r="N46">
            <v>71.01149881830726</v>
          </cell>
        </row>
        <row r="47">
          <cell r="A47">
            <v>45716</v>
          </cell>
          <cell r="B47">
            <v>0.82700002193450928</v>
          </cell>
          <cell r="C47">
            <v>2000</v>
          </cell>
          <cell r="D47">
            <v>2418.3796214679924</v>
          </cell>
          <cell r="E47">
            <v>130594.67524111738</v>
          </cell>
          <cell r="F47">
            <v>108001.79928893418</v>
          </cell>
          <cell r="G47">
            <v>99000</v>
          </cell>
          <cell r="H47">
            <v>108001.79928893418</v>
          </cell>
          <cell r="I47">
            <v>9001.799288934184</v>
          </cell>
          <cell r="J47">
            <v>4.6000003814697266E-2</v>
          </cell>
          <cell r="K47">
            <v>2.2829789527810906E-2</v>
          </cell>
          <cell r="L47">
            <v>4.6000003814697266E-2</v>
          </cell>
          <cell r="M47">
            <v>2.9019719241485931E-2</v>
          </cell>
          <cell r="N47">
            <v>78.66991867782771</v>
          </cell>
        </row>
        <row r="48">
          <cell r="A48">
            <v>45747</v>
          </cell>
          <cell r="B48">
            <v>0.81400001049041748</v>
          </cell>
          <cell r="C48">
            <v>2000</v>
          </cell>
          <cell r="D48">
            <v>2457.002425337861</v>
          </cell>
          <cell r="E48">
            <v>133051.67766645525</v>
          </cell>
          <cell r="F48">
            <v>108304.06701626221</v>
          </cell>
          <cell r="G48">
            <v>101000</v>
          </cell>
          <cell r="H48">
            <v>108304.06701626221</v>
          </cell>
          <cell r="I48">
            <v>7304.0670162622118</v>
          </cell>
          <cell r="J48">
            <v>0</v>
          </cell>
          <cell r="K48">
            <v>1.9024824606509089E-2</v>
          </cell>
          <cell r="L48">
            <v>1.3000011444091797E-2</v>
          </cell>
          <cell r="M48">
            <v>2.6349767941920243E-2</v>
          </cell>
          <cell r="N48">
            <v>72.201108747687343</v>
          </cell>
        </row>
        <row r="49">
          <cell r="A49">
            <v>45777</v>
          </cell>
          <cell r="B49">
            <v>0.76899999380111694</v>
          </cell>
          <cell r="C49">
            <v>2000</v>
          </cell>
          <cell r="D49">
            <v>2600.7802550350229</v>
          </cell>
          <cell r="E49">
            <v>135652.45792149028</v>
          </cell>
          <cell r="F49">
            <v>104316.7393007323</v>
          </cell>
          <cell r="G49">
            <v>103000</v>
          </cell>
          <cell r="H49">
            <v>104316.7393007323</v>
          </cell>
          <cell r="I49">
            <v>1316.7393007322971</v>
          </cell>
          <cell r="J49">
            <v>0</v>
          </cell>
          <cell r="K49">
            <v>1.5854020505424241E-2</v>
          </cell>
          <cell r="L49">
            <v>4.5000016689300537E-2</v>
          </cell>
          <cell r="M49">
            <v>2.9458142733150294E-2</v>
          </cell>
          <cell r="N49">
            <v>53.818805377649106</v>
          </cell>
        </row>
        <row r="50">
          <cell r="A50">
            <v>45807</v>
          </cell>
          <cell r="B50">
            <v>0.78200000524520874</v>
          </cell>
          <cell r="C50">
            <v>2000</v>
          </cell>
          <cell r="D50">
            <v>2557.5447398787005</v>
          </cell>
          <cell r="E50">
            <v>138210.00266136898</v>
          </cell>
          <cell r="F50">
            <v>108080.22280613086</v>
          </cell>
          <cell r="G50">
            <v>105000</v>
          </cell>
          <cell r="H50">
            <v>108080.22280613086</v>
          </cell>
          <cell r="I50">
            <v>3080.222806130856</v>
          </cell>
          <cell r="J50">
            <v>1.3000011444091797E-2</v>
          </cell>
          <cell r="K50">
            <v>1.5378352328535501E-2</v>
          </cell>
          <cell r="L50">
            <v>1.3000011444091797E-2</v>
          </cell>
          <cell r="M50">
            <v>2.6715120851640545E-2</v>
          </cell>
          <cell r="N50">
            <v>57.56422519642517</v>
          </cell>
        </row>
        <row r="51">
          <cell r="A51">
            <v>45838</v>
          </cell>
          <cell r="B51">
            <v>0.81199997663497925</v>
          </cell>
          <cell r="C51">
            <v>2000</v>
          </cell>
          <cell r="D51">
            <v>2463.0542580656575</v>
          </cell>
          <cell r="E51">
            <v>140673.05691943463</v>
          </cell>
          <cell r="F51">
            <v>114226.51893175203</v>
          </cell>
          <cell r="G51">
            <v>107000</v>
          </cell>
          <cell r="H51">
            <v>114226.51893175203</v>
          </cell>
          <cell r="I51">
            <v>7226.5189317520271</v>
          </cell>
          <cell r="J51">
            <v>2.9999971389770508E-2</v>
          </cell>
          <cell r="K51">
            <v>1.7815288838741335E-2</v>
          </cell>
          <cell r="L51">
            <v>2.9999971389770508E-2</v>
          </cell>
          <cell r="M51">
            <v>2.7262595941328873E-2</v>
          </cell>
          <cell r="N51">
            <v>65.34700098655739</v>
          </cell>
        </row>
        <row r="52">
          <cell r="A52">
            <v>45869</v>
          </cell>
          <cell r="B52">
            <v>0.84500002861022949</v>
          </cell>
          <cell r="C52">
            <v>2000</v>
          </cell>
          <cell r="D52">
            <v>2366.8638251875536</v>
          </cell>
          <cell r="E52">
            <v>143039.92074462218</v>
          </cell>
          <cell r="F52">
            <v>120868.7371216107</v>
          </cell>
          <cell r="G52">
            <v>109000</v>
          </cell>
          <cell r="H52">
            <v>120868.7371216107</v>
          </cell>
          <cell r="I52">
            <v>11868.737121610699</v>
          </cell>
          <cell r="J52">
            <v>3.3000051975250244E-2</v>
          </cell>
          <cell r="K52">
            <v>2.0346082694826153E-2</v>
          </cell>
          <cell r="L52">
            <v>3.3000051975250244E-2</v>
          </cell>
          <cell r="M52">
            <v>2.82188386136491E-2</v>
          </cell>
          <cell r="N52">
            <v>72.101063312311538</v>
          </cell>
        </row>
        <row r="53">
          <cell r="A53">
            <v>45898</v>
          </cell>
          <cell r="B53">
            <v>1.0089999437332153</v>
          </cell>
          <cell r="C53">
            <v>2000</v>
          </cell>
          <cell r="D53">
            <v>1982.1606655399478</v>
          </cell>
          <cell r="E53">
            <v>145022.08141016212</v>
          </cell>
          <cell r="F53">
            <v>146327.27198292734</v>
          </cell>
          <cell r="G53">
            <v>111000</v>
          </cell>
          <cell r="H53">
            <v>146327.27198292734</v>
          </cell>
          <cell r="I53">
            <v>35327.271982927341</v>
          </cell>
          <cell r="J53">
            <v>0.16399991512298584</v>
          </cell>
          <cell r="K53">
            <v>4.4288388099519432E-2</v>
          </cell>
          <cell r="L53">
            <v>0.16399991512298584</v>
          </cell>
          <cell r="M53">
            <v>5.084901803187189E-2</v>
          </cell>
          <cell r="N53">
            <v>87.097823741177677</v>
          </cell>
        </row>
        <row r="54">
          <cell r="A54">
            <v>45930</v>
          </cell>
          <cell r="B54">
            <v>1.0880000591278076</v>
          </cell>
          <cell r="C54">
            <v>2000</v>
          </cell>
          <cell r="D54">
            <v>1838.2351942179992</v>
          </cell>
          <cell r="E54">
            <v>146860.31660438012</v>
          </cell>
          <cell r="F54">
            <v>159784.03314909412</v>
          </cell>
          <cell r="G54">
            <v>113000</v>
          </cell>
          <cell r="H54">
            <v>159784.03314909412</v>
          </cell>
          <cell r="I54">
            <v>46784.033149094117</v>
          </cell>
          <cell r="J54">
            <v>7.9000115394592285E-2</v>
          </cell>
          <cell r="K54">
            <v>5.0073675982031572E-2</v>
          </cell>
          <cell r="L54">
            <v>7.9000115394592285E-2</v>
          </cell>
          <cell r="M54">
            <v>5.5540867592325294E-2</v>
          </cell>
          <cell r="N54">
            <v>90.156452631558849</v>
          </cell>
        </row>
        <row r="55">
          <cell r="A55">
            <v>45961</v>
          </cell>
          <cell r="B55">
            <v>1.0729999542236328</v>
          </cell>
          <cell r="C55">
            <v>2000</v>
          </cell>
          <cell r="D55">
            <v>1863.9329779348373</v>
          </cell>
          <cell r="E55">
            <v>148724.24958231495</v>
          </cell>
          <cell r="F55">
            <v>159581.1129937681</v>
          </cell>
          <cell r="G55">
            <v>115000</v>
          </cell>
          <cell r="H55">
            <v>159581.1129937681</v>
          </cell>
          <cell r="I55">
            <v>44581.112993768096</v>
          </cell>
          <cell r="J55">
            <v>0</v>
          </cell>
          <cell r="K55">
            <v>4.1728063318359647E-2</v>
          </cell>
          <cell r="L55">
            <v>1.5000104904174805E-2</v>
          </cell>
          <cell r="M55">
            <v>4.8784073810966881E-2</v>
          </cell>
          <cell r="N55">
            <v>85.53624176621959</v>
          </cell>
        </row>
        <row r="56">
          <cell r="A56">
            <v>45989</v>
          </cell>
          <cell r="B56">
            <v>1.0399999618530273</v>
          </cell>
          <cell r="C56">
            <v>2000</v>
          </cell>
          <cell r="D56">
            <v>1923.0769936149668</v>
          </cell>
          <cell r="E56">
            <v>150647.32657592991</v>
          </cell>
          <cell r="F56">
            <v>156673.21389222765</v>
          </cell>
          <cell r="G56">
            <v>117000</v>
          </cell>
          <cell r="H56">
            <v>156673.21389222765</v>
          </cell>
          <cell r="I56">
            <v>39673.21389222765</v>
          </cell>
          <cell r="J56">
            <v>0</v>
          </cell>
          <cell r="K56">
            <v>3.4773386098633043E-2</v>
          </cell>
          <cell r="L56">
            <v>3.2999992370605469E-2</v>
          </cell>
          <cell r="M56">
            <v>4.6153393570906642E-2</v>
          </cell>
          <cell r="N56">
            <v>75.343075358499476</v>
          </cell>
        </row>
        <row r="57">
          <cell r="A57">
            <v>46022</v>
          </cell>
          <cell r="B57">
            <v>1.0640000104904175</v>
          </cell>
          <cell r="C57">
            <v>2000</v>
          </cell>
          <cell r="D57">
            <v>1879.6992295875662</v>
          </cell>
          <cell r="E57">
            <v>152527.02580551748</v>
          </cell>
          <cell r="F57">
            <v>162288.75705714276</v>
          </cell>
          <cell r="G57">
            <v>119000</v>
          </cell>
          <cell r="H57">
            <v>162288.75705714276</v>
          </cell>
          <cell r="I57">
            <v>43288.757057142764</v>
          </cell>
          <cell r="J57">
            <v>2.4000048637390137E-2</v>
          </cell>
          <cell r="K57">
            <v>3.2977829855092559E-2</v>
          </cell>
          <cell r="L57">
            <v>2.4000048637390137E-2</v>
          </cell>
          <cell r="M57">
            <v>4.2461169415320556E-2</v>
          </cell>
          <cell r="N57">
            <v>77.665854024250493</v>
          </cell>
        </row>
        <row r="58">
          <cell r="A58">
            <v>46052</v>
          </cell>
          <cell r="B58">
            <v>1.0720000267028809</v>
          </cell>
          <cell r="C58">
            <v>2000</v>
          </cell>
          <cell r="D58">
            <v>1865.6715953182777</v>
          </cell>
          <cell r="E58">
            <v>154392.69740083575</v>
          </cell>
          <cell r="F58">
            <v>165508.97573642572</v>
          </cell>
          <cell r="G58">
            <v>121000</v>
          </cell>
          <cell r="H58">
            <v>165508.97573642572</v>
          </cell>
          <cell r="I58">
            <v>44508.975736425724</v>
          </cell>
          <cell r="J58">
            <v>8.0000162124633789E-3</v>
          </cell>
          <cell r="K58">
            <v>2.8814860914654364E-2</v>
          </cell>
          <cell r="L58">
            <v>8.0000162124633789E-3</v>
          </cell>
          <cell r="M58">
            <v>3.6717643881511025E-2</v>
          </cell>
          <cell r="N58">
            <v>78.476878875019352</v>
          </cell>
        </row>
        <row r="59">
          <cell r="A59">
            <v>46080</v>
          </cell>
          <cell r="B59">
            <v>1.0750000476837158</v>
          </cell>
          <cell r="C59">
            <v>2000</v>
          </cell>
          <cell r="D59">
            <v>1860.4650337545247</v>
          </cell>
          <cell r="E59">
            <v>156253.16243459028</v>
          </cell>
          <cell r="F59">
            <v>167972.15706791595</v>
          </cell>
          <cell r="G59">
            <v>123000</v>
          </cell>
          <cell r="H59">
            <v>167972.15706791595</v>
          </cell>
          <cell r="I59">
            <v>44972.157067915949</v>
          </cell>
          <cell r="J59">
            <v>3.0000209808349609E-3</v>
          </cell>
          <cell r="K59">
            <v>2.4512387592351127E-2</v>
          </cell>
          <cell r="L59">
            <v>3.0000209808349609E-3</v>
          </cell>
          <cell r="M59">
            <v>3.1098040064731682E-2</v>
          </cell>
          <cell r="N59">
            <v>78.82293398981966</v>
          </cell>
        </row>
        <row r="60">
          <cell r="A60">
            <v>46112</v>
          </cell>
          <cell r="B60">
            <v>1.0479999780654907</v>
          </cell>
          <cell r="C60">
            <v>2000</v>
          </cell>
          <cell r="D60">
            <v>1908.3969865073964</v>
          </cell>
          <cell r="E60">
            <v>158161.55942109769</v>
          </cell>
          <cell r="F60">
            <v>165753.31080411418</v>
          </cell>
          <cell r="G60">
            <v>125000</v>
          </cell>
          <cell r="H60">
            <v>165753.31080411418</v>
          </cell>
          <cell r="I60">
            <v>40753.310804114182</v>
          </cell>
          <cell r="J60">
            <v>0</v>
          </cell>
          <cell r="K60">
            <v>2.0426989660292605E-2</v>
          </cell>
          <cell r="L60">
            <v>2.7000069618225098E-2</v>
          </cell>
          <cell r="M60">
            <v>3.0415044990313916E-2</v>
          </cell>
          <cell r="N60">
            <v>67.160806984825626</v>
          </cell>
        </row>
        <row r="61">
          <cell r="A61">
            <v>46142</v>
          </cell>
          <cell r="B61">
            <v>1.1770000457763672</v>
          </cell>
          <cell r="C61">
            <v>2000</v>
          </cell>
          <cell r="D61">
            <v>1699.2352780078011</v>
          </cell>
          <cell r="E61">
            <v>159860.79469910549</v>
          </cell>
          <cell r="F61">
            <v>188156.1626786936</v>
          </cell>
          <cell r="G61">
            <v>127000</v>
          </cell>
          <cell r="H61">
            <v>188156.1626786936</v>
          </cell>
          <cell r="I61">
            <v>61156.162678693596</v>
          </cell>
          <cell r="J61">
            <v>0.12900006771087646</v>
          </cell>
          <cell r="K61">
            <v>3.8522502668723251E-2</v>
          </cell>
          <cell r="L61">
            <v>0.12900006771087646</v>
          </cell>
          <cell r="M61">
            <v>4.6845882110407668E-2</v>
          </cell>
          <cell r="N61">
            <v>82.232420296691927</v>
          </cell>
        </row>
        <row r="62">
          <cell r="A62">
            <v>46171</v>
          </cell>
          <cell r="B62">
            <v>1.2450000047683716</v>
          </cell>
          <cell r="C62">
            <v>2000</v>
          </cell>
          <cell r="D62">
            <v>1606.4256966586067</v>
          </cell>
          <cell r="E62">
            <v>161467.2203957641</v>
          </cell>
          <cell r="F62">
            <v>201026.69016266201</v>
          </cell>
          <cell r="G62">
            <v>129000</v>
          </cell>
          <cell r="H62">
            <v>201026.69016266201</v>
          </cell>
          <cell r="I62">
            <v>72026.690162662009</v>
          </cell>
          <cell r="J62">
            <v>6.7999958992004395E-2</v>
          </cell>
          <cell r="K62">
            <v>4.3435412055936783E-2</v>
          </cell>
          <cell r="L62">
            <v>6.7999958992004395E-2</v>
          </cell>
          <cell r="M62">
            <v>5.037156159067379E-2</v>
          </cell>
          <cell r="N62">
            <v>86.230028778736084</v>
          </cell>
        </row>
        <row r="63">
          <cell r="A63">
            <v>46203</v>
          </cell>
          <cell r="B63">
            <v>1.2760000228881836</v>
          </cell>
          <cell r="C63">
            <v>2000</v>
          </cell>
          <cell r="D63">
            <v>1567.3980910071355</v>
          </cell>
          <cell r="E63">
            <v>163034.61848677124</v>
          </cell>
          <cell r="F63">
            <v>208032.17692068638</v>
          </cell>
          <cell r="G63">
            <v>131000</v>
          </cell>
          <cell r="H63">
            <v>208032.17692068638</v>
          </cell>
          <cell r="I63">
            <v>77032.176920686383</v>
          </cell>
          <cell r="J63">
            <v>3.1000018119812012E-2</v>
          </cell>
          <cell r="K63">
            <v>4.1362846399915991E-2</v>
          </cell>
          <cell r="L63">
            <v>3.1000018119812012E-2</v>
          </cell>
          <cell r="M63">
            <v>4.7142971012196826E-2</v>
          </cell>
          <cell r="N63">
            <v>87.739159225273681</v>
          </cell>
        </row>
      </sheetData>
      <sheetData sheetId="3">
        <row r="1">
          <cell r="A1" t="str">
            <v>date</v>
          </cell>
          <cell r="B1" t="str">
            <v>深创100ETF</v>
          </cell>
          <cell r="C1" t="str">
            <v>sales amount</v>
          </cell>
          <cell r="D1" t="str">
            <v>sales shares</v>
          </cell>
          <cell r="E1" t="str">
            <v>shares held</v>
          </cell>
          <cell r="F1" t="str">
            <v>market value</v>
          </cell>
          <cell r="G1" t="str">
            <v>accumulated investment</v>
          </cell>
          <cell r="H1" t="str">
            <v>total assets</v>
          </cell>
          <cell r="I1" t="str">
            <v>profit amount</v>
          </cell>
          <cell r="J1" t="str">
            <v>high</v>
          </cell>
          <cell r="K1" t="str">
            <v>low</v>
          </cell>
          <cell r="L1" t="str">
            <v>HHV</v>
          </cell>
          <cell r="M1" t="str">
            <v>LLV</v>
          </cell>
          <cell r="N1" t="str">
            <v>RSV</v>
          </cell>
          <cell r="O1" t="str">
            <v>K</v>
          </cell>
          <cell r="P1" t="str">
            <v>D</v>
          </cell>
          <cell r="Q1" t="str">
            <v>J</v>
          </cell>
        </row>
        <row r="2">
          <cell r="C2">
            <v>2000</v>
          </cell>
          <cell r="D2" t="str">
            <v>unit:yuan</v>
          </cell>
        </row>
        <row r="3">
          <cell r="A3">
            <v>44377</v>
          </cell>
          <cell r="B3">
            <v>1.0309999999999999</v>
          </cell>
          <cell r="C3">
            <v>2000</v>
          </cell>
          <cell r="D3">
            <v>1939.8642095053349</v>
          </cell>
          <cell r="E3">
            <v>1939.8642095053349</v>
          </cell>
          <cell r="F3">
            <v>2000</v>
          </cell>
          <cell r="G3">
            <v>2000</v>
          </cell>
          <cell r="H3">
            <v>2000</v>
          </cell>
          <cell r="I3">
            <v>0</v>
          </cell>
          <cell r="J3">
            <v>1.034</v>
          </cell>
          <cell r="K3">
            <v>1.012</v>
          </cell>
          <cell r="L3">
            <v>1.034</v>
          </cell>
          <cell r="M3">
            <v>1.012</v>
          </cell>
          <cell r="N3">
            <v>86.363636363635862</v>
          </cell>
          <cell r="O3">
            <v>86.363636363635862</v>
          </cell>
          <cell r="P3">
            <v>86.363636363635862</v>
          </cell>
          <cell r="Q3">
            <v>86.363636363635862</v>
          </cell>
        </row>
        <row r="4">
          <cell r="A4">
            <v>44407</v>
          </cell>
          <cell r="B4">
            <v>1.006</v>
          </cell>
          <cell r="C4">
            <v>2000</v>
          </cell>
          <cell r="D4">
            <v>1988.0715705765408</v>
          </cell>
          <cell r="E4">
            <v>3927.9357800818757</v>
          </cell>
          <cell r="F4">
            <v>3951.503394762367</v>
          </cell>
          <cell r="G4">
            <v>4000</v>
          </cell>
          <cell r="H4">
            <v>3951.503394762367</v>
          </cell>
          <cell r="I4">
            <v>-48.496605237633048</v>
          </cell>
          <cell r="J4">
            <v>1.054</v>
          </cell>
          <cell r="K4">
            <v>0.94</v>
          </cell>
          <cell r="L4">
            <v>1.054</v>
          </cell>
          <cell r="M4">
            <v>0.94</v>
          </cell>
          <cell r="N4">
            <v>57.89473684210526</v>
          </cell>
          <cell r="O4">
            <v>76.874003189792333</v>
          </cell>
          <cell r="P4">
            <v>83.200425305688029</v>
          </cell>
          <cell r="Q4">
            <v>64.221158958000927</v>
          </cell>
        </row>
        <row r="5">
          <cell r="A5">
            <v>44439</v>
          </cell>
          <cell r="B5">
            <v>0.96599999999999997</v>
          </cell>
          <cell r="C5">
            <v>2000</v>
          </cell>
          <cell r="D5">
            <v>2070.3933747412011</v>
          </cell>
          <cell r="E5">
            <v>5998.3291548230773</v>
          </cell>
          <cell r="F5">
            <v>5794.3859635590925</v>
          </cell>
          <cell r="G5">
            <v>6000</v>
          </cell>
          <cell r="H5">
            <v>5794.3859635590925</v>
          </cell>
          <cell r="I5">
            <v>-205.61403644090751</v>
          </cell>
          <cell r="J5">
            <v>1.0469999999999999</v>
          </cell>
          <cell r="K5">
            <v>0.95699999999999996</v>
          </cell>
          <cell r="L5">
            <v>1.054</v>
          </cell>
          <cell r="M5">
            <v>0.94</v>
          </cell>
          <cell r="N5">
            <v>22.807017543859651</v>
          </cell>
          <cell r="O5">
            <v>58.851674641148101</v>
          </cell>
          <cell r="P5">
            <v>75.084175084174717</v>
          </cell>
          <cell r="Q5">
            <v>26.386673755094876</v>
          </cell>
        </row>
        <row r="6">
          <cell r="A6">
            <v>44469</v>
          </cell>
          <cell r="B6">
            <v>0.96099999999999997</v>
          </cell>
          <cell r="C6">
            <v>2000</v>
          </cell>
          <cell r="D6">
            <v>2081.1654526534862</v>
          </cell>
          <cell r="E6">
            <v>8079.494607476563</v>
          </cell>
          <cell r="F6">
            <v>7764.3943177849769</v>
          </cell>
          <cell r="G6">
            <v>8000</v>
          </cell>
          <cell r="H6">
            <v>7764.3943177849769</v>
          </cell>
          <cell r="I6">
            <v>-235.60568221502308</v>
          </cell>
          <cell r="J6">
            <v>0.98799999999999999</v>
          </cell>
          <cell r="K6">
            <v>0.93700000000000006</v>
          </cell>
          <cell r="L6">
            <v>1.054</v>
          </cell>
          <cell r="M6">
            <v>0.93700000000000006</v>
          </cell>
          <cell r="N6">
            <v>20.512820512820436</v>
          </cell>
          <cell r="O6">
            <v>46.072056598372207</v>
          </cell>
          <cell r="P6">
            <v>65.41346892224054</v>
          </cell>
          <cell r="Q6">
            <v>7.3892319506355477</v>
          </cell>
        </row>
        <row r="7">
          <cell r="A7">
            <v>44498</v>
          </cell>
          <cell r="B7">
            <v>0.99299997091293335</v>
          </cell>
          <cell r="C7">
            <v>2000</v>
          </cell>
          <cell r="D7">
            <v>2014.098749833056</v>
          </cell>
          <cell r="E7">
            <v>10093.593357309619</v>
          </cell>
          <cell r="F7">
            <v>10022.937910215429</v>
          </cell>
          <cell r="G7">
            <v>10000</v>
          </cell>
          <cell r="H7">
            <v>10022.937910215429</v>
          </cell>
          <cell r="I7">
            <v>22.937910215428928</v>
          </cell>
          <cell r="J7">
            <v>1.0049999952316284</v>
          </cell>
          <cell r="K7">
            <v>0.93900001049041748</v>
          </cell>
          <cell r="L7">
            <v>1.054</v>
          </cell>
          <cell r="M7">
            <v>0.93700000000000006</v>
          </cell>
          <cell r="N7">
            <v>47.863223002507091</v>
          </cell>
          <cell r="O7">
            <v>46.669112066417171</v>
          </cell>
          <cell r="P7">
            <v>59.165349970299417</v>
          </cell>
          <cell r="Q7">
            <v>21.676636258652678</v>
          </cell>
        </row>
        <row r="8">
          <cell r="A8">
            <v>44530</v>
          </cell>
          <cell r="B8">
            <v>1.0110000371932983</v>
          </cell>
          <cell r="C8">
            <v>2000</v>
          </cell>
          <cell r="D8">
            <v>1978.239294186702</v>
          </cell>
          <cell r="E8">
            <v>12071.832651496321</v>
          </cell>
          <cell r="F8">
            <v>12204.623259654054</v>
          </cell>
          <cell r="G8">
            <v>12000</v>
          </cell>
          <cell r="H8">
            <v>12204.623259654054</v>
          </cell>
          <cell r="I8">
            <v>204.62325965405398</v>
          </cell>
          <cell r="J8">
            <v>1.0219999551773071</v>
          </cell>
          <cell r="K8">
            <v>0.98100000619888306</v>
          </cell>
          <cell r="L8">
            <v>1.054</v>
          </cell>
          <cell r="M8">
            <v>0.93700000000000006</v>
          </cell>
          <cell r="N8">
            <v>63.247895037007083</v>
          </cell>
          <cell r="O8">
            <v>52.195373056613811</v>
          </cell>
          <cell r="P8">
            <v>56.842024332404215</v>
          </cell>
          <cell r="Q8">
            <v>42.902070505032995</v>
          </cell>
        </row>
        <row r="9">
          <cell r="A9">
            <v>44561</v>
          </cell>
          <cell r="B9">
            <v>0.99199998378753662</v>
          </cell>
          <cell r="C9">
            <v>2000</v>
          </cell>
          <cell r="D9">
            <v>2016.1290652080834</v>
          </cell>
          <cell r="E9">
            <v>14087.961716704405</v>
          </cell>
          <cell r="F9">
            <v>13975.257794570207</v>
          </cell>
          <cell r="G9">
            <v>14000</v>
          </cell>
          <cell r="H9">
            <v>13975.257794570207</v>
          </cell>
          <cell r="I9">
            <v>-24.742205429793103</v>
          </cell>
          <cell r="J9">
            <v>1.034000039100647</v>
          </cell>
          <cell r="K9">
            <v>0.97600001096725464</v>
          </cell>
          <cell r="L9">
            <v>1.054</v>
          </cell>
          <cell r="M9">
            <v>0.93700000000000006</v>
          </cell>
          <cell r="N9">
            <v>47.008533151740657</v>
          </cell>
          <cell r="O9">
            <v>50.466426421656088</v>
          </cell>
          <cell r="P9">
            <v>54.716825028821511</v>
          </cell>
          <cell r="Q9">
            <v>41.96562920732525</v>
          </cell>
        </row>
        <row r="10">
          <cell r="A10">
            <v>44589</v>
          </cell>
          <cell r="B10">
            <v>0.89099997282028198</v>
          </cell>
          <cell r="C10">
            <v>2000</v>
          </cell>
          <cell r="D10">
            <v>2244.6689798086081</v>
          </cell>
          <cell r="E10">
            <v>16332.630696513013</v>
          </cell>
          <cell r="F10">
            <v>14552.373506676799</v>
          </cell>
          <cell r="G10">
            <v>16000</v>
          </cell>
          <cell r="H10">
            <v>14552.373506676799</v>
          </cell>
          <cell r="I10">
            <v>-1447.6264933232014</v>
          </cell>
          <cell r="J10">
            <v>0.99599999189376831</v>
          </cell>
          <cell r="K10">
            <v>0.88499999046325684</v>
          </cell>
          <cell r="L10">
            <v>1.054</v>
          </cell>
          <cell r="M10">
            <v>0.88499999046325684</v>
          </cell>
          <cell r="N10">
            <v>3.5502852180139421</v>
          </cell>
          <cell r="O10">
            <v>34.827712687108708</v>
          </cell>
          <cell r="P10">
            <v>48.087120914917243</v>
          </cell>
          <cell r="Q10">
            <v>8.3088962314916301</v>
          </cell>
        </row>
        <row r="11">
          <cell r="A11">
            <v>44620</v>
          </cell>
          <cell r="B11">
            <v>0.88200002908706665</v>
          </cell>
          <cell r="C11">
            <v>2000</v>
          </cell>
          <cell r="D11">
            <v>2267.573621363872</v>
          </cell>
          <cell r="E11">
            <v>18600.204317876887</v>
          </cell>
          <cell r="F11">
            <v>16405.380749392796</v>
          </cell>
          <cell r="G11">
            <v>18000</v>
          </cell>
          <cell r="H11">
            <v>16405.380749392796</v>
          </cell>
          <cell r="I11">
            <v>-1594.6192506072039</v>
          </cell>
          <cell r="J11">
            <v>0.91100001335144043</v>
          </cell>
          <cell r="K11">
            <v>0.85000002384185791</v>
          </cell>
          <cell r="L11">
            <v>1.054</v>
          </cell>
          <cell r="M11">
            <v>0.85000002384185791</v>
          </cell>
          <cell r="N11">
            <v>15.686278914269149</v>
          </cell>
          <cell r="O11">
            <v>28.447234762828856</v>
          </cell>
          <cell r="P11">
            <v>41.54049219755445</v>
          </cell>
          <cell r="Q11">
            <v>2.2607198933776687</v>
          </cell>
        </row>
        <row r="12">
          <cell r="A12">
            <v>44651</v>
          </cell>
          <cell r="B12">
            <v>0.79199999570846558</v>
          </cell>
          <cell r="C12">
            <v>3000</v>
          </cell>
          <cell r="D12">
            <v>3787.8788084038033</v>
          </cell>
          <cell r="E12">
            <v>22388.08312628069</v>
          </cell>
          <cell r="F12">
            <v>17731.361739935077</v>
          </cell>
          <cell r="G12">
            <v>21000</v>
          </cell>
          <cell r="H12">
            <v>17731.361739935077</v>
          </cell>
          <cell r="I12">
            <v>-3268.6382600649231</v>
          </cell>
          <cell r="J12">
            <v>0.88599997758865356</v>
          </cell>
          <cell r="K12">
            <v>0.75</v>
          </cell>
          <cell r="L12">
            <v>1.054</v>
          </cell>
          <cell r="M12">
            <v>0.75</v>
          </cell>
          <cell r="N12">
            <v>13.815788061995253</v>
          </cell>
          <cell r="O12">
            <v>23.570085862550986</v>
          </cell>
          <cell r="P12">
            <v>35.550356752553292</v>
          </cell>
          <cell r="Q12">
            <v>-0.39045591745362174</v>
          </cell>
        </row>
        <row r="13">
          <cell r="A13">
            <v>44680</v>
          </cell>
          <cell r="B13">
            <v>0.71899998188018799</v>
          </cell>
          <cell r="C13">
            <v>2000</v>
          </cell>
          <cell r="D13">
            <v>2781.6412383905649</v>
          </cell>
          <cell r="E13">
            <v>25169.724364671256</v>
          </cell>
          <cell r="F13">
            <v>18097.03136212796</v>
          </cell>
          <cell r="G13">
            <v>23000</v>
          </cell>
          <cell r="H13">
            <v>18097.03136212796</v>
          </cell>
          <cell r="I13">
            <v>-4902.9686378720398</v>
          </cell>
          <cell r="J13">
            <v>0.80199998617172241</v>
          </cell>
          <cell r="K13">
            <v>0.65399998426437378</v>
          </cell>
          <cell r="L13">
            <v>1.0469999999999999</v>
          </cell>
          <cell r="M13">
            <v>0.65399998426437378</v>
          </cell>
          <cell r="N13">
            <v>16.539438934664105</v>
          </cell>
          <cell r="O13">
            <v>21.226536886588693</v>
          </cell>
          <cell r="P13">
            <v>30.77575013056509</v>
          </cell>
          <cell r="Q13">
            <v>2.1281103986359042</v>
          </cell>
        </row>
        <row r="14">
          <cell r="A14">
            <v>44712</v>
          </cell>
          <cell r="B14">
            <v>0.74699997901916504</v>
          </cell>
          <cell r="C14">
            <v>2000</v>
          </cell>
          <cell r="D14">
            <v>2677.3762465509894</v>
          </cell>
          <cell r="E14">
            <v>27847.100611222246</v>
          </cell>
          <cell r="F14">
            <v>20801.783572327597</v>
          </cell>
          <cell r="G14">
            <v>25000</v>
          </cell>
          <cell r="H14">
            <v>20801.783572327597</v>
          </cell>
          <cell r="I14">
            <v>-4198.2164276724034</v>
          </cell>
          <cell r="J14">
            <v>0.74800002574920654</v>
          </cell>
          <cell r="K14">
            <v>0.68199998140335083</v>
          </cell>
          <cell r="L14">
            <v>1.034000039100647</v>
          </cell>
          <cell r="M14">
            <v>0.65399998426437378</v>
          </cell>
          <cell r="N14">
            <v>24.4736792985099</v>
          </cell>
          <cell r="O14">
            <v>22.308917690562428</v>
          </cell>
          <cell r="P14">
            <v>27.953472650564205</v>
          </cell>
          <cell r="Q14">
            <v>11.019807770558877</v>
          </cell>
        </row>
        <row r="15">
          <cell r="A15">
            <v>44742</v>
          </cell>
          <cell r="B15">
            <v>0.84500002861022949</v>
          </cell>
          <cell r="C15">
            <v>2000</v>
          </cell>
          <cell r="D15">
            <v>2366.8638251875536</v>
          </cell>
          <cell r="E15">
            <v>30213.964436409799</v>
          </cell>
          <cell r="F15">
            <v>25530.800813194735</v>
          </cell>
          <cell r="G15">
            <v>27000</v>
          </cell>
          <cell r="H15">
            <v>25530.800813194735</v>
          </cell>
          <cell r="I15">
            <v>-1469.1991868052646</v>
          </cell>
          <cell r="J15">
            <v>0.86000001430511475</v>
          </cell>
          <cell r="K15">
            <v>0.74400001764297485</v>
          </cell>
          <cell r="L15">
            <v>1.034000039100647</v>
          </cell>
          <cell r="M15">
            <v>0.65399998426437378</v>
          </cell>
          <cell r="N15">
            <v>50.263162311423869</v>
          </cell>
          <cell r="O15">
            <v>31.626999230849577</v>
          </cell>
          <cell r="P15">
            <v>29.177981510659333</v>
          </cell>
          <cell r="Q15">
            <v>36.525034671230067</v>
          </cell>
        </row>
        <row r="16">
          <cell r="A16">
            <v>44771</v>
          </cell>
          <cell r="B16">
            <v>0.80099999904632568</v>
          </cell>
          <cell r="C16">
            <v>2000</v>
          </cell>
          <cell r="D16">
            <v>2496.8789043460788</v>
          </cell>
          <cell r="E16">
            <v>32710.843340755877</v>
          </cell>
          <cell r="F16">
            <v>26201.385484749968</v>
          </cell>
          <cell r="G16">
            <v>29000</v>
          </cell>
          <cell r="H16">
            <v>26201.385484749968</v>
          </cell>
          <cell r="I16">
            <v>-2798.6145152500321</v>
          </cell>
          <cell r="J16">
            <v>0.85799998044967651</v>
          </cell>
          <cell r="K16">
            <v>0.79900002479553223</v>
          </cell>
          <cell r="L16">
            <v>1.034000039100647</v>
          </cell>
          <cell r="M16">
            <v>0.65399998426437378</v>
          </cell>
          <cell r="N16">
            <v>38.684208833940389</v>
          </cell>
          <cell r="O16">
            <v>33.979402431879848</v>
          </cell>
          <cell r="P16">
            <v>30.778455151066169</v>
          </cell>
          <cell r="Q16">
            <v>40.381296993507206</v>
          </cell>
        </row>
        <row r="17">
          <cell r="A17">
            <v>44804</v>
          </cell>
          <cell r="B17">
            <v>0.76499998569488525</v>
          </cell>
          <cell r="C17">
            <v>2000</v>
          </cell>
          <cell r="D17">
            <v>2614.3791338548936</v>
          </cell>
          <cell r="E17">
            <v>35325.222474610768</v>
          </cell>
          <cell r="F17">
            <v>27023.794687745878</v>
          </cell>
          <cell r="G17">
            <v>31000</v>
          </cell>
          <cell r="H17">
            <v>27023.794687745878</v>
          </cell>
          <cell r="I17">
            <v>-3976.205312254122</v>
          </cell>
          <cell r="J17">
            <v>0.82700002193450928</v>
          </cell>
          <cell r="K17">
            <v>0.7630000114440918</v>
          </cell>
          <cell r="L17">
            <v>1.034000039100647</v>
          </cell>
          <cell r="M17">
            <v>0.65399998426437378</v>
          </cell>
          <cell r="N17">
            <v>29.210522476986728</v>
          </cell>
          <cell r="O17">
            <v>32.389775780248804</v>
          </cell>
          <cell r="P17">
            <v>31.315562027460384</v>
          </cell>
          <cell r="Q17">
            <v>34.538203285825638</v>
          </cell>
        </row>
        <row r="18">
          <cell r="A18">
            <v>44834</v>
          </cell>
          <cell r="B18">
            <v>0.69599997997283936</v>
          </cell>
          <cell r="C18">
            <v>2000</v>
          </cell>
          <cell r="D18">
            <v>2873.5633010766005</v>
          </cell>
          <cell r="E18">
            <v>38198.785775687371</v>
          </cell>
          <cell r="F18">
            <v>26586.354134865192</v>
          </cell>
          <cell r="G18">
            <v>33000</v>
          </cell>
          <cell r="H18">
            <v>26586.354134865192</v>
          </cell>
          <cell r="I18">
            <v>-6413.6458651348075</v>
          </cell>
          <cell r="J18">
            <v>0.77399998903274536</v>
          </cell>
          <cell r="K18">
            <v>0.69599997997283936</v>
          </cell>
          <cell r="L18">
            <v>0.99599999189376831</v>
          </cell>
          <cell r="M18">
            <v>0.65399998426437378</v>
          </cell>
          <cell r="N18">
            <v>12.280700225591376</v>
          </cell>
          <cell r="O18">
            <v>25.686750595362994</v>
          </cell>
          <cell r="P18">
            <v>29.439291550094584</v>
          </cell>
          <cell r="Q18">
            <v>18.181668685899815</v>
          </cell>
        </row>
        <row r="19">
          <cell r="A19">
            <v>44865</v>
          </cell>
          <cell r="B19">
            <v>0.68699997663497925</v>
          </cell>
          <cell r="C19">
            <v>2000</v>
          </cell>
          <cell r="D19">
            <v>2911.2082503936554</v>
          </cell>
          <cell r="E19">
            <v>41109.994026081025</v>
          </cell>
          <cell r="F19">
            <v>28242.564935381801</v>
          </cell>
          <cell r="G19">
            <v>35000</v>
          </cell>
          <cell r="H19">
            <v>28242.564935381801</v>
          </cell>
          <cell r="I19">
            <v>-6757.4350646181992</v>
          </cell>
          <cell r="J19">
            <v>0.74199998378753662</v>
          </cell>
          <cell r="K19">
            <v>0.67799997329711914</v>
          </cell>
          <cell r="L19">
            <v>0.91100001335144043</v>
          </cell>
          <cell r="M19">
            <v>0.65399998426437378</v>
          </cell>
          <cell r="N19">
            <v>12.840462504160149</v>
          </cell>
          <cell r="O19">
            <v>21.404654564962044</v>
          </cell>
          <cell r="P19">
            <v>26.761079221717068</v>
          </cell>
          <cell r="Q19">
            <v>10.691805251451996</v>
          </cell>
        </row>
        <row r="20">
          <cell r="A20">
            <v>44895</v>
          </cell>
          <cell r="B20">
            <v>0.72000002861022949</v>
          </cell>
          <cell r="C20">
            <v>2000</v>
          </cell>
          <cell r="D20">
            <v>2777.7776673988105</v>
          </cell>
          <cell r="E20">
            <v>43887.771693479837</v>
          </cell>
          <cell r="F20">
            <v>31599.196874944704</v>
          </cell>
          <cell r="G20">
            <v>37000</v>
          </cell>
          <cell r="H20">
            <v>31599.196874944704</v>
          </cell>
          <cell r="I20">
            <v>-5400.8031250552958</v>
          </cell>
          <cell r="J20">
            <v>0.74500000476837158</v>
          </cell>
          <cell r="K20">
            <v>0.68400001525878906</v>
          </cell>
          <cell r="L20">
            <v>0.88599997758865356</v>
          </cell>
          <cell r="M20">
            <v>0.65399998426437378</v>
          </cell>
          <cell r="N20">
            <v>28.448295795251873</v>
          </cell>
          <cell r="O20">
            <v>23.752534975058655</v>
          </cell>
          <cell r="P20">
            <v>25.758231139497596</v>
          </cell>
          <cell r="Q20">
            <v>19.741142646180776</v>
          </cell>
        </row>
        <row r="21">
          <cell r="A21">
            <v>44925</v>
          </cell>
          <cell r="B21">
            <v>0.72299998998641968</v>
          </cell>
          <cell r="C21">
            <v>2000</v>
          </cell>
          <cell r="D21">
            <v>2766.2517672200333</v>
          </cell>
          <cell r="E21">
            <v>46654.023460699871</v>
          </cell>
          <cell r="F21">
            <v>33730.858494912194</v>
          </cell>
          <cell r="G21">
            <v>39000</v>
          </cell>
          <cell r="H21">
            <v>33730.858494912194</v>
          </cell>
          <cell r="I21">
            <v>-5269.1415050878059</v>
          </cell>
          <cell r="J21">
            <v>0.75199997425079346</v>
          </cell>
          <cell r="K21">
            <v>0.7070000171661377</v>
          </cell>
          <cell r="L21">
            <v>0.86000001430511475</v>
          </cell>
          <cell r="M21">
            <v>0.65399998426437378</v>
          </cell>
          <cell r="N21">
            <v>33.495143524202234</v>
          </cell>
          <cell r="O21">
            <v>27.000071158106511</v>
          </cell>
          <cell r="P21">
            <v>26.172177812367234</v>
          </cell>
          <cell r="Q21">
            <v>28.655857849585068</v>
          </cell>
        </row>
        <row r="22">
          <cell r="A22">
            <v>44957</v>
          </cell>
          <cell r="B22">
            <v>0.78899997472763062</v>
          </cell>
          <cell r="C22">
            <v>2000</v>
          </cell>
          <cell r="D22">
            <v>2534.8543270744931</v>
          </cell>
          <cell r="E22">
            <v>49188.877787774363</v>
          </cell>
          <cell r="F22">
            <v>38810.02333143448</v>
          </cell>
          <cell r="G22">
            <v>41000</v>
          </cell>
          <cell r="H22">
            <v>38810.02333143448</v>
          </cell>
          <cell r="I22">
            <v>-2189.9766685655195</v>
          </cell>
          <cell r="J22">
            <v>0.81000000238418579</v>
          </cell>
          <cell r="K22">
            <v>0.7149999737739563</v>
          </cell>
          <cell r="L22">
            <v>0.86000001430511475</v>
          </cell>
          <cell r="M22">
            <v>0.67799997329711914</v>
          </cell>
          <cell r="N22">
            <v>60.988998033047167</v>
          </cell>
          <cell r="O22">
            <v>38.329713449753399</v>
          </cell>
          <cell r="P22">
            <v>30.224689691495957</v>
          </cell>
          <cell r="Q22">
            <v>54.539760966268283</v>
          </cell>
        </row>
        <row r="23">
          <cell r="A23">
            <v>44985</v>
          </cell>
          <cell r="B23">
            <v>0.7630000114440918</v>
          </cell>
          <cell r="C23">
            <v>2000</v>
          </cell>
          <cell r="D23">
            <v>2621.2319397147853</v>
          </cell>
          <cell r="E23">
            <v>51810.109727489151</v>
          </cell>
          <cell r="F23">
            <v>39531.114314993873</v>
          </cell>
          <cell r="G23">
            <v>43000</v>
          </cell>
          <cell r="H23">
            <v>39531.114314993873</v>
          </cell>
          <cell r="I23">
            <v>-3468.8856850061275</v>
          </cell>
          <cell r="J23">
            <v>0.80199998617172241</v>
          </cell>
          <cell r="K23">
            <v>0.75599998235702515</v>
          </cell>
          <cell r="L23">
            <v>0.86000001430511475</v>
          </cell>
          <cell r="M23">
            <v>0.67799997329711914</v>
          </cell>
          <cell r="N23">
            <v>46.703307140045339</v>
          </cell>
          <cell r="O23">
            <v>41.120911346517381</v>
          </cell>
          <cell r="P23">
            <v>33.856763576503099</v>
          </cell>
          <cell r="Q23">
            <v>55.649206886545954</v>
          </cell>
        </row>
        <row r="24">
          <cell r="A24">
            <v>45016</v>
          </cell>
          <cell r="B24">
            <v>0.77100002765655518</v>
          </cell>
          <cell r="C24">
            <v>2000</v>
          </cell>
          <cell r="D24">
            <v>2594.0336293877635</v>
          </cell>
          <cell r="E24">
            <v>54404.143356876913</v>
          </cell>
          <cell r="F24">
            <v>41945.596032783295</v>
          </cell>
          <cell r="G24">
            <v>45000</v>
          </cell>
          <cell r="H24">
            <v>41945.596032783295</v>
          </cell>
          <cell r="I24">
            <v>-3054.4039672167055</v>
          </cell>
          <cell r="J24">
            <v>0.77499997615814209</v>
          </cell>
          <cell r="K24">
            <v>0.7279999852180481</v>
          </cell>
          <cell r="L24">
            <v>0.85799998044967651</v>
          </cell>
          <cell r="M24">
            <v>0.67799997329711914</v>
          </cell>
          <cell r="N24">
            <v>51.666694813303359</v>
          </cell>
          <cell r="O24">
            <v>44.636172502112707</v>
          </cell>
          <cell r="P24">
            <v>37.449899885039635</v>
          </cell>
          <cell r="Q24">
            <v>59.008717736258845</v>
          </cell>
        </row>
        <row r="25">
          <cell r="A25">
            <v>45044</v>
          </cell>
          <cell r="B25">
            <v>0.75099998712539673</v>
          </cell>
          <cell r="C25">
            <v>2000</v>
          </cell>
          <cell r="D25">
            <v>2663.1158911938223</v>
          </cell>
          <cell r="E25">
            <v>57067.259248070739</v>
          </cell>
          <cell r="F25">
            <v>42857.510960582804</v>
          </cell>
          <cell r="G25">
            <v>47000</v>
          </cell>
          <cell r="H25">
            <v>42857.510960582804</v>
          </cell>
          <cell r="I25">
            <v>-4142.4890394171962</v>
          </cell>
          <cell r="J25">
            <v>0.78800000000000003</v>
          </cell>
          <cell r="K25">
            <v>0.72899999999999998</v>
          </cell>
          <cell r="L25">
            <v>0.82700002193450928</v>
          </cell>
          <cell r="M25">
            <v>0.67799997329711914</v>
          </cell>
          <cell r="N25">
            <v>48.993281878673784</v>
          </cell>
          <cell r="O25">
            <v>46.088542294299735</v>
          </cell>
          <cell r="P25">
            <v>40.329447354792997</v>
          </cell>
          <cell r="Q25">
            <v>57.606732173313205</v>
          </cell>
        </row>
        <row r="26">
          <cell r="A26">
            <v>45077</v>
          </cell>
          <cell r="B26">
            <v>0.72000002861022949</v>
          </cell>
          <cell r="C26">
            <v>2000</v>
          </cell>
          <cell r="D26">
            <v>2777.7776673988105</v>
          </cell>
          <cell r="E26">
            <v>59845.036915469551</v>
          </cell>
          <cell r="F26">
            <v>43088.42829131832</v>
          </cell>
          <cell r="G26">
            <v>49000</v>
          </cell>
          <cell r="H26">
            <v>43088.42829131832</v>
          </cell>
          <cell r="I26">
            <v>-5911.5717086816803</v>
          </cell>
          <cell r="J26">
            <v>0.74699997901916504</v>
          </cell>
          <cell r="K26">
            <v>0.7149999737739563</v>
          </cell>
          <cell r="L26">
            <v>0.81000000238418579</v>
          </cell>
          <cell r="M26">
            <v>0.67799997329711914</v>
          </cell>
          <cell r="N26">
            <v>31.818216710700341</v>
          </cell>
          <cell r="O26">
            <v>41.331767099766601</v>
          </cell>
          <cell r="P26">
            <v>40.66355393645086</v>
          </cell>
          <cell r="Q26">
            <v>42.668193426398076</v>
          </cell>
        </row>
        <row r="27">
          <cell r="A27">
            <v>45107</v>
          </cell>
          <cell r="B27">
            <v>0.75499999523162842</v>
          </cell>
          <cell r="C27">
            <v>2000</v>
          </cell>
          <cell r="D27">
            <v>2649.0066392469512</v>
          </cell>
          <cell r="E27">
            <v>62494.043554716503</v>
          </cell>
          <cell r="F27">
            <v>47183.002585816139</v>
          </cell>
          <cell r="G27">
            <v>51000</v>
          </cell>
          <cell r="H27">
            <v>47183.002585816139</v>
          </cell>
          <cell r="I27">
            <v>-3816.9974141838611</v>
          </cell>
          <cell r="J27">
            <v>0.77399998903274536</v>
          </cell>
          <cell r="K27">
            <v>0.71100002527236938</v>
          </cell>
          <cell r="L27">
            <v>0.81000000238418579</v>
          </cell>
          <cell r="M27">
            <v>0.67799997329711914</v>
          </cell>
          <cell r="N27">
            <v>58.333337096251995</v>
          </cell>
          <cell r="O27">
            <v>46.998957098595064</v>
          </cell>
          <cell r="P27">
            <v>42.775354990498926</v>
          </cell>
          <cell r="Q27">
            <v>55.446161314787332</v>
          </cell>
        </row>
        <row r="28">
          <cell r="A28">
            <v>45138</v>
          </cell>
          <cell r="B28">
            <v>0.76099997758865356</v>
          </cell>
          <cell r="C28">
            <v>2000</v>
          </cell>
          <cell r="D28">
            <v>2628.1209709589089</v>
          </cell>
          <cell r="E28">
            <v>65122.164525675413</v>
          </cell>
          <cell r="F28">
            <v>49557.965744563597</v>
          </cell>
          <cell r="G28">
            <v>53000</v>
          </cell>
          <cell r="H28">
            <v>49557.965744563597</v>
          </cell>
          <cell r="I28">
            <v>-3442.0342554364033</v>
          </cell>
          <cell r="J28">
            <v>0.77100002765655518</v>
          </cell>
          <cell r="K28">
            <v>0.73400002717971802</v>
          </cell>
          <cell r="L28">
            <v>0.81000000238418579</v>
          </cell>
          <cell r="M28">
            <v>0.68400001525878906</v>
          </cell>
          <cell r="N28">
            <v>61.111087458471879</v>
          </cell>
          <cell r="O28">
            <v>51.703000551887335</v>
          </cell>
          <cell r="P28">
            <v>45.751236844295057</v>
          </cell>
          <cell r="Q28">
            <v>63.606527967071898</v>
          </cell>
        </row>
        <row r="29">
          <cell r="A29">
            <v>45169</v>
          </cell>
          <cell r="B29">
            <v>0.71399998664855957</v>
          </cell>
          <cell r="C29">
            <v>2000</v>
          </cell>
          <cell r="D29">
            <v>2801.1205005588145</v>
          </cell>
          <cell r="E29">
            <v>67923.285026234225</v>
          </cell>
          <cell r="F29">
            <v>48497.224601857546</v>
          </cell>
          <cell r="G29">
            <v>55000</v>
          </cell>
          <cell r="H29">
            <v>48497.224601857546</v>
          </cell>
          <cell r="I29">
            <v>-6502.7753981424539</v>
          </cell>
          <cell r="J29">
            <v>0.76999998092651367</v>
          </cell>
          <cell r="K29">
            <v>0.68699997663497925</v>
          </cell>
          <cell r="L29">
            <v>0.81000000238418579</v>
          </cell>
          <cell r="M29">
            <v>0.68699997663497925</v>
          </cell>
          <cell r="N29">
            <v>21.951223057979316</v>
          </cell>
          <cell r="O29">
            <v>41.785741387251328</v>
          </cell>
          <cell r="P29">
            <v>44.429405025280481</v>
          </cell>
          <cell r="Q29">
            <v>36.498414111193014</v>
          </cell>
        </row>
        <row r="30">
          <cell r="A30">
            <v>45197</v>
          </cell>
          <cell r="B30">
            <v>0.68500000238418579</v>
          </cell>
          <cell r="C30">
            <v>2000</v>
          </cell>
          <cell r="D30">
            <v>2919.708019034852</v>
          </cell>
          <cell r="E30">
            <v>70842.993045269075</v>
          </cell>
          <cell r="F30">
            <v>48527.450404912175</v>
          </cell>
          <cell r="G30">
            <v>57000</v>
          </cell>
          <cell r="H30">
            <v>48527.450404912175</v>
          </cell>
          <cell r="I30">
            <v>-8472.5495950878249</v>
          </cell>
          <cell r="J30">
            <v>0.72600001096725464</v>
          </cell>
          <cell r="K30">
            <v>0.67500001192092896</v>
          </cell>
          <cell r="L30">
            <v>0.81000000238418579</v>
          </cell>
          <cell r="M30">
            <v>0.67500001192092896</v>
          </cell>
          <cell r="N30">
            <v>7.4074008664308382</v>
          </cell>
          <cell r="O30">
            <v>30.326294546977831</v>
          </cell>
          <cell r="P30">
            <v>39.728368199179599</v>
          </cell>
          <cell r="Q30">
            <v>11.522147242574292</v>
          </cell>
        </row>
        <row r="31">
          <cell r="A31">
            <v>45230</v>
          </cell>
          <cell r="B31">
            <v>0.66299998760223389</v>
          </cell>
          <cell r="C31">
            <v>2000</v>
          </cell>
          <cell r="D31">
            <v>3016.5913082941079</v>
          </cell>
          <cell r="E31">
            <v>73859.584353563187</v>
          </cell>
          <cell r="F31">
            <v>48968.903510718541</v>
          </cell>
          <cell r="G31">
            <v>59000</v>
          </cell>
          <cell r="H31">
            <v>48968.903510718541</v>
          </cell>
          <cell r="I31">
            <v>-10031.096489281459</v>
          </cell>
          <cell r="J31">
            <v>0.69499999284744263</v>
          </cell>
          <cell r="K31">
            <v>0.63499999046325684</v>
          </cell>
          <cell r="L31">
            <v>0.80199998617172241</v>
          </cell>
          <cell r="M31">
            <v>0.63499999046325684</v>
          </cell>
          <cell r="N31">
            <v>16.766465783542337</v>
          </cell>
          <cell r="O31">
            <v>25.806351625832665</v>
          </cell>
          <cell r="P31">
            <v>35.087696008063951</v>
          </cell>
          <cell r="Q31">
            <v>7.2436628613700975</v>
          </cell>
        </row>
        <row r="32">
          <cell r="A32">
            <v>45260</v>
          </cell>
          <cell r="B32">
            <v>0.65100002288818359</v>
          </cell>
          <cell r="C32">
            <v>2000</v>
          </cell>
          <cell r="D32">
            <v>3072.1965125698957</v>
          </cell>
          <cell r="E32">
            <v>76931.780866133078</v>
          </cell>
          <cell r="F32">
            <v>50082.591104681356</v>
          </cell>
          <cell r="G32">
            <v>61000</v>
          </cell>
          <cell r="H32">
            <v>50082.591104681356</v>
          </cell>
          <cell r="I32">
            <v>-10917.408895318644</v>
          </cell>
          <cell r="J32">
            <v>0.6809999942779541</v>
          </cell>
          <cell r="K32">
            <v>0.64800000190734863</v>
          </cell>
          <cell r="L32">
            <v>0.78800000000000003</v>
          </cell>
          <cell r="M32">
            <v>0.63499999046325684</v>
          </cell>
          <cell r="N32">
            <v>10.457536880796289</v>
          </cell>
          <cell r="O32">
            <v>20.690080044153873</v>
          </cell>
          <cell r="P32">
            <v>30.288490686760593</v>
          </cell>
          <cell r="Q32">
            <v>1.4932587589404349</v>
          </cell>
        </row>
        <row r="33">
          <cell r="A33">
            <v>45289</v>
          </cell>
          <cell r="B33">
            <v>0.64499998092651367</v>
          </cell>
          <cell r="C33">
            <v>2000</v>
          </cell>
          <cell r="D33">
            <v>3100.7752854923956</v>
          </cell>
          <cell r="E33">
            <v>80032.556151625467</v>
          </cell>
          <cell r="F33">
            <v>51620.997191298564</v>
          </cell>
          <cell r="G33">
            <v>63000</v>
          </cell>
          <cell r="H33">
            <v>51620.997191298564</v>
          </cell>
          <cell r="I33">
            <v>-11379.002808701436</v>
          </cell>
          <cell r="J33">
            <v>0.65100002288818359</v>
          </cell>
          <cell r="K33">
            <v>0.6119999885559082</v>
          </cell>
          <cell r="L33">
            <v>0.78800000000000003</v>
          </cell>
          <cell r="M33">
            <v>0.6119999885559082</v>
          </cell>
          <cell r="N33">
            <v>18.749994445931186</v>
          </cell>
          <cell r="O33">
            <v>20.04338484474631</v>
          </cell>
          <cell r="P33">
            <v>26.873455406089164</v>
          </cell>
          <cell r="Q33">
            <v>6.3832437220605982</v>
          </cell>
        </row>
        <row r="34">
          <cell r="A34">
            <v>45322</v>
          </cell>
          <cell r="B34">
            <v>0.56099998950958252</v>
          </cell>
          <cell r="C34">
            <v>3000</v>
          </cell>
          <cell r="D34">
            <v>5347.593682885009</v>
          </cell>
          <cell r="E34">
            <v>85380.149834510477</v>
          </cell>
          <cell r="F34">
            <v>47898.263161486961</v>
          </cell>
          <cell r="G34">
            <v>66000</v>
          </cell>
          <cell r="H34">
            <v>47898.263161486961</v>
          </cell>
          <cell r="I34">
            <v>-18101.736838513039</v>
          </cell>
          <cell r="J34">
            <v>0.64499998092651367</v>
          </cell>
          <cell r="K34">
            <v>0.55900001525878906</v>
          </cell>
          <cell r="L34">
            <v>0.77399998903274536</v>
          </cell>
          <cell r="M34">
            <v>0.55900001525878906</v>
          </cell>
          <cell r="N34">
            <v>0.93022069523420603</v>
          </cell>
          <cell r="O34">
            <v>13.672330128242274</v>
          </cell>
          <cell r="P34">
            <v>22.473080313473535</v>
          </cell>
          <cell r="Q34">
            <v>-3.9291702422202448</v>
          </cell>
        </row>
        <row r="35">
          <cell r="A35">
            <v>45351</v>
          </cell>
          <cell r="B35">
            <v>0.6380000114440918</v>
          </cell>
          <cell r="C35">
            <v>2000</v>
          </cell>
          <cell r="D35">
            <v>3134.7961820142709</v>
          </cell>
          <cell r="E35">
            <v>88514.946016524744</v>
          </cell>
          <cell r="F35">
            <v>56472.536571515957</v>
          </cell>
          <cell r="G35">
            <v>68000</v>
          </cell>
          <cell r="H35">
            <v>56472.536571515957</v>
          </cell>
          <cell r="I35">
            <v>-11527.463428484043</v>
          </cell>
          <cell r="J35">
            <v>0.63999998569488525</v>
          </cell>
          <cell r="K35">
            <v>0.53600001335144043</v>
          </cell>
          <cell r="L35">
            <v>0.77399998903274536</v>
          </cell>
          <cell r="M35">
            <v>0.53600001335144043</v>
          </cell>
          <cell r="N35">
            <v>42.857146434852993</v>
          </cell>
          <cell r="O35">
            <v>23.400602230445845</v>
          </cell>
          <cell r="P35">
            <v>22.782254285797638</v>
          </cell>
          <cell r="Q35">
            <v>24.637298119742262</v>
          </cell>
        </row>
        <row r="36">
          <cell r="A36">
            <v>45380</v>
          </cell>
          <cell r="B36">
            <v>0.64600002765655518</v>
          </cell>
          <cell r="C36">
            <v>2000</v>
          </cell>
          <cell r="D36">
            <v>3095.9750996532412</v>
          </cell>
          <cell r="E36">
            <v>91610.921116177982</v>
          </cell>
          <cell r="F36">
            <v>59180.657574693469</v>
          </cell>
          <cell r="G36">
            <v>70000</v>
          </cell>
          <cell r="H36">
            <v>59180.657574693469</v>
          </cell>
          <cell r="I36">
            <v>-10819.342425306531</v>
          </cell>
          <cell r="J36">
            <v>0.67000001668930054</v>
          </cell>
          <cell r="K36">
            <v>0.63400000333786011</v>
          </cell>
          <cell r="L36">
            <v>0.77100002765655518</v>
          </cell>
          <cell r="M36">
            <v>0.53600001335144043</v>
          </cell>
          <cell r="N36">
            <v>46.808513876214093</v>
          </cell>
          <cell r="O36">
            <v>31.203239445701929</v>
          </cell>
          <cell r="P36">
            <v>25.589249339099069</v>
          </cell>
          <cell r="Q36">
            <v>42.431219658907651</v>
          </cell>
        </row>
        <row r="37">
          <cell r="A37">
            <v>45412</v>
          </cell>
          <cell r="B37">
            <v>0.66399997472763062</v>
          </cell>
          <cell r="C37">
            <v>2000</v>
          </cell>
          <cell r="D37">
            <v>3012.0483074120443</v>
          </cell>
          <cell r="E37">
            <v>94622.969423590024</v>
          </cell>
          <cell r="F37">
            <v>62829.649305917141</v>
          </cell>
          <cell r="G37">
            <v>72000</v>
          </cell>
          <cell r="H37">
            <v>62829.649305917141</v>
          </cell>
          <cell r="I37">
            <v>-9170.3506940828593</v>
          </cell>
          <cell r="J37">
            <v>0.67299997806549072</v>
          </cell>
          <cell r="K37">
            <v>0.62900000810623169</v>
          </cell>
          <cell r="L37">
            <v>0.76999998092651367</v>
          </cell>
          <cell r="M37">
            <v>0.53600001335144043</v>
          </cell>
          <cell r="N37">
            <v>54.700845774743321</v>
          </cell>
          <cell r="O37">
            <v>39.035774888715729</v>
          </cell>
          <cell r="P37">
            <v>30.071424522304625</v>
          </cell>
          <cell r="Q37">
            <v>56.964475621537929</v>
          </cell>
        </row>
        <row r="38">
          <cell r="A38">
            <v>45443</v>
          </cell>
          <cell r="B38">
            <v>0.64999997615814209</v>
          </cell>
          <cell r="C38">
            <v>2000</v>
          </cell>
          <cell r="D38">
            <v>3076.9231897839468</v>
          </cell>
          <cell r="E38">
            <v>97699.892613373973</v>
          </cell>
          <cell r="F38">
            <v>63504.927869346124</v>
          </cell>
          <cell r="G38">
            <v>74000</v>
          </cell>
          <cell r="H38">
            <v>63504.927869346124</v>
          </cell>
          <cell r="I38">
            <v>-10495.072130653876</v>
          </cell>
          <cell r="J38">
            <v>0.68300002813339233</v>
          </cell>
          <cell r="K38">
            <v>0.6470000147819519</v>
          </cell>
          <cell r="L38">
            <v>0.72600001096725464</v>
          </cell>
          <cell r="M38">
            <v>0.53600001335144043</v>
          </cell>
          <cell r="N38">
            <v>59.999981177480358</v>
          </cell>
          <cell r="O38">
            <v>46.023843651637272</v>
          </cell>
          <cell r="P38">
            <v>35.388897565415505</v>
          </cell>
          <cell r="Q38">
            <v>67.293735824080812</v>
          </cell>
        </row>
        <row r="39">
          <cell r="A39">
            <v>45471</v>
          </cell>
          <cell r="B39">
            <v>0.63599997758865356</v>
          </cell>
          <cell r="C39">
            <v>2000</v>
          </cell>
          <cell r="D39">
            <v>3144.6541988615327</v>
          </cell>
          <cell r="E39">
            <v>100844.54681223551</v>
          </cell>
          <cell r="F39">
            <v>64137.129512519707</v>
          </cell>
          <cell r="G39">
            <v>76000</v>
          </cell>
          <cell r="H39">
            <v>64137.129512519707</v>
          </cell>
          <cell r="I39">
            <v>-11862.870487480293</v>
          </cell>
          <cell r="J39">
            <v>0.66900002956390381</v>
          </cell>
          <cell r="K39">
            <v>0.62999999523162842</v>
          </cell>
          <cell r="L39">
            <v>0.69499999284744263</v>
          </cell>
          <cell r="M39">
            <v>0.53600001335144043</v>
          </cell>
          <cell r="N39">
            <v>62.893067379123451</v>
          </cell>
          <cell r="O39">
            <v>51.646918227465996</v>
          </cell>
          <cell r="P39">
            <v>40.808237786098999</v>
          </cell>
          <cell r="Q39">
            <v>73.324279110199996</v>
          </cell>
        </row>
        <row r="40">
          <cell r="A40">
            <v>45504</v>
          </cell>
          <cell r="B40">
            <v>0.63300001621246338</v>
          </cell>
          <cell r="C40">
            <v>2000</v>
          </cell>
          <cell r="D40">
            <v>3159.5575810044052</v>
          </cell>
          <cell r="E40">
            <v>104004.10439323992</v>
          </cell>
          <cell r="F40">
            <v>65834.599767083608</v>
          </cell>
          <cell r="G40">
            <v>78000</v>
          </cell>
          <cell r="H40">
            <v>65834.599767083608</v>
          </cell>
          <cell r="I40">
            <v>-12165.400232916392</v>
          </cell>
          <cell r="J40">
            <v>0.64899998903274536</v>
          </cell>
          <cell r="K40">
            <v>0.61299997568130493</v>
          </cell>
          <cell r="L40">
            <v>0.68300002813339233</v>
          </cell>
          <cell r="M40">
            <v>0.53600001335144043</v>
          </cell>
          <cell r="N40">
            <v>65.986389868671111</v>
          </cell>
          <cell r="O40">
            <v>56.426742107867703</v>
          </cell>
          <cell r="P40">
            <v>46.014405893355239</v>
          </cell>
          <cell r="Q40">
            <v>77.251414536892625</v>
          </cell>
        </row>
        <row r="41">
          <cell r="A41">
            <v>45534</v>
          </cell>
          <cell r="B41">
            <v>0.61000001430511475</v>
          </cell>
          <cell r="C41">
            <v>2000</v>
          </cell>
          <cell r="D41">
            <v>3278.6884477016156</v>
          </cell>
          <cell r="E41">
            <v>107282.79284094153</v>
          </cell>
          <cell r="F41">
            <v>65442.505167666997</v>
          </cell>
          <cell r="G41">
            <v>80000</v>
          </cell>
          <cell r="H41">
            <v>65442.505167666997</v>
          </cell>
          <cell r="I41">
            <v>-14557.494832333003</v>
          </cell>
          <cell r="J41">
            <v>0.63599997758865356</v>
          </cell>
          <cell r="K41">
            <v>0.58399999141693115</v>
          </cell>
          <cell r="L41">
            <v>0.68300002813339233</v>
          </cell>
          <cell r="M41">
            <v>0.53600001335144043</v>
          </cell>
          <cell r="N41">
            <v>50.340131641102225</v>
          </cell>
          <cell r="O41">
            <v>54.39787195227921</v>
          </cell>
          <cell r="P41">
            <v>48.808894579663225</v>
          </cell>
          <cell r="Q41">
            <v>65.575826697511175</v>
          </cell>
        </row>
        <row r="42">
          <cell r="A42">
            <v>45565</v>
          </cell>
          <cell r="B42">
            <v>0.76700001955032349</v>
          </cell>
          <cell r="C42">
            <v>2000</v>
          </cell>
          <cell r="D42">
            <v>2607.561863130798</v>
          </cell>
          <cell r="E42">
            <v>109890.35470407234</v>
          </cell>
          <cell r="F42">
            <v>84285.904206415464</v>
          </cell>
          <cell r="G42">
            <v>82000</v>
          </cell>
          <cell r="H42">
            <v>84285.904206415464</v>
          </cell>
          <cell r="I42">
            <v>2285.9042064154637</v>
          </cell>
          <cell r="J42">
            <v>0.76700001955032349</v>
          </cell>
          <cell r="K42">
            <v>0.58899998664855957</v>
          </cell>
          <cell r="L42">
            <v>0.76700001955032349</v>
          </cell>
          <cell r="M42">
            <v>0.53600001335144043</v>
          </cell>
          <cell r="N42">
            <v>100</v>
          </cell>
          <cell r="O42">
            <v>69.598581301519474</v>
          </cell>
          <cell r="P42">
            <v>55.738790153615305</v>
          </cell>
          <cell r="Q42">
            <v>97.318163597327825</v>
          </cell>
        </row>
        <row r="43">
          <cell r="A43">
            <v>45596</v>
          </cell>
          <cell r="B43">
            <v>0.77700001001358032</v>
          </cell>
          <cell r="C43">
            <v>2000</v>
          </cell>
          <cell r="D43">
            <v>2574.0025408301399</v>
          </cell>
          <cell r="E43">
            <v>112464.35724490248</v>
          </cell>
          <cell r="F43">
            <v>87384.806705460098</v>
          </cell>
          <cell r="G43">
            <v>84000</v>
          </cell>
          <cell r="H43">
            <v>87384.806705460098</v>
          </cell>
          <cell r="I43">
            <v>3384.8067054600979</v>
          </cell>
          <cell r="J43">
            <v>0.87400001287460327</v>
          </cell>
          <cell r="K43">
            <v>0.72699999809265137</v>
          </cell>
          <cell r="L43">
            <v>0.87400001287460327</v>
          </cell>
          <cell r="M43">
            <v>0.53600001335144043</v>
          </cell>
          <cell r="N43">
            <v>71.301774260986164</v>
          </cell>
          <cell r="O43">
            <v>70.166312288008371</v>
          </cell>
          <cell r="P43">
            <v>60.547964198412991</v>
          </cell>
          <cell r="Q43">
            <v>89.403008467199115</v>
          </cell>
        </row>
        <row r="44">
          <cell r="A44">
            <v>45625</v>
          </cell>
          <cell r="B44">
            <v>0.78100001811981201</v>
          </cell>
          <cell r="C44">
            <v>2000</v>
          </cell>
          <cell r="D44">
            <v>2560.819402814896</v>
          </cell>
          <cell r="E44">
            <v>115025.17664771738</v>
          </cell>
          <cell r="F44">
            <v>89834.665046101858</v>
          </cell>
          <cell r="G44">
            <v>86000</v>
          </cell>
          <cell r="H44">
            <v>89834.665046101858</v>
          </cell>
          <cell r="I44">
            <v>3834.665046101858</v>
          </cell>
          <cell r="J44">
            <v>0.85500001907348633</v>
          </cell>
          <cell r="K44">
            <v>0.75300002098083496</v>
          </cell>
          <cell r="L44">
            <v>0.87400001287460327</v>
          </cell>
          <cell r="M44">
            <v>0.58399999141693115</v>
          </cell>
          <cell r="N44">
            <v>67.931038664297006</v>
          </cell>
          <cell r="O44">
            <v>69.421221080104587</v>
          </cell>
          <cell r="P44">
            <v>63.505716492310192</v>
          </cell>
          <cell r="Q44">
            <v>81.252230255693362</v>
          </cell>
        </row>
        <row r="45">
          <cell r="A45">
            <v>45657</v>
          </cell>
          <cell r="B45">
            <v>0.78899997472763062</v>
          </cell>
          <cell r="C45">
            <v>2000</v>
          </cell>
          <cell r="D45">
            <v>2534.8543270744931</v>
          </cell>
          <cell r="E45">
            <v>117560.03097479188</v>
          </cell>
          <cell r="F45">
            <v>92754.861468090268</v>
          </cell>
          <cell r="G45">
            <v>88000</v>
          </cell>
          <cell r="H45">
            <v>92754.861468090268</v>
          </cell>
          <cell r="I45">
            <v>4754.8614680902683</v>
          </cell>
          <cell r="J45">
            <v>0.84799998998641968</v>
          </cell>
          <cell r="K45">
            <v>0.77600002288818359</v>
          </cell>
          <cell r="L45">
            <v>0.87400001287460327</v>
          </cell>
          <cell r="M45">
            <v>0.58399999141693115</v>
          </cell>
          <cell r="N45">
            <v>70.689644187016341</v>
          </cell>
          <cell r="O45">
            <v>69.8440287824085</v>
          </cell>
          <cell r="P45">
            <v>65.6184872556763</v>
          </cell>
          <cell r="Q45">
            <v>78.295111835872916</v>
          </cell>
        </row>
        <row r="46">
          <cell r="A46">
            <v>45684</v>
          </cell>
          <cell r="B46">
            <v>0.78100001811981201</v>
          </cell>
          <cell r="C46">
            <v>2000</v>
          </cell>
          <cell r="D46">
            <v>2560.819402814896</v>
          </cell>
          <cell r="E46">
            <v>120120.85037760678</v>
          </cell>
          <cell r="F46">
            <v>93814.38632147813</v>
          </cell>
          <cell r="G46">
            <v>90000</v>
          </cell>
          <cell r="H46">
            <v>93814.38632147813</v>
          </cell>
          <cell r="I46">
            <v>3814.3863214781304</v>
          </cell>
          <cell r="J46">
            <v>0.79900002479553223</v>
          </cell>
          <cell r="K46">
            <v>0.7369999885559082</v>
          </cell>
          <cell r="L46">
            <v>0.87400001287460327</v>
          </cell>
          <cell r="M46">
            <v>0.58399999141693115</v>
          </cell>
          <cell r="N46">
            <v>67.931038664297006</v>
          </cell>
          <cell r="O46">
            <v>69.206365409704674</v>
          </cell>
          <cell r="P46">
            <v>66.814446640352415</v>
          </cell>
          <cell r="Q46">
            <v>73.990202948409177</v>
          </cell>
        </row>
        <row r="47">
          <cell r="A47">
            <v>45716</v>
          </cell>
          <cell r="B47">
            <v>0.82700002193450928</v>
          </cell>
          <cell r="C47">
            <v>2000</v>
          </cell>
          <cell r="D47">
            <v>2418.3796214679924</v>
          </cell>
          <cell r="E47">
            <v>122539.22999907477</v>
          </cell>
          <cell r="F47">
            <v>101339.94589707271</v>
          </cell>
          <cell r="G47">
            <v>92000</v>
          </cell>
          <cell r="H47">
            <v>101339.94589707271</v>
          </cell>
          <cell r="I47">
            <v>9339.9458970727137</v>
          </cell>
          <cell r="J47">
            <v>0.86900001764297485</v>
          </cell>
          <cell r="K47">
            <v>0.77999997138977051</v>
          </cell>
          <cell r="L47">
            <v>0.87400001287460327</v>
          </cell>
          <cell r="M47">
            <v>0.58399999141693115</v>
          </cell>
          <cell r="N47">
            <v>83.79310777156131</v>
          </cell>
          <cell r="O47">
            <v>74.068612863656881</v>
          </cell>
          <cell r="P47">
            <v>69.232502048120566</v>
          </cell>
          <cell r="Q47">
            <v>83.740834494729512</v>
          </cell>
        </row>
        <row r="48">
          <cell r="A48">
            <v>45747</v>
          </cell>
          <cell r="B48">
            <v>0.81400001049041748</v>
          </cell>
          <cell r="C48">
            <v>2000</v>
          </cell>
          <cell r="D48">
            <v>2457.002425337861</v>
          </cell>
          <cell r="E48">
            <v>124996.23242441264</v>
          </cell>
          <cell r="F48">
            <v>101746.93450473454</v>
          </cell>
          <cell r="G48">
            <v>94000</v>
          </cell>
          <cell r="H48">
            <v>101746.93450473454</v>
          </cell>
          <cell r="I48">
            <v>7746.9345047345414</v>
          </cell>
          <cell r="J48">
            <v>0.85399997234344482</v>
          </cell>
          <cell r="K48">
            <v>0.80800002813339233</v>
          </cell>
          <cell r="L48">
            <v>0.87400001287460327</v>
          </cell>
          <cell r="M48">
            <v>0.58399999141693115</v>
          </cell>
          <cell r="N48">
            <v>79.31034553632152</v>
          </cell>
          <cell r="O48">
            <v>75.815857087878427</v>
          </cell>
          <cell r="P48">
            <v>71.426953728039848</v>
          </cell>
          <cell r="Q48">
            <v>84.593663807555572</v>
          </cell>
        </row>
        <row r="49">
          <cell r="A49">
            <v>45777</v>
          </cell>
          <cell r="B49">
            <v>0.76899999380111694</v>
          </cell>
          <cell r="C49">
            <v>2000</v>
          </cell>
          <cell r="D49">
            <v>2600.7802550350229</v>
          </cell>
          <cell r="E49">
            <v>127597.01267944765</v>
          </cell>
          <cell r="F49">
            <v>98122.101959536289</v>
          </cell>
          <cell r="G49">
            <v>96000</v>
          </cell>
          <cell r="H49">
            <v>98122.101959536289</v>
          </cell>
          <cell r="I49">
            <v>2122.1019595362886</v>
          </cell>
          <cell r="J49">
            <v>0.82200002670288086</v>
          </cell>
          <cell r="K49">
            <v>0.6589999794960022</v>
          </cell>
          <cell r="L49">
            <v>0.87400001287460327</v>
          </cell>
          <cell r="M49">
            <v>0.58399999141693115</v>
          </cell>
          <cell r="N49">
            <v>63.793099550231602</v>
          </cell>
          <cell r="O49">
            <v>71.808271241996152</v>
          </cell>
          <cell r="P49">
            <v>71.554059566025288</v>
          </cell>
          <cell r="Q49">
            <v>72.316694593937882</v>
          </cell>
        </row>
        <row r="50">
          <cell r="A50">
            <v>45807</v>
          </cell>
          <cell r="B50">
            <v>0.78200000524520874</v>
          </cell>
          <cell r="C50">
            <v>2000</v>
          </cell>
          <cell r="D50">
            <v>2557.5447398787005</v>
          </cell>
          <cell r="E50">
            <v>130154.55741932636</v>
          </cell>
          <cell r="F50">
            <v>101780.86458460103</v>
          </cell>
          <cell r="G50">
            <v>98000</v>
          </cell>
          <cell r="H50">
            <v>101780.86458460103</v>
          </cell>
          <cell r="I50">
            <v>3780.8645846010331</v>
          </cell>
          <cell r="J50">
            <v>0.81499999761581421</v>
          </cell>
          <cell r="K50">
            <v>0.77300000190734863</v>
          </cell>
          <cell r="L50">
            <v>0.87400001287460327</v>
          </cell>
          <cell r="M50">
            <v>0.58899998664855957</v>
          </cell>
          <cell r="N50">
            <v>67.719298539142571</v>
          </cell>
          <cell r="O50">
            <v>70.445280341044963</v>
          </cell>
          <cell r="P50">
            <v>71.184466491031841</v>
          </cell>
          <cell r="Q50">
            <v>68.966908041071207</v>
          </cell>
        </row>
        <row r="51">
          <cell r="A51">
            <v>45838</v>
          </cell>
          <cell r="B51">
            <v>0.81199997663497925</v>
          </cell>
          <cell r="C51">
            <v>2000</v>
          </cell>
          <cell r="D51">
            <v>2463.0542580656575</v>
          </cell>
          <cell r="E51">
            <v>132617.61167739201</v>
          </cell>
          <cell r="F51">
            <v>107685.49758342907</v>
          </cell>
          <cell r="G51">
            <v>100000</v>
          </cell>
          <cell r="H51">
            <v>107685.49758342907</v>
          </cell>
          <cell r="I51">
            <v>7685.4975834290672</v>
          </cell>
          <cell r="J51">
            <v>0.81499999761581421</v>
          </cell>
          <cell r="K51">
            <v>0.7720000147819519</v>
          </cell>
          <cell r="L51">
            <v>0.87400001287460327</v>
          </cell>
          <cell r="M51">
            <v>0.6589999794960022</v>
          </cell>
          <cell r="N51">
            <v>71.162778318994029</v>
          </cell>
          <cell r="O51">
            <v>70.684446333694652</v>
          </cell>
          <cell r="P51">
            <v>71.017793105252778</v>
          </cell>
          <cell r="Q51">
            <v>70.017752790578385</v>
          </cell>
        </row>
        <row r="52">
          <cell r="A52">
            <v>45869</v>
          </cell>
          <cell r="B52">
            <v>0.84500002861022949</v>
          </cell>
          <cell r="C52">
            <v>2000</v>
          </cell>
          <cell r="D52">
            <v>2366.8638251875536</v>
          </cell>
          <cell r="E52">
            <v>134984.47550257956</v>
          </cell>
          <cell r="F52">
            <v>114061.88566161656</v>
          </cell>
          <cell r="G52">
            <v>102000</v>
          </cell>
          <cell r="H52">
            <v>114061.88566161656</v>
          </cell>
          <cell r="I52">
            <v>12061.885661616558</v>
          </cell>
          <cell r="J52">
            <v>0.87300002574920654</v>
          </cell>
          <cell r="K52">
            <v>0.80000001192092896</v>
          </cell>
          <cell r="L52">
            <v>0.87300002574920654</v>
          </cell>
          <cell r="M52">
            <v>0.6589999794960022</v>
          </cell>
          <cell r="N52">
            <v>86.915892015346799</v>
          </cell>
          <cell r="O52">
            <v>76.094928227578706</v>
          </cell>
          <cell r="P52">
            <v>72.710171479361421</v>
          </cell>
          <cell r="Q52">
            <v>82.86444172401329</v>
          </cell>
        </row>
        <row r="53">
          <cell r="A53">
            <v>45898</v>
          </cell>
          <cell r="B53">
            <v>1.0089999437332153</v>
          </cell>
          <cell r="C53">
            <v>2000</v>
          </cell>
          <cell r="D53">
            <v>1982.1606655399478</v>
          </cell>
          <cell r="E53">
            <v>136966.6361681195</v>
          </cell>
          <cell r="F53">
            <v>138199.32818696034</v>
          </cell>
          <cell r="G53">
            <v>104000</v>
          </cell>
          <cell r="H53">
            <v>138199.32818696034</v>
          </cell>
          <cell r="I53">
            <v>34199.328186960338</v>
          </cell>
          <cell r="J53">
            <v>1.0199999809265137</v>
          </cell>
          <cell r="K53">
            <v>0.8399999737739563</v>
          </cell>
          <cell r="L53">
            <v>1.0199999809265137</v>
          </cell>
          <cell r="M53">
            <v>0.6589999794960022</v>
          </cell>
          <cell r="N53">
            <v>96.952898296479447</v>
          </cell>
          <cell r="O53">
            <v>83.047584917212291</v>
          </cell>
          <cell r="P53">
            <v>76.155975958645044</v>
          </cell>
          <cell r="Q53">
            <v>96.83080283434677</v>
          </cell>
        </row>
        <row r="54">
          <cell r="A54">
            <v>45930</v>
          </cell>
          <cell r="B54">
            <v>1.0880000591278076</v>
          </cell>
          <cell r="C54">
            <v>2000</v>
          </cell>
          <cell r="D54">
            <v>1838.2351942179992</v>
          </cell>
          <cell r="E54">
            <v>138804.87136233749</v>
          </cell>
          <cell r="F54">
            <v>151019.70824945092</v>
          </cell>
          <cell r="G54">
            <v>106000</v>
          </cell>
          <cell r="H54">
            <v>151019.70824945092</v>
          </cell>
          <cell r="I54">
            <v>45019.708249450923</v>
          </cell>
          <cell r="J54">
            <v>1.1510000228881836</v>
          </cell>
          <cell r="K54">
            <v>0.88899999856948853</v>
          </cell>
          <cell r="L54">
            <v>1.1510000228881836</v>
          </cell>
          <cell r="M54">
            <v>0.6589999794960022</v>
          </cell>
          <cell r="N54">
            <v>87.195130446328506</v>
          </cell>
          <cell r="O54">
            <v>84.430100093584358</v>
          </cell>
          <cell r="P54">
            <v>78.914017336958139</v>
          </cell>
          <cell r="Q54">
            <v>95.46226560683678</v>
          </cell>
        </row>
        <row r="55">
          <cell r="A55">
            <v>45961</v>
          </cell>
          <cell r="B55">
            <v>1.0729999542236328</v>
          </cell>
          <cell r="C55">
            <v>2000</v>
          </cell>
          <cell r="D55">
            <v>1863.9329779348373</v>
          </cell>
          <cell r="E55">
            <v>140668.80434027233</v>
          </cell>
          <cell r="F55">
            <v>150937.62061780537</v>
          </cell>
          <cell r="G55">
            <v>108000</v>
          </cell>
          <cell r="H55">
            <v>150937.62061780537</v>
          </cell>
          <cell r="I55">
            <v>42937.620617805369</v>
          </cell>
          <cell r="J55">
            <v>1.128000020980835</v>
          </cell>
          <cell r="K55">
            <v>1.0019999742507935</v>
          </cell>
          <cell r="L55">
            <v>1.1510000228881836</v>
          </cell>
          <cell r="M55">
            <v>0.6589999794960022</v>
          </cell>
          <cell r="N55">
            <v>84.146328905427424</v>
          </cell>
          <cell r="O55">
            <v>84.335509697532046</v>
          </cell>
          <cell r="P55">
            <v>80.721181457149441</v>
          </cell>
          <cell r="Q55">
            <v>91.564166178297256</v>
          </cell>
        </row>
        <row r="56">
          <cell r="A56">
            <v>45989</v>
          </cell>
          <cell r="B56">
            <v>1.0399999618530273</v>
          </cell>
          <cell r="C56">
            <v>2000</v>
          </cell>
          <cell r="D56">
            <v>1923.0769936149668</v>
          </cell>
          <cell r="E56">
            <v>142591.88133388729</v>
          </cell>
          <cell r="F56">
            <v>148295.55114779418</v>
          </cell>
          <cell r="G56">
            <v>110000</v>
          </cell>
          <cell r="H56">
            <v>148295.55114779418</v>
          </cell>
          <cell r="I56">
            <v>38295.551147794176</v>
          </cell>
          <cell r="J56">
            <v>1.093000054359436</v>
          </cell>
          <cell r="K56">
            <v>1</v>
          </cell>
          <cell r="L56">
            <v>1.1510000228881836</v>
          </cell>
          <cell r="M56">
            <v>0.6589999794960022</v>
          </cell>
          <cell r="N56">
            <v>77.439013974501577</v>
          </cell>
          <cell r="O56">
            <v>82.036677789855219</v>
          </cell>
          <cell r="P56">
            <v>81.159680234718039</v>
          </cell>
          <cell r="Q56">
            <v>83.790672900129579</v>
          </cell>
        </row>
        <row r="57">
          <cell r="A57">
            <v>46022</v>
          </cell>
          <cell r="B57">
            <v>1.0640000104904175</v>
          </cell>
          <cell r="C57">
            <v>2000</v>
          </cell>
          <cell r="D57">
            <v>1879.6992295875662</v>
          </cell>
          <cell r="E57">
            <v>144471.58056347485</v>
          </cell>
          <cell r="F57">
            <v>153717.76323510444</v>
          </cell>
          <cell r="G57">
            <v>112000</v>
          </cell>
          <cell r="H57">
            <v>153717.76323510444</v>
          </cell>
          <cell r="I57">
            <v>41717.763235104445</v>
          </cell>
          <cell r="J57">
            <v>1.1139999628067017</v>
          </cell>
          <cell r="K57">
            <v>1.0360000133514404</v>
          </cell>
          <cell r="L57">
            <v>1.1510000228881836</v>
          </cell>
          <cell r="M57">
            <v>0.6589999794960022</v>
          </cell>
          <cell r="N57">
            <v>82.317072210415034</v>
          </cell>
          <cell r="O57">
            <v>82.130142596708495</v>
          </cell>
          <cell r="P57">
            <v>81.483167688714857</v>
          </cell>
          <cell r="Q57">
            <v>83.424092412695785</v>
          </cell>
        </row>
        <row r="58">
          <cell r="A58">
            <v>46052</v>
          </cell>
          <cell r="B58">
            <v>1.0720000267028809</v>
          </cell>
          <cell r="C58">
            <v>2000</v>
          </cell>
          <cell r="D58">
            <v>1865.6715953182777</v>
          </cell>
          <cell r="E58">
            <v>146337.25215879313</v>
          </cell>
          <cell r="F58">
            <v>156873.53822185245</v>
          </cell>
          <cell r="G58">
            <v>114000</v>
          </cell>
          <cell r="H58">
            <v>156873.53822185245</v>
          </cell>
          <cell r="I58">
            <v>42873.538221852446</v>
          </cell>
          <cell r="J58">
            <v>1.1050000190734863</v>
          </cell>
          <cell r="K58">
            <v>1.0499999523162842</v>
          </cell>
          <cell r="L58">
            <v>1.1510000228881836</v>
          </cell>
          <cell r="M58">
            <v>0.7720000147819519</v>
          </cell>
          <cell r="N58">
            <v>79.155674275563754</v>
          </cell>
          <cell r="O58">
            <v>81.138653156326924</v>
          </cell>
          <cell r="P58">
            <v>81.368329511252213</v>
          </cell>
          <cell r="Q58">
            <v>80.679300446476333</v>
          </cell>
        </row>
        <row r="59">
          <cell r="A59">
            <v>46080</v>
          </cell>
          <cell r="B59">
            <v>1.0750000476837158</v>
          </cell>
          <cell r="C59">
            <v>2000</v>
          </cell>
          <cell r="D59">
            <v>1860.4650337545247</v>
          </cell>
          <cell r="E59">
            <v>148197.71719254766</v>
          </cell>
          <cell r="F59">
            <v>159312.55304860655</v>
          </cell>
          <cell r="G59">
            <v>116000</v>
          </cell>
          <cell r="H59">
            <v>159312.55304860655</v>
          </cell>
          <cell r="I59">
            <v>43312.553048606555</v>
          </cell>
          <cell r="J59">
            <v>1.0920000076293945</v>
          </cell>
          <cell r="K59">
            <v>1.0470000505447388</v>
          </cell>
          <cell r="L59">
            <v>1.1510000228881836</v>
          </cell>
          <cell r="M59">
            <v>0.7720000147819519</v>
          </cell>
          <cell r="N59">
            <v>79.947236522705992</v>
          </cell>
          <cell r="O59">
            <v>80.74151427845328</v>
          </cell>
          <cell r="P59">
            <v>81.15939110031924</v>
          </cell>
          <cell r="Q59">
            <v>79.905760634721361</v>
          </cell>
        </row>
        <row r="60">
          <cell r="A60">
            <v>46112</v>
          </cell>
          <cell r="B60">
            <v>1.0479999780654907</v>
          </cell>
          <cell r="C60">
            <v>2000</v>
          </cell>
          <cell r="D60">
            <v>1908.3969865073964</v>
          </cell>
          <cell r="E60">
            <v>150106.11417905506</v>
          </cell>
          <cell r="F60">
            <v>157311.20436714575</v>
          </cell>
          <cell r="G60">
            <v>118000</v>
          </cell>
          <cell r="H60">
            <v>157311.20436714575</v>
          </cell>
          <cell r="I60">
            <v>39311.20436714575</v>
          </cell>
          <cell r="J60">
            <v>1.1019999980926514</v>
          </cell>
          <cell r="K60">
            <v>1.031000018119812</v>
          </cell>
          <cell r="L60">
            <v>1.1510000228881836</v>
          </cell>
          <cell r="M60">
            <v>0.80000001192092896</v>
          </cell>
          <cell r="N60">
            <v>70.655258802170835</v>
          </cell>
          <cell r="O60">
            <v>77.37942911969246</v>
          </cell>
          <cell r="P60">
            <v>79.899403773443638</v>
          </cell>
          <cell r="Q60">
            <v>72.339479812190092</v>
          </cell>
        </row>
        <row r="61">
          <cell r="A61">
            <v>46142</v>
          </cell>
          <cell r="B61">
            <v>1.1770000457763672</v>
          </cell>
          <cell r="C61">
            <v>2000</v>
          </cell>
          <cell r="D61">
            <v>1699.2352780078011</v>
          </cell>
          <cell r="E61">
            <v>151805.34945706287</v>
          </cell>
          <cell r="F61">
            <v>178674.90326006041</v>
          </cell>
          <cell r="G61">
            <v>120000</v>
          </cell>
          <cell r="H61">
            <v>178674.90326006041</v>
          </cell>
          <cell r="I61">
            <v>58674.903260060411</v>
          </cell>
          <cell r="J61">
            <v>1.1909999847412109</v>
          </cell>
          <cell r="K61">
            <v>1.031000018119812</v>
          </cell>
          <cell r="L61">
            <v>1.1909999847412109</v>
          </cell>
          <cell r="M61">
            <v>0.8399999737739563</v>
          </cell>
          <cell r="N61">
            <v>96.011413524955756</v>
          </cell>
          <cell r="O61">
            <v>83.590090588113569</v>
          </cell>
          <cell r="P61">
            <v>81.129632711666943</v>
          </cell>
          <cell r="Q61">
            <v>88.511006341006805</v>
          </cell>
        </row>
        <row r="62">
          <cell r="A62">
            <v>46171</v>
          </cell>
          <cell r="B62">
            <v>1.2450000047683716</v>
          </cell>
          <cell r="C62">
            <v>2000</v>
          </cell>
          <cell r="D62">
            <v>1606.4256966586067</v>
          </cell>
          <cell r="E62">
            <v>153411.77515372148</v>
          </cell>
          <cell r="F62">
            <v>190997.66079790759</v>
          </cell>
          <cell r="G62">
            <v>122000</v>
          </cell>
          <cell r="H62">
            <v>190997.66079790759</v>
          </cell>
          <cell r="I62">
            <v>68997.660797907592</v>
          </cell>
          <cell r="J62">
            <v>1.2680000066757202</v>
          </cell>
          <cell r="K62">
            <v>1.1660000085830688</v>
          </cell>
          <cell r="L62">
            <v>1.2680000066757202</v>
          </cell>
          <cell r="M62">
            <v>0.88899999856948853</v>
          </cell>
          <cell r="N62">
            <v>93.931398043426469</v>
          </cell>
          <cell r="O62">
            <v>87.037193073217864</v>
          </cell>
          <cell r="P62">
            <v>83.098819498850574</v>
          </cell>
          <cell r="Q62">
            <v>94.913940221952458</v>
          </cell>
        </row>
        <row r="63">
          <cell r="A63">
            <v>46203</v>
          </cell>
          <cell r="B63">
            <v>1.2760000228881836</v>
          </cell>
          <cell r="C63">
            <v>2000</v>
          </cell>
          <cell r="D63">
            <v>1567.3980910071355</v>
          </cell>
          <cell r="E63">
            <v>154979.17324472862</v>
          </cell>
          <cell r="F63">
            <v>197753.4286074655</v>
          </cell>
          <cell r="G63">
            <v>124000</v>
          </cell>
          <cell r="H63">
            <v>197753.4286074655</v>
          </cell>
          <cell r="I63">
            <v>73753.428607465496</v>
          </cell>
          <cell r="J63">
            <v>1.2970000505447388</v>
          </cell>
          <cell r="K63">
            <v>1.1710000038146973</v>
          </cell>
          <cell r="L63">
            <v>1.2970000505447388</v>
          </cell>
          <cell r="M63">
            <v>1</v>
          </cell>
          <cell r="N63">
            <v>92.929284820646245</v>
          </cell>
          <cell r="O63">
            <v>89.001223655693991</v>
          </cell>
          <cell r="P63">
            <v>85.066287551131708</v>
          </cell>
          <cell r="Q63">
            <v>96.871095864818557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24" customWidth="1"/>
    <col min="2" max="2" width="8" style="24" customWidth="1"/>
    <col min="3" max="3" width="6.375" style="24" customWidth="1"/>
    <col min="4" max="4" width="6.875" style="26" customWidth="1"/>
    <col min="5" max="5" width="9.375" style="26" customWidth="1"/>
    <col min="6" max="6" width="9.25" style="26" customWidth="1"/>
    <col min="7" max="7" width="10.75" style="26" customWidth="1"/>
    <col min="8" max="8" width="11.5" style="26" customWidth="1"/>
    <col min="9" max="9" width="13.375" style="26" customWidth="1"/>
    <col min="10" max="10" width="12.625" style="24" customWidth="1"/>
    <col min="11" max="11" width="10.75" style="24" customWidth="1"/>
    <col min="12" max="12" width="10.75" style="26" customWidth="1"/>
    <col min="13" max="13" width="9.5" style="24" bestFit="1" customWidth="1"/>
    <col min="14" max="14" width="9" style="25"/>
    <col min="15" max="15" width="9" style="24"/>
    <col min="16" max="16" width="9.75" style="24" bestFit="1" customWidth="1"/>
    <col min="17" max="18" width="11.375" style="24" customWidth="1"/>
    <col min="19" max="20" width="11.125" style="24" customWidth="1"/>
    <col min="21" max="21" width="10.375" style="24" customWidth="1"/>
    <col min="22" max="22" width="10.25" style="24" customWidth="1"/>
    <col min="23" max="23" width="10.125" style="24" customWidth="1"/>
    <col min="24" max="24" width="9" style="24"/>
    <col min="25" max="25" width="9.75" style="24" bestFit="1" customWidth="1"/>
    <col min="26" max="27" width="9" style="24"/>
    <col min="28" max="28" width="9.75" style="24" bestFit="1" customWidth="1"/>
    <col min="29" max="30" width="9" style="24"/>
    <col min="31" max="31" width="9.75" style="24" bestFit="1" customWidth="1"/>
    <col min="32" max="16384" width="9" style="24"/>
  </cols>
  <sheetData>
    <row r="1" spans="1:33" s="37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N1" s="38"/>
    </row>
    <row r="2" spans="1:33" ht="14.1" customHeight="1" x14ac:dyDescent="0.2">
      <c r="A2" s="36"/>
      <c r="B2" s="36"/>
      <c r="C2" s="36"/>
      <c r="D2" s="34"/>
      <c r="E2" s="34">
        <v>3950</v>
      </c>
      <c r="F2" s="34"/>
      <c r="G2" s="34"/>
      <c r="H2" s="34">
        <f>MIN(G:G)</f>
        <v>0</v>
      </c>
      <c r="I2" s="34"/>
      <c r="J2" s="36"/>
      <c r="K2" s="36"/>
      <c r="L2" s="34"/>
      <c r="M2" s="27"/>
    </row>
    <row r="3" spans="1:33" ht="14.1" customHeight="1" x14ac:dyDescent="0.2">
      <c r="A3" s="32">
        <v>44377</v>
      </c>
      <c r="B3" s="31">
        <f>VLOOKUP(A3,[1]HwabaoWP_szse_innovation_100!$A:$E,5)</f>
        <v>1.0309999999999999</v>
      </c>
      <c r="C3" s="31">
        <f>VLOOKUP(A3,[2]myPEPB!$B:$C,2,FALSE)</f>
        <v>41.45</v>
      </c>
      <c r="D3" s="29">
        <f>VLOOKUP(A3,[2]myPEPB!$B:$D,3,FALSE)</f>
        <v>41.041896551724122</v>
      </c>
      <c r="E3" s="29">
        <v>0</v>
      </c>
      <c r="F3" s="30">
        <f t="shared" ref="F3:F63" si="0">E3/B3</f>
        <v>0</v>
      </c>
      <c r="G3" s="30">
        <f t="shared" ref="G3:G63" si="1">G2+F3</f>
        <v>0</v>
      </c>
      <c r="H3" s="30">
        <f t="shared" ref="H3:H63" si="2">G3*B3</f>
        <v>0</v>
      </c>
      <c r="I3" s="30">
        <f t="shared" ref="I3:I63" si="3">IF(E3&gt;0,I2+E3,I2)</f>
        <v>0</v>
      </c>
      <c r="J3" s="30">
        <f t="shared" ref="J3:J63" si="4">H3+L3</f>
        <v>0</v>
      </c>
      <c r="K3" s="30">
        <f t="shared" ref="K3:K63" si="5">J3-I3</f>
        <v>0</v>
      </c>
      <c r="L3" s="29">
        <f t="shared" ref="L3:L63" si="6">IF(E3&lt;0,L2-E3,L2)</f>
        <v>0</v>
      </c>
      <c r="M3" s="27"/>
      <c r="P3" s="45" t="s">
        <v>1</v>
      </c>
      <c r="Q3" s="46" t="s">
        <v>12</v>
      </c>
      <c r="R3" s="46" t="s">
        <v>8</v>
      </c>
      <c r="S3" s="46" t="s">
        <v>9</v>
      </c>
      <c r="T3" s="46" t="s">
        <v>10</v>
      </c>
      <c r="U3" s="47" t="s">
        <v>11</v>
      </c>
      <c r="V3" s="46" t="s">
        <v>13</v>
      </c>
      <c r="W3" s="46" t="s">
        <v>14</v>
      </c>
      <c r="Y3" s="42">
        <v>44561</v>
      </c>
      <c r="Z3" s="24">
        <v>71470.226080923632</v>
      </c>
      <c r="AA3" s="24">
        <f>-Z3</f>
        <v>-71470.226080923632</v>
      </c>
      <c r="AB3" s="42">
        <v>44561</v>
      </c>
      <c r="AC3" s="24">
        <v>71470.218956071636</v>
      </c>
      <c r="AD3" s="24">
        <f>-AC3</f>
        <v>-71470.218956071636</v>
      </c>
      <c r="AE3" s="42">
        <v>44561</v>
      </c>
      <c r="AF3" s="24">
        <v>71470.218956071636</v>
      </c>
      <c r="AG3" s="24">
        <f>-AF3</f>
        <v>-71470.218956071636</v>
      </c>
    </row>
    <row r="4" spans="1:33" ht="14.1" customHeight="1" x14ac:dyDescent="0.2">
      <c r="A4" s="32">
        <v>44407</v>
      </c>
      <c r="B4" s="31">
        <f>VLOOKUP(A4,[1]HwabaoWP_szse_innovation_100!$A:$E,5)</f>
        <v>1.006</v>
      </c>
      <c r="C4" s="31">
        <f>VLOOKUP(A4,[2]myPEPB!$B:$C,2,FALSE)</f>
        <v>39.930000305175781</v>
      </c>
      <c r="D4" s="29">
        <f>VLOOKUP(A4,[2]myPEPB!$B:$D,3,FALSE)</f>
        <v>40.930499984741189</v>
      </c>
      <c r="E4" s="29">
        <f>IF(C4&lt;D4,$E$2*(D4-C4),$E$2*(D4-C4))</f>
        <v>3951.9737342833614</v>
      </c>
      <c r="F4" s="30">
        <f t="shared" si="0"/>
        <v>3928.4033143969796</v>
      </c>
      <c r="G4" s="30">
        <f t="shared" si="1"/>
        <v>3928.4033143969796</v>
      </c>
      <c r="H4" s="30">
        <f t="shared" si="2"/>
        <v>3951.9737342833614</v>
      </c>
      <c r="I4" s="30">
        <f t="shared" si="3"/>
        <v>3951.9737342833614</v>
      </c>
      <c r="J4" s="30">
        <f t="shared" si="4"/>
        <v>3951.9737342833614</v>
      </c>
      <c r="K4" s="30">
        <f t="shared" si="5"/>
        <v>0</v>
      </c>
      <c r="L4" s="29">
        <f t="shared" si="6"/>
        <v>0</v>
      </c>
      <c r="M4" s="27"/>
      <c r="P4" s="42">
        <v>44561</v>
      </c>
      <c r="Q4" s="35">
        <f>R4</f>
        <v>71470.218956071636</v>
      </c>
      <c r="R4" s="34">
        <f>VLOOKUP(P4,A:I,9,)</f>
        <v>71470.218956071636</v>
      </c>
      <c r="S4" s="34">
        <f>VLOOKUP(P4,A:J,10,)</f>
        <v>72037.588440626103</v>
      </c>
      <c r="T4" s="34">
        <f>VLOOKUP(P4,A:K,11,)</f>
        <v>567.36948455446691</v>
      </c>
      <c r="U4" s="34">
        <f>VLOOKUP(P4,A:L,12,)</f>
        <v>0</v>
      </c>
      <c r="V4" s="33">
        <f>(S4-R4)/R4</f>
        <v>7.9385440934943013E-3</v>
      </c>
      <c r="W4" s="33">
        <f>V4</f>
        <v>7.9385440934943013E-3</v>
      </c>
      <c r="Y4" s="42">
        <v>44925</v>
      </c>
      <c r="Z4" s="27">
        <v>401953.44834350183</v>
      </c>
      <c r="AA4" s="27">
        <f>-Z4</f>
        <v>-401953.44834350183</v>
      </c>
      <c r="AB4" s="42">
        <v>44925</v>
      </c>
      <c r="AC4" s="27">
        <v>401953.44479283423</v>
      </c>
      <c r="AD4" s="27">
        <f>-AC4</f>
        <v>-401953.44479283423</v>
      </c>
      <c r="AE4" s="42">
        <v>44925</v>
      </c>
      <c r="AF4" s="27">
        <v>401953.44479283423</v>
      </c>
      <c r="AG4" s="27">
        <f>-AF4</f>
        <v>-401953.44479283423</v>
      </c>
    </row>
    <row r="5" spans="1:33" ht="14.1" customHeight="1" x14ac:dyDescent="0.2">
      <c r="A5" s="32">
        <v>44439</v>
      </c>
      <c r="B5" s="31">
        <f>VLOOKUP(A5,[1]HwabaoWP_szse_innovation_100!$A:$E,5)</f>
        <v>0.96599999999999997</v>
      </c>
      <c r="C5" s="31">
        <f>VLOOKUP(A5,[2]myPEPB!$B:$C,2,FALSE)</f>
        <v>38.069999694824219</v>
      </c>
      <c r="D5" s="29">
        <f>VLOOKUP(A5,[2]myPEPB!$B:$D,3,FALSE)</f>
        <v>40.654705834482208</v>
      </c>
      <c r="E5" s="29">
        <f t="shared" ref="E5:E63" si="7">IF(C5&lt;D5,$E$2*(D5-C5),$E$2*(D5-C5))</f>
        <v>10209.589251649057</v>
      </c>
      <c r="F5" s="30">
        <f t="shared" si="0"/>
        <v>10568.932972721592</v>
      </c>
      <c r="G5" s="30">
        <f t="shared" si="1"/>
        <v>14497.336287118571</v>
      </c>
      <c r="H5" s="30">
        <f t="shared" si="2"/>
        <v>14004.426853356539</v>
      </c>
      <c r="I5" s="30">
        <f t="shared" si="3"/>
        <v>14161.562985932418</v>
      </c>
      <c r="J5" s="30">
        <f t="shared" si="4"/>
        <v>14004.426853356539</v>
      </c>
      <c r="K5" s="30">
        <f t="shared" si="5"/>
        <v>-157.13613257587895</v>
      </c>
      <c r="L5" s="29">
        <f t="shared" si="6"/>
        <v>0</v>
      </c>
      <c r="M5" s="27"/>
      <c r="P5" s="42">
        <v>44925</v>
      </c>
      <c r="Q5" s="35">
        <f>R5-R4</f>
        <v>401953.44479283423</v>
      </c>
      <c r="R5" s="34">
        <f>VLOOKUP(P5,A:I,9,)</f>
        <v>473423.66374890588</v>
      </c>
      <c r="S5" s="34">
        <f>VLOOKUP(P5,A:J,10,)</f>
        <v>436532.8675600008</v>
      </c>
      <c r="T5" s="34">
        <f>VLOOKUP(P5,A:K,11,)</f>
        <v>-36890.796188905078</v>
      </c>
      <c r="U5" s="34">
        <f>VLOOKUP(P5,A:L,12,)</f>
        <v>0</v>
      </c>
      <c r="V5" s="33">
        <f>(S5-R5)/R5</f>
        <v>-7.7923430985214107E-2</v>
      </c>
      <c r="W5" s="33">
        <f>AA6</f>
        <v>-6.8314848168957498E-2</v>
      </c>
      <c r="Y5" s="42">
        <v>44925</v>
      </c>
      <c r="Z5" s="27"/>
      <c r="AA5" s="27">
        <v>436532.87606210314</v>
      </c>
      <c r="AB5" s="42">
        <v>45289</v>
      </c>
      <c r="AC5" s="27">
        <v>377214.1657703988</v>
      </c>
      <c r="AD5" s="27">
        <f>-AC5</f>
        <v>-377214.1657703988</v>
      </c>
      <c r="AE5" s="42">
        <v>45289</v>
      </c>
      <c r="AF5" s="27">
        <v>377214.1657703988</v>
      </c>
      <c r="AG5" s="27">
        <f>-AF5</f>
        <v>-377214.1657703988</v>
      </c>
    </row>
    <row r="6" spans="1:33" ht="14.1" customHeight="1" x14ac:dyDescent="0.2">
      <c r="A6" s="32">
        <v>44469</v>
      </c>
      <c r="B6" s="31">
        <f>VLOOKUP(A6,[1]HwabaoWP_szse_innovation_100!$A:$E,5)</f>
        <v>0.96099999999999997</v>
      </c>
      <c r="C6" s="31">
        <f>VLOOKUP(A6,[2]myPEPB!$B:$C,2,FALSE)</f>
        <v>35.020000457763672</v>
      </c>
      <c r="D6" s="29">
        <f>VLOOKUP(A6,[2]myPEPB!$B:$D,3,FALSE)</f>
        <v>39.730819672131133</v>
      </c>
      <c r="E6" s="29">
        <f t="shared" si="7"/>
        <v>18607.735896751474</v>
      </c>
      <c r="F6" s="30">
        <f t="shared" si="0"/>
        <v>19362.888550209649</v>
      </c>
      <c r="G6" s="30">
        <f t="shared" si="1"/>
        <v>33860.22483732822</v>
      </c>
      <c r="H6" s="30">
        <f t="shared" si="2"/>
        <v>32539.676068672419</v>
      </c>
      <c r="I6" s="30">
        <f t="shared" si="3"/>
        <v>32769.298882683892</v>
      </c>
      <c r="J6" s="30">
        <f t="shared" si="4"/>
        <v>32539.676068672419</v>
      </c>
      <c r="K6" s="30">
        <f t="shared" si="5"/>
        <v>-229.62281401147266</v>
      </c>
      <c r="L6" s="29">
        <f t="shared" si="6"/>
        <v>0</v>
      </c>
      <c r="M6" s="27"/>
      <c r="P6" s="42">
        <v>45289</v>
      </c>
      <c r="Q6" s="35">
        <f>R6-R5</f>
        <v>377214.1657703988</v>
      </c>
      <c r="R6" s="34">
        <f>VLOOKUP(P6,A:I,9,)</f>
        <v>850637.82951930468</v>
      </c>
      <c r="S6" s="34">
        <f>VLOOKUP(P6,A:J,10,)</f>
        <v>731948.73696905444</v>
      </c>
      <c r="T6" s="34">
        <f>VLOOKUP(P6,A:K,11,)</f>
        <v>-118689.09255025024</v>
      </c>
      <c r="U6" s="34">
        <f>VLOOKUP(P6,A:L,12,)</f>
        <v>0</v>
      </c>
      <c r="V6" s="33">
        <f>(S6-R6)/R6</f>
        <v>-0.13952952529435639</v>
      </c>
      <c r="W6" s="33">
        <v>-8.8470898848600599E-2</v>
      </c>
      <c r="Y6" s="27"/>
      <c r="Z6" s="27"/>
      <c r="AA6" s="28">
        <f>IRR(AA3:AA5)</f>
        <v>-6.8314848168957498E-2</v>
      </c>
      <c r="AB6" s="42">
        <v>45289</v>
      </c>
      <c r="AC6" s="27"/>
      <c r="AD6" s="28">
        <v>731948.73696905444</v>
      </c>
      <c r="AE6" s="42">
        <v>45657</v>
      </c>
      <c r="AF6" s="24">
        <v>283147.89461647021</v>
      </c>
      <c r="AG6" s="24">
        <f>-AF6</f>
        <v>-283147.89461647021</v>
      </c>
    </row>
    <row r="7" spans="1:33" ht="14.1" customHeight="1" x14ac:dyDescent="0.2">
      <c r="A7" s="32">
        <v>44498</v>
      </c>
      <c r="B7" s="31">
        <f>VLOOKUP(A7,[1]HwabaoWP_szse_innovation_100!$A:$E,5)</f>
        <v>0.99299997091293335</v>
      </c>
      <c r="C7" s="31">
        <f>VLOOKUP(A7,[2]myPEPB!$B:$C,2,FALSE)</f>
        <v>36.299999237060547</v>
      </c>
      <c r="D7" s="29">
        <f>VLOOKUP(A7,[2]myPEPB!$B:$D,3,FALSE)</f>
        <v>39.253623134226025</v>
      </c>
      <c r="E7" s="29">
        <f t="shared" si="7"/>
        <v>11666.814393803639</v>
      </c>
      <c r="F7" s="30">
        <f t="shared" si="0"/>
        <v>11749.058142547106</v>
      </c>
      <c r="G7" s="30">
        <f t="shared" si="1"/>
        <v>45609.282979875323</v>
      </c>
      <c r="H7" s="30">
        <f t="shared" si="2"/>
        <v>45290.016672375939</v>
      </c>
      <c r="I7" s="30">
        <f t="shared" si="3"/>
        <v>44436.113276487529</v>
      </c>
      <c r="J7" s="30">
        <f t="shared" si="4"/>
        <v>45290.016672375939</v>
      </c>
      <c r="K7" s="30">
        <f t="shared" si="5"/>
        <v>853.90339588841016</v>
      </c>
      <c r="L7" s="29">
        <f t="shared" si="6"/>
        <v>0</v>
      </c>
      <c r="M7" s="27"/>
      <c r="P7" s="42">
        <v>45657</v>
      </c>
      <c r="Q7" s="35">
        <f>R7-R6</f>
        <v>283147.89461863739</v>
      </c>
      <c r="R7" s="34">
        <f>VLOOKUP(P7,A:I,9,)</f>
        <v>1133785.7241379421</v>
      </c>
      <c r="S7" s="34">
        <f>VLOOKUP(P7,A:J,10,)</f>
        <v>1249850.5855833527</v>
      </c>
      <c r="T7" s="34">
        <f>VLOOKUP(P7,A:K,11,)</f>
        <v>116064.86144541064</v>
      </c>
      <c r="U7" s="34">
        <f>VLOOKUP(P7,A:L,12,)</f>
        <v>0</v>
      </c>
      <c r="V7" s="33">
        <f>(S7-R7)/R7</f>
        <v>0.10236930927460647</v>
      </c>
      <c r="W7" s="33">
        <v>4.4302839298554275E-2</v>
      </c>
      <c r="Y7" s="27"/>
      <c r="Z7" s="27"/>
      <c r="AA7" s="27"/>
      <c r="AD7" s="25">
        <f>IRR(AD3:AD6)</f>
        <v>-8.8470898848600599E-2</v>
      </c>
      <c r="AE7" s="42">
        <v>45657</v>
      </c>
      <c r="AG7" s="25">
        <v>1249850.5855808333</v>
      </c>
    </row>
    <row r="8" spans="1:33" ht="14.1" customHeight="1" x14ac:dyDescent="0.2">
      <c r="A8" s="32">
        <v>44530</v>
      </c>
      <c r="B8" s="31">
        <f>VLOOKUP(A8,[1]HwabaoWP_szse_innovation_100!$A:$E,5)</f>
        <v>1.0110000371932983</v>
      </c>
      <c r="C8" s="31">
        <f>VLOOKUP(A8,[2]myPEPB!$B:$C,2,FALSE)</f>
        <v>35.450000762939453</v>
      </c>
      <c r="D8" s="29">
        <f>VLOOKUP(A8,[2]myPEPB!$B:$D,3,FALSE)</f>
        <v>38.695499993324269</v>
      </c>
      <c r="E8" s="29">
        <f t="shared" si="7"/>
        <v>12819.721960020022</v>
      </c>
      <c r="F8" s="30">
        <f t="shared" si="0"/>
        <v>12680.238860929887</v>
      </c>
      <c r="G8" s="30">
        <f t="shared" si="1"/>
        <v>58289.52184080521</v>
      </c>
      <c r="H8" s="30">
        <f t="shared" si="2"/>
        <v>58930.708749033642</v>
      </c>
      <c r="I8" s="30">
        <f t="shared" si="3"/>
        <v>57255.835236507555</v>
      </c>
      <c r="J8" s="30">
        <f t="shared" si="4"/>
        <v>58930.708749033642</v>
      </c>
      <c r="K8" s="30">
        <f t="shared" si="5"/>
        <v>1674.8735125260864</v>
      </c>
      <c r="L8" s="29">
        <f t="shared" si="6"/>
        <v>0</v>
      </c>
      <c r="M8" s="27"/>
      <c r="AG8" s="25">
        <f>IRR(AG3:AG7)</f>
        <v>4.4302839298554275E-2</v>
      </c>
    </row>
    <row r="9" spans="1:33" ht="14.1" customHeight="1" x14ac:dyDescent="0.2">
      <c r="A9" s="32">
        <v>44561</v>
      </c>
      <c r="B9" s="31">
        <f>VLOOKUP(A9,[1]HwabaoWP_szse_innovation_100!$A:$E,5)</f>
        <v>0.99199998378753662</v>
      </c>
      <c r="C9" s="31">
        <f>VLOOKUP(A9,[2]myPEPB!$B:$C,2,FALSE)</f>
        <v>34.630001068115234</v>
      </c>
      <c r="D9" s="29">
        <f>VLOOKUP(A9,[2]myPEPB!$B:$D,3,FALSE)</f>
        <v>38.2285792249669</v>
      </c>
      <c r="E9" s="29">
        <f t="shared" si="7"/>
        <v>14214.383719564079</v>
      </c>
      <c r="F9" s="30">
        <f t="shared" si="0"/>
        <v>14329.016080516862</v>
      </c>
      <c r="G9" s="30">
        <f t="shared" si="1"/>
        <v>72618.537921322073</v>
      </c>
      <c r="H9" s="30">
        <f t="shared" si="2"/>
        <v>72037.588440626103</v>
      </c>
      <c r="I9" s="30">
        <f t="shared" si="3"/>
        <v>71470.218956071636</v>
      </c>
      <c r="J9" s="30">
        <f t="shared" si="4"/>
        <v>72037.588440626103</v>
      </c>
      <c r="K9" s="30">
        <f t="shared" si="5"/>
        <v>567.36948455446691</v>
      </c>
      <c r="L9" s="29">
        <f t="shared" si="6"/>
        <v>0</v>
      </c>
      <c r="M9" s="27"/>
      <c r="Y9" s="19"/>
      <c r="Z9" s="27"/>
      <c r="AA9" s="27"/>
    </row>
    <row r="10" spans="1:33" ht="14.1" customHeight="1" x14ac:dyDescent="0.2">
      <c r="A10" s="32">
        <v>44589</v>
      </c>
      <c r="B10" s="31">
        <f>VLOOKUP(A10,[1]HwabaoWP_szse_innovation_100!$A:$E,5)</f>
        <v>0.89099997282028198</v>
      </c>
      <c r="C10" s="31">
        <f>VLOOKUP(A10,[2]myPEPB!$B:$C,2,FALSE)</f>
        <v>31.020000457763672</v>
      </c>
      <c r="D10" s="29">
        <f>VLOOKUP(A10,[2]myPEPB!$B:$D,3,FALSE)</f>
        <v>37.709801948471814</v>
      </c>
      <c r="E10" s="29">
        <f t="shared" si="7"/>
        <v>26424.71588829716</v>
      </c>
      <c r="F10" s="30">
        <f t="shared" si="0"/>
        <v>29657.370027358153</v>
      </c>
      <c r="G10" s="30">
        <f t="shared" si="1"/>
        <v>102275.90794868022</v>
      </c>
      <c r="H10" s="30">
        <f t="shared" si="2"/>
        <v>91127.831202443733</v>
      </c>
      <c r="I10" s="30">
        <f t="shared" si="3"/>
        <v>97894.934844368792</v>
      </c>
      <c r="J10" s="30">
        <f t="shared" si="4"/>
        <v>91127.831202443733</v>
      </c>
      <c r="K10" s="30">
        <f t="shared" si="5"/>
        <v>-6767.1036419250595</v>
      </c>
      <c r="L10" s="29">
        <f t="shared" si="6"/>
        <v>0</v>
      </c>
      <c r="M10" s="27"/>
      <c r="Y10" s="19"/>
      <c r="Z10" s="27"/>
      <c r="AA10" s="27"/>
    </row>
    <row r="11" spans="1:33" ht="14.1" customHeight="1" x14ac:dyDescent="0.2">
      <c r="A11" s="32">
        <v>44620</v>
      </c>
      <c r="B11" s="31">
        <f>VLOOKUP(A11,[1]HwabaoWP_szse_innovation_100!$A:$E,5)</f>
        <v>0.88200002908706665</v>
      </c>
      <c r="C11" s="31">
        <f>VLOOKUP(A11,[2]myPEPB!$B:$C,2,FALSE)</f>
        <v>30.969999313354492</v>
      </c>
      <c r="D11" s="29">
        <f>VLOOKUP(A11,[2]myPEPB!$B:$D,3,FALSE)</f>
        <v>37.189128403969853</v>
      </c>
      <c r="E11" s="29">
        <f t="shared" si="7"/>
        <v>24565.559907930678</v>
      </c>
      <c r="F11" s="30">
        <f t="shared" si="0"/>
        <v>27852.107820628753</v>
      </c>
      <c r="G11" s="30">
        <f t="shared" si="1"/>
        <v>130128.01576930897</v>
      </c>
      <c r="H11" s="30">
        <f t="shared" si="2"/>
        <v>114772.91369357279</v>
      </c>
      <c r="I11" s="30">
        <f t="shared" si="3"/>
        <v>122460.49475229948</v>
      </c>
      <c r="J11" s="30">
        <f t="shared" si="4"/>
        <v>114772.91369357279</v>
      </c>
      <c r="K11" s="30">
        <f t="shared" si="5"/>
        <v>-7687.5810587266897</v>
      </c>
      <c r="L11" s="29">
        <f t="shared" si="6"/>
        <v>0</v>
      </c>
      <c r="M11" s="27"/>
      <c r="Y11" s="19"/>
      <c r="Z11" s="27"/>
      <c r="AA11" s="27"/>
    </row>
    <row r="12" spans="1:33" ht="14.1" customHeight="1" x14ac:dyDescent="0.2">
      <c r="A12" s="32">
        <v>44651</v>
      </c>
      <c r="B12" s="31">
        <f>VLOOKUP(A12,[1]HwabaoWP_szse_innovation_100!$A:$E,5)</f>
        <v>0.79199999570846558</v>
      </c>
      <c r="C12" s="31">
        <f>VLOOKUP(A12,[2]myPEPB!$B:$C,2,FALSE)</f>
        <v>27.639999389648438</v>
      </c>
      <c r="D12" s="29">
        <f>VLOOKUP(A12,[2]myPEPB!$B:$D,3,FALSE)</f>
        <v>36.340041473831867</v>
      </c>
      <c r="E12" s="29">
        <f t="shared" si="7"/>
        <v>34365.166232524549</v>
      </c>
      <c r="F12" s="30">
        <f t="shared" si="0"/>
        <v>43390.3616398179</v>
      </c>
      <c r="G12" s="30">
        <f t="shared" si="1"/>
        <v>173518.37740912687</v>
      </c>
      <c r="H12" s="30">
        <f t="shared" si="2"/>
        <v>137426.55416336839</v>
      </c>
      <c r="I12" s="30">
        <f t="shared" si="3"/>
        <v>156825.66098482403</v>
      </c>
      <c r="J12" s="30">
        <f t="shared" si="4"/>
        <v>137426.55416336839</v>
      </c>
      <c r="K12" s="30">
        <f t="shared" si="5"/>
        <v>-19399.106821455644</v>
      </c>
      <c r="L12" s="29">
        <f t="shared" si="6"/>
        <v>0</v>
      </c>
      <c r="M12" s="27"/>
      <c r="Y12" s="19"/>
    </row>
    <row r="13" spans="1:33" ht="14.1" customHeight="1" x14ac:dyDescent="0.2">
      <c r="A13" s="32">
        <v>44680</v>
      </c>
      <c r="B13" s="31">
        <f>VLOOKUP(A13,[1]HwabaoWP_szse_innovation_100!$A:$E,5)</f>
        <v>0.71899998188018799</v>
      </c>
      <c r="C13" s="31">
        <f>VLOOKUP(A13,[2]myPEPB!$B:$C,2,FALSE)</f>
        <v>25.129999160766602</v>
      </c>
      <c r="D13" s="29">
        <f>VLOOKUP(A13,[2]myPEPB!$B:$D,3,FALSE)</f>
        <v>35.566115372584406</v>
      </c>
      <c r="E13" s="29">
        <f t="shared" si="7"/>
        <v>41222.659036680328</v>
      </c>
      <c r="F13" s="30">
        <f t="shared" si="0"/>
        <v>57333.324166271741</v>
      </c>
      <c r="G13" s="30">
        <f t="shared" si="1"/>
        <v>230851.70157539862</v>
      </c>
      <c r="H13" s="30">
        <f t="shared" si="2"/>
        <v>165982.36924972216</v>
      </c>
      <c r="I13" s="30">
        <f t="shared" si="3"/>
        <v>198048.32002150436</v>
      </c>
      <c r="J13" s="30">
        <f t="shared" si="4"/>
        <v>165982.36924972216</v>
      </c>
      <c r="K13" s="30">
        <f t="shared" si="5"/>
        <v>-32065.950771782198</v>
      </c>
      <c r="L13" s="29">
        <f t="shared" si="6"/>
        <v>0</v>
      </c>
      <c r="M13" s="27"/>
      <c r="AA13" s="25"/>
    </row>
    <row r="14" spans="1:33" ht="14.1" customHeight="1" x14ac:dyDescent="0.2">
      <c r="A14" s="32">
        <v>44712</v>
      </c>
      <c r="B14" s="31">
        <f>VLOOKUP(A14,[1]HwabaoWP_szse_innovation_100!$A:$E,5)</f>
        <v>0.74699997901916504</v>
      </c>
      <c r="C14" s="31">
        <f>VLOOKUP(A14,[2]myPEPB!$B:$C,2,FALSE)</f>
        <v>24.129999160766602</v>
      </c>
      <c r="D14" s="29">
        <f>VLOOKUP(A14,[2]myPEPB!$B:$D,3,FALSE)</f>
        <v>34.740071662711408</v>
      </c>
      <c r="E14" s="29">
        <f t="shared" si="7"/>
        <v>41909.786382681988</v>
      </c>
      <c r="F14" s="30">
        <f t="shared" si="0"/>
        <v>56104.133279509435</v>
      </c>
      <c r="G14" s="30">
        <f t="shared" si="1"/>
        <v>286955.83485490805</v>
      </c>
      <c r="H14" s="30">
        <f t="shared" si="2"/>
        <v>214356.00261604332</v>
      </c>
      <c r="I14" s="30">
        <f t="shared" si="3"/>
        <v>239958.10640418634</v>
      </c>
      <c r="J14" s="30">
        <f t="shared" si="4"/>
        <v>214356.00261604332</v>
      </c>
      <c r="K14" s="30">
        <f t="shared" si="5"/>
        <v>-25602.103788143024</v>
      </c>
      <c r="L14" s="29">
        <f t="shared" si="6"/>
        <v>0</v>
      </c>
      <c r="M14" s="27"/>
    </row>
    <row r="15" spans="1:33" ht="14.1" customHeight="1" x14ac:dyDescent="0.2">
      <c r="A15" s="32">
        <v>44742</v>
      </c>
      <c r="B15" s="31">
        <f>VLOOKUP(A15,[1]HwabaoWP_szse_innovation_100!$A:$E,5)</f>
        <v>0.84500002861022949</v>
      </c>
      <c r="C15" s="31">
        <f>VLOOKUP(A15,[2]myPEPB!$B:$C,2,FALSE)</f>
        <v>27.809999465942383</v>
      </c>
      <c r="D15" s="29">
        <f>VLOOKUP(A15,[2]myPEPB!$B:$D,3,FALSE)</f>
        <v>34.118899975077305</v>
      </c>
      <c r="E15" s="29">
        <f t="shared" si="7"/>
        <v>24920.157011082942</v>
      </c>
      <c r="F15" s="30">
        <f t="shared" si="0"/>
        <v>29491.309073763103</v>
      </c>
      <c r="G15" s="30">
        <f t="shared" si="1"/>
        <v>316447.14392867114</v>
      </c>
      <c r="H15" s="30">
        <f t="shared" si="2"/>
        <v>267397.84567335254</v>
      </c>
      <c r="I15" s="30">
        <f t="shared" si="3"/>
        <v>264878.26341526926</v>
      </c>
      <c r="J15" s="30">
        <f t="shared" si="4"/>
        <v>267397.84567335254</v>
      </c>
      <c r="K15" s="30">
        <f t="shared" si="5"/>
        <v>2519.5822580832755</v>
      </c>
      <c r="L15" s="29">
        <f t="shared" si="6"/>
        <v>0</v>
      </c>
      <c r="M15" s="27"/>
    </row>
    <row r="16" spans="1:33" ht="14.1" customHeight="1" x14ac:dyDescent="0.2">
      <c r="A16" s="32">
        <v>44771</v>
      </c>
      <c r="B16" s="31">
        <f>VLOOKUP(A16,[1]HwabaoWP_szse_innovation_100!$A:$E,5)</f>
        <v>0.80099999904632568</v>
      </c>
      <c r="C16" s="31">
        <f>VLOOKUP(A16,[2]myPEPB!$B:$C,2,FALSE)</f>
        <v>26.329999923706055</v>
      </c>
      <c r="D16" s="29">
        <f>VLOOKUP(A16,[2]myPEPB!$B:$D,3,FALSE)</f>
        <v>33.665700900829464</v>
      </c>
      <c r="E16" s="29">
        <f t="shared" si="7"/>
        <v>28976.018859637465</v>
      </c>
      <c r="F16" s="30">
        <f t="shared" si="0"/>
        <v>36174.805111281457</v>
      </c>
      <c r="G16" s="30">
        <f t="shared" si="1"/>
        <v>352621.9490399526</v>
      </c>
      <c r="H16" s="30">
        <f t="shared" si="2"/>
        <v>282450.18084471551</v>
      </c>
      <c r="I16" s="30">
        <f t="shared" si="3"/>
        <v>293854.28227490676</v>
      </c>
      <c r="J16" s="30">
        <f t="shared" si="4"/>
        <v>282450.18084471551</v>
      </c>
      <c r="K16" s="30">
        <f t="shared" si="5"/>
        <v>-11404.101430191251</v>
      </c>
      <c r="L16" s="29">
        <f t="shared" si="6"/>
        <v>0</v>
      </c>
      <c r="M16" s="27"/>
    </row>
    <row r="17" spans="1:13" ht="14.1" customHeight="1" x14ac:dyDescent="0.2">
      <c r="A17" s="32">
        <v>44804</v>
      </c>
      <c r="B17" s="31">
        <f>VLOOKUP(A17,[1]HwabaoWP_szse_innovation_100!$A:$E,5)</f>
        <v>0.76499998569488525</v>
      </c>
      <c r="C17" s="31">
        <f>VLOOKUP(A17,[2]myPEPB!$B:$C,2,FALSE)</f>
        <v>25.180000305175781</v>
      </c>
      <c r="D17" s="29">
        <f>VLOOKUP(A17,[2]myPEPB!$B:$D,3,FALSE)</f>
        <v>33.177209276154976</v>
      </c>
      <c r="E17" s="29">
        <f t="shared" si="7"/>
        <v>31588.975435367818</v>
      </c>
      <c r="F17" s="30">
        <f t="shared" si="0"/>
        <v>41292.779119040213</v>
      </c>
      <c r="G17" s="30">
        <f t="shared" si="1"/>
        <v>393914.72815899283</v>
      </c>
      <c r="H17" s="30">
        <f t="shared" si="2"/>
        <v>301344.76140663412</v>
      </c>
      <c r="I17" s="30">
        <f t="shared" si="3"/>
        <v>325443.2577102746</v>
      </c>
      <c r="J17" s="30">
        <f t="shared" si="4"/>
        <v>301344.76140663412</v>
      </c>
      <c r="K17" s="30">
        <f t="shared" si="5"/>
        <v>-24098.496303640481</v>
      </c>
      <c r="L17" s="29">
        <f t="shared" si="6"/>
        <v>0</v>
      </c>
      <c r="M17" s="27"/>
    </row>
    <row r="18" spans="1:13" ht="14.1" customHeight="1" x14ac:dyDescent="0.2">
      <c r="A18" s="32">
        <v>44834</v>
      </c>
      <c r="B18" s="31">
        <f>VLOOKUP(A18,[1]HwabaoWP_szse_innovation_100!$A:$E,5)</f>
        <v>0.69599997997283936</v>
      </c>
      <c r="C18" s="31">
        <f>VLOOKUP(A18,[2]myPEPB!$B:$C,2,FALSE)</f>
        <v>22.610000610351563</v>
      </c>
      <c r="D18" s="29">
        <f>VLOOKUP(A18,[2]myPEPB!$B:$D,3,FALSE)</f>
        <v>32.639682721540886</v>
      </c>
      <c r="E18" s="29">
        <f t="shared" si="7"/>
        <v>39617.24433919783</v>
      </c>
      <c r="F18" s="30">
        <f t="shared" si="0"/>
        <v>56921.329711451792</v>
      </c>
      <c r="G18" s="30">
        <f t="shared" si="1"/>
        <v>450836.05787044461</v>
      </c>
      <c r="H18" s="30">
        <f t="shared" si="2"/>
        <v>313781.88724886329</v>
      </c>
      <c r="I18" s="30">
        <f t="shared" si="3"/>
        <v>365060.50204947242</v>
      </c>
      <c r="J18" s="30">
        <f t="shared" si="4"/>
        <v>313781.88724886329</v>
      </c>
      <c r="K18" s="30">
        <f t="shared" si="5"/>
        <v>-51278.614800609124</v>
      </c>
      <c r="L18" s="29">
        <f t="shared" si="6"/>
        <v>0</v>
      </c>
      <c r="M18" s="27"/>
    </row>
    <row r="19" spans="1:13" ht="12.75" x14ac:dyDescent="0.2">
      <c r="A19" s="32">
        <v>44865</v>
      </c>
      <c r="B19" s="31">
        <f>VLOOKUP(A19,[1]HwabaoWP_szse_innovation_100!$A:$E,5)</f>
        <v>0.68699997663497925</v>
      </c>
      <c r="C19" s="31">
        <f>VLOOKUP(A19,[2]myPEPB!$B:$C,2,FALSE)</f>
        <v>22.239999771118164</v>
      </c>
      <c r="D19" s="29">
        <f>VLOOKUP(A19,[2]myPEPB!$B:$D,3,FALSE)</f>
        <v>32.234052997346801</v>
      </c>
      <c r="E19" s="29">
        <f t="shared" si="7"/>
        <v>39476.510243603116</v>
      </c>
      <c r="F19" s="30">
        <f t="shared" si="0"/>
        <v>57462.171158963516</v>
      </c>
      <c r="G19" s="30">
        <f t="shared" si="1"/>
        <v>508298.22902940813</v>
      </c>
      <c r="H19" s="30">
        <f t="shared" si="2"/>
        <v>349200.8714668047</v>
      </c>
      <c r="I19" s="30">
        <f t="shared" si="3"/>
        <v>404537.01229307556</v>
      </c>
      <c r="J19" s="30">
        <f t="shared" si="4"/>
        <v>349200.8714668047</v>
      </c>
      <c r="K19" s="30">
        <f t="shared" si="5"/>
        <v>-55336.140826270857</v>
      </c>
      <c r="L19" s="29">
        <f t="shared" si="6"/>
        <v>0</v>
      </c>
    </row>
    <row r="20" spans="1:13" ht="12.75" x14ac:dyDescent="0.2">
      <c r="A20" s="32">
        <v>44895</v>
      </c>
      <c r="B20" s="31">
        <f>VLOOKUP(A20,[1]HwabaoWP_szse_innovation_100!$A:$E,5)</f>
        <v>0.72000002861022949</v>
      </c>
      <c r="C20" s="31">
        <f>VLOOKUP(A20,[2]myPEPB!$B:$C,2,FALSE)</f>
        <v>22.809999465942383</v>
      </c>
      <c r="D20" s="29">
        <f>VLOOKUP(A20,[2]myPEPB!$B:$D,3,FALSE)</f>
        <v>31.717553840474388</v>
      </c>
      <c r="E20" s="29">
        <f t="shared" si="7"/>
        <v>35184.839779401416</v>
      </c>
      <c r="F20" s="30">
        <f t="shared" si="0"/>
        <v>48867.83108511327</v>
      </c>
      <c r="G20" s="30">
        <f t="shared" si="1"/>
        <v>557166.06011452142</v>
      </c>
      <c r="H20" s="30">
        <f t="shared" si="2"/>
        <v>401159.57922310429</v>
      </c>
      <c r="I20" s="30">
        <f t="shared" si="3"/>
        <v>439721.85207247699</v>
      </c>
      <c r="J20" s="30">
        <f t="shared" si="4"/>
        <v>401159.57922310429</v>
      </c>
      <c r="K20" s="30">
        <f t="shared" si="5"/>
        <v>-38562.272849372705</v>
      </c>
      <c r="L20" s="29">
        <f t="shared" si="6"/>
        <v>0</v>
      </c>
    </row>
    <row r="21" spans="1:13" ht="12.75" x14ac:dyDescent="0.2">
      <c r="A21" s="32">
        <v>44925</v>
      </c>
      <c r="B21" s="31">
        <f>VLOOKUP(A21,[1]HwabaoWP_szse_innovation_100!$A:$E,5)</f>
        <v>0.72299998998641968</v>
      </c>
      <c r="C21" s="31">
        <f>VLOOKUP(A21,[2]myPEPB!$B:$C,2,FALSE)</f>
        <v>22.739999771118164</v>
      </c>
      <c r="D21" s="29">
        <f>VLOOKUP(A21,[2]myPEPB!$B:$D,3,FALSE)</f>
        <v>31.2721039929989</v>
      </c>
      <c r="E21" s="29">
        <f t="shared" si="7"/>
        <v>33701.811676428908</v>
      </c>
      <c r="F21" s="30">
        <f t="shared" si="0"/>
        <v>46613.848054219117</v>
      </c>
      <c r="G21" s="30">
        <f t="shared" si="1"/>
        <v>603779.90816874057</v>
      </c>
      <c r="H21" s="30">
        <f t="shared" si="2"/>
        <v>436532.8675600008</v>
      </c>
      <c r="I21" s="30">
        <f t="shared" si="3"/>
        <v>473423.66374890588</v>
      </c>
      <c r="J21" s="30">
        <f t="shared" si="4"/>
        <v>436532.8675600008</v>
      </c>
      <c r="K21" s="30">
        <f t="shared" si="5"/>
        <v>-36890.796188905078</v>
      </c>
      <c r="L21" s="29">
        <f t="shared" si="6"/>
        <v>0</v>
      </c>
    </row>
    <row r="22" spans="1:13" ht="12.75" x14ac:dyDescent="0.2">
      <c r="A22" s="32">
        <v>44957</v>
      </c>
      <c r="B22" s="31">
        <f>VLOOKUP(A22,[1]HwabaoWP_szse_innovation_100!$A:$E,5)</f>
        <v>0.78899997472763062</v>
      </c>
      <c r="C22" s="31">
        <f>VLOOKUP(A22,[2]myPEPB!$B:$C,2,FALSE)</f>
        <v>24.899999618530273</v>
      </c>
      <c r="D22" s="29">
        <f>VLOOKUP(A22,[2]myPEPB!$B:$D,3,FALSE)</f>
        <v>31.009964169913562</v>
      </c>
      <c r="E22" s="29">
        <f t="shared" si="7"/>
        <v>24134.359977963992</v>
      </c>
      <c r="F22" s="30">
        <f t="shared" si="0"/>
        <v>30588.543410657745</v>
      </c>
      <c r="G22" s="30">
        <f t="shared" si="1"/>
        <v>634368.45157939836</v>
      </c>
      <c r="H22" s="30">
        <f t="shared" si="2"/>
        <v>500516.69226415147</v>
      </c>
      <c r="I22" s="30">
        <f t="shared" si="3"/>
        <v>497558.02372686984</v>
      </c>
      <c r="J22" s="30">
        <f t="shared" si="4"/>
        <v>500516.69226415147</v>
      </c>
      <c r="K22" s="30">
        <f t="shared" si="5"/>
        <v>2958.6685372816282</v>
      </c>
      <c r="L22" s="29">
        <f t="shared" si="6"/>
        <v>0</v>
      </c>
    </row>
    <row r="23" spans="1:13" ht="12.75" x14ac:dyDescent="0.2">
      <c r="A23" s="32">
        <v>44985</v>
      </c>
      <c r="B23" s="31">
        <f>VLOOKUP(A23,[1]HwabaoWP_szse_innovation_100!$A:$E,5)</f>
        <v>0.7630000114440918</v>
      </c>
      <c r="C23" s="31">
        <f>VLOOKUP(A23,[2]myPEPB!$B:$C,2,FALSE)</f>
        <v>23.979999542236328</v>
      </c>
      <c r="D23" s="29">
        <f>VLOOKUP(A23,[2]myPEPB!$B:$D,3,FALSE)</f>
        <v>30.72842559388133</v>
      </c>
      <c r="E23" s="29">
        <f t="shared" si="7"/>
        <v>26656.282903997755</v>
      </c>
      <c r="F23" s="30">
        <f t="shared" si="0"/>
        <v>34936.150071016047</v>
      </c>
      <c r="G23" s="30">
        <f t="shared" si="1"/>
        <v>669304.60165041441</v>
      </c>
      <c r="H23" s="30">
        <f t="shared" si="2"/>
        <v>510679.41871884948</v>
      </c>
      <c r="I23" s="30">
        <f t="shared" si="3"/>
        <v>524214.30663086759</v>
      </c>
      <c r="J23" s="30">
        <f t="shared" si="4"/>
        <v>510679.41871884948</v>
      </c>
      <c r="K23" s="30">
        <f t="shared" si="5"/>
        <v>-13534.887912018108</v>
      </c>
      <c r="L23" s="29">
        <f t="shared" si="6"/>
        <v>0</v>
      </c>
    </row>
    <row r="24" spans="1:13" ht="12.75" x14ac:dyDescent="0.2">
      <c r="A24" s="32">
        <v>45016</v>
      </c>
      <c r="B24" s="31">
        <f>VLOOKUP(A24,[1]HwabaoWP_szse_innovation_100!$A:$E,5)</f>
        <v>0.77100002765655518</v>
      </c>
      <c r="C24" s="31">
        <f>VLOOKUP(A24,[2]myPEPB!$B:$C,2,FALSE)</f>
        <v>24.159999847412109</v>
      </c>
      <c r="D24" s="29">
        <f>VLOOKUP(A24,[2]myPEPB!$B:$D,3,FALSE)</f>
        <v>30.393087189136843</v>
      </c>
      <c r="E24" s="29">
        <f t="shared" si="7"/>
        <v>24620.694999812695</v>
      </c>
      <c r="F24" s="30">
        <f t="shared" si="0"/>
        <v>31933.455404206645</v>
      </c>
      <c r="G24" s="30">
        <f t="shared" si="1"/>
        <v>701238.05705462105</v>
      </c>
      <c r="H24" s="30">
        <f t="shared" si="2"/>
        <v>540654.5613829419</v>
      </c>
      <c r="I24" s="30">
        <f t="shared" si="3"/>
        <v>548835.00163068029</v>
      </c>
      <c r="J24" s="30">
        <f t="shared" si="4"/>
        <v>540654.5613829419</v>
      </c>
      <c r="K24" s="30">
        <f t="shared" si="5"/>
        <v>-8180.4402477383846</v>
      </c>
      <c r="L24" s="29">
        <f t="shared" si="6"/>
        <v>0</v>
      </c>
    </row>
    <row r="25" spans="1:13" ht="12.75" x14ac:dyDescent="0.2">
      <c r="A25" s="32">
        <v>45044</v>
      </c>
      <c r="B25" s="31">
        <f>VLOOKUP(A25,[1]HwabaoWP_szse_innovation_100!$A:$E,5)</f>
        <v>0.75099998712539673</v>
      </c>
      <c r="C25" s="31">
        <f>VLOOKUP(A25,[2]myPEPB!$B:$C,2,FALSE)</f>
        <v>23.579999923706055</v>
      </c>
      <c r="D25" s="29">
        <f>VLOOKUP(A25,[2]myPEPB!$B:$D,3,FALSE)</f>
        <v>30.1543821056874</v>
      </c>
      <c r="E25" s="29">
        <f t="shared" si="7"/>
        <v>25968.809618826315</v>
      </c>
      <c r="F25" s="30">
        <f t="shared" si="0"/>
        <v>34578.974785641672</v>
      </c>
      <c r="G25" s="30">
        <f t="shared" si="1"/>
        <v>735817.0318402627</v>
      </c>
      <c r="H25" s="30">
        <f t="shared" si="2"/>
        <v>552598.58143868495</v>
      </c>
      <c r="I25" s="30">
        <f t="shared" si="3"/>
        <v>574803.81124950666</v>
      </c>
      <c r="J25" s="30">
        <f t="shared" si="4"/>
        <v>552598.58143868495</v>
      </c>
      <c r="K25" s="30">
        <f t="shared" si="5"/>
        <v>-22205.229810821707</v>
      </c>
      <c r="L25" s="29">
        <f t="shared" si="6"/>
        <v>0</v>
      </c>
    </row>
    <row r="26" spans="1:13" ht="12.75" x14ac:dyDescent="0.2">
      <c r="A26" s="32">
        <v>45077</v>
      </c>
      <c r="B26" s="31">
        <f>VLOOKUP(A26,[1]HwabaoWP_szse_innovation_100!$A:$E,5)</f>
        <v>0.72000002861022949</v>
      </c>
      <c r="C26" s="31">
        <f>VLOOKUP(A26,[2]myPEPB!$B:$C,2,FALSE)</f>
        <v>21.329999923706055</v>
      </c>
      <c r="D26" s="29">
        <f>VLOOKUP(A26,[2]myPEPB!$B:$D,3,FALSE)</f>
        <v>29.834329254302094</v>
      </c>
      <c r="E26" s="29">
        <f t="shared" si="7"/>
        <v>33592.100855854354</v>
      </c>
      <c r="F26" s="30">
        <f t="shared" si="0"/>
        <v>46655.693779200345</v>
      </c>
      <c r="G26" s="30">
        <f t="shared" si="1"/>
        <v>782472.72561946302</v>
      </c>
      <c r="H26" s="30">
        <f t="shared" si="2"/>
        <v>563380.38483273762</v>
      </c>
      <c r="I26" s="30">
        <f t="shared" si="3"/>
        <v>608395.912105361</v>
      </c>
      <c r="J26" s="30">
        <f t="shared" si="4"/>
        <v>563380.38483273762</v>
      </c>
      <c r="K26" s="30">
        <f t="shared" si="5"/>
        <v>-45015.527272623382</v>
      </c>
      <c r="L26" s="29">
        <f t="shared" si="6"/>
        <v>0</v>
      </c>
    </row>
    <row r="27" spans="1:13" ht="12.75" x14ac:dyDescent="0.2">
      <c r="A27" s="32">
        <v>45107</v>
      </c>
      <c r="B27" s="31">
        <f>VLOOKUP(A27,[1]HwabaoWP_szse_innovation_100!$A:$E,5)</f>
        <v>0.75499999523162842</v>
      </c>
      <c r="C27" s="31">
        <f>VLOOKUP(A27,[2]myPEPB!$B:$C,2,FALSE)</f>
        <v>22.200000762939453</v>
      </c>
      <c r="D27" s="29">
        <f>VLOOKUP(A27,[2]myPEPB!$B:$D,3,FALSE)</f>
        <v>29.540486551111261</v>
      </c>
      <c r="E27" s="29">
        <f t="shared" si="7"/>
        <v>28994.918863278643</v>
      </c>
      <c r="F27" s="30">
        <f t="shared" si="0"/>
        <v>38403.866286625889</v>
      </c>
      <c r="G27" s="30">
        <f t="shared" si="1"/>
        <v>820876.59190608887</v>
      </c>
      <c r="H27" s="30">
        <f t="shared" si="2"/>
        <v>619761.82297485252</v>
      </c>
      <c r="I27" s="30">
        <f t="shared" si="3"/>
        <v>637390.8309686397</v>
      </c>
      <c r="J27" s="30">
        <f t="shared" si="4"/>
        <v>619761.82297485252</v>
      </c>
      <c r="K27" s="30">
        <f t="shared" si="5"/>
        <v>-17629.007993787178</v>
      </c>
      <c r="L27" s="29">
        <f t="shared" si="6"/>
        <v>0</v>
      </c>
    </row>
    <row r="28" spans="1:13" ht="12.75" x14ac:dyDescent="0.2">
      <c r="A28" s="32">
        <v>45138</v>
      </c>
      <c r="B28" s="31">
        <f>VLOOKUP(A28,[1]HwabaoWP_szse_innovation_100!$A:$E,5)</f>
        <v>0.76099997758865356</v>
      </c>
      <c r="C28" s="31">
        <f>VLOOKUP(A28,[2]myPEPB!$B:$C,2,FALSE)</f>
        <v>22.409999847412109</v>
      </c>
      <c r="D28" s="29">
        <f>VLOOKUP(A28,[2]myPEPB!$B:$D,3,FALSE)</f>
        <v>29.26302162741802</v>
      </c>
      <c r="E28" s="29">
        <f t="shared" si="7"/>
        <v>27069.436031023346</v>
      </c>
      <c r="F28" s="30">
        <f t="shared" si="0"/>
        <v>35570.876252581569</v>
      </c>
      <c r="G28" s="30">
        <f t="shared" si="1"/>
        <v>856447.46815867047</v>
      </c>
      <c r="H28" s="30">
        <f t="shared" si="2"/>
        <v>651756.50407460728</v>
      </c>
      <c r="I28" s="30">
        <f t="shared" si="3"/>
        <v>664460.26699966309</v>
      </c>
      <c r="J28" s="30">
        <f t="shared" si="4"/>
        <v>651756.50407460728</v>
      </c>
      <c r="K28" s="30">
        <f t="shared" si="5"/>
        <v>-12703.762925055809</v>
      </c>
      <c r="L28" s="29">
        <f t="shared" si="6"/>
        <v>0</v>
      </c>
    </row>
    <row r="29" spans="1:13" ht="12.75" x14ac:dyDescent="0.2">
      <c r="A29" s="32">
        <v>45169</v>
      </c>
      <c r="B29" s="31">
        <f>VLOOKUP(A29,[1]HwabaoWP_szse_innovation_100!$A:$E,5)</f>
        <v>0.71399998664855957</v>
      </c>
      <c r="C29" s="31">
        <f>VLOOKUP(A29,[2]myPEPB!$B:$C,2,FALSE)</f>
        <v>20.899999618530273</v>
      </c>
      <c r="D29" s="29">
        <f>VLOOKUP(A29,[2]myPEPB!$B:$D,3,FALSE)</f>
        <v>28.951898116056832</v>
      </c>
      <c r="E29" s="29">
        <f t="shared" si="7"/>
        <v>31804.999065229906</v>
      </c>
      <c r="F29" s="30">
        <f t="shared" si="0"/>
        <v>44544.817450934708</v>
      </c>
      <c r="G29" s="30">
        <f t="shared" si="1"/>
        <v>900992.28560960514</v>
      </c>
      <c r="H29" s="30">
        <f t="shared" si="2"/>
        <v>643308.47989571327</v>
      </c>
      <c r="I29" s="30">
        <f t="shared" si="3"/>
        <v>696265.26606489299</v>
      </c>
      <c r="J29" s="30">
        <f t="shared" si="4"/>
        <v>643308.47989571327</v>
      </c>
      <c r="K29" s="30">
        <f t="shared" si="5"/>
        <v>-52956.786169179715</v>
      </c>
      <c r="L29" s="29">
        <f t="shared" si="6"/>
        <v>0</v>
      </c>
    </row>
    <row r="30" spans="1:13" ht="12.75" x14ac:dyDescent="0.2">
      <c r="A30" s="32">
        <v>45197</v>
      </c>
      <c r="B30" s="31">
        <f>VLOOKUP(A30,[1]HwabaoWP_szse_innovation_100!$A:$E,5)</f>
        <v>0.68500000238418579</v>
      </c>
      <c r="C30" s="31">
        <f>VLOOKUP(A30,[2]myPEPB!$B:$C,2,FALSE)</f>
        <v>19.25</v>
      </c>
      <c r="D30" s="29">
        <f>VLOOKUP(A30,[2]myPEPB!$B:$D,3,FALSE)</f>
        <v>28.642033273139454</v>
      </c>
      <c r="E30" s="29">
        <f t="shared" si="7"/>
        <v>37098.531428900846</v>
      </c>
      <c r="F30" s="30">
        <f t="shared" si="0"/>
        <v>54158.439853689146</v>
      </c>
      <c r="G30" s="30">
        <f t="shared" si="1"/>
        <v>955150.72546329431</v>
      </c>
      <c r="H30" s="30">
        <f t="shared" si="2"/>
        <v>654278.24921961338</v>
      </c>
      <c r="I30" s="30">
        <f t="shared" si="3"/>
        <v>733363.79749379389</v>
      </c>
      <c r="J30" s="30">
        <f t="shared" si="4"/>
        <v>654278.24921961338</v>
      </c>
      <c r="K30" s="30">
        <f t="shared" si="5"/>
        <v>-79085.548274180503</v>
      </c>
      <c r="L30" s="29">
        <f t="shared" si="6"/>
        <v>0</v>
      </c>
    </row>
    <row r="31" spans="1:13" ht="12.75" x14ac:dyDescent="0.2">
      <c r="A31" s="32">
        <v>45230</v>
      </c>
      <c r="B31" s="31">
        <f>VLOOKUP(A31,[1]HwabaoWP_szse_innovation_100!$A:$E,5)</f>
        <v>0.66299998760223389</v>
      </c>
      <c r="C31" s="31">
        <f>VLOOKUP(A31,[2]myPEPB!$B:$C,2,FALSE)</f>
        <v>18.770000457763672</v>
      </c>
      <c r="D31" s="29">
        <f>VLOOKUP(A31,[2]myPEPB!$B:$D,3,FALSE)</f>
        <v>28.372122112939287</v>
      </c>
      <c r="E31" s="29">
        <f t="shared" si="7"/>
        <v>37928.380537943682</v>
      </c>
      <c r="F31" s="30">
        <f t="shared" si="0"/>
        <v>57207.211534216156</v>
      </c>
      <c r="G31" s="30">
        <f t="shared" si="1"/>
        <v>1012357.9369975105</v>
      </c>
      <c r="H31" s="30">
        <f t="shared" si="2"/>
        <v>671193.29967837257</v>
      </c>
      <c r="I31" s="30">
        <f t="shared" si="3"/>
        <v>771292.17803173757</v>
      </c>
      <c r="J31" s="30">
        <f t="shared" si="4"/>
        <v>671193.29967837257</v>
      </c>
      <c r="K31" s="30">
        <f t="shared" si="5"/>
        <v>-100098.878353365</v>
      </c>
      <c r="L31" s="29">
        <f t="shared" si="6"/>
        <v>0</v>
      </c>
    </row>
    <row r="32" spans="1:13" ht="12.75" x14ac:dyDescent="0.2">
      <c r="A32" s="32">
        <v>45260</v>
      </c>
      <c r="B32" s="31">
        <f>VLOOKUP(A32,[1]HwabaoWP_szse_innovation_100!$A:$E,5)</f>
        <v>0.65100002288818359</v>
      </c>
      <c r="C32" s="31">
        <f>VLOOKUP(A32,[2]myPEPB!$B:$C,2,FALSE)</f>
        <v>17.930000305175781</v>
      </c>
      <c r="D32" s="29">
        <f>VLOOKUP(A32,[2]myPEPB!$B:$D,3,FALSE)</f>
        <v>28.031817642334733</v>
      </c>
      <c r="E32" s="29">
        <f t="shared" si="7"/>
        <v>39902.178481777861</v>
      </c>
      <c r="F32" s="30">
        <f t="shared" si="0"/>
        <v>61293.666787829745</v>
      </c>
      <c r="G32" s="30">
        <f t="shared" si="1"/>
        <v>1073651.6037853402</v>
      </c>
      <c r="H32" s="30">
        <f t="shared" si="2"/>
        <v>698947.21863819147</v>
      </c>
      <c r="I32" s="30">
        <f t="shared" si="3"/>
        <v>811194.35651351546</v>
      </c>
      <c r="J32" s="30">
        <f t="shared" si="4"/>
        <v>698947.21863819147</v>
      </c>
      <c r="K32" s="30">
        <f t="shared" si="5"/>
        <v>-112247.137875324</v>
      </c>
      <c r="L32" s="29">
        <f t="shared" si="6"/>
        <v>0</v>
      </c>
    </row>
    <row r="33" spans="1:12" ht="12.75" x14ac:dyDescent="0.2">
      <c r="A33" s="32">
        <v>45289</v>
      </c>
      <c r="B33" s="31">
        <f>VLOOKUP(A33,[1]HwabaoWP_szse_innovation_100!$A:$E,5)</f>
        <v>0.64499998092651367</v>
      </c>
      <c r="C33" s="31">
        <f>VLOOKUP(A33,[2]myPEPB!$B:$C,2,FALSE)</f>
        <v>17.709999084472656</v>
      </c>
      <c r="D33" s="29">
        <f>VLOOKUP(A33,[2]myPEPB!$B:$D,3,FALSE)</f>
        <v>27.695688453026897</v>
      </c>
      <c r="E33" s="29">
        <f t="shared" si="7"/>
        <v>39443.473005789252</v>
      </c>
      <c r="F33" s="30">
        <f t="shared" si="0"/>
        <v>61152.67313516888</v>
      </c>
      <c r="G33" s="30">
        <f t="shared" si="1"/>
        <v>1134804.2769205091</v>
      </c>
      <c r="H33" s="30">
        <f t="shared" si="2"/>
        <v>731948.73696905444</v>
      </c>
      <c r="I33" s="30">
        <f t="shared" si="3"/>
        <v>850637.82951930468</v>
      </c>
      <c r="J33" s="30">
        <f t="shared" si="4"/>
        <v>731948.73696905444</v>
      </c>
      <c r="K33" s="30">
        <f t="shared" si="5"/>
        <v>-118689.09255025024</v>
      </c>
      <c r="L33" s="29">
        <f t="shared" si="6"/>
        <v>0</v>
      </c>
    </row>
    <row r="34" spans="1:12" ht="12.75" x14ac:dyDescent="0.2">
      <c r="A34" s="32">
        <v>45322</v>
      </c>
      <c r="B34" s="31">
        <f>VLOOKUP(A34,[1]HwabaoWP_szse_innovation_100!$A:$E,5)</f>
        <v>0.56099998950958252</v>
      </c>
      <c r="C34" s="31">
        <f>VLOOKUP(A34,[2]myPEPB!$B:$C,2,FALSE)</f>
        <v>15.380000114440918</v>
      </c>
      <c r="D34" s="29">
        <f>VLOOKUP(A34,[2]myPEPB!$B:$D,3,FALSE)</f>
        <v>27.336624376243282</v>
      </c>
      <c r="E34" s="29">
        <f t="shared" si="7"/>
        <v>47228.66583411934</v>
      </c>
      <c r="F34" s="30">
        <f t="shared" si="0"/>
        <v>84186.571688541211</v>
      </c>
      <c r="G34" s="30">
        <f t="shared" si="1"/>
        <v>1218990.8486090503</v>
      </c>
      <c r="H34" s="30">
        <f t="shared" si="2"/>
        <v>683853.8532819543</v>
      </c>
      <c r="I34" s="30">
        <f t="shared" si="3"/>
        <v>897866.49535342399</v>
      </c>
      <c r="J34" s="30">
        <f t="shared" si="4"/>
        <v>683853.8532819543</v>
      </c>
      <c r="K34" s="30">
        <f t="shared" si="5"/>
        <v>-214012.64207146969</v>
      </c>
      <c r="L34" s="29">
        <f t="shared" si="6"/>
        <v>0</v>
      </c>
    </row>
    <row r="35" spans="1:12" ht="12.75" x14ac:dyDescent="0.2">
      <c r="A35" s="32">
        <v>45351</v>
      </c>
      <c r="B35" s="31">
        <f>VLOOKUP(A35,[1]HwabaoWP_szse_innovation_100!$A:$E,5)</f>
        <v>0.6380000114440918</v>
      </c>
      <c r="C35" s="31">
        <f>VLOOKUP(A35,[2]myPEPB!$B:$C,2,FALSE)</f>
        <v>17.479999542236328</v>
      </c>
      <c r="D35" s="29">
        <f>VLOOKUP(A35,[2]myPEPB!$B:$D,3,FALSE)</f>
        <v>27.106454818762419</v>
      </c>
      <c r="E35" s="29">
        <f t="shared" si="7"/>
        <v>38024.498342278057</v>
      </c>
      <c r="F35" s="30">
        <f t="shared" si="0"/>
        <v>59599.526113190608</v>
      </c>
      <c r="G35" s="30">
        <f t="shared" si="1"/>
        <v>1278590.374722241</v>
      </c>
      <c r="H35" s="30">
        <f t="shared" si="2"/>
        <v>815740.67370509531</v>
      </c>
      <c r="I35" s="30">
        <f t="shared" si="3"/>
        <v>935890.99369570205</v>
      </c>
      <c r="J35" s="30">
        <f t="shared" si="4"/>
        <v>815740.67370509531</v>
      </c>
      <c r="K35" s="30">
        <f t="shared" si="5"/>
        <v>-120150.31999060675</v>
      </c>
      <c r="L35" s="29">
        <f t="shared" si="6"/>
        <v>0</v>
      </c>
    </row>
    <row r="36" spans="1:12" ht="12.75" x14ac:dyDescent="0.2">
      <c r="A36" s="32">
        <v>45380</v>
      </c>
      <c r="B36" s="31">
        <f>VLOOKUP(A36,[1]HwabaoWP_szse_innovation_100!$A:$E,5)</f>
        <v>0.64600002765655518</v>
      </c>
      <c r="C36" s="31">
        <f>VLOOKUP(A36,[2]myPEPB!$B:$C,2,FALSE)</f>
        <v>17.700000762939453</v>
      </c>
      <c r="D36" s="29">
        <f>VLOOKUP(A36,[2]myPEPB!$B:$D,3,FALSE)</f>
        <v>26.839674750359887</v>
      </c>
      <c r="E36" s="29">
        <f t="shared" si="7"/>
        <v>36101.712250310709</v>
      </c>
      <c r="F36" s="30">
        <f t="shared" si="0"/>
        <v>55885.001090904167</v>
      </c>
      <c r="G36" s="30">
        <f t="shared" si="1"/>
        <v>1334475.3758131452</v>
      </c>
      <c r="H36" s="30">
        <f t="shared" si="2"/>
        <v>862071.12968228362</v>
      </c>
      <c r="I36" s="30">
        <f t="shared" si="3"/>
        <v>971992.70594601275</v>
      </c>
      <c r="J36" s="30">
        <f t="shared" si="4"/>
        <v>862071.12968228362</v>
      </c>
      <c r="K36" s="30">
        <f t="shared" si="5"/>
        <v>-109921.57626372913</v>
      </c>
      <c r="L36" s="29">
        <f t="shared" si="6"/>
        <v>0</v>
      </c>
    </row>
    <row r="37" spans="1:12" ht="12.75" x14ac:dyDescent="0.2">
      <c r="A37" s="32">
        <v>45412</v>
      </c>
      <c r="B37" s="31">
        <f>VLOOKUP(A37,[1]HwabaoWP_szse_innovation_100!$A:$E,5)</f>
        <v>0.66399997472763062</v>
      </c>
      <c r="C37" s="31">
        <f>VLOOKUP(A37,[2]myPEPB!$B:$C,2,FALSE)</f>
        <v>18.110000610351563</v>
      </c>
      <c r="D37" s="29">
        <f>VLOOKUP(A37,[2]myPEPB!$B:$D,3,FALSE)</f>
        <v>26.594314356937268</v>
      </c>
      <c r="E37" s="29">
        <f t="shared" si="7"/>
        <v>33513.039299013537</v>
      </c>
      <c r="F37" s="30">
        <f t="shared" si="0"/>
        <v>50471.446648413526</v>
      </c>
      <c r="G37" s="30">
        <f t="shared" si="1"/>
        <v>1384946.8224615587</v>
      </c>
      <c r="H37" s="30">
        <f t="shared" si="2"/>
        <v>919604.65511358727</v>
      </c>
      <c r="I37" s="30">
        <f t="shared" si="3"/>
        <v>1005505.7452450263</v>
      </c>
      <c r="J37" s="30">
        <f t="shared" si="4"/>
        <v>919604.65511358727</v>
      </c>
      <c r="K37" s="30">
        <f t="shared" si="5"/>
        <v>-85901.090131439036</v>
      </c>
      <c r="L37" s="29">
        <f t="shared" si="6"/>
        <v>0</v>
      </c>
    </row>
    <row r="38" spans="1:12" ht="12.75" x14ac:dyDescent="0.2">
      <c r="A38" s="32">
        <v>45443</v>
      </c>
      <c r="B38" s="31">
        <f>VLOOKUP(A38,[1]HwabaoWP_szse_innovation_100!$A:$E,5)</f>
        <v>0.64999997615814209</v>
      </c>
      <c r="C38" s="31">
        <f>VLOOKUP(A38,[2]myPEPB!$B:$C,2,FALSE)</f>
        <v>18.329999919999999</v>
      </c>
      <c r="D38" s="29">
        <f>VLOOKUP(A38,[2]myPEPB!$B:$D,3,FALSE)</f>
        <v>26.389717901760058</v>
      </c>
      <c r="E38" s="29">
        <f t="shared" si="7"/>
        <v>31835.886027952234</v>
      </c>
      <c r="F38" s="30">
        <f t="shared" si="0"/>
        <v>48978.287993362486</v>
      </c>
      <c r="G38" s="30">
        <f t="shared" si="1"/>
        <v>1433925.1104549211</v>
      </c>
      <c r="H38" s="30">
        <f t="shared" si="2"/>
        <v>932051.28760826006</v>
      </c>
      <c r="I38" s="30">
        <f t="shared" si="3"/>
        <v>1037341.6312729785</v>
      </c>
      <c r="J38" s="30">
        <f t="shared" si="4"/>
        <v>932051.28760826006</v>
      </c>
      <c r="K38" s="30">
        <f t="shared" si="5"/>
        <v>-105290.34366471844</v>
      </c>
      <c r="L38" s="29">
        <f t="shared" si="6"/>
        <v>0</v>
      </c>
    </row>
    <row r="39" spans="1:12" ht="12.75" x14ac:dyDescent="0.2">
      <c r="A39" s="32">
        <v>45471</v>
      </c>
      <c r="B39" s="31">
        <f>VLOOKUP(A39,[1]HwabaoWP_szse_innovation_100!$A:$E,5)</f>
        <v>0.63599997758865356</v>
      </c>
      <c r="C39" s="31">
        <f>VLOOKUP(A39,[2]myPEPB!$B:$C,2,FALSE)</f>
        <v>17.86000061</v>
      </c>
      <c r="D39" s="29">
        <f>VLOOKUP(A39,[2]myPEPB!$B:$D,3,FALSE)</f>
        <v>26.193870144829649</v>
      </c>
      <c r="E39" s="29">
        <f t="shared" si="7"/>
        <v>32918.784662577113</v>
      </c>
      <c r="F39" s="30">
        <f t="shared" si="0"/>
        <v>51759.097205295868</v>
      </c>
      <c r="G39" s="30">
        <f t="shared" si="1"/>
        <v>1485684.2076602171</v>
      </c>
      <c r="H39" s="30">
        <f t="shared" si="2"/>
        <v>944895.12277571461</v>
      </c>
      <c r="I39" s="30">
        <f t="shared" si="3"/>
        <v>1070260.4159355557</v>
      </c>
      <c r="J39" s="30">
        <f t="shared" si="4"/>
        <v>944895.12277571461</v>
      </c>
      <c r="K39" s="30">
        <f t="shared" si="5"/>
        <v>-125365.29315984109</v>
      </c>
      <c r="L39" s="29">
        <f t="shared" si="6"/>
        <v>0</v>
      </c>
    </row>
    <row r="40" spans="1:12" ht="12.75" x14ac:dyDescent="0.2">
      <c r="A40" s="32">
        <v>45504</v>
      </c>
      <c r="B40" s="31">
        <f>VLOOKUP(A40,[1]HwabaoWP_szse_innovation_100!$A:$E,5)</f>
        <v>0.63300001621246338</v>
      </c>
      <c r="C40" s="31">
        <f>VLOOKUP(A40,[2]myPEPB!$B:$C,2,FALSE)</f>
        <v>17.709999079999999</v>
      </c>
      <c r="D40" s="29">
        <f>VLOOKUP(A40,[2]myPEPB!$B:$D,3,FALSE)</f>
        <v>25.951256745485065</v>
      </c>
      <c r="E40" s="29">
        <f t="shared" si="7"/>
        <v>32552.967778666007</v>
      </c>
      <c r="F40" s="30">
        <f t="shared" si="0"/>
        <v>51426.488064638157</v>
      </c>
      <c r="G40" s="30">
        <f t="shared" si="1"/>
        <v>1537110.6957248552</v>
      </c>
      <c r="H40" s="30">
        <f t="shared" si="2"/>
        <v>972991.0953141842</v>
      </c>
      <c r="I40" s="30">
        <f t="shared" si="3"/>
        <v>1102813.3837142217</v>
      </c>
      <c r="J40" s="30">
        <f t="shared" si="4"/>
        <v>972991.0953141842</v>
      </c>
      <c r="K40" s="30">
        <f t="shared" si="5"/>
        <v>-129822.28840003745</v>
      </c>
      <c r="L40" s="29">
        <f t="shared" si="6"/>
        <v>0</v>
      </c>
    </row>
    <row r="41" spans="1:12" ht="12.75" x14ac:dyDescent="0.2">
      <c r="A41" s="32">
        <v>45534</v>
      </c>
      <c r="B41" s="31">
        <f>VLOOKUP(A41,[1]HwabaoWP_szse_innovation_100!$A:$E,5)</f>
        <v>0.61000001430511475</v>
      </c>
      <c r="C41" s="31">
        <f>VLOOKUP(A41,[2]myPEPB!$B:$C,2,FALSE)</f>
        <v>20.56999969</v>
      </c>
      <c r="D41" s="29">
        <f>VLOOKUP(A41,[2]myPEPB!$B:$D,3,FALSE)</f>
        <v>25.729715551720684</v>
      </c>
      <c r="E41" s="29">
        <f t="shared" si="7"/>
        <v>20380.877653796702</v>
      </c>
      <c r="F41" s="30">
        <f t="shared" si="0"/>
        <v>33411.274058761628</v>
      </c>
      <c r="G41" s="30">
        <f t="shared" si="1"/>
        <v>1570521.9697836167</v>
      </c>
      <c r="H41" s="30">
        <f t="shared" si="2"/>
        <v>958018.42403450317</v>
      </c>
      <c r="I41" s="30">
        <f t="shared" si="3"/>
        <v>1123194.2613680183</v>
      </c>
      <c r="J41" s="30">
        <f t="shared" si="4"/>
        <v>958018.42403450317</v>
      </c>
      <c r="K41" s="30">
        <f t="shared" si="5"/>
        <v>-165175.83733351517</v>
      </c>
      <c r="L41" s="29">
        <f t="shared" si="6"/>
        <v>0</v>
      </c>
    </row>
    <row r="42" spans="1:12" ht="12.75" x14ac:dyDescent="0.2">
      <c r="A42" s="32">
        <v>45565</v>
      </c>
      <c r="B42" s="31">
        <f>VLOOKUP(A42,[1]HwabaoWP_szse_innovation_100!$A:$E,5)</f>
        <v>0.76700001955032349</v>
      </c>
      <c r="C42" s="31">
        <f>VLOOKUP(A42,[2]myPEPB!$B:$C,2,FALSE)</f>
        <v>25.239999770000001</v>
      </c>
      <c r="D42" s="29">
        <f>VLOOKUP(A42,[2]myPEPB!$B:$D,3,FALSE)</f>
        <v>25.607882301446285</v>
      </c>
      <c r="E42" s="29">
        <f t="shared" si="7"/>
        <v>1453.1359992128223</v>
      </c>
      <c r="F42" s="30">
        <f t="shared" si="0"/>
        <v>1894.5710067449104</v>
      </c>
      <c r="G42" s="30">
        <f t="shared" si="1"/>
        <v>1572416.5407903616</v>
      </c>
      <c r="H42" s="30">
        <f t="shared" si="2"/>
        <v>1206043.5175274594</v>
      </c>
      <c r="I42" s="30">
        <f t="shared" si="3"/>
        <v>1124647.3973672311</v>
      </c>
      <c r="J42" s="30">
        <f t="shared" si="4"/>
        <v>1206043.5175274594</v>
      </c>
      <c r="K42" s="30">
        <f t="shared" si="5"/>
        <v>81396.12016022834</v>
      </c>
      <c r="L42" s="29">
        <f t="shared" si="6"/>
        <v>0</v>
      </c>
    </row>
    <row r="43" spans="1:12" ht="12.75" x14ac:dyDescent="0.2">
      <c r="A43" s="32">
        <v>45596</v>
      </c>
      <c r="B43" s="31">
        <f>VLOOKUP(A43,[1]HwabaoWP_szse_innovation_100!$A:$E,5)</f>
        <v>0.77700001001358032</v>
      </c>
      <c r="C43" s="31">
        <f>VLOOKUP(A43,[2]myPEPB!$B:$C,2,FALSE)</f>
        <v>24.940000529999999</v>
      </c>
      <c r="D43" s="29">
        <f>VLOOKUP(A43,[2]myPEPB!$B:$D,3,FALSE)</f>
        <v>25.600824703771881</v>
      </c>
      <c r="E43" s="29">
        <f t="shared" si="7"/>
        <v>2610.2554863989344</v>
      </c>
      <c r="F43" s="30">
        <f t="shared" si="0"/>
        <v>3359.4021271033353</v>
      </c>
      <c r="G43" s="30">
        <f t="shared" si="1"/>
        <v>1575775.942917465</v>
      </c>
      <c r="H43" s="30">
        <f t="shared" si="2"/>
        <v>1224377.9234260293</v>
      </c>
      <c r="I43" s="30">
        <f t="shared" si="3"/>
        <v>1127257.65285363</v>
      </c>
      <c r="J43" s="30">
        <f t="shared" si="4"/>
        <v>1224377.9234260293</v>
      </c>
      <c r="K43" s="30">
        <f t="shared" si="5"/>
        <v>97120.270572399255</v>
      </c>
      <c r="L43" s="29">
        <f t="shared" si="6"/>
        <v>0</v>
      </c>
    </row>
    <row r="44" spans="1:12" ht="12.75" x14ac:dyDescent="0.2">
      <c r="A44" s="32">
        <v>45625</v>
      </c>
      <c r="B44" s="31">
        <f>VLOOKUP(A44,[1]HwabaoWP_szse_innovation_100!$A:$E,5)</f>
        <v>0.78100001811981201</v>
      </c>
      <c r="C44" s="31">
        <f>VLOOKUP(A44,[2]myPEPB!$B:$C,2,FALSE)</f>
        <v>24.719999309999999</v>
      </c>
      <c r="D44" s="29">
        <f>VLOOKUP(A44,[2]myPEPB!$B:$D,3,FALSE)</f>
        <v>25.593319274370291</v>
      </c>
      <c r="E44" s="29">
        <f t="shared" si="7"/>
        <v>3449.6138592626553</v>
      </c>
      <c r="F44" s="30">
        <f t="shared" si="0"/>
        <v>4416.9190515094906</v>
      </c>
      <c r="G44" s="30">
        <f t="shared" si="1"/>
        <v>1580192.8619689746</v>
      </c>
      <c r="H44" s="30">
        <f t="shared" si="2"/>
        <v>1234130.6538305667</v>
      </c>
      <c r="I44" s="30">
        <f t="shared" si="3"/>
        <v>1130707.2667128926</v>
      </c>
      <c r="J44" s="30">
        <f t="shared" si="4"/>
        <v>1234130.6538305667</v>
      </c>
      <c r="K44" s="30">
        <f t="shared" si="5"/>
        <v>103423.38711767411</v>
      </c>
      <c r="L44" s="29">
        <f t="shared" si="6"/>
        <v>0</v>
      </c>
    </row>
    <row r="45" spans="1:12" ht="12.75" x14ac:dyDescent="0.2">
      <c r="A45" s="32">
        <v>45657</v>
      </c>
      <c r="B45" s="31">
        <f>VLOOKUP(A45,[1]HwabaoWP_szse_innovation_100!$A:$E,5)</f>
        <v>0.78899997472763062</v>
      </c>
      <c r="C45" s="31">
        <f>VLOOKUP(A45,[2]myPEPB!$B:$C,2,FALSE)</f>
        <v>24.799999239999998</v>
      </c>
      <c r="D45" s="29">
        <f>VLOOKUP(A45,[2]myPEPB!$B:$D,3,FALSE)</f>
        <v>25.579355550139105</v>
      </c>
      <c r="E45" s="29">
        <f t="shared" si="7"/>
        <v>3078.4574250494734</v>
      </c>
      <c r="F45" s="30">
        <f t="shared" si="0"/>
        <v>3901.7205623006294</v>
      </c>
      <c r="G45" s="30">
        <f t="shared" si="1"/>
        <v>1584094.5825312752</v>
      </c>
      <c r="H45" s="30">
        <f t="shared" si="2"/>
        <v>1249850.5855833527</v>
      </c>
      <c r="I45" s="30">
        <f t="shared" si="3"/>
        <v>1133785.7241379421</v>
      </c>
      <c r="J45" s="30">
        <f t="shared" si="4"/>
        <v>1249850.5855833527</v>
      </c>
      <c r="K45" s="30">
        <f t="shared" si="5"/>
        <v>116064.86144541064</v>
      </c>
      <c r="L45" s="29">
        <f t="shared" si="6"/>
        <v>0</v>
      </c>
    </row>
    <row r="46" spans="1:12" ht="12.75" x14ac:dyDescent="0.2">
      <c r="A46" s="32">
        <v>45684</v>
      </c>
      <c r="B46" s="31">
        <f>VLOOKUP(A46,[1]HwabaoWP_szse_innovation_100!$A:$E,5)</f>
        <v>0.78100001811981201</v>
      </c>
      <c r="C46" s="31">
        <f>VLOOKUP(A46,[2]myPEPB!$B:$C,2,FALSE)</f>
        <v>24.409999849999998</v>
      </c>
      <c r="D46" s="29">
        <f>VLOOKUP(A46,[2]myPEPB!$B:$D,3,FALSE)</f>
        <v>25.550295783221614</v>
      </c>
      <c r="E46" s="29">
        <f t="shared" si="7"/>
        <v>4504.1689362253819</v>
      </c>
      <c r="F46" s="30">
        <f t="shared" si="0"/>
        <v>5767.1816027210443</v>
      </c>
      <c r="G46" s="30">
        <f t="shared" si="1"/>
        <v>1589861.7641339963</v>
      </c>
      <c r="H46" s="30">
        <f t="shared" si="2"/>
        <v>1241682.0665966475</v>
      </c>
      <c r="I46" s="30">
        <f t="shared" si="3"/>
        <v>1138289.8930741674</v>
      </c>
      <c r="J46" s="30">
        <f t="shared" si="4"/>
        <v>1241682.0665966475</v>
      </c>
      <c r="K46" s="30">
        <f t="shared" si="5"/>
        <v>103392.17352248007</v>
      </c>
      <c r="L46" s="29">
        <f t="shared" si="6"/>
        <v>0</v>
      </c>
    </row>
    <row r="47" spans="1:12" ht="12.75" x14ac:dyDescent="0.2">
      <c r="A47" s="32">
        <v>45716</v>
      </c>
      <c r="B47" s="31">
        <f>VLOOKUP(A47,[1]HwabaoWP_szse_innovation_100!$A:$E,5)</f>
        <v>0.82700002193450928</v>
      </c>
      <c r="C47" s="31">
        <f>VLOOKUP(A47,[2]myPEPB!$B:$C,2,FALSE)</f>
        <v>26.079999923706055</v>
      </c>
      <c r="D47" s="29">
        <f>VLOOKUP(A47,[2]myPEPB!$B:$D,3,FALSE)</f>
        <v>25.563306017026612</v>
      </c>
      <c r="E47" s="29">
        <f t="shared" si="7"/>
        <v>-2040.9409313837987</v>
      </c>
      <c r="F47" s="30">
        <f t="shared" si="0"/>
        <v>-2467.8849785392413</v>
      </c>
      <c r="G47" s="30">
        <f t="shared" si="1"/>
        <v>1587393.879155457</v>
      </c>
      <c r="H47" s="30">
        <f t="shared" si="2"/>
        <v>1312774.7728802687</v>
      </c>
      <c r="I47" s="30">
        <f t="shared" si="3"/>
        <v>1138289.8930741674</v>
      </c>
      <c r="J47" s="30">
        <f t="shared" si="4"/>
        <v>1314815.7138116525</v>
      </c>
      <c r="K47" s="30">
        <f t="shared" si="5"/>
        <v>176525.82073748508</v>
      </c>
      <c r="L47" s="29">
        <f t="shared" si="6"/>
        <v>2040.9409313837987</v>
      </c>
    </row>
    <row r="48" spans="1:12" ht="12.75" x14ac:dyDescent="0.2">
      <c r="A48" s="32">
        <v>45747</v>
      </c>
      <c r="B48" s="31">
        <f>VLOOKUP(A48,[1]HwabaoWP_szse_innovation_100!$A:$E,5)</f>
        <v>0.81400001049041748</v>
      </c>
      <c r="C48" s="31">
        <f>VLOOKUP(A48,[2]myPEPB!$B:$C,2,FALSE)</f>
        <v>25.629999160000001</v>
      </c>
      <c r="D48" s="29">
        <f>VLOOKUP(A48,[2]myPEPB!$B:$D,3,FALSE)</f>
        <v>25.577105780548813</v>
      </c>
      <c r="E48" s="29">
        <f t="shared" si="7"/>
        <v>-208.92884883219213</v>
      </c>
      <c r="F48" s="30">
        <f t="shared" si="0"/>
        <v>-256.66934415187171</v>
      </c>
      <c r="G48" s="30">
        <f t="shared" si="1"/>
        <v>1587137.2098113052</v>
      </c>
      <c r="H48" s="30">
        <f t="shared" si="2"/>
        <v>1291929.7054361342</v>
      </c>
      <c r="I48" s="30">
        <f t="shared" si="3"/>
        <v>1138289.8930741674</v>
      </c>
      <c r="J48" s="30">
        <f t="shared" si="4"/>
        <v>1294179.5752163501</v>
      </c>
      <c r="K48" s="30">
        <f t="shared" si="5"/>
        <v>155889.68214218272</v>
      </c>
      <c r="L48" s="29">
        <f t="shared" si="6"/>
        <v>2249.8697802159909</v>
      </c>
    </row>
    <row r="49" spans="1:12" ht="12.75" x14ac:dyDescent="0.2">
      <c r="A49" s="32">
        <v>45777</v>
      </c>
      <c r="B49" s="31">
        <f>VLOOKUP(A49,[1]HwabaoWP_szse_innovation_100!$A:$E,5)</f>
        <v>0.76899999380111694</v>
      </c>
      <c r="C49" s="31">
        <f>VLOOKUP(A49,[2]myPEPB!$B:$C,2,FALSE)</f>
        <v>24.010000229999999</v>
      </c>
      <c r="D49" s="29">
        <f>VLOOKUP(A49,[2]myPEPB!$B:$D,3,FALSE)</f>
        <v>25.539386200172402</v>
      </c>
      <c r="E49" s="29">
        <f t="shared" si="7"/>
        <v>6041.0745821809896</v>
      </c>
      <c r="F49" s="30">
        <f t="shared" si="0"/>
        <v>7855.7537462651344</v>
      </c>
      <c r="G49" s="30">
        <f t="shared" si="1"/>
        <v>1594992.9635575702</v>
      </c>
      <c r="H49" s="30">
        <f t="shared" si="2"/>
        <v>1226549.5790885966</v>
      </c>
      <c r="I49" s="30">
        <f t="shared" si="3"/>
        <v>1144330.9676563484</v>
      </c>
      <c r="J49" s="30">
        <f t="shared" si="4"/>
        <v>1228799.4488688125</v>
      </c>
      <c r="K49" s="30">
        <f t="shared" si="5"/>
        <v>84468.481212464161</v>
      </c>
      <c r="L49" s="29">
        <f t="shared" si="6"/>
        <v>2249.8697802159909</v>
      </c>
    </row>
    <row r="50" spans="1:12" ht="12.75" x14ac:dyDescent="0.2">
      <c r="A50" s="32">
        <v>45807</v>
      </c>
      <c r="B50" s="31">
        <f>VLOOKUP(A50,[1]HwabaoWP_szse_innovation_100!$A:$E,5)</f>
        <v>0.78200000524520874</v>
      </c>
      <c r="C50" s="31">
        <f>VLOOKUP(A50,[2]myPEPB!$B:$C,2,FALSE)</f>
        <v>23.299999239999998</v>
      </c>
      <c r="D50" s="29">
        <f>VLOOKUP(A50,[2]myPEPB!$B:$D,3,FALSE)</f>
        <v>25.506266578519043</v>
      </c>
      <c r="E50" s="29">
        <f t="shared" si="7"/>
        <v>8714.7559871502253</v>
      </c>
      <c r="F50" s="30">
        <f t="shared" si="0"/>
        <v>11144.189167131237</v>
      </c>
      <c r="G50" s="30">
        <f t="shared" si="1"/>
        <v>1606137.1527247014</v>
      </c>
      <c r="H50" s="30">
        <f t="shared" si="2"/>
        <v>1255999.2618552411</v>
      </c>
      <c r="I50" s="30">
        <f t="shared" si="3"/>
        <v>1153045.7236434985</v>
      </c>
      <c r="J50" s="30">
        <f t="shared" si="4"/>
        <v>1258249.131635457</v>
      </c>
      <c r="K50" s="30">
        <f t="shared" si="5"/>
        <v>105203.40799195855</v>
      </c>
      <c r="L50" s="29">
        <f t="shared" si="6"/>
        <v>2249.8697802159909</v>
      </c>
    </row>
    <row r="51" spans="1:12" ht="12.75" x14ac:dyDescent="0.2">
      <c r="A51" s="32">
        <v>45838</v>
      </c>
      <c r="B51" s="31">
        <f>VLOOKUP(A51,[1]HwabaoWP_szse_innovation_100!$A:$E,5)</f>
        <v>0.81199997663497925</v>
      </c>
      <c r="C51" s="31">
        <f>VLOOKUP(A51,[2]myPEPB!$B:$C,2,FALSE)</f>
        <v>24.299999239999998</v>
      </c>
      <c r="D51" s="29">
        <f>VLOOKUP(A51,[2]myPEPB!$B:$D,3,FALSE)</f>
        <v>25.46955573186175</v>
      </c>
      <c r="E51" s="29">
        <f t="shared" si="7"/>
        <v>4619.7481428539177</v>
      </c>
      <c r="F51" s="30">
        <f t="shared" si="0"/>
        <v>5689.3451672236279</v>
      </c>
      <c r="G51" s="30">
        <f t="shared" si="1"/>
        <v>1611826.497891925</v>
      </c>
      <c r="H51" s="30">
        <f t="shared" si="2"/>
        <v>1308803.0786278835</v>
      </c>
      <c r="I51" s="30">
        <f t="shared" si="3"/>
        <v>1157665.4717863523</v>
      </c>
      <c r="J51" s="30">
        <f t="shared" si="4"/>
        <v>1311052.9484080994</v>
      </c>
      <c r="K51" s="30">
        <f t="shared" si="5"/>
        <v>153387.47662174702</v>
      </c>
      <c r="L51" s="29">
        <f t="shared" si="6"/>
        <v>2249.8697802159909</v>
      </c>
    </row>
    <row r="52" spans="1:12" ht="12.75" x14ac:dyDescent="0.2">
      <c r="A52" s="32">
        <v>45869</v>
      </c>
      <c r="B52" s="31">
        <f>VLOOKUP(A52,[1]HwabaoWP_szse_innovation_100!$A:$E,5)</f>
        <v>0.84500002861022949</v>
      </c>
      <c r="C52" s="31">
        <f>VLOOKUP(A52,[2]myPEPB!$B:$C,2,FALSE)</f>
        <v>25.25</v>
      </c>
      <c r="D52" s="29">
        <f>VLOOKUP(A52,[2]myPEPB!$B:$D,3,FALSE)</f>
        <v>25.459508277435798</v>
      </c>
      <c r="E52" s="29">
        <f t="shared" si="7"/>
        <v>827.55769587140355</v>
      </c>
      <c r="F52" s="30">
        <f t="shared" si="0"/>
        <v>979.35818680679415</v>
      </c>
      <c r="G52" s="30">
        <f t="shared" si="1"/>
        <v>1612805.8560787318</v>
      </c>
      <c r="H52" s="30">
        <f t="shared" si="2"/>
        <v>1362820.9945292741</v>
      </c>
      <c r="I52" s="30">
        <f t="shared" si="3"/>
        <v>1158493.0294822238</v>
      </c>
      <c r="J52" s="30">
        <f t="shared" si="4"/>
        <v>1365070.86430949</v>
      </c>
      <c r="K52" s="30">
        <f t="shared" si="5"/>
        <v>206577.83482726617</v>
      </c>
      <c r="L52" s="29">
        <f t="shared" si="6"/>
        <v>2249.8697802159909</v>
      </c>
    </row>
    <row r="53" spans="1:12" ht="12.75" x14ac:dyDescent="0.2">
      <c r="A53" s="32">
        <v>45898</v>
      </c>
      <c r="B53" s="31">
        <f>VLOOKUP(A53,[1]HwabaoWP_szse_innovation_100!$A:$E,5)</f>
        <v>1.0089999437332153</v>
      </c>
      <c r="C53" s="31">
        <f>VLOOKUP(A53,[2]myPEPB!$B:$C,2,FALSE)</f>
        <v>30.020000459999999</v>
      </c>
      <c r="D53" s="29">
        <f>VLOOKUP(A53,[2]myPEPB!$B:$D,3,FALSE)</f>
        <v>25.492415128467428</v>
      </c>
      <c r="E53" s="29">
        <f t="shared" si="7"/>
        <v>-17883.962059553654</v>
      </c>
      <c r="F53" s="30">
        <f t="shared" si="0"/>
        <v>-17724.443069228022</v>
      </c>
      <c r="G53" s="30">
        <f t="shared" si="1"/>
        <v>1595081.4130095039</v>
      </c>
      <c r="H53" s="30">
        <f t="shared" si="2"/>
        <v>1609437.055976487</v>
      </c>
      <c r="I53" s="30">
        <f t="shared" si="3"/>
        <v>1158493.0294822238</v>
      </c>
      <c r="J53" s="30">
        <f t="shared" si="4"/>
        <v>1629570.8878162566</v>
      </c>
      <c r="K53" s="30">
        <f t="shared" si="5"/>
        <v>471077.85833403282</v>
      </c>
      <c r="L53" s="29">
        <f t="shared" si="6"/>
        <v>20133.831839769646</v>
      </c>
    </row>
    <row r="54" spans="1:12" ht="12.75" x14ac:dyDescent="0.2">
      <c r="A54" s="32">
        <v>45930</v>
      </c>
      <c r="B54" s="31">
        <f>VLOOKUP(A54,[1]HwabaoWP_szse_innovation_100!$A:$E,5)</f>
        <v>1.0880000591278076</v>
      </c>
      <c r="C54" s="31">
        <f>VLOOKUP(A54,[2]myPEPB!$B:$C,2,FALSE)</f>
        <v>32.849998470000003</v>
      </c>
      <c r="D54" s="29">
        <f>VLOOKUP(A54,[2]myPEPB!$B:$D,3,FALSE)</f>
        <v>25.595553284386586</v>
      </c>
      <c r="E54" s="29">
        <f t="shared" si="7"/>
        <v>-28655.058483172998</v>
      </c>
      <c r="F54" s="30">
        <f t="shared" si="0"/>
        <v>-26337.368498071821</v>
      </c>
      <c r="G54" s="30">
        <f t="shared" si="1"/>
        <v>1568744.0445114321</v>
      </c>
      <c r="H54" s="30">
        <f t="shared" si="2"/>
        <v>1706793.6131848341</v>
      </c>
      <c r="I54" s="30">
        <f t="shared" si="3"/>
        <v>1158493.0294822238</v>
      </c>
      <c r="J54" s="30">
        <f t="shared" si="4"/>
        <v>1755582.5035077769</v>
      </c>
      <c r="K54" s="30">
        <f t="shared" si="5"/>
        <v>597089.47402555309</v>
      </c>
      <c r="L54" s="29">
        <f t="shared" si="6"/>
        <v>48788.890322942643</v>
      </c>
    </row>
    <row r="55" spans="1:12" ht="12.75" x14ac:dyDescent="0.2">
      <c r="A55" s="32">
        <v>45961</v>
      </c>
      <c r="B55" s="31">
        <f>VLOOKUP(A55,[1]HwabaoWP_szse_innovation_100!$A:$E,5)</f>
        <v>1.0729999542236328</v>
      </c>
      <c r="C55" s="31">
        <f>VLOOKUP(A55,[2]myPEPB!$B:$C,2,FALSE)</f>
        <v>32.159999849999998</v>
      </c>
      <c r="D55" s="29">
        <f>VLOOKUP(A55,[2]myPEPB!$B:$D,3,FALSE)</f>
        <v>25.690355441740447</v>
      </c>
      <c r="E55" s="29">
        <f t="shared" si="7"/>
        <v>-25555.095412625229</v>
      </c>
      <c r="F55" s="30">
        <f t="shared" si="0"/>
        <v>-23816.49254693172</v>
      </c>
      <c r="G55" s="30">
        <f t="shared" si="1"/>
        <v>1544927.5519645005</v>
      </c>
      <c r="H55" s="30">
        <f t="shared" si="2"/>
        <v>1657707.192536738</v>
      </c>
      <c r="I55" s="30">
        <f t="shared" si="3"/>
        <v>1158493.0294822238</v>
      </c>
      <c r="J55" s="30">
        <f t="shared" si="4"/>
        <v>1732051.178272306</v>
      </c>
      <c r="K55" s="30">
        <f t="shared" si="5"/>
        <v>573558.1487900822</v>
      </c>
      <c r="L55" s="29">
        <f t="shared" si="6"/>
        <v>74343.985735567869</v>
      </c>
    </row>
    <row r="56" spans="1:12" ht="12.75" x14ac:dyDescent="0.2">
      <c r="A56" s="32">
        <v>45989</v>
      </c>
      <c r="B56" s="31">
        <f>VLOOKUP(A56,[1]HwabaoWP_szse_innovation_100!$A:$E,5)</f>
        <v>1.0399999618530273</v>
      </c>
      <c r="C56" s="31">
        <f>VLOOKUP(A56,[2]myPEPB!$B:$C,2,FALSE)</f>
        <v>29.780000690000001</v>
      </c>
      <c r="D56" s="29">
        <f>VLOOKUP(A56,[2]myPEPB!$B:$D,3,FALSE)</f>
        <v>25.767886790921306</v>
      </c>
      <c r="E56" s="29">
        <f t="shared" si="7"/>
        <v>-15847.849901360847</v>
      </c>
      <c r="F56" s="30">
        <f t="shared" si="0"/>
        <v>-15238.317771785132</v>
      </c>
      <c r="G56" s="30">
        <f t="shared" si="1"/>
        <v>1529689.2341927153</v>
      </c>
      <c r="H56" s="30">
        <f t="shared" si="2"/>
        <v>1590876.7452074105</v>
      </c>
      <c r="I56" s="30">
        <f t="shared" si="3"/>
        <v>1158493.0294822238</v>
      </c>
      <c r="J56" s="30">
        <f t="shared" si="4"/>
        <v>1681068.5808443392</v>
      </c>
      <c r="K56" s="30">
        <f t="shared" si="5"/>
        <v>522575.55136211542</v>
      </c>
      <c r="L56" s="29">
        <f t="shared" si="6"/>
        <v>90191.835636928721</v>
      </c>
    </row>
    <row r="57" spans="1:12" ht="12.75" x14ac:dyDescent="0.2">
      <c r="A57" s="32">
        <v>46022</v>
      </c>
      <c r="B57" s="31">
        <f>VLOOKUP(A57,[1]HwabaoWP_szse_innovation_100!$A:$E,5)</f>
        <v>1.0640000104904175</v>
      </c>
      <c r="C57" s="31">
        <f>VLOOKUP(A57,[2]myPEPB!$B:$C,2,FALSE)</f>
        <v>31.129999160000001</v>
      </c>
      <c r="D57" s="29">
        <f>VLOOKUP(A57,[2]myPEPB!$B:$D,3,FALSE)</f>
        <v>25.866548769817285</v>
      </c>
      <c r="E57" s="29">
        <f t="shared" si="7"/>
        <v>-20790.629041221724</v>
      </c>
      <c r="F57" s="30">
        <f t="shared" si="0"/>
        <v>-19540.064695712677</v>
      </c>
      <c r="G57" s="30">
        <f t="shared" si="1"/>
        <v>1510149.1694970026</v>
      </c>
      <c r="H57" s="30">
        <f t="shared" si="2"/>
        <v>1606798.732186906</v>
      </c>
      <c r="I57" s="30">
        <f t="shared" si="3"/>
        <v>1158493.0294822238</v>
      </c>
      <c r="J57" s="30">
        <f t="shared" si="4"/>
        <v>1717781.1968650564</v>
      </c>
      <c r="K57" s="30">
        <f t="shared" si="5"/>
        <v>559288.16738283262</v>
      </c>
      <c r="L57" s="29">
        <f t="shared" si="6"/>
        <v>110982.46467815044</v>
      </c>
    </row>
    <row r="58" spans="1:12" ht="12.75" x14ac:dyDescent="0.2">
      <c r="A58" s="32">
        <v>46052</v>
      </c>
      <c r="B58" s="31">
        <f>VLOOKUP(A58,[1]HwabaoWP_szse_innovation_100!$A:$E,5)</f>
        <v>1.0720000267028809</v>
      </c>
      <c r="C58" s="31">
        <f>VLOOKUP(A58,[2]myPEPB!$B:$C,2,FALSE)</f>
        <v>31.709999079999999</v>
      </c>
      <c r="D58" s="29">
        <f>VLOOKUP(A58,[2]myPEPB!$B:$D,3,FALSE)</f>
        <v>25.973356806597167</v>
      </c>
      <c r="E58" s="29">
        <f t="shared" si="7"/>
        <v>-22659.73697994119</v>
      </c>
      <c r="F58" s="30">
        <f t="shared" si="0"/>
        <v>-21137.813820429725</v>
      </c>
      <c r="G58" s="30">
        <f t="shared" si="1"/>
        <v>1489011.355676573</v>
      </c>
      <c r="H58" s="30">
        <f t="shared" si="2"/>
        <v>1596220.2130461792</v>
      </c>
      <c r="I58" s="30">
        <f t="shared" si="3"/>
        <v>1158493.0294822238</v>
      </c>
      <c r="J58" s="30">
        <f t="shared" si="4"/>
        <v>1729862.4147042707</v>
      </c>
      <c r="K58" s="30">
        <f t="shared" si="5"/>
        <v>571369.38522204687</v>
      </c>
      <c r="L58" s="29">
        <f t="shared" si="6"/>
        <v>133642.20165809162</v>
      </c>
    </row>
    <row r="59" spans="1:12" ht="12.75" x14ac:dyDescent="0.2">
      <c r="A59" s="32">
        <v>46080</v>
      </c>
      <c r="B59" s="31">
        <f>VLOOKUP(A59,[1]HwabaoWP_szse_innovation_100!$A:$E,5)</f>
        <v>1.0750000476837158</v>
      </c>
      <c r="C59" s="31">
        <f>VLOOKUP(A59,[2]myPEPB!$B:$C,2,FALSE)</f>
        <v>31.549999239999998</v>
      </c>
      <c r="D59" s="29">
        <f>VLOOKUP(A59,[2]myPEPB!$B:$D,3,FALSE)</f>
        <v>26.039818023753689</v>
      </c>
      <c r="E59" s="29">
        <f t="shared" si="7"/>
        <v>-21765.21580417292</v>
      </c>
      <c r="F59" s="30">
        <f t="shared" si="0"/>
        <v>-20246.711477892542</v>
      </c>
      <c r="G59" s="30">
        <f t="shared" si="1"/>
        <v>1468764.6441986805</v>
      </c>
      <c r="H59" s="30">
        <f t="shared" si="2"/>
        <v>1578922.0625497375</v>
      </c>
      <c r="I59" s="30">
        <f t="shared" si="3"/>
        <v>1158493.0294822238</v>
      </c>
      <c r="J59" s="30">
        <f t="shared" si="4"/>
        <v>1734329.4800120019</v>
      </c>
      <c r="K59" s="30">
        <f t="shared" si="5"/>
        <v>575836.45052977814</v>
      </c>
      <c r="L59" s="29">
        <f t="shared" si="6"/>
        <v>155407.41746226454</v>
      </c>
    </row>
    <row r="60" spans="1:12" ht="12.75" x14ac:dyDescent="0.2">
      <c r="A60" s="32">
        <v>46112</v>
      </c>
      <c r="B60" s="31">
        <f>VLOOKUP(A60,[1]HwabaoWP_szse_innovation_100!$A:$E,5)</f>
        <v>1.0479999780654907</v>
      </c>
      <c r="C60" s="31">
        <f>VLOOKUP(A60,[2]myPEPB!$B:$C,2,FALSE)</f>
        <v>30.549999239999998</v>
      </c>
      <c r="D60" s="29">
        <f>VLOOKUP(A60,[2]myPEPB!$B:$D,3,FALSE)</f>
        <v>26.136981933917117</v>
      </c>
      <c r="E60" s="29">
        <f t="shared" si="7"/>
        <v>-17431.418359027382</v>
      </c>
      <c r="F60" s="30">
        <f t="shared" si="0"/>
        <v>-16633.033133458779</v>
      </c>
      <c r="G60" s="30">
        <f t="shared" si="1"/>
        <v>1452131.6110652217</v>
      </c>
      <c r="H60" s="30">
        <f t="shared" si="2"/>
        <v>1521833.896544558</v>
      </c>
      <c r="I60" s="30">
        <f t="shared" si="3"/>
        <v>1158493.0294822238</v>
      </c>
      <c r="J60" s="30">
        <f t="shared" si="4"/>
        <v>1694672.7323658499</v>
      </c>
      <c r="K60" s="30">
        <f t="shared" si="5"/>
        <v>536179.7028836261</v>
      </c>
      <c r="L60" s="29">
        <f t="shared" si="6"/>
        <v>172838.83582129193</v>
      </c>
    </row>
    <row r="61" spans="1:12" ht="12.75" x14ac:dyDescent="0.2">
      <c r="A61" s="32">
        <v>46142</v>
      </c>
      <c r="B61" s="31">
        <f>VLOOKUP(A61,[1]HwabaoWP_szse_innovation_100!$A:$E,5)</f>
        <v>1.1770000457763672</v>
      </c>
      <c r="C61" s="31">
        <f>VLOOKUP(A61,[2]myPEPB!$B:$C,2,FALSE)</f>
        <v>34.549999239999998</v>
      </c>
      <c r="D61" s="29">
        <f>VLOOKUP(A61,[2]myPEPB!$B:$D,3,FALSE)</f>
        <v>26.252550181051159</v>
      </c>
      <c r="E61" s="29">
        <f t="shared" si="7"/>
        <v>-32774.923782847916</v>
      </c>
      <c r="F61" s="30">
        <f t="shared" si="0"/>
        <v>-27846.153362916037</v>
      </c>
      <c r="G61" s="30">
        <f t="shared" si="1"/>
        <v>1424285.4577023056</v>
      </c>
      <c r="H61" s="30">
        <f t="shared" si="2"/>
        <v>1676384.0489142279</v>
      </c>
      <c r="I61" s="30">
        <f t="shared" si="3"/>
        <v>1158493.0294822238</v>
      </c>
      <c r="J61" s="30">
        <f t="shared" si="4"/>
        <v>1881997.8085183678</v>
      </c>
      <c r="K61" s="30">
        <f t="shared" si="5"/>
        <v>723504.77903614403</v>
      </c>
      <c r="L61" s="29">
        <f t="shared" si="6"/>
        <v>205613.75960413984</v>
      </c>
    </row>
    <row r="62" spans="1:12" ht="12.75" x14ac:dyDescent="0.2">
      <c r="A62" s="32">
        <v>46171</v>
      </c>
      <c r="B62" s="31">
        <f>VLOOKUP(A62,[1]HwabaoWP_szse_innovation_100!$A:$E,5)</f>
        <v>1.2450000047683716</v>
      </c>
      <c r="C62" s="31">
        <f>VLOOKUP(A62,[2]myPEPB!$B:$C,2,FALSE)</f>
        <v>35.509998320000001</v>
      </c>
      <c r="D62" s="29">
        <f>VLOOKUP(A62,[2]myPEPB!$B:$D,3,FALSE)</f>
        <v>26.381551060434539</v>
      </c>
      <c r="E62" s="29">
        <f t="shared" si="7"/>
        <v>-36057.366675283578</v>
      </c>
      <c r="F62" s="30">
        <f t="shared" si="0"/>
        <v>-28961.740190508626</v>
      </c>
      <c r="G62" s="30">
        <f t="shared" si="1"/>
        <v>1395323.7175117971</v>
      </c>
      <c r="H62" s="30">
        <f t="shared" si="2"/>
        <v>1737178.0349556094</v>
      </c>
      <c r="I62" s="30">
        <f t="shared" si="3"/>
        <v>1158493.0294822238</v>
      </c>
      <c r="J62" s="30">
        <f t="shared" si="4"/>
        <v>1978849.1612350328</v>
      </c>
      <c r="K62" s="30">
        <f t="shared" si="5"/>
        <v>820356.13175280904</v>
      </c>
      <c r="L62" s="29">
        <f t="shared" si="6"/>
        <v>241671.12627942342</v>
      </c>
    </row>
    <row r="63" spans="1:12" ht="12.75" x14ac:dyDescent="0.2">
      <c r="A63" s="32">
        <v>46203</v>
      </c>
      <c r="B63" s="31">
        <f>VLOOKUP(A63,[1]HwabaoWP_szse_innovation_100!$A:$E,5)</f>
        <v>1.2760000228881836</v>
      </c>
      <c r="C63" s="31">
        <f>VLOOKUP(A63,[2]myPEPB!$B:$C,2,FALSE)</f>
        <v>41.799999239999998</v>
      </c>
      <c r="D63" s="29">
        <f>VLOOKUP(A63,[2]myPEPB!$B:$D,3,FALSE)</f>
        <v>26.574869220600849</v>
      </c>
      <c r="E63" s="29">
        <f t="shared" si="7"/>
        <v>-60139.263576626639</v>
      </c>
      <c r="F63" s="30">
        <f t="shared" si="0"/>
        <v>-47131.083462289775</v>
      </c>
      <c r="G63" s="30">
        <f t="shared" si="1"/>
        <v>1348192.6340495073</v>
      </c>
      <c r="H63" s="30">
        <f t="shared" si="2"/>
        <v>1720293.8319048518</v>
      </c>
      <c r="I63" s="30">
        <f t="shared" si="3"/>
        <v>1158493.0294822238</v>
      </c>
      <c r="J63" s="30">
        <f t="shared" si="4"/>
        <v>2022104.2217609019</v>
      </c>
      <c r="K63" s="30">
        <f t="shared" si="5"/>
        <v>863611.19227867806</v>
      </c>
      <c r="L63" s="29">
        <f t="shared" si="6"/>
        <v>301810.38985605008</v>
      </c>
    </row>
  </sheetData>
  <phoneticPr fontId="2" type="noConversion"/>
  <conditionalFormatting sqref="H2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375" style="3" customWidth="1"/>
    <col min="10" max="10" width="12.625" style="1" customWidth="1"/>
    <col min="11" max="11" width="10.75" style="1" customWidth="1"/>
    <col min="12" max="12" width="10.75" style="3" customWidth="1"/>
    <col min="13" max="13" width="9.125" style="3" customWidth="1"/>
    <col min="14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M1" s="44" t="s">
        <v>15</v>
      </c>
      <c r="N1" s="44" t="s">
        <v>16</v>
      </c>
      <c r="O1" s="48" t="s">
        <v>17</v>
      </c>
      <c r="P1" s="11" t="s">
        <v>18</v>
      </c>
    </row>
    <row r="2" spans="1:34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</row>
    <row r="3" spans="1:34" ht="14.1" customHeight="1" x14ac:dyDescent="0.2">
      <c r="A3" s="15">
        <v>44377</v>
      </c>
      <c r="B3" s="31">
        <f>VLOOKUP(A3,[1]HwabaoWP_szse_innovation_100!$A:$E,5)</f>
        <v>1.0309999999999999</v>
      </c>
      <c r="C3" s="16">
        <f>VLOOKUP(A3,[2]myPEPB!$B:$C,2,FALSE)</f>
        <v>41.45</v>
      </c>
      <c r="D3" s="17">
        <f>VLOOKUP(A3,[2]myPEPB!$B:$D,3,FALSE)</f>
        <v>41.041896551724122</v>
      </c>
      <c r="E3" s="17">
        <v>0</v>
      </c>
      <c r="F3" s="18">
        <f t="shared" ref="F3:F63" si="0">E3/B3</f>
        <v>0</v>
      </c>
      <c r="G3" s="18">
        <f>G2+F3</f>
        <v>0</v>
      </c>
      <c r="H3" s="18">
        <f t="shared" ref="H3:H63" si="1">G3*B3</f>
        <v>0</v>
      </c>
      <c r="I3" s="18">
        <f>IF(E3&gt;0,I2+E3,I2)</f>
        <v>0</v>
      </c>
      <c r="J3" s="18">
        <f t="shared" ref="J3:J63" si="2">H3+L3</f>
        <v>0</v>
      </c>
      <c r="K3" s="18">
        <f t="shared" ref="K3:K63" si="3">J3-I3</f>
        <v>0</v>
      </c>
      <c r="L3" s="17">
        <f>IF(E3&lt;0,L2-E3,L2)</f>
        <v>0</v>
      </c>
      <c r="M3" s="21"/>
      <c r="Q3" s="45" t="s">
        <v>1</v>
      </c>
      <c r="R3" s="46" t="s">
        <v>12</v>
      </c>
      <c r="S3" s="46" t="s">
        <v>8</v>
      </c>
      <c r="T3" s="46" t="s">
        <v>9</v>
      </c>
      <c r="U3" s="46" t="s">
        <v>10</v>
      </c>
      <c r="V3" s="47" t="s">
        <v>11</v>
      </c>
      <c r="W3" s="46" t="s">
        <v>13</v>
      </c>
      <c r="X3" s="46" t="s">
        <v>14</v>
      </c>
      <c r="Z3" s="42">
        <v>44561</v>
      </c>
      <c r="AA3" s="1">
        <v>111243.64621869735</v>
      </c>
      <c r="AB3" s="1">
        <f>-AA3</f>
        <v>-111243.64621869735</v>
      </c>
      <c r="AC3" s="42">
        <v>44561</v>
      </c>
      <c r="AD3" s="1">
        <v>111243.6393122976</v>
      </c>
      <c r="AE3" s="1">
        <f>-AD3</f>
        <v>-111243.6393122976</v>
      </c>
      <c r="AF3" s="42">
        <v>44561</v>
      </c>
      <c r="AG3" s="1">
        <v>111243.6393122976</v>
      </c>
      <c r="AH3" s="1">
        <f>-AG3</f>
        <v>-111243.6393122976</v>
      </c>
    </row>
    <row r="4" spans="1:34" ht="14.1" customHeight="1" x14ac:dyDescent="0.2">
      <c r="A4" s="15">
        <v>44407</v>
      </c>
      <c r="B4" s="31">
        <f>VLOOKUP(A4,[1]HwabaoWP_szse_innovation_100!$A:$E,5)</f>
        <v>1.006</v>
      </c>
      <c r="C4" s="16">
        <f>VLOOKUP(A4,[2]myPEPB!$B:$C,2,FALSE)</f>
        <v>39.930000305175781</v>
      </c>
      <c r="D4" s="17">
        <f>VLOOKUP(A4,[2]myPEPB!$B:$D,3,FALSE)</f>
        <v>40.930499984741189</v>
      </c>
      <c r="E4" s="17">
        <f>IF(C4&lt;D4,$E$2*(D4-C4),$E$2*(D4-C4))</f>
        <v>3951.9737342833614</v>
      </c>
      <c r="F4" s="18">
        <f t="shared" si="0"/>
        <v>3928.4033143969796</v>
      </c>
      <c r="G4" s="18">
        <f t="shared" ref="G4:G63" si="4">G3+F4</f>
        <v>3928.4033143969796</v>
      </c>
      <c r="H4" s="18">
        <f t="shared" si="1"/>
        <v>3951.9737342833614</v>
      </c>
      <c r="I4" s="18">
        <f t="shared" ref="I4:I63" si="5">IF(E4&gt;0,I3+E4,I3)</f>
        <v>3951.9737342833614</v>
      </c>
      <c r="J4" s="18">
        <f t="shared" si="2"/>
        <v>3951.9737342833614</v>
      </c>
      <c r="K4" s="18">
        <f t="shared" si="3"/>
        <v>0</v>
      </c>
      <c r="L4" s="17">
        <f t="shared" ref="L4:L63" si="6">IF(E4&lt;0,L3-E4,L3)</f>
        <v>0</v>
      </c>
      <c r="M4" s="22">
        <f>VLOOKUP(A4,'[3]model1&amp;RSI'!$A:$K,11)</f>
        <v>0</v>
      </c>
      <c r="N4" s="22">
        <f>VLOOKUP(A4,'[3]model1&amp;RSI'!$A:$M,13)</f>
        <v>2.4999999999999911E-2</v>
      </c>
      <c r="O4" s="22">
        <f>VLOOKUP(A4,'[3]model1&amp;RSI'!$A:$N,14)</f>
        <v>0</v>
      </c>
      <c r="Q4" s="42">
        <v>44561</v>
      </c>
      <c r="R4" s="10">
        <f>S4</f>
        <v>111243.6393122976</v>
      </c>
      <c r="S4" s="4">
        <f>VLOOKUP(Q4,A:I,9,)</f>
        <v>111243.6393122976</v>
      </c>
      <c r="T4" s="4">
        <f>VLOOKUP(Q4,A:J,10,)</f>
        <v>112674.30120705269</v>
      </c>
      <c r="U4" s="4">
        <f>VLOOKUP(Q4,A:K,11,)</f>
        <v>1430.6618947550887</v>
      </c>
      <c r="V4" s="4">
        <f>VLOOKUP(Q4,A:L,12,)</f>
        <v>0</v>
      </c>
      <c r="W4" s="9">
        <f t="shared" ref="W4" si="7">(T4-S4)/S4</f>
        <v>1.2860617502262297E-2</v>
      </c>
      <c r="X4" s="9">
        <f>W4</f>
        <v>1.2860617502262297E-2</v>
      </c>
      <c r="Z4" s="42">
        <v>44925</v>
      </c>
      <c r="AA4" s="7">
        <v>560921.33809150185</v>
      </c>
      <c r="AB4" s="7">
        <f>-AA4</f>
        <v>-560921.33809150185</v>
      </c>
      <c r="AC4" s="42">
        <v>44925</v>
      </c>
      <c r="AD4" s="7">
        <v>560921.33505378838</v>
      </c>
      <c r="AE4" s="7">
        <f>-AD4</f>
        <v>-560921.33505378838</v>
      </c>
      <c r="AF4" s="42">
        <v>44925</v>
      </c>
      <c r="AG4" s="7">
        <v>560921.33505378838</v>
      </c>
      <c r="AH4" s="7">
        <f>-AG4</f>
        <v>-560921.33505378838</v>
      </c>
    </row>
    <row r="5" spans="1:34" ht="14.1" customHeight="1" x14ac:dyDescent="0.2">
      <c r="A5" s="15">
        <v>44439</v>
      </c>
      <c r="B5" s="31">
        <f>VLOOKUP(A5,[1]HwabaoWP_szse_innovation_100!$A:$E,5)</f>
        <v>0.96599999999999997</v>
      </c>
      <c r="C5" s="16">
        <f>VLOOKUP(A5,[2]myPEPB!$B:$C,2,FALSE)</f>
        <v>38.069999694824219</v>
      </c>
      <c r="D5" s="17">
        <f>VLOOKUP(A5,[2]myPEPB!$B:$D,3,FALSE)</f>
        <v>40.654705834482208</v>
      </c>
      <c r="E5" s="17">
        <f>IF(C5&lt;D5,$E$2*(D5-C5)*P5,$E$2*(D5-C5)*P5)</f>
        <v>20419.178503298113</v>
      </c>
      <c r="F5" s="18">
        <f t="shared" si="0"/>
        <v>21137.865945443184</v>
      </c>
      <c r="G5" s="18">
        <f t="shared" si="4"/>
        <v>25066.269259840163</v>
      </c>
      <c r="H5" s="18">
        <f t="shared" si="1"/>
        <v>24214.016105005598</v>
      </c>
      <c r="I5" s="18">
        <f t="shared" si="5"/>
        <v>24371.152237581475</v>
      </c>
      <c r="J5" s="18">
        <f t="shared" si="2"/>
        <v>24214.016105005598</v>
      </c>
      <c r="K5" s="18">
        <f t="shared" si="3"/>
        <v>-157.13613257587713</v>
      </c>
      <c r="L5" s="17">
        <f t="shared" si="6"/>
        <v>0</v>
      </c>
      <c r="M5" s="22">
        <f>VLOOKUP(A5,'[3]model1&amp;RSI'!$A:$K,11)</f>
        <v>0</v>
      </c>
      <c r="N5" s="22">
        <f>VLOOKUP(A5,'[3]model1&amp;RSI'!$A:$M,13)</f>
        <v>2.7499999999999931E-2</v>
      </c>
      <c r="O5" s="22">
        <f>VLOOKUP(A5,'[3]model1&amp;RSI'!$A:$N,14)</f>
        <v>0</v>
      </c>
      <c r="P5" s="1">
        <f>IF(O4&lt;20,2,IF(AND((O4&lt;25),(O4&gt;20)),1,IF(AND((O4&gt;25),(O4&lt;50)),0.95,IF(AND((O4&gt;50),(O4&lt;80)),0.2,IF(O4&gt;80,1,)))))</f>
        <v>2</v>
      </c>
      <c r="Q5" s="42">
        <v>44925</v>
      </c>
      <c r="R5" s="10">
        <f>S5-S4</f>
        <v>560921.33505378838</v>
      </c>
      <c r="S5" s="4">
        <f>VLOOKUP(Q5,A:I,9,)</f>
        <v>672164.97436608595</v>
      </c>
      <c r="T5" s="4">
        <f>VLOOKUP(Q5,A:J,10,)</f>
        <v>613380.58701837179</v>
      </c>
      <c r="U5" s="4">
        <f>VLOOKUP(Q5,A:K,11,)</f>
        <v>-58784.387347714161</v>
      </c>
      <c r="V5" s="4">
        <f>VLOOKUP(Q5,A:L,12,)</f>
        <v>0</v>
      </c>
      <c r="W5" s="9">
        <f t="shared" ref="W5:W7" si="8">(T5-S5)/S5</f>
        <v>-8.7455296823749709E-2</v>
      </c>
      <c r="X5" s="9">
        <f>AB6</f>
        <v>-7.5853723579241916E-2</v>
      </c>
      <c r="Z5" s="42">
        <v>44925</v>
      </c>
      <c r="AA5" s="7"/>
      <c r="AB5" s="7">
        <v>613380.59488827921</v>
      </c>
      <c r="AC5" s="42">
        <v>45289</v>
      </c>
      <c r="AD5" s="7">
        <v>338361.24530388066</v>
      </c>
      <c r="AE5" s="7">
        <f>-AD5</f>
        <v>-338361.24530388066</v>
      </c>
      <c r="AF5" s="42">
        <v>45289</v>
      </c>
      <c r="AG5" s="7">
        <v>338361.24530388066</v>
      </c>
      <c r="AH5" s="7">
        <f>-AG5</f>
        <v>-338361.24530388066</v>
      </c>
    </row>
    <row r="6" spans="1:34" ht="14.1" customHeight="1" x14ac:dyDescent="0.2">
      <c r="A6" s="15">
        <v>44469</v>
      </c>
      <c r="B6" s="31">
        <f>VLOOKUP(A6,[1]HwabaoWP_szse_innovation_100!$A:$E,5)</f>
        <v>0.96099999999999997</v>
      </c>
      <c r="C6" s="16">
        <f>VLOOKUP(A6,[2]myPEPB!$B:$C,2,FALSE)</f>
        <v>35.020000457763672</v>
      </c>
      <c r="D6" s="17">
        <f>VLOOKUP(A6,[2]myPEPB!$B:$D,3,FALSE)</f>
        <v>39.730819672131133</v>
      </c>
      <c r="E6" s="17">
        <f t="shared" ref="E6:E63" si="9">IF(C6&lt;D6,$E$2*(D6-C6)*P6,$E$2*(D6-C6)*P6)</f>
        <v>37215.471793502948</v>
      </c>
      <c r="F6" s="18">
        <f t="shared" si="0"/>
        <v>38725.777100419298</v>
      </c>
      <c r="G6" s="18">
        <f t="shared" si="4"/>
        <v>63792.046360259461</v>
      </c>
      <c r="H6" s="18">
        <f t="shared" si="1"/>
        <v>61304.156552209337</v>
      </c>
      <c r="I6" s="18">
        <f t="shared" si="5"/>
        <v>61586.624031084422</v>
      </c>
      <c r="J6" s="18">
        <f t="shared" si="2"/>
        <v>61304.156552209337</v>
      </c>
      <c r="K6" s="18">
        <f t="shared" si="3"/>
        <v>-282.46747887508536</v>
      </c>
      <c r="L6" s="17">
        <f t="shared" si="6"/>
        <v>0</v>
      </c>
      <c r="M6" s="22">
        <f>VLOOKUP(A6,'[3]model1&amp;RSI'!$A:$K,11)</f>
        <v>0</v>
      </c>
      <c r="N6" s="22">
        <f>VLOOKUP(A6,'[3]model1&amp;RSI'!$A:$M,13)</f>
        <v>2.3749999999999941E-2</v>
      </c>
      <c r="O6" s="22">
        <f>VLOOKUP(A6,'[3]model1&amp;RSI'!$A:$N,14)</f>
        <v>0</v>
      </c>
      <c r="P6" s="1">
        <f t="shared" ref="P6:P63" si="10">IF(O5&lt;20,2,IF(AND((O5&lt;25),(O5&gt;20)),1,IF(AND((O5&gt;25),(O5&lt;50)),0.95,IF(AND((O5&gt;50),(O5&lt;80)),0.2,IF(O5&gt;80,1,)))))</f>
        <v>2</v>
      </c>
      <c r="Q6" s="42">
        <v>45289</v>
      </c>
      <c r="R6" s="10">
        <f>S6-S5</f>
        <v>338361.24530388066</v>
      </c>
      <c r="S6" s="4">
        <f>VLOOKUP(Q6,A:I,9,)</f>
        <v>1010526.2196699666</v>
      </c>
      <c r="T6" s="4">
        <f>VLOOKUP(Q6,A:J,10,)</f>
        <v>855691.54938569851</v>
      </c>
      <c r="U6" s="4">
        <f>VLOOKUP(Q6,A:K,11,)</f>
        <v>-154834.6702842681</v>
      </c>
      <c r="V6" s="4">
        <f>VLOOKUP(Q6,A:L,12,)</f>
        <v>0</v>
      </c>
      <c r="W6" s="9">
        <f t="shared" si="8"/>
        <v>-0.15322182370966725</v>
      </c>
      <c r="X6" s="9">
        <v>-9.0333955811988886E-2</v>
      </c>
      <c r="Z6" s="7"/>
      <c r="AA6" s="7"/>
      <c r="AB6" s="8">
        <f>IRR(AB3:AB5)</f>
        <v>-7.5853723579241916E-2</v>
      </c>
      <c r="AC6" s="42">
        <v>45289</v>
      </c>
      <c r="AD6" s="7"/>
      <c r="AE6" s="8">
        <v>855691.54938569851</v>
      </c>
      <c r="AF6" s="42">
        <v>45657</v>
      </c>
      <c r="AG6" s="1">
        <v>304423.91135871166</v>
      </c>
      <c r="AH6" s="1">
        <f>-AG6</f>
        <v>-304423.91135871166</v>
      </c>
    </row>
    <row r="7" spans="1:34" ht="14.1" customHeight="1" x14ac:dyDescent="0.2">
      <c r="A7" s="15">
        <v>44498</v>
      </c>
      <c r="B7" s="31">
        <f>VLOOKUP(A7,[1]HwabaoWP_szse_innovation_100!$A:$E,5)</f>
        <v>0.99299997091293335</v>
      </c>
      <c r="C7" s="16">
        <f>VLOOKUP(A7,[2]myPEPB!$B:$C,2,FALSE)</f>
        <v>36.299999237060547</v>
      </c>
      <c r="D7" s="17">
        <f>VLOOKUP(A7,[2]myPEPB!$B:$D,3,FALSE)</f>
        <v>39.253623134226025</v>
      </c>
      <c r="E7" s="17">
        <f t="shared" si="9"/>
        <v>23333.628787607278</v>
      </c>
      <c r="F7" s="18">
        <f t="shared" si="0"/>
        <v>23498.116285094213</v>
      </c>
      <c r="G7" s="18">
        <f t="shared" si="4"/>
        <v>87290.162645353674</v>
      </c>
      <c r="H7" s="18">
        <f t="shared" si="1"/>
        <v>86679.128967821423</v>
      </c>
      <c r="I7" s="18">
        <f t="shared" si="5"/>
        <v>84920.252818691704</v>
      </c>
      <c r="J7" s="18">
        <f t="shared" si="2"/>
        <v>86679.128967821423</v>
      </c>
      <c r="K7" s="18">
        <f t="shared" si="3"/>
        <v>1758.8761491297191</v>
      </c>
      <c r="L7" s="17">
        <f t="shared" si="6"/>
        <v>0</v>
      </c>
      <c r="M7" s="22">
        <f>VLOOKUP(A7,'[3]model1&amp;RSI'!$A:$K,11)</f>
        <v>5.3333284854888974E-3</v>
      </c>
      <c r="N7" s="22">
        <f>VLOOKUP(A7,'[3]model1&amp;RSI'!$A:$M,13)</f>
        <v>2.5124995152155511E-2</v>
      </c>
      <c r="O7" s="22">
        <f>VLOOKUP(A7,'[3]model1&amp;RSI'!$A:$N,14)</f>
        <v>21.227182147461402</v>
      </c>
      <c r="P7" s="1">
        <f t="shared" si="10"/>
        <v>2</v>
      </c>
      <c r="Q7" s="42">
        <v>45657</v>
      </c>
      <c r="R7" s="10">
        <f>S7-S6</f>
        <v>304423.91136077035</v>
      </c>
      <c r="S7" s="4">
        <f>VLOOKUP(Q7,A:I,9,)</f>
        <v>1314950.131030737</v>
      </c>
      <c r="T7" s="4">
        <f>VLOOKUP(Q7,A:J,10,)</f>
        <v>1429281.102940886</v>
      </c>
      <c r="U7" s="4">
        <f>VLOOKUP(Q7,A:K,11,)</f>
        <v>114330.97191014909</v>
      </c>
      <c r="V7" s="4">
        <f>VLOOKUP(Q7,A:L,12,)</f>
        <v>0</v>
      </c>
      <c r="W7" s="9">
        <f t="shared" si="8"/>
        <v>8.6947002180629923E-2</v>
      </c>
      <c r="X7" s="9">
        <v>3.5661040175850145E-2</v>
      </c>
      <c r="Z7" s="7"/>
      <c r="AA7" s="7"/>
      <c r="AB7" s="7"/>
      <c r="AE7" s="2">
        <f>IRR(AE3:AE6)</f>
        <v>-9.0333955811988886E-2</v>
      </c>
      <c r="AF7" s="42">
        <v>45657</v>
      </c>
      <c r="AH7" s="2">
        <v>1429281.1029384923</v>
      </c>
    </row>
    <row r="8" spans="1:34" ht="14.1" customHeight="1" x14ac:dyDescent="0.2">
      <c r="A8" s="15">
        <v>44530</v>
      </c>
      <c r="B8" s="31">
        <f>VLOOKUP(A8,[1]HwabaoWP_szse_innovation_100!$A:$E,5)</f>
        <v>1.0110000371932983</v>
      </c>
      <c r="C8" s="16">
        <f>VLOOKUP(A8,[2]myPEPB!$B:$C,2,FALSE)</f>
        <v>35.450000762939453</v>
      </c>
      <c r="D8" s="17">
        <f>VLOOKUP(A8,[2]myPEPB!$B:$D,3,FALSE)</f>
        <v>38.695499993324269</v>
      </c>
      <c r="E8" s="17">
        <f t="shared" si="9"/>
        <v>12819.721960020022</v>
      </c>
      <c r="F8" s="18">
        <f t="shared" si="0"/>
        <v>12680.238860929887</v>
      </c>
      <c r="G8" s="18">
        <f t="shared" si="4"/>
        <v>99970.401506283553</v>
      </c>
      <c r="H8" s="18">
        <f t="shared" si="1"/>
        <v>101070.07964108164</v>
      </c>
      <c r="I8" s="18">
        <f t="shared" si="5"/>
        <v>97739.974778711723</v>
      </c>
      <c r="J8" s="18">
        <f t="shared" si="2"/>
        <v>101070.07964108164</v>
      </c>
      <c r="K8" s="18">
        <f t="shared" si="3"/>
        <v>3330.1048623699171</v>
      </c>
      <c r="L8" s="17">
        <f t="shared" si="6"/>
        <v>0</v>
      </c>
      <c r="M8" s="22">
        <f>VLOOKUP(A8,'[3]model1&amp;RSI'!$A:$K,11)</f>
        <v>7.4444514513015798E-3</v>
      </c>
      <c r="N8" s="22">
        <f>VLOOKUP(A8,'[3]model1&amp;RSI'!$A:$M,13)</f>
        <v>2.3937507006857092E-2</v>
      </c>
      <c r="O8" s="22">
        <f>VLOOKUP(A8,'[3]model1&amp;RSI'!$A:$N,14)</f>
        <v>31.099526985700965</v>
      </c>
      <c r="P8" s="1">
        <f t="shared" si="10"/>
        <v>1</v>
      </c>
      <c r="AH8" s="2">
        <f>IRR(AH3:AH7)</f>
        <v>3.5661040175850145E-2</v>
      </c>
    </row>
    <row r="9" spans="1:34" ht="14.1" customHeight="1" x14ac:dyDescent="0.2">
      <c r="A9" s="15">
        <v>44561</v>
      </c>
      <c r="B9" s="31">
        <f>VLOOKUP(A9,[1]HwabaoWP_szse_innovation_100!$A:$E,5)</f>
        <v>0.99199998378753662</v>
      </c>
      <c r="C9" s="16">
        <f>VLOOKUP(A9,[2]myPEPB!$B:$C,2,FALSE)</f>
        <v>34.630001068115234</v>
      </c>
      <c r="D9" s="17">
        <f>VLOOKUP(A9,[2]myPEPB!$B:$D,3,FALSE)</f>
        <v>38.2285792249669</v>
      </c>
      <c r="E9" s="17">
        <f t="shared" si="9"/>
        <v>13503.664533585874</v>
      </c>
      <c r="F9" s="18">
        <f t="shared" si="0"/>
        <v>13612.565276491017</v>
      </c>
      <c r="G9" s="18">
        <f t="shared" si="4"/>
        <v>113582.96678277457</v>
      </c>
      <c r="H9" s="18">
        <f t="shared" si="1"/>
        <v>112674.30120705269</v>
      </c>
      <c r="I9" s="18">
        <f t="shared" si="5"/>
        <v>111243.6393122976</v>
      </c>
      <c r="J9" s="18">
        <f t="shared" si="2"/>
        <v>112674.30120705269</v>
      </c>
      <c r="K9" s="18">
        <f t="shared" si="3"/>
        <v>1430.6618947550887</v>
      </c>
      <c r="L9" s="17">
        <f t="shared" si="6"/>
        <v>0</v>
      </c>
      <c r="M9" s="22">
        <f>VLOOKUP(A9,'[3]model1&amp;RSI'!$A:$K,11)</f>
        <v>6.2037095427513169E-3</v>
      </c>
      <c r="N9" s="22">
        <f>VLOOKUP(A9,'[3]model1&amp;RSI'!$A:$M,13)</f>
        <v>2.3114598073341198E-2</v>
      </c>
      <c r="O9" s="22">
        <f>VLOOKUP(A9,'[3]model1&amp;RSI'!$A:$N,14)</f>
        <v>26.838924575142201</v>
      </c>
      <c r="P9" s="1">
        <f t="shared" si="10"/>
        <v>0.95</v>
      </c>
      <c r="Z9" s="6"/>
      <c r="AA9" s="7"/>
      <c r="AB9" s="7"/>
    </row>
    <row r="10" spans="1:34" ht="14.1" customHeight="1" x14ac:dyDescent="0.2">
      <c r="A10" s="15">
        <v>44589</v>
      </c>
      <c r="B10" s="31">
        <f>VLOOKUP(A10,[1]HwabaoWP_szse_innovation_100!$A:$E,5)</f>
        <v>0.89099997282028198</v>
      </c>
      <c r="C10" s="16">
        <f>VLOOKUP(A10,[2]myPEPB!$B:$C,2,FALSE)</f>
        <v>31.020000457763672</v>
      </c>
      <c r="D10" s="17">
        <f>VLOOKUP(A10,[2]myPEPB!$B:$D,3,FALSE)</f>
        <v>37.709801948471814</v>
      </c>
      <c r="E10" s="17">
        <f t="shared" si="9"/>
        <v>25103.480093882299</v>
      </c>
      <c r="F10" s="18">
        <f t="shared" si="0"/>
        <v>28174.501525990243</v>
      </c>
      <c r="G10" s="18">
        <f t="shared" si="4"/>
        <v>141757.4683087648</v>
      </c>
      <c r="H10" s="18">
        <f t="shared" si="1"/>
        <v>126305.90041018142</v>
      </c>
      <c r="I10" s="18">
        <f t="shared" si="5"/>
        <v>136347.1194061799</v>
      </c>
      <c r="J10" s="18">
        <f t="shared" si="2"/>
        <v>126305.90041018142</v>
      </c>
      <c r="K10" s="18">
        <f t="shared" si="3"/>
        <v>-10041.218995998483</v>
      </c>
      <c r="L10" s="17">
        <f t="shared" si="6"/>
        <v>0</v>
      </c>
      <c r="M10" s="22">
        <f>VLOOKUP(A10,'[3]model1&amp;RSI'!$A:$K,11)</f>
        <v>5.1697579522927643E-3</v>
      </c>
      <c r="N10" s="22">
        <f>VLOOKUP(A10,'[3]model1&amp;RSI'!$A:$M,13)</f>
        <v>3.6095500222326771E-2</v>
      </c>
      <c r="O10" s="22">
        <f>VLOOKUP(A10,'[3]model1&amp;RSI'!$A:$N,14)</f>
        <v>14.322444405674213</v>
      </c>
      <c r="P10" s="1">
        <f t="shared" si="10"/>
        <v>0.95</v>
      </c>
      <c r="Z10" s="19"/>
      <c r="AA10" s="7"/>
      <c r="AB10" s="7"/>
    </row>
    <row r="11" spans="1:34" ht="14.1" customHeight="1" x14ac:dyDescent="0.2">
      <c r="A11" s="15">
        <v>44620</v>
      </c>
      <c r="B11" s="31">
        <f>VLOOKUP(A11,[1]HwabaoWP_szse_innovation_100!$A:$E,5)</f>
        <v>0.88200002908706665</v>
      </c>
      <c r="C11" s="16">
        <f>VLOOKUP(A11,[2]myPEPB!$B:$C,2,FALSE)</f>
        <v>30.969999313354492</v>
      </c>
      <c r="D11" s="17">
        <f>VLOOKUP(A11,[2]myPEPB!$B:$D,3,FALSE)</f>
        <v>37.189128403969853</v>
      </c>
      <c r="E11" s="17">
        <f t="shared" si="9"/>
        <v>49131.119815861355</v>
      </c>
      <c r="F11" s="18">
        <f t="shared" si="0"/>
        <v>55704.215641257506</v>
      </c>
      <c r="G11" s="18">
        <f t="shared" si="4"/>
        <v>197461.6839500223</v>
      </c>
      <c r="H11" s="18">
        <f t="shared" si="1"/>
        <v>174161.21098750082</v>
      </c>
      <c r="I11" s="18">
        <f t="shared" si="5"/>
        <v>185478.23922204127</v>
      </c>
      <c r="J11" s="18">
        <f t="shared" si="2"/>
        <v>174161.21098750082</v>
      </c>
      <c r="K11" s="18">
        <f t="shared" si="3"/>
        <v>-11317.028234540456</v>
      </c>
      <c r="L11" s="17">
        <f t="shared" si="6"/>
        <v>0</v>
      </c>
      <c r="M11" s="22">
        <f>VLOOKUP(A11,'[3]model1&amp;RSI'!$A:$K,11)</f>
        <v>4.3081316269106369E-3</v>
      </c>
      <c r="N11" s="22">
        <f>VLOOKUP(A11,'[3]model1&amp;RSI'!$A:$M,13)</f>
        <v>3.1579574140808198E-2</v>
      </c>
      <c r="O11" s="22">
        <f>VLOOKUP(A11,'[3]model1&amp;RSI'!$A:$N,14)</f>
        <v>13.642146052069533</v>
      </c>
      <c r="P11" s="1">
        <f t="shared" si="10"/>
        <v>2</v>
      </c>
      <c r="Z11" s="19"/>
      <c r="AA11" s="7"/>
      <c r="AB11" s="7"/>
    </row>
    <row r="12" spans="1:34" ht="14.1" customHeight="1" x14ac:dyDescent="0.2">
      <c r="A12" s="15">
        <v>44651</v>
      </c>
      <c r="B12" s="31">
        <f>VLOOKUP(A12,[1]HwabaoWP_szse_innovation_100!$A:$E,5)</f>
        <v>0.79199999570846558</v>
      </c>
      <c r="C12" s="16">
        <f>VLOOKUP(A12,[2]myPEPB!$B:$C,2,FALSE)</f>
        <v>27.639999389648438</v>
      </c>
      <c r="D12" s="17">
        <f>VLOOKUP(A12,[2]myPEPB!$B:$D,3,FALSE)</f>
        <v>36.340041473831867</v>
      </c>
      <c r="E12" s="17">
        <f t="shared" si="9"/>
        <v>68730.332465049098</v>
      </c>
      <c r="F12" s="18">
        <f t="shared" si="0"/>
        <v>86780.7232796358</v>
      </c>
      <c r="G12" s="18">
        <f t="shared" si="4"/>
        <v>284242.4072296581</v>
      </c>
      <c r="H12" s="18">
        <f t="shared" si="1"/>
        <v>225119.98530605313</v>
      </c>
      <c r="I12" s="18">
        <f t="shared" si="5"/>
        <v>254208.57168709039</v>
      </c>
      <c r="J12" s="18">
        <f t="shared" si="2"/>
        <v>225119.98530605313</v>
      </c>
      <c r="K12" s="18">
        <f t="shared" si="3"/>
        <v>-29088.586381037254</v>
      </c>
      <c r="L12" s="17">
        <f t="shared" si="6"/>
        <v>0</v>
      </c>
      <c r="M12" s="22">
        <f>VLOOKUP(A12,'[3]model1&amp;RSI'!$A:$K,11)</f>
        <v>3.5901096890921975E-3</v>
      </c>
      <c r="N12" s="22">
        <f>VLOOKUP(A12,'[3]model1&amp;RSI'!$A:$M,13)</f>
        <v>4.1316317347107008E-2</v>
      </c>
      <c r="O12" s="22">
        <f>VLOOKUP(A12,'[3]model1&amp;RSI'!$A:$N,14)</f>
        <v>8.689326444394684</v>
      </c>
      <c r="P12" s="1">
        <f t="shared" si="10"/>
        <v>2</v>
      </c>
      <c r="Z12" s="19"/>
    </row>
    <row r="13" spans="1:34" ht="14.1" customHeight="1" x14ac:dyDescent="0.2">
      <c r="A13" s="15">
        <v>44680</v>
      </c>
      <c r="B13" s="31">
        <f>VLOOKUP(A13,[1]HwabaoWP_szse_innovation_100!$A:$E,5)</f>
        <v>0.71899998188018799</v>
      </c>
      <c r="C13" s="16">
        <f>VLOOKUP(A13,[2]myPEPB!$B:$C,2,FALSE)</f>
        <v>25.129999160766602</v>
      </c>
      <c r="D13" s="17">
        <f>VLOOKUP(A13,[2]myPEPB!$B:$D,3,FALSE)</f>
        <v>35.566115372584406</v>
      </c>
      <c r="E13" s="17">
        <f t="shared" si="9"/>
        <v>82445.318073360657</v>
      </c>
      <c r="F13" s="18">
        <f t="shared" si="0"/>
        <v>114666.64833254348</v>
      </c>
      <c r="G13" s="18">
        <f t="shared" si="4"/>
        <v>398909.0555622016</v>
      </c>
      <c r="H13" s="18">
        <f t="shared" si="1"/>
        <v>286815.60372106585</v>
      </c>
      <c r="I13" s="18">
        <f t="shared" si="5"/>
        <v>336653.88976045104</v>
      </c>
      <c r="J13" s="18">
        <f t="shared" si="2"/>
        <v>286815.60372106585</v>
      </c>
      <c r="K13" s="18">
        <f t="shared" si="3"/>
        <v>-49838.286039385188</v>
      </c>
      <c r="L13" s="17">
        <f t="shared" si="6"/>
        <v>0</v>
      </c>
      <c r="M13" s="22">
        <f>VLOOKUP(A13,'[3]model1&amp;RSI'!$A:$K,11)</f>
        <v>2.9917580742434978E-3</v>
      </c>
      <c r="N13" s="22">
        <f>VLOOKUP(A13,'[3]model1&amp;RSI'!$A:$M,13)</f>
        <v>4.659693342730211E-2</v>
      </c>
      <c r="O13" s="22">
        <f>VLOOKUP(A13,'[3]model1&amp;RSI'!$A:$N,14)</f>
        <v>6.4205042138901032</v>
      </c>
      <c r="P13" s="1">
        <f t="shared" si="10"/>
        <v>2</v>
      </c>
      <c r="AB13" s="2"/>
    </row>
    <row r="14" spans="1:34" ht="14.1" customHeight="1" x14ac:dyDescent="0.2">
      <c r="A14" s="15">
        <v>44712</v>
      </c>
      <c r="B14" s="31">
        <f>VLOOKUP(A14,[1]HwabaoWP_szse_innovation_100!$A:$E,5)</f>
        <v>0.74699997901916504</v>
      </c>
      <c r="C14" s="16">
        <f>VLOOKUP(A14,[2]myPEPB!$B:$C,2,FALSE)</f>
        <v>24.129999160766602</v>
      </c>
      <c r="D14" s="17">
        <f>VLOOKUP(A14,[2]myPEPB!$B:$D,3,FALSE)</f>
        <v>34.740071662711408</v>
      </c>
      <c r="E14" s="17">
        <f t="shared" si="9"/>
        <v>83819.572765363977</v>
      </c>
      <c r="F14" s="18">
        <f t="shared" si="0"/>
        <v>112208.26655901887</v>
      </c>
      <c r="G14" s="18">
        <f t="shared" si="4"/>
        <v>511117.32212122047</v>
      </c>
      <c r="H14" s="18">
        <f t="shared" si="1"/>
        <v>381804.62890088349</v>
      </c>
      <c r="I14" s="18">
        <f t="shared" si="5"/>
        <v>420473.462525815</v>
      </c>
      <c r="J14" s="18">
        <f t="shared" si="2"/>
        <v>381804.62890088349</v>
      </c>
      <c r="K14" s="18">
        <f t="shared" si="3"/>
        <v>-38668.833624931518</v>
      </c>
      <c r="L14" s="17">
        <f t="shared" si="6"/>
        <v>0</v>
      </c>
      <c r="M14" s="22">
        <f>VLOOKUP(A14,'[3]model1&amp;RSI'!$A:$K,11)</f>
        <v>7.1597979183657566E-3</v>
      </c>
      <c r="N14" s="22">
        <f>VLOOKUP(A14,'[3]model1&amp;RSI'!$A:$M,13)</f>
        <v>4.3497444045914602E-2</v>
      </c>
      <c r="O14" s="22">
        <f>VLOOKUP(A14,'[3]model1&amp;RSI'!$A:$N,14)</f>
        <v>16.460272725009055</v>
      </c>
      <c r="P14" s="1">
        <f t="shared" si="10"/>
        <v>2</v>
      </c>
    </row>
    <row r="15" spans="1:34" ht="14.1" customHeight="1" x14ac:dyDescent="0.2">
      <c r="A15" s="15">
        <v>44742</v>
      </c>
      <c r="B15" s="31">
        <f>VLOOKUP(A15,[1]HwabaoWP_szse_innovation_100!$A:$E,5)</f>
        <v>0.84500002861022949</v>
      </c>
      <c r="C15" s="16">
        <f>VLOOKUP(A15,[2]myPEPB!$B:$C,2,FALSE)</f>
        <v>27.809999465942383</v>
      </c>
      <c r="D15" s="17">
        <f>VLOOKUP(A15,[2]myPEPB!$B:$D,3,FALSE)</f>
        <v>34.118899975077305</v>
      </c>
      <c r="E15" s="17">
        <f t="shared" si="9"/>
        <v>49840.314022165883</v>
      </c>
      <c r="F15" s="18">
        <f t="shared" si="0"/>
        <v>58982.618147526206</v>
      </c>
      <c r="G15" s="18">
        <f t="shared" si="4"/>
        <v>570099.94026874669</v>
      </c>
      <c r="H15" s="18">
        <f t="shared" si="1"/>
        <v>481734.46583778108</v>
      </c>
      <c r="I15" s="18">
        <f t="shared" si="5"/>
        <v>470313.7765479809</v>
      </c>
      <c r="J15" s="18">
        <f t="shared" si="2"/>
        <v>481734.46583778108</v>
      </c>
      <c r="K15" s="18">
        <f t="shared" si="3"/>
        <v>11420.689289800182</v>
      </c>
      <c r="L15" s="17">
        <f t="shared" si="6"/>
        <v>0</v>
      </c>
      <c r="M15" s="22">
        <f>VLOOKUP(A15,'[3]model1&amp;RSI'!$A:$K,11)</f>
        <v>2.2299839863815538E-2</v>
      </c>
      <c r="N15" s="22">
        <f>VLOOKUP(A15,'[3]model1&amp;RSI'!$A:$M,13)</f>
        <v>5.2581211636772908E-2</v>
      </c>
      <c r="O15" s="22">
        <f>VLOOKUP(A15,'[3]model1&amp;RSI'!$A:$N,14)</f>
        <v>42.410281485830289</v>
      </c>
      <c r="P15" s="1">
        <f t="shared" si="10"/>
        <v>2</v>
      </c>
    </row>
    <row r="16" spans="1:34" ht="14.1" customHeight="1" x14ac:dyDescent="0.2">
      <c r="A16" s="15">
        <v>44771</v>
      </c>
      <c r="B16" s="31">
        <f>VLOOKUP(A16,[1]HwabaoWP_szse_innovation_100!$A:$E,5)</f>
        <v>0.80099999904632568</v>
      </c>
      <c r="C16" s="16">
        <f>VLOOKUP(A16,[2]myPEPB!$B:$C,2,FALSE)</f>
        <v>26.329999923706055</v>
      </c>
      <c r="D16" s="17">
        <f>VLOOKUP(A16,[2]myPEPB!$B:$D,3,FALSE)</f>
        <v>33.665700900829464</v>
      </c>
      <c r="E16" s="17">
        <f t="shared" si="9"/>
        <v>27527.217916655591</v>
      </c>
      <c r="F16" s="18">
        <f t="shared" si="0"/>
        <v>34366.064855717384</v>
      </c>
      <c r="G16" s="18">
        <f t="shared" si="4"/>
        <v>604466.00512446405</v>
      </c>
      <c r="H16" s="18">
        <f t="shared" si="1"/>
        <v>484177.26952823199</v>
      </c>
      <c r="I16" s="18">
        <f t="shared" si="5"/>
        <v>497840.99446463649</v>
      </c>
      <c r="J16" s="18">
        <f t="shared" si="2"/>
        <v>484177.26952823199</v>
      </c>
      <c r="K16" s="18">
        <f t="shared" si="3"/>
        <v>-13663.724936404498</v>
      </c>
      <c r="L16" s="17">
        <f t="shared" si="6"/>
        <v>0</v>
      </c>
      <c r="M16" s="22">
        <f>VLOOKUP(A16,'[3]model1&amp;RSI'!$A:$K,11)</f>
        <v>1.8583199886512948E-2</v>
      </c>
      <c r="N16" s="22">
        <f>VLOOKUP(A16,'[3]model1&amp;RSI'!$A:$M,13)</f>
        <v>5.1151014624628059E-2</v>
      </c>
      <c r="O16" s="22">
        <f>VLOOKUP(A16,'[3]model1&amp;RSI'!$A:$N,14)</f>
        <v>36.33007091430315</v>
      </c>
      <c r="P16" s="1">
        <f t="shared" si="10"/>
        <v>0.95</v>
      </c>
    </row>
    <row r="17" spans="1:16" ht="14.1" customHeight="1" x14ac:dyDescent="0.2">
      <c r="A17" s="15">
        <v>44804</v>
      </c>
      <c r="B17" s="31">
        <f>VLOOKUP(A17,[1]HwabaoWP_szse_innovation_100!$A:$E,5)</f>
        <v>0.76499998569488525</v>
      </c>
      <c r="C17" s="16">
        <f>VLOOKUP(A17,[2]myPEPB!$B:$C,2,FALSE)</f>
        <v>25.180000305175781</v>
      </c>
      <c r="D17" s="17">
        <f>VLOOKUP(A17,[2]myPEPB!$B:$D,3,FALSE)</f>
        <v>33.177209276154976</v>
      </c>
      <c r="E17" s="17">
        <f t="shared" si="9"/>
        <v>30009.526663599427</v>
      </c>
      <c r="F17" s="18">
        <f t="shared" si="0"/>
        <v>39228.140163088203</v>
      </c>
      <c r="G17" s="18">
        <f t="shared" si="4"/>
        <v>643694.14528755227</v>
      </c>
      <c r="H17" s="18">
        <f t="shared" si="1"/>
        <v>492426.01193685888</v>
      </c>
      <c r="I17" s="18">
        <f t="shared" si="5"/>
        <v>527850.52112823597</v>
      </c>
      <c r="J17" s="18">
        <f t="shared" si="2"/>
        <v>492426.01193685888</v>
      </c>
      <c r="K17" s="18">
        <f t="shared" si="3"/>
        <v>-35424.509191377088</v>
      </c>
      <c r="L17" s="17">
        <f t="shared" si="6"/>
        <v>0</v>
      </c>
      <c r="M17" s="22">
        <f>VLOOKUP(A17,'[3]model1&amp;RSI'!$A:$K,11)</f>
        <v>1.5485999905427456E-2</v>
      </c>
      <c r="N17" s="22">
        <f>VLOOKUP(A17,'[3]model1&amp;RSI'!$A:$M,13)</f>
        <v>4.8625847745763451E-2</v>
      </c>
      <c r="O17" s="22">
        <f>VLOOKUP(A17,'[3]model1&amp;RSI'!$A:$N,14)</f>
        <v>31.847259478939737</v>
      </c>
      <c r="P17" s="1">
        <f t="shared" si="10"/>
        <v>0.95</v>
      </c>
    </row>
    <row r="18" spans="1:16" ht="14.1" customHeight="1" x14ac:dyDescent="0.2">
      <c r="A18" s="15">
        <v>44834</v>
      </c>
      <c r="B18" s="31">
        <f>VLOOKUP(A18,[1]HwabaoWP_szse_innovation_100!$A:$E,5)</f>
        <v>0.69599997997283936</v>
      </c>
      <c r="C18" s="16">
        <f>VLOOKUP(A18,[2]myPEPB!$B:$C,2,FALSE)</f>
        <v>22.610000610351563</v>
      </c>
      <c r="D18" s="17">
        <f>VLOOKUP(A18,[2]myPEPB!$B:$D,3,FALSE)</f>
        <v>32.639682721540886</v>
      </c>
      <c r="E18" s="17">
        <f t="shared" si="9"/>
        <v>37636.382122237934</v>
      </c>
      <c r="F18" s="18">
        <f t="shared" si="0"/>
        <v>54075.263225879193</v>
      </c>
      <c r="G18" s="18">
        <f t="shared" si="4"/>
        <v>697769.40851343144</v>
      </c>
      <c r="H18" s="18">
        <f t="shared" si="1"/>
        <v>485647.49435100827</v>
      </c>
      <c r="I18" s="18">
        <f t="shared" si="5"/>
        <v>565486.9032504739</v>
      </c>
      <c r="J18" s="18">
        <f t="shared" si="2"/>
        <v>485647.49435100827</v>
      </c>
      <c r="K18" s="18">
        <f t="shared" si="3"/>
        <v>-79839.408899465634</v>
      </c>
      <c r="L18" s="17">
        <f t="shared" si="6"/>
        <v>0</v>
      </c>
      <c r="M18" s="22">
        <f>VLOOKUP(A18,'[3]model1&amp;RSI'!$A:$K,11)</f>
        <v>1.2904999921189547E-2</v>
      </c>
      <c r="N18" s="22">
        <f>VLOOKUP(A18,'[3]model1&amp;RSI'!$A:$M,13)</f>
        <v>5.2021540741810528E-2</v>
      </c>
      <c r="O18" s="22">
        <f>VLOOKUP(A18,'[3]model1&amp;RSI'!$A:$N,14)</f>
        <v>24.80703135118333</v>
      </c>
      <c r="P18" s="1">
        <f t="shared" si="10"/>
        <v>0.95</v>
      </c>
    </row>
    <row r="19" spans="1:16" ht="12.75" x14ac:dyDescent="0.2">
      <c r="A19" s="15">
        <v>44865</v>
      </c>
      <c r="B19" s="31">
        <f>VLOOKUP(A19,[1]HwabaoWP_szse_innovation_100!$A:$E,5)</f>
        <v>0.68699997663497925</v>
      </c>
      <c r="C19" s="16">
        <f>VLOOKUP(A19,[2]myPEPB!$B:$C,2,FALSE)</f>
        <v>22.239999771118164</v>
      </c>
      <c r="D19" s="17">
        <f>VLOOKUP(A19,[2]myPEPB!$B:$D,3,FALSE)</f>
        <v>32.234052997346801</v>
      </c>
      <c r="E19" s="17">
        <f t="shared" si="9"/>
        <v>39476.510243603116</v>
      </c>
      <c r="F19" s="18">
        <f t="shared" si="0"/>
        <v>57462.171158963516</v>
      </c>
      <c r="G19" s="18">
        <f t="shared" si="4"/>
        <v>755231.5796723949</v>
      </c>
      <c r="H19" s="18">
        <f t="shared" si="1"/>
        <v>518844.07758893375</v>
      </c>
      <c r="I19" s="18">
        <f t="shared" si="5"/>
        <v>604963.41349407705</v>
      </c>
      <c r="J19" s="18">
        <f t="shared" si="2"/>
        <v>518844.07758893375</v>
      </c>
      <c r="K19" s="18">
        <f t="shared" si="3"/>
        <v>-86119.335905143293</v>
      </c>
      <c r="L19" s="17">
        <f t="shared" si="6"/>
        <v>0</v>
      </c>
      <c r="M19" s="22">
        <f>VLOOKUP(A19,'[3]model1&amp;RSI'!$A:$K,11)</f>
        <v>1.0754166600991289E-2</v>
      </c>
      <c r="N19" s="22">
        <f>VLOOKUP(A19,'[3]model1&amp;RSI'!$A:$M,13)</f>
        <v>4.4851284507818785E-2</v>
      </c>
      <c r="O19" s="22">
        <f>VLOOKUP(A19,'[3]model1&amp;RSI'!$A:$N,14)</f>
        <v>23.977388204158451</v>
      </c>
      <c r="P19" s="1">
        <f t="shared" si="10"/>
        <v>1</v>
      </c>
    </row>
    <row r="20" spans="1:16" ht="12.75" x14ac:dyDescent="0.2">
      <c r="A20" s="15">
        <v>44895</v>
      </c>
      <c r="B20" s="31">
        <f>VLOOKUP(A20,[1]HwabaoWP_szse_innovation_100!$A:$E,5)</f>
        <v>0.72000002861022949</v>
      </c>
      <c r="C20" s="16">
        <f>VLOOKUP(A20,[2]myPEPB!$B:$C,2,FALSE)</f>
        <v>22.809999465942383</v>
      </c>
      <c r="D20" s="17">
        <f>VLOOKUP(A20,[2]myPEPB!$B:$D,3,FALSE)</f>
        <v>31.717553840474388</v>
      </c>
      <c r="E20" s="17">
        <f t="shared" si="9"/>
        <v>35184.839779401416</v>
      </c>
      <c r="F20" s="18">
        <f t="shared" si="0"/>
        <v>48867.83108511327</v>
      </c>
      <c r="G20" s="18">
        <f t="shared" si="4"/>
        <v>804099.41075750813</v>
      </c>
      <c r="H20" s="18">
        <f t="shared" si="1"/>
        <v>578951.59875087452</v>
      </c>
      <c r="I20" s="18">
        <f t="shared" si="5"/>
        <v>640148.25327347848</v>
      </c>
      <c r="J20" s="18">
        <f t="shared" si="2"/>
        <v>578951.59875087452</v>
      </c>
      <c r="K20" s="18">
        <f t="shared" si="3"/>
        <v>-61196.65452260396</v>
      </c>
      <c r="L20" s="17">
        <f t="shared" si="6"/>
        <v>0</v>
      </c>
      <c r="M20" s="22">
        <f>VLOOKUP(A20,'[3]model1&amp;RSI'!$A:$K,11)</f>
        <v>1.4461814163367781E-2</v>
      </c>
      <c r="N20" s="22">
        <f>VLOOKUP(A20,'[3]model1&amp;RSI'!$A:$M,13)</f>
        <v>4.287607908572403E-2</v>
      </c>
      <c r="O20" s="22">
        <f>VLOOKUP(A20,'[3]model1&amp;RSI'!$A:$N,14)</f>
        <v>33.729329900837342</v>
      </c>
      <c r="P20" s="1">
        <f t="shared" si="10"/>
        <v>1</v>
      </c>
    </row>
    <row r="21" spans="1:16" ht="12.75" x14ac:dyDescent="0.2">
      <c r="A21" s="15">
        <v>44925</v>
      </c>
      <c r="B21" s="31">
        <f>VLOOKUP(A21,[1]HwabaoWP_szse_innovation_100!$A:$E,5)</f>
        <v>0.72299998998641968</v>
      </c>
      <c r="C21" s="16">
        <f>VLOOKUP(A21,[2]myPEPB!$B:$C,2,FALSE)</f>
        <v>22.739999771118164</v>
      </c>
      <c r="D21" s="17">
        <f>VLOOKUP(A21,[2]myPEPB!$B:$D,3,FALSE)</f>
        <v>31.2721039929989</v>
      </c>
      <c r="E21" s="17">
        <f t="shared" si="9"/>
        <v>32016.721092607462</v>
      </c>
      <c r="F21" s="18">
        <f t="shared" si="0"/>
        <v>44283.155651508161</v>
      </c>
      <c r="G21" s="18">
        <f t="shared" si="4"/>
        <v>848382.56640901626</v>
      </c>
      <c r="H21" s="18">
        <f t="shared" si="1"/>
        <v>613380.58701837179</v>
      </c>
      <c r="I21" s="18">
        <f t="shared" si="5"/>
        <v>672164.97436608595</v>
      </c>
      <c r="J21" s="18">
        <f t="shared" si="2"/>
        <v>613380.58701837179</v>
      </c>
      <c r="K21" s="18">
        <f t="shared" si="3"/>
        <v>-58784.387347714161</v>
      </c>
      <c r="L21" s="17">
        <f t="shared" si="6"/>
        <v>0</v>
      </c>
      <c r="M21" s="22">
        <f>VLOOKUP(A21,'[3]model1&amp;RSI'!$A:$K,11)</f>
        <v>1.2551505365504848E-2</v>
      </c>
      <c r="N21" s="22">
        <f>VLOOKUP(A21,'[3]model1&amp;RSI'!$A:$M,13)</f>
        <v>3.6230059467468385E-2</v>
      </c>
      <c r="O21" s="22">
        <f>VLOOKUP(A21,'[3]model1&amp;RSI'!$A:$N,14)</f>
        <v>34.643899430457921</v>
      </c>
      <c r="P21" s="1">
        <f t="shared" si="10"/>
        <v>0.95</v>
      </c>
    </row>
    <row r="22" spans="1:16" ht="12.75" x14ac:dyDescent="0.2">
      <c r="A22" s="15">
        <v>44957</v>
      </c>
      <c r="B22" s="31">
        <f>VLOOKUP(A22,[1]HwabaoWP_szse_innovation_100!$A:$E,5)</f>
        <v>0.78899997472763062</v>
      </c>
      <c r="C22" s="16">
        <f>VLOOKUP(A22,[2]myPEPB!$B:$C,2,FALSE)</f>
        <v>24.899999618530273</v>
      </c>
      <c r="D22" s="17">
        <f>VLOOKUP(A22,[2]myPEPB!$B:$D,3,FALSE)</f>
        <v>31.009964169913562</v>
      </c>
      <c r="E22" s="17">
        <f t="shared" si="9"/>
        <v>22927.641979065793</v>
      </c>
      <c r="F22" s="18">
        <f t="shared" si="0"/>
        <v>29059.116240124858</v>
      </c>
      <c r="G22" s="18">
        <f t="shared" si="4"/>
        <v>877441.68264914118</v>
      </c>
      <c r="H22" s="18">
        <f t="shared" si="1"/>
        <v>692301.46543514205</v>
      </c>
      <c r="I22" s="18">
        <f t="shared" si="5"/>
        <v>695092.61634515179</v>
      </c>
      <c r="J22" s="18">
        <f t="shared" si="2"/>
        <v>692301.46543514205</v>
      </c>
      <c r="K22" s="18">
        <f t="shared" si="3"/>
        <v>-2791.1509100097464</v>
      </c>
      <c r="L22" s="17">
        <f t="shared" si="6"/>
        <v>0</v>
      </c>
      <c r="M22" s="22">
        <f>VLOOKUP(A22,'[3]model1&amp;RSI'!$A:$K,11)</f>
        <v>2.145958526145586E-2</v>
      </c>
      <c r="N22" s="22">
        <f>VLOOKUP(A22,'[3]model1&amp;RSI'!$A:$M,13)</f>
        <v>4.119171367975881E-2</v>
      </c>
      <c r="O22" s="22">
        <f>VLOOKUP(A22,'[3]model1&amp;RSI'!$A:$N,14)</f>
        <v>52.096849935138493</v>
      </c>
      <c r="P22" s="1">
        <f t="shared" si="10"/>
        <v>0.95</v>
      </c>
    </row>
    <row r="23" spans="1:16" ht="12.75" x14ac:dyDescent="0.2">
      <c r="A23" s="15">
        <v>44985</v>
      </c>
      <c r="B23" s="31">
        <f>VLOOKUP(A23,[1]HwabaoWP_szse_innovation_100!$A:$E,5)</f>
        <v>0.7630000114440918</v>
      </c>
      <c r="C23" s="16">
        <f>VLOOKUP(A23,[2]myPEPB!$B:$C,2,FALSE)</f>
        <v>23.979999542236328</v>
      </c>
      <c r="D23" s="17">
        <f>VLOOKUP(A23,[2]myPEPB!$B:$D,3,FALSE)</f>
        <v>30.72842559388133</v>
      </c>
      <c r="E23" s="17">
        <f t="shared" si="9"/>
        <v>5331.2565807995516</v>
      </c>
      <c r="F23" s="18">
        <f t="shared" si="0"/>
        <v>6987.2300142032109</v>
      </c>
      <c r="G23" s="18">
        <f t="shared" si="4"/>
        <v>884428.91266334441</v>
      </c>
      <c r="H23" s="18">
        <f t="shared" si="1"/>
        <v>674819.27048361744</v>
      </c>
      <c r="I23" s="18">
        <f t="shared" si="5"/>
        <v>700423.87292595138</v>
      </c>
      <c r="J23" s="18">
        <f t="shared" si="2"/>
        <v>674819.27048361744</v>
      </c>
      <c r="K23" s="18">
        <f t="shared" si="3"/>
        <v>-25604.60244233394</v>
      </c>
      <c r="L23" s="17">
        <f t="shared" si="6"/>
        <v>0</v>
      </c>
      <c r="M23" s="22">
        <f>VLOOKUP(A23,'[3]model1&amp;RSI'!$A:$K,11)</f>
        <v>1.7882987717879884E-2</v>
      </c>
      <c r="N23" s="22">
        <f>VLOOKUP(A23,'[3]model1&amp;RSI'!$A:$M,13)</f>
        <v>3.8659755280388813E-2</v>
      </c>
      <c r="O23" s="22">
        <f>VLOOKUP(A23,'[3]model1&amp;RSI'!$A:$N,14)</f>
        <v>46.257374337161167</v>
      </c>
      <c r="P23" s="1">
        <f t="shared" si="10"/>
        <v>0.2</v>
      </c>
    </row>
    <row r="24" spans="1:16" ht="12.75" x14ac:dyDescent="0.2">
      <c r="A24" s="15">
        <v>45016</v>
      </c>
      <c r="B24" s="31">
        <f>VLOOKUP(A24,[1]HwabaoWP_szse_innovation_100!$A:$E,5)</f>
        <v>0.77100002765655518</v>
      </c>
      <c r="C24" s="16">
        <f>VLOOKUP(A24,[2]myPEPB!$B:$C,2,FALSE)</f>
        <v>24.159999847412109</v>
      </c>
      <c r="D24" s="17">
        <f>VLOOKUP(A24,[2]myPEPB!$B:$D,3,FALSE)</f>
        <v>30.393087189136843</v>
      </c>
      <c r="E24" s="17">
        <f t="shared" si="9"/>
        <v>23389.66024982206</v>
      </c>
      <c r="F24" s="18">
        <f t="shared" si="0"/>
        <v>30336.782633996314</v>
      </c>
      <c r="G24" s="18">
        <f t="shared" si="4"/>
        <v>914765.69529734075</v>
      </c>
      <c r="H24" s="18">
        <f t="shared" si="1"/>
        <v>705284.37637351768</v>
      </c>
      <c r="I24" s="18">
        <f t="shared" si="5"/>
        <v>723813.53317577345</v>
      </c>
      <c r="J24" s="18">
        <f t="shared" si="2"/>
        <v>705284.37637351768</v>
      </c>
      <c r="K24" s="18">
        <f t="shared" si="3"/>
        <v>-18529.156802255777</v>
      </c>
      <c r="L24" s="17">
        <f t="shared" si="6"/>
        <v>0</v>
      </c>
      <c r="M24" s="22">
        <f>VLOOKUP(A24,'[3]model1&amp;RSI'!$A:$K,11)</f>
        <v>1.6235825800310466E-2</v>
      </c>
      <c r="N24" s="22">
        <f>VLOOKUP(A24,'[3]model1&amp;RSI'!$A:$M,13)</f>
        <v>3.3549798769067905E-2</v>
      </c>
      <c r="O24" s="22">
        <f>VLOOKUP(A24,'[3]model1&amp;RSI'!$A:$N,14)</f>
        <v>48.393213658495924</v>
      </c>
      <c r="P24" s="1">
        <f t="shared" si="10"/>
        <v>0.95</v>
      </c>
    </row>
    <row r="25" spans="1:16" ht="12.75" x14ac:dyDescent="0.2">
      <c r="A25" s="15">
        <v>45044</v>
      </c>
      <c r="B25" s="31">
        <f>VLOOKUP(A25,[1]HwabaoWP_szse_innovation_100!$A:$E,5)</f>
        <v>0.75099998712539673</v>
      </c>
      <c r="C25" s="16">
        <f>VLOOKUP(A25,[2]myPEPB!$B:$C,2,FALSE)</f>
        <v>23.579999923706055</v>
      </c>
      <c r="D25" s="17">
        <f>VLOOKUP(A25,[2]myPEPB!$B:$D,3,FALSE)</f>
        <v>30.1543821056874</v>
      </c>
      <c r="E25" s="17">
        <f t="shared" si="9"/>
        <v>24670.369137884998</v>
      </c>
      <c r="F25" s="18">
        <f t="shared" si="0"/>
        <v>32850.026046359591</v>
      </c>
      <c r="G25" s="18">
        <f t="shared" si="4"/>
        <v>947615.72134370031</v>
      </c>
      <c r="H25" s="18">
        <f t="shared" si="1"/>
        <v>711659.39452894242</v>
      </c>
      <c r="I25" s="18">
        <f t="shared" si="5"/>
        <v>748483.9023136585</v>
      </c>
      <c r="J25" s="18">
        <f t="shared" si="2"/>
        <v>711659.39452894242</v>
      </c>
      <c r="K25" s="18">
        <f t="shared" si="3"/>
        <v>-36824.507784716086</v>
      </c>
      <c r="L25" s="17">
        <f t="shared" si="6"/>
        <v>0</v>
      </c>
      <c r="M25" s="22">
        <f>VLOOKUP(A25,'[3]model1&amp;RSI'!$A:$K,11)</f>
        <v>1.3529854833592056E-2</v>
      </c>
      <c r="N25" s="22">
        <f>VLOOKUP(A25,'[3]model1&amp;RSI'!$A:$M,13)</f>
        <v>3.129150572941633E-2</v>
      </c>
      <c r="O25" s="22">
        <f>VLOOKUP(A25,'[3]model1&amp;RSI'!$A:$N,14)</f>
        <v>43.238107333623745</v>
      </c>
      <c r="P25" s="1">
        <f t="shared" si="10"/>
        <v>0.95</v>
      </c>
    </row>
    <row r="26" spans="1:16" ht="12.75" x14ac:dyDescent="0.2">
      <c r="A26" s="15">
        <v>45077</v>
      </c>
      <c r="B26" s="31">
        <f>VLOOKUP(A26,[1]HwabaoWP_szse_innovation_100!$A:$E,5)</f>
        <v>0.72000002861022949</v>
      </c>
      <c r="C26" s="16">
        <f>VLOOKUP(A26,[2]myPEPB!$B:$C,2,FALSE)</f>
        <v>21.329999923706055</v>
      </c>
      <c r="D26" s="17">
        <f>VLOOKUP(A26,[2]myPEPB!$B:$D,3,FALSE)</f>
        <v>29.834329254302094</v>
      </c>
      <c r="E26" s="17">
        <f t="shared" si="9"/>
        <v>31912.495813061636</v>
      </c>
      <c r="F26" s="18">
        <f t="shared" si="0"/>
        <v>44322.909090240326</v>
      </c>
      <c r="G26" s="18">
        <f t="shared" si="4"/>
        <v>991938.63043394068</v>
      </c>
      <c r="H26" s="18">
        <f t="shared" si="1"/>
        <v>714195.84229202918</v>
      </c>
      <c r="I26" s="18">
        <f t="shared" si="5"/>
        <v>780396.3981267201</v>
      </c>
      <c r="J26" s="18">
        <f t="shared" si="2"/>
        <v>714195.84229202918</v>
      </c>
      <c r="K26" s="18">
        <f t="shared" si="3"/>
        <v>-66200.555834690924</v>
      </c>
      <c r="L26" s="17">
        <f t="shared" si="6"/>
        <v>0</v>
      </c>
      <c r="M26" s="22">
        <f>VLOOKUP(A26,'[3]model1&amp;RSI'!$A:$K,11)</f>
        <v>1.127487902799338E-2</v>
      </c>
      <c r="N26" s="22">
        <f>VLOOKUP(A26,'[3]model1&amp;RSI'!$A:$M,13)</f>
        <v>3.124291452704148E-2</v>
      </c>
      <c r="O26" s="22">
        <f>VLOOKUP(A26,'[3]model1&amp;RSI'!$A:$N,14)</f>
        <v>36.087795260697291</v>
      </c>
      <c r="P26" s="1">
        <f t="shared" si="10"/>
        <v>0.95</v>
      </c>
    </row>
    <row r="27" spans="1:16" ht="12.75" x14ac:dyDescent="0.2">
      <c r="A27" s="15">
        <v>45107</v>
      </c>
      <c r="B27" s="31">
        <f>VLOOKUP(A27,[1]HwabaoWP_szse_innovation_100!$A:$E,5)</f>
        <v>0.75499999523162842</v>
      </c>
      <c r="C27" s="16">
        <f>VLOOKUP(A27,[2]myPEPB!$B:$C,2,FALSE)</f>
        <v>22.200000762939453</v>
      </c>
      <c r="D27" s="17">
        <f>VLOOKUP(A27,[2]myPEPB!$B:$D,3,FALSE)</f>
        <v>29.540486551111261</v>
      </c>
      <c r="E27" s="17">
        <f t="shared" si="9"/>
        <v>27545.17292011471</v>
      </c>
      <c r="F27" s="18">
        <f t="shared" si="0"/>
        <v>36483.672972294597</v>
      </c>
      <c r="G27" s="18">
        <f t="shared" si="4"/>
        <v>1028422.3034062353</v>
      </c>
      <c r="H27" s="18">
        <f t="shared" si="1"/>
        <v>776458.83416780795</v>
      </c>
      <c r="I27" s="18">
        <f t="shared" si="5"/>
        <v>807941.57104683481</v>
      </c>
      <c r="J27" s="18">
        <f t="shared" si="2"/>
        <v>776458.83416780795</v>
      </c>
      <c r="K27" s="18">
        <f t="shared" si="3"/>
        <v>-31482.736879026867</v>
      </c>
      <c r="L27" s="17">
        <f t="shared" si="6"/>
        <v>0</v>
      </c>
      <c r="M27" s="22">
        <f>VLOOKUP(A27,'[3]model1&amp;RSI'!$A:$K,11)</f>
        <v>1.522906029356097E-2</v>
      </c>
      <c r="N27" s="22">
        <f>VLOOKUP(A27,'[3]model1&amp;RSI'!$A:$M,13)</f>
        <v>3.1869089876101056E-2</v>
      </c>
      <c r="O27" s="22">
        <f>VLOOKUP(A27,'[3]model1&amp;RSI'!$A:$N,14)</f>
        <v>47.786304387002254</v>
      </c>
      <c r="P27" s="1">
        <f t="shared" si="10"/>
        <v>0.95</v>
      </c>
    </row>
    <row r="28" spans="1:16" ht="12.75" x14ac:dyDescent="0.2">
      <c r="A28" s="15">
        <v>45138</v>
      </c>
      <c r="B28" s="31">
        <f>VLOOKUP(A28,[1]HwabaoWP_szse_innovation_100!$A:$E,5)</f>
        <v>0.76099997758865356</v>
      </c>
      <c r="C28" s="16">
        <f>VLOOKUP(A28,[2]myPEPB!$B:$C,2,FALSE)</f>
        <v>22.409999847412109</v>
      </c>
      <c r="D28" s="17">
        <f>VLOOKUP(A28,[2]myPEPB!$B:$D,3,FALSE)</f>
        <v>29.26302162741802</v>
      </c>
      <c r="E28" s="17">
        <f t="shared" si="9"/>
        <v>25715.964229472178</v>
      </c>
      <c r="F28" s="18">
        <f t="shared" si="0"/>
        <v>33792.332439952494</v>
      </c>
      <c r="G28" s="18">
        <f t="shared" si="4"/>
        <v>1062214.6358461878</v>
      </c>
      <c r="H28" s="18">
        <f t="shared" si="1"/>
        <v>808345.3140732887</v>
      </c>
      <c r="I28" s="18">
        <f t="shared" si="5"/>
        <v>833657.53527630703</v>
      </c>
      <c r="J28" s="18">
        <f t="shared" si="2"/>
        <v>808345.3140732887</v>
      </c>
      <c r="K28" s="18">
        <f t="shared" si="3"/>
        <v>-25312.221203018329</v>
      </c>
      <c r="L28" s="17">
        <f t="shared" si="6"/>
        <v>0</v>
      </c>
      <c r="M28" s="22">
        <f>VLOOKUP(A28,'[3]model1&amp;RSI'!$A:$K,11)</f>
        <v>1.3690880637471666E-2</v>
      </c>
      <c r="N28" s="22">
        <f>VLOOKUP(A28,'[3]model1&amp;RSI'!$A:$M,13)</f>
        <v>2.7557571956255068E-2</v>
      </c>
      <c r="O28" s="22">
        <f>VLOOKUP(A28,'[3]model1&amp;RSI'!$A:$N,14)</f>
        <v>49.681012025314104</v>
      </c>
      <c r="P28" s="1">
        <f t="shared" si="10"/>
        <v>0.95</v>
      </c>
    </row>
    <row r="29" spans="1:16" ht="12.75" x14ac:dyDescent="0.2">
      <c r="A29" s="15">
        <v>45169</v>
      </c>
      <c r="B29" s="31">
        <f>VLOOKUP(A29,[1]HwabaoWP_szse_innovation_100!$A:$E,5)</f>
        <v>0.71399998664855957</v>
      </c>
      <c r="C29" s="16">
        <f>VLOOKUP(A29,[2]myPEPB!$B:$C,2,FALSE)</f>
        <v>20.899999618530273</v>
      </c>
      <c r="D29" s="17">
        <f>VLOOKUP(A29,[2]myPEPB!$B:$D,3,FALSE)</f>
        <v>28.951898116056832</v>
      </c>
      <c r="E29" s="17">
        <f t="shared" si="9"/>
        <v>30214.749111968409</v>
      </c>
      <c r="F29" s="18">
        <f t="shared" si="0"/>
        <v>42317.576578387969</v>
      </c>
      <c r="G29" s="18">
        <f t="shared" si="4"/>
        <v>1104532.2124245758</v>
      </c>
      <c r="H29" s="18">
        <f t="shared" si="1"/>
        <v>788635.9849240511</v>
      </c>
      <c r="I29" s="18">
        <f t="shared" si="5"/>
        <v>863872.28438827547</v>
      </c>
      <c r="J29" s="18">
        <f t="shared" si="2"/>
        <v>788635.9849240511</v>
      </c>
      <c r="K29" s="18">
        <f t="shared" si="3"/>
        <v>-75236.299464224372</v>
      </c>
      <c r="L29" s="17">
        <f t="shared" si="6"/>
        <v>0</v>
      </c>
      <c r="M29" s="22">
        <f>VLOOKUP(A29,'[3]model1&amp;RSI'!$A:$K,11)</f>
        <v>1.1409067197893056E-2</v>
      </c>
      <c r="N29" s="22">
        <f>VLOOKUP(A29,'[3]model1&amp;RSI'!$A:$M,13)</f>
        <v>3.0797975120228221E-2</v>
      </c>
      <c r="O29" s="22">
        <f>VLOOKUP(A29,'[3]model1&amp;RSI'!$A:$N,14)</f>
        <v>37.04486140194178</v>
      </c>
      <c r="P29" s="1">
        <f t="shared" si="10"/>
        <v>0.95</v>
      </c>
    </row>
    <row r="30" spans="1:16" ht="12.75" x14ac:dyDescent="0.2">
      <c r="A30" s="15">
        <v>45197</v>
      </c>
      <c r="B30" s="31">
        <f>VLOOKUP(A30,[1]HwabaoWP_szse_innovation_100!$A:$E,5)</f>
        <v>0.68500000238418579</v>
      </c>
      <c r="C30" s="16">
        <f>VLOOKUP(A30,[2]myPEPB!$B:$C,2,FALSE)</f>
        <v>19.25</v>
      </c>
      <c r="D30" s="17">
        <f>VLOOKUP(A30,[2]myPEPB!$B:$D,3,FALSE)</f>
        <v>28.642033273139454</v>
      </c>
      <c r="E30" s="17">
        <f t="shared" si="9"/>
        <v>35243.604857455801</v>
      </c>
      <c r="F30" s="18">
        <f t="shared" si="0"/>
        <v>51450.517861004679</v>
      </c>
      <c r="G30" s="18">
        <f t="shared" si="4"/>
        <v>1155982.7302855805</v>
      </c>
      <c r="H30" s="18">
        <f t="shared" si="1"/>
        <v>791848.1730017002</v>
      </c>
      <c r="I30" s="18">
        <f t="shared" si="5"/>
        <v>899115.88924573129</v>
      </c>
      <c r="J30" s="18">
        <f t="shared" si="2"/>
        <v>791848.1730017002</v>
      </c>
      <c r="K30" s="18">
        <f t="shared" si="3"/>
        <v>-107267.71624403109</v>
      </c>
      <c r="L30" s="17">
        <f t="shared" si="6"/>
        <v>0</v>
      </c>
      <c r="M30" s="22">
        <f>VLOOKUP(A30,'[3]model1&amp;RSI'!$A:$K,11)</f>
        <v>9.5075559982442139E-3</v>
      </c>
      <c r="N30" s="22">
        <f>VLOOKUP(A30,'[3]model1&amp;RSI'!$A:$M,13)</f>
        <v>3.0498309977585816E-2</v>
      </c>
      <c r="O30" s="22">
        <f>VLOOKUP(A30,'[3]model1&amp;RSI'!$A:$N,14)</f>
        <v>31.174042119814576</v>
      </c>
      <c r="P30" s="1">
        <f t="shared" si="10"/>
        <v>0.95</v>
      </c>
    </row>
    <row r="31" spans="1:16" ht="12.75" x14ac:dyDescent="0.2">
      <c r="A31" s="15">
        <v>45230</v>
      </c>
      <c r="B31" s="31">
        <f>VLOOKUP(A31,[1]HwabaoWP_szse_innovation_100!$A:$E,5)</f>
        <v>0.66299998760223389</v>
      </c>
      <c r="C31" s="16">
        <f>VLOOKUP(A31,[2]myPEPB!$B:$C,2,FALSE)</f>
        <v>18.770000457763672</v>
      </c>
      <c r="D31" s="17">
        <f>VLOOKUP(A31,[2]myPEPB!$B:$D,3,FALSE)</f>
        <v>28.372122112939287</v>
      </c>
      <c r="E31" s="17">
        <f t="shared" si="9"/>
        <v>36031.961511046495</v>
      </c>
      <c r="F31" s="18">
        <f t="shared" si="0"/>
        <v>54346.850957505339</v>
      </c>
      <c r="G31" s="18">
        <f t="shared" si="4"/>
        <v>1210329.5812430859</v>
      </c>
      <c r="H31" s="18">
        <f t="shared" si="1"/>
        <v>802448.49735878292</v>
      </c>
      <c r="I31" s="18">
        <f t="shared" si="5"/>
        <v>935147.8507567778</v>
      </c>
      <c r="J31" s="18">
        <f t="shared" si="2"/>
        <v>802448.49735878292</v>
      </c>
      <c r="K31" s="18">
        <f t="shared" si="3"/>
        <v>-132699.35339799488</v>
      </c>
      <c r="L31" s="17">
        <f t="shared" si="6"/>
        <v>0</v>
      </c>
      <c r="M31" s="22">
        <f>VLOOKUP(A31,'[3]model1&amp;RSI'!$A:$K,11)</f>
        <v>7.9229633318701771E-3</v>
      </c>
      <c r="N31" s="22">
        <f>VLOOKUP(A31,'[3]model1&amp;RSI'!$A:$M,13)</f>
        <v>2.9081927444980161E-2</v>
      </c>
      <c r="O31" s="22">
        <f>VLOOKUP(A31,'[3]model1&amp;RSI'!$A:$N,14)</f>
        <v>27.24359775279531</v>
      </c>
      <c r="P31" s="1">
        <f t="shared" si="10"/>
        <v>0.95</v>
      </c>
    </row>
    <row r="32" spans="1:16" ht="12.75" x14ac:dyDescent="0.2">
      <c r="A32" s="15">
        <v>45260</v>
      </c>
      <c r="B32" s="31">
        <f>VLOOKUP(A32,[1]HwabaoWP_szse_innovation_100!$A:$E,5)</f>
        <v>0.65100002288818359</v>
      </c>
      <c r="C32" s="16">
        <f>VLOOKUP(A32,[2]myPEPB!$B:$C,2,FALSE)</f>
        <v>17.930000305175781</v>
      </c>
      <c r="D32" s="17">
        <f>VLOOKUP(A32,[2]myPEPB!$B:$D,3,FALSE)</f>
        <v>28.031817642334733</v>
      </c>
      <c r="E32" s="17">
        <f t="shared" si="9"/>
        <v>37907.069557688963</v>
      </c>
      <c r="F32" s="18">
        <f t="shared" si="0"/>
        <v>58228.983448438245</v>
      </c>
      <c r="G32" s="18">
        <f t="shared" si="4"/>
        <v>1268558.5646915243</v>
      </c>
      <c r="H32" s="18">
        <f t="shared" si="1"/>
        <v>825831.65464918362</v>
      </c>
      <c r="I32" s="18">
        <f t="shared" si="5"/>
        <v>973054.92031446681</v>
      </c>
      <c r="J32" s="18">
        <f t="shared" si="2"/>
        <v>825831.65464918362</v>
      </c>
      <c r="K32" s="18">
        <f t="shared" si="3"/>
        <v>-147223.26566528319</v>
      </c>
      <c r="L32" s="17">
        <f t="shared" si="6"/>
        <v>0</v>
      </c>
      <c r="M32" s="22">
        <f>VLOOKUP(A32,'[3]model1&amp;RSI'!$A:$K,11)</f>
        <v>6.6024694432251473E-3</v>
      </c>
      <c r="N32" s="22">
        <f>VLOOKUP(A32,'[3]model1&amp;RSI'!$A:$M,13)</f>
        <v>2.6234933656491849E-2</v>
      </c>
      <c r="O32" s="22">
        <f>VLOOKUP(A32,'[3]model1&amp;RSI'!$A:$N,14)</f>
        <v>25.166709127893537</v>
      </c>
      <c r="P32" s="1">
        <f t="shared" si="10"/>
        <v>0.95</v>
      </c>
    </row>
    <row r="33" spans="1:16" ht="12.75" x14ac:dyDescent="0.2">
      <c r="A33" s="15">
        <v>45289</v>
      </c>
      <c r="B33" s="31">
        <f>VLOOKUP(A33,[1]HwabaoWP_szse_innovation_100!$A:$E,5)</f>
        <v>0.64499998092651367</v>
      </c>
      <c r="C33" s="16">
        <f>VLOOKUP(A33,[2]myPEPB!$B:$C,2,FALSE)</f>
        <v>17.709999084472656</v>
      </c>
      <c r="D33" s="17">
        <f>VLOOKUP(A33,[2]myPEPB!$B:$D,3,FALSE)</f>
        <v>27.695688453026897</v>
      </c>
      <c r="E33" s="17">
        <f t="shared" si="9"/>
        <v>37471.299355499788</v>
      </c>
      <c r="F33" s="18">
        <f t="shared" si="0"/>
        <v>58095.039478410436</v>
      </c>
      <c r="G33" s="18">
        <f t="shared" si="4"/>
        <v>1326653.6041699348</v>
      </c>
      <c r="H33" s="18">
        <f t="shared" si="1"/>
        <v>855691.54938569851</v>
      </c>
      <c r="I33" s="18">
        <f t="shared" si="5"/>
        <v>1010526.2196699666</v>
      </c>
      <c r="J33" s="18">
        <f t="shared" si="2"/>
        <v>855691.54938569851</v>
      </c>
      <c r="K33" s="18">
        <f t="shared" si="3"/>
        <v>-154834.6702842681</v>
      </c>
      <c r="L33" s="17">
        <f t="shared" si="6"/>
        <v>0</v>
      </c>
      <c r="M33" s="22">
        <f>VLOOKUP(A33,'[3]model1&amp;RSI'!$A:$K,11)</f>
        <v>5.5020578693542902E-3</v>
      </c>
      <c r="N33" s="22">
        <f>VLOOKUP(A33,'[3]model1&amp;RSI'!$A:$M,13)</f>
        <v>2.2862451707354861E-2</v>
      </c>
      <c r="O33" s="22">
        <f>VLOOKUP(A33,'[3]model1&amp;RSI'!$A:$N,14)</f>
        <v>24.065913576470347</v>
      </c>
      <c r="P33" s="1">
        <f t="shared" si="10"/>
        <v>0.95</v>
      </c>
    </row>
    <row r="34" spans="1:16" ht="12.75" x14ac:dyDescent="0.2">
      <c r="A34" s="15">
        <v>45322</v>
      </c>
      <c r="B34" s="31">
        <f>VLOOKUP(A34,[1]HwabaoWP_szse_innovation_100!$A:$E,5)</f>
        <v>0.56099998950958252</v>
      </c>
      <c r="C34" s="16">
        <f>VLOOKUP(A34,[2]myPEPB!$B:$C,2,FALSE)</f>
        <v>15.380000114440918</v>
      </c>
      <c r="D34" s="17">
        <f>VLOOKUP(A34,[2]myPEPB!$B:$D,3,FALSE)</f>
        <v>27.336624376243282</v>
      </c>
      <c r="E34" s="17">
        <f t="shared" si="9"/>
        <v>47228.66583411934</v>
      </c>
      <c r="F34" s="18">
        <f t="shared" si="0"/>
        <v>84186.571688541211</v>
      </c>
      <c r="G34" s="18">
        <f t="shared" si="4"/>
        <v>1410840.175858476</v>
      </c>
      <c r="H34" s="18">
        <f t="shared" si="1"/>
        <v>791481.32385630254</v>
      </c>
      <c r="I34" s="18">
        <f t="shared" si="5"/>
        <v>1057754.885504086</v>
      </c>
      <c r="J34" s="18">
        <f t="shared" si="2"/>
        <v>791481.32385630254</v>
      </c>
      <c r="K34" s="18">
        <f t="shared" si="3"/>
        <v>-266273.5616477835</v>
      </c>
      <c r="L34" s="17">
        <f t="shared" si="6"/>
        <v>0</v>
      </c>
      <c r="M34" s="22">
        <f>VLOOKUP(A34,'[3]model1&amp;RSI'!$A:$K,11)</f>
        <v>4.5850482244619087E-3</v>
      </c>
      <c r="N34" s="22">
        <f>VLOOKUP(A34,'[3]model1&amp;RSI'!$A:$M,13)</f>
        <v>3.3052041658950905E-2</v>
      </c>
      <c r="O34" s="22">
        <f>VLOOKUP(A34,'[3]model1&amp;RSI'!$A:$N,14)</f>
        <v>13.872208778425705</v>
      </c>
      <c r="P34" s="1">
        <f t="shared" si="10"/>
        <v>1</v>
      </c>
    </row>
    <row r="35" spans="1:16" ht="12.75" x14ac:dyDescent="0.2">
      <c r="A35" s="15">
        <v>45351</v>
      </c>
      <c r="B35" s="31">
        <f>VLOOKUP(A35,[1]HwabaoWP_szse_innovation_100!$A:$E,5)</f>
        <v>0.6380000114440918</v>
      </c>
      <c r="C35" s="16">
        <f>VLOOKUP(A35,[2]myPEPB!$B:$C,2,FALSE)</f>
        <v>17.479999542236328</v>
      </c>
      <c r="D35" s="17">
        <f>VLOOKUP(A35,[2]myPEPB!$B:$D,3,FALSE)</f>
        <v>27.106454818762419</v>
      </c>
      <c r="E35" s="17">
        <f t="shared" si="9"/>
        <v>76048.996684556114</v>
      </c>
      <c r="F35" s="18">
        <f t="shared" si="0"/>
        <v>119199.05222638122</v>
      </c>
      <c r="G35" s="18">
        <f t="shared" si="4"/>
        <v>1530039.2280848571</v>
      </c>
      <c r="H35" s="18">
        <f t="shared" si="1"/>
        <v>976165.04502804822</v>
      </c>
      <c r="I35" s="18">
        <f t="shared" si="5"/>
        <v>1133803.8821886422</v>
      </c>
      <c r="J35" s="18">
        <f t="shared" si="2"/>
        <v>976165.04502804822</v>
      </c>
      <c r="K35" s="18">
        <f t="shared" si="3"/>
        <v>-157638.83716059395</v>
      </c>
      <c r="L35" s="17">
        <f t="shared" si="6"/>
        <v>0</v>
      </c>
      <c r="M35" s="22">
        <f>VLOOKUP(A35,'[3]model1&amp;RSI'!$A:$K,11)</f>
        <v>1.6654210509469802E-2</v>
      </c>
      <c r="N35" s="22">
        <f>VLOOKUP(A35,'[3]model1&amp;RSI'!$A:$M,13)</f>
        <v>4.0376705038210635E-2</v>
      </c>
      <c r="O35" s="22">
        <f>VLOOKUP(A35,'[3]model1&amp;RSI'!$A:$N,14)</f>
        <v>41.247076733252584</v>
      </c>
      <c r="P35" s="1">
        <f t="shared" si="10"/>
        <v>2</v>
      </c>
    </row>
    <row r="36" spans="1:16" ht="12.75" x14ac:dyDescent="0.2">
      <c r="A36" s="15">
        <v>45380</v>
      </c>
      <c r="B36" s="31">
        <f>VLOOKUP(A36,[1]HwabaoWP_szse_innovation_100!$A:$E,5)</f>
        <v>0.64600002765655518</v>
      </c>
      <c r="C36" s="16">
        <f>VLOOKUP(A36,[2]myPEPB!$B:$C,2,FALSE)</f>
        <v>17.700000762939453</v>
      </c>
      <c r="D36" s="17">
        <f>VLOOKUP(A36,[2]myPEPB!$B:$D,3,FALSE)</f>
        <v>26.839674750359887</v>
      </c>
      <c r="E36" s="17">
        <f t="shared" si="9"/>
        <v>34296.626637795169</v>
      </c>
      <c r="F36" s="18">
        <f t="shared" si="0"/>
        <v>53090.751036358954</v>
      </c>
      <c r="G36" s="18">
        <f t="shared" si="4"/>
        <v>1583129.9791212161</v>
      </c>
      <c r="H36" s="18">
        <f t="shared" si="1"/>
        <v>1022702.0102962272</v>
      </c>
      <c r="I36" s="18">
        <f t="shared" si="5"/>
        <v>1168100.5088264374</v>
      </c>
      <c r="J36" s="18">
        <f t="shared" si="2"/>
        <v>1022702.0102962272</v>
      </c>
      <c r="K36" s="18">
        <f t="shared" si="3"/>
        <v>-145398.49853021023</v>
      </c>
      <c r="L36" s="17">
        <f t="shared" si="6"/>
        <v>0</v>
      </c>
      <c r="M36" s="22">
        <f>VLOOKUP(A36,'[3]model1&amp;RSI'!$A:$K,11)</f>
        <v>1.5211844793302065E-2</v>
      </c>
      <c r="N36" s="22">
        <f>VLOOKUP(A36,'[3]model1&amp;RSI'!$A:$M,13)</f>
        <v>3.4980590233919424E-2</v>
      </c>
      <c r="O36" s="22">
        <f>VLOOKUP(A36,'[3]model1&amp;RSI'!$A:$N,14)</f>
        <v>43.48652979146042</v>
      </c>
      <c r="P36" s="1">
        <f t="shared" si="10"/>
        <v>0.95</v>
      </c>
    </row>
    <row r="37" spans="1:16" ht="12.75" x14ac:dyDescent="0.2">
      <c r="A37" s="15">
        <v>45412</v>
      </c>
      <c r="B37" s="31">
        <f>VLOOKUP(A37,[1]HwabaoWP_szse_innovation_100!$A:$E,5)</f>
        <v>0.66399997472763062</v>
      </c>
      <c r="C37" s="16">
        <f>VLOOKUP(A37,[2]myPEPB!$B:$C,2,FALSE)</f>
        <v>18.110000610351563</v>
      </c>
      <c r="D37" s="17">
        <f>VLOOKUP(A37,[2]myPEPB!$B:$D,3,FALSE)</f>
        <v>26.594314356937268</v>
      </c>
      <c r="E37" s="17">
        <f t="shared" si="9"/>
        <v>31837.38733406286</v>
      </c>
      <c r="F37" s="18">
        <f t="shared" si="0"/>
        <v>47947.874315992849</v>
      </c>
      <c r="G37" s="18">
        <f t="shared" si="4"/>
        <v>1631077.853437209</v>
      </c>
      <c r="H37" s="18">
        <f t="shared" si="1"/>
        <v>1083035.6534611047</v>
      </c>
      <c r="I37" s="18">
        <f t="shared" si="5"/>
        <v>1199937.8961605004</v>
      </c>
      <c r="J37" s="18">
        <f t="shared" si="2"/>
        <v>1083035.6534611047</v>
      </c>
      <c r="K37" s="18">
        <f t="shared" si="3"/>
        <v>-116902.24269939563</v>
      </c>
      <c r="L37" s="17">
        <f t="shared" si="6"/>
        <v>0</v>
      </c>
      <c r="M37" s="22">
        <f>VLOOKUP(A37,'[3]model1&amp;RSI'!$A:$K,11)</f>
        <v>1.5676528506264293E-2</v>
      </c>
      <c r="N37" s="22">
        <f>VLOOKUP(A37,'[3]model1&amp;RSI'!$A:$M,13)</f>
        <v>3.2150483040112095E-2</v>
      </c>
      <c r="O37" s="22">
        <f>VLOOKUP(A37,'[3]model1&amp;RSI'!$A:$N,14)</f>
        <v>48.759853737518327</v>
      </c>
      <c r="P37" s="1">
        <f t="shared" si="10"/>
        <v>0.95</v>
      </c>
    </row>
    <row r="38" spans="1:16" ht="12.75" x14ac:dyDescent="0.2">
      <c r="A38" s="15">
        <v>45443</v>
      </c>
      <c r="B38" s="31">
        <f>VLOOKUP(A38,[1]HwabaoWP_szse_innovation_100!$A:$E,5)</f>
        <v>0.64999997615814209</v>
      </c>
      <c r="C38" s="16">
        <f>VLOOKUP(A38,[2]myPEPB!$B:$C,2,FALSE)</f>
        <v>18.329999919999999</v>
      </c>
      <c r="D38" s="17">
        <f>VLOOKUP(A38,[2]myPEPB!$B:$D,3,FALSE)</f>
        <v>26.389717901760058</v>
      </c>
      <c r="E38" s="17">
        <f t="shared" si="9"/>
        <v>30244.09172655462</v>
      </c>
      <c r="F38" s="18">
        <f t="shared" si="0"/>
        <v>46529.373593694356</v>
      </c>
      <c r="G38" s="18">
        <f t="shared" si="4"/>
        <v>1677607.2270309033</v>
      </c>
      <c r="H38" s="18">
        <f t="shared" si="1"/>
        <v>1090444.657572814</v>
      </c>
      <c r="I38" s="18">
        <f t="shared" si="5"/>
        <v>1230181.9878870549</v>
      </c>
      <c r="J38" s="18">
        <f t="shared" si="2"/>
        <v>1090444.657572814</v>
      </c>
      <c r="K38" s="18">
        <f t="shared" si="3"/>
        <v>-139737.33031424088</v>
      </c>
      <c r="L38" s="17">
        <f t="shared" si="6"/>
        <v>0</v>
      </c>
      <c r="M38" s="22">
        <f>VLOOKUP(A38,'[3]model1&amp;RSI'!$A:$K,11)</f>
        <v>1.3063773755220243E-2</v>
      </c>
      <c r="N38" s="22">
        <f>VLOOKUP(A38,'[3]model1&amp;RSI'!$A:$M,13)</f>
        <v>2.9125402295008165E-2</v>
      </c>
      <c r="O38" s="22">
        <f>VLOOKUP(A38,'[3]model1&amp;RSI'!$A:$N,14)</f>
        <v>44.853539267539169</v>
      </c>
      <c r="P38" s="1">
        <f t="shared" si="10"/>
        <v>0.95</v>
      </c>
    </row>
    <row r="39" spans="1:16" ht="12.75" x14ac:dyDescent="0.2">
      <c r="A39" s="15">
        <v>45471</v>
      </c>
      <c r="B39" s="31">
        <f>VLOOKUP(A39,[1]HwabaoWP_szse_innovation_100!$A:$E,5)</f>
        <v>0.63599997758865356</v>
      </c>
      <c r="C39" s="16">
        <f>VLOOKUP(A39,[2]myPEPB!$B:$C,2,FALSE)</f>
        <v>17.86000061</v>
      </c>
      <c r="D39" s="17">
        <f>VLOOKUP(A39,[2]myPEPB!$B:$D,3,FALSE)</f>
        <v>26.193870144829649</v>
      </c>
      <c r="E39" s="17">
        <f t="shared" si="9"/>
        <v>31272.845429448254</v>
      </c>
      <c r="F39" s="18">
        <f t="shared" si="0"/>
        <v>49171.142345031069</v>
      </c>
      <c r="G39" s="18">
        <f t="shared" si="4"/>
        <v>1726778.3693759344</v>
      </c>
      <c r="H39" s="18">
        <f t="shared" si="1"/>
        <v>1098231.0042236659</v>
      </c>
      <c r="I39" s="18">
        <f t="shared" si="5"/>
        <v>1261454.8333165031</v>
      </c>
      <c r="J39" s="18">
        <f t="shared" si="2"/>
        <v>1098231.0042236659</v>
      </c>
      <c r="K39" s="18">
        <f t="shared" si="3"/>
        <v>-163223.82909283717</v>
      </c>
      <c r="L39" s="17">
        <f t="shared" si="6"/>
        <v>0</v>
      </c>
      <c r="M39" s="22">
        <f>VLOOKUP(A39,'[3]model1&amp;RSI'!$A:$K,11)</f>
        <v>1.0886478129350202E-2</v>
      </c>
      <c r="N39" s="22">
        <f>VLOOKUP(A39,'[3]model1&amp;RSI'!$A:$M,13)</f>
        <v>2.6604501674088222E-2</v>
      </c>
      <c r="O39" s="22">
        <f>VLOOKUP(A39,'[3]model1&amp;RSI'!$A:$N,14)</f>
        <v>40.919684430523347</v>
      </c>
      <c r="P39" s="1">
        <f t="shared" si="10"/>
        <v>0.95</v>
      </c>
    </row>
    <row r="40" spans="1:16" ht="12.75" x14ac:dyDescent="0.2">
      <c r="A40" s="15">
        <v>45504</v>
      </c>
      <c r="B40" s="31">
        <f>VLOOKUP(A40,[1]HwabaoWP_szse_innovation_100!$A:$E,5)</f>
        <v>0.63300001621246338</v>
      </c>
      <c r="C40" s="16">
        <f>VLOOKUP(A40,[2]myPEPB!$B:$C,2,FALSE)</f>
        <v>17.709999079999999</v>
      </c>
      <c r="D40" s="17">
        <f>VLOOKUP(A40,[2]myPEPB!$B:$D,3,FALSE)</f>
        <v>25.951256745485065</v>
      </c>
      <c r="E40" s="17">
        <f t="shared" si="9"/>
        <v>30925.319389732704</v>
      </c>
      <c r="F40" s="18">
        <f t="shared" si="0"/>
        <v>48855.163661406245</v>
      </c>
      <c r="G40" s="18">
        <f t="shared" si="4"/>
        <v>1775633.5330373405</v>
      </c>
      <c r="H40" s="18">
        <f t="shared" si="1"/>
        <v>1123976.0552000301</v>
      </c>
      <c r="I40" s="18">
        <f t="shared" si="5"/>
        <v>1292380.1527062359</v>
      </c>
      <c r="J40" s="18">
        <f t="shared" si="2"/>
        <v>1123976.0552000301</v>
      </c>
      <c r="K40" s="18">
        <f t="shared" si="3"/>
        <v>-168404.09750620578</v>
      </c>
      <c r="L40" s="17">
        <f t="shared" si="6"/>
        <v>0</v>
      </c>
      <c r="M40" s="22">
        <f>VLOOKUP(A40,'[3]model1&amp;RSI'!$A:$K,11)</f>
        <v>9.0720651077918352E-3</v>
      </c>
      <c r="N40" s="22">
        <f>VLOOKUP(A40,'[3]model1&amp;RSI'!$A:$M,13)</f>
        <v>2.2670411624438547E-2</v>
      </c>
      <c r="O40" s="22">
        <f>VLOOKUP(A40,'[3]model1&amp;RSI'!$A:$N,14)</f>
        <v>40.017205060415456</v>
      </c>
      <c r="P40" s="1">
        <f t="shared" si="10"/>
        <v>0.95</v>
      </c>
    </row>
    <row r="41" spans="1:16" ht="12.75" x14ac:dyDescent="0.2">
      <c r="A41" s="15">
        <v>45534</v>
      </c>
      <c r="B41" s="31">
        <f>VLOOKUP(A41,[1]HwabaoWP_szse_innovation_100!$A:$E,5)</f>
        <v>0.61000001430511475</v>
      </c>
      <c r="C41" s="16">
        <f>VLOOKUP(A41,[2]myPEPB!$B:$C,2,FALSE)</f>
        <v>20.56999969</v>
      </c>
      <c r="D41" s="17">
        <f>VLOOKUP(A41,[2]myPEPB!$B:$D,3,FALSE)</f>
        <v>25.729715551720684</v>
      </c>
      <c r="E41" s="17">
        <f t="shared" si="9"/>
        <v>19361.833771106867</v>
      </c>
      <c r="F41" s="18">
        <f t="shared" si="0"/>
        <v>31740.710355823547</v>
      </c>
      <c r="G41" s="18">
        <f t="shared" si="4"/>
        <v>1807374.2433931641</v>
      </c>
      <c r="H41" s="18">
        <f t="shared" si="1"/>
        <v>1102498.3143245261</v>
      </c>
      <c r="I41" s="18">
        <f t="shared" si="5"/>
        <v>1311741.9864773427</v>
      </c>
      <c r="J41" s="18">
        <f t="shared" si="2"/>
        <v>1102498.3143245261</v>
      </c>
      <c r="K41" s="18">
        <f t="shared" si="3"/>
        <v>-209243.67215281655</v>
      </c>
      <c r="L41" s="17">
        <f t="shared" si="6"/>
        <v>0</v>
      </c>
      <c r="M41" s="22">
        <f>VLOOKUP(A41,'[3]model1&amp;RSI'!$A:$K,11)</f>
        <v>7.5600542564931957E-3</v>
      </c>
      <c r="N41" s="22">
        <f>VLOOKUP(A41,'[3]model1&amp;RSI'!$A:$M,13)</f>
        <v>2.2725343338256893E-2</v>
      </c>
      <c r="O41" s="22">
        <f>VLOOKUP(A41,'[3]model1&amp;RSI'!$A:$N,14)</f>
        <v>33.267062873220716</v>
      </c>
      <c r="P41" s="1">
        <f t="shared" si="10"/>
        <v>0.95</v>
      </c>
    </row>
    <row r="42" spans="1:16" ht="12.75" x14ac:dyDescent="0.2">
      <c r="A42" s="15">
        <v>45565</v>
      </c>
      <c r="B42" s="31">
        <f>VLOOKUP(A42,[1]HwabaoWP_szse_innovation_100!$A:$E,5)</f>
        <v>0.76700001955032349</v>
      </c>
      <c r="C42" s="16">
        <f>VLOOKUP(A42,[2]myPEPB!$B:$C,2,FALSE)</f>
        <v>25.239999770000001</v>
      </c>
      <c r="D42" s="17">
        <f>VLOOKUP(A42,[2]myPEPB!$B:$D,3,FALSE)</f>
        <v>25.607882301446285</v>
      </c>
      <c r="E42" s="17">
        <f t="shared" si="9"/>
        <v>1380.4791992521812</v>
      </c>
      <c r="F42" s="18">
        <f t="shared" si="0"/>
        <v>1799.8424564076647</v>
      </c>
      <c r="G42" s="18">
        <f t="shared" si="4"/>
        <v>1809174.0858495717</v>
      </c>
      <c r="H42" s="18">
        <f t="shared" si="1"/>
        <v>1387636.5592165601</v>
      </c>
      <c r="I42" s="18">
        <f t="shared" si="5"/>
        <v>1313122.4656765948</v>
      </c>
      <c r="J42" s="18">
        <f t="shared" si="2"/>
        <v>1387636.5592165601</v>
      </c>
      <c r="K42" s="18">
        <f t="shared" si="3"/>
        <v>74514.093539965339</v>
      </c>
      <c r="L42" s="17">
        <f t="shared" si="6"/>
        <v>0</v>
      </c>
      <c r="M42" s="22">
        <f>VLOOKUP(A42,'[3]model1&amp;RSI'!$A:$K,11)</f>
        <v>3.2466712754612458E-2</v>
      </c>
      <c r="N42" s="22">
        <f>VLOOKUP(A42,'[3]model1&amp;RSI'!$A:$M,13)</f>
        <v>4.5104453656082198E-2</v>
      </c>
      <c r="O42" s="22">
        <f>VLOOKUP(A42,'[3]model1&amp;RSI'!$A:$N,14)</f>
        <v>71.981168427775472</v>
      </c>
      <c r="P42" s="1">
        <f t="shared" si="10"/>
        <v>0.95</v>
      </c>
    </row>
    <row r="43" spans="1:16" ht="12.75" x14ac:dyDescent="0.2">
      <c r="A43" s="15">
        <v>45596</v>
      </c>
      <c r="B43" s="31">
        <f>VLOOKUP(A43,[1]HwabaoWP_szse_innovation_100!$A:$E,5)</f>
        <v>0.77700001001358032</v>
      </c>
      <c r="C43" s="16">
        <f>VLOOKUP(A43,[2]myPEPB!$B:$C,2,FALSE)</f>
        <v>24.940000529999999</v>
      </c>
      <c r="D43" s="17">
        <f>VLOOKUP(A43,[2]myPEPB!$B:$D,3,FALSE)</f>
        <v>25.600824703771881</v>
      </c>
      <c r="E43" s="17">
        <f t="shared" si="9"/>
        <v>522.05109727978686</v>
      </c>
      <c r="F43" s="18">
        <f t="shared" si="0"/>
        <v>671.88042542066694</v>
      </c>
      <c r="G43" s="18">
        <f t="shared" si="4"/>
        <v>1809845.9662749923</v>
      </c>
      <c r="H43" s="18">
        <f t="shared" si="1"/>
        <v>1406250.333918707</v>
      </c>
      <c r="I43" s="18">
        <f t="shared" si="5"/>
        <v>1313644.5167738746</v>
      </c>
      <c r="J43" s="18">
        <f t="shared" si="2"/>
        <v>1406250.333918707</v>
      </c>
      <c r="K43" s="18">
        <f t="shared" si="3"/>
        <v>92605.817144832341</v>
      </c>
      <c r="L43" s="17">
        <f t="shared" si="6"/>
        <v>0</v>
      </c>
      <c r="M43" s="22">
        <f>VLOOKUP(A43,'[3]model1&amp;RSI'!$A:$K,11)</f>
        <v>2.8722259039386522E-2</v>
      </c>
      <c r="N43" s="22">
        <f>VLOOKUP(A43,'[3]model1&amp;RSI'!$A:$M,13)</f>
        <v>3.9253709790611303E-2</v>
      </c>
      <c r="O43" s="22">
        <f>VLOOKUP(A43,'[3]model1&amp;RSI'!$A:$N,14)</f>
        <v>73.17081415386707</v>
      </c>
      <c r="P43" s="1">
        <f t="shared" si="10"/>
        <v>0.2</v>
      </c>
    </row>
    <row r="44" spans="1:16" ht="12.75" x14ac:dyDescent="0.2">
      <c r="A44" s="15">
        <v>45625</v>
      </c>
      <c r="B44" s="31">
        <f>VLOOKUP(A44,[1]HwabaoWP_szse_innovation_100!$A:$E,5)</f>
        <v>0.78100001811981201</v>
      </c>
      <c r="C44" s="16">
        <f>VLOOKUP(A44,[2]myPEPB!$B:$C,2,FALSE)</f>
        <v>24.719999309999999</v>
      </c>
      <c r="D44" s="17">
        <f>VLOOKUP(A44,[2]myPEPB!$B:$D,3,FALSE)</f>
        <v>25.593319274370291</v>
      </c>
      <c r="E44" s="17">
        <f t="shared" si="9"/>
        <v>689.92277185253113</v>
      </c>
      <c r="F44" s="18">
        <f t="shared" si="0"/>
        <v>883.38381030189828</v>
      </c>
      <c r="G44" s="18">
        <f t="shared" si="4"/>
        <v>1810729.3500852943</v>
      </c>
      <c r="H44" s="18">
        <f t="shared" si="1"/>
        <v>1414179.6552266902</v>
      </c>
      <c r="I44" s="18">
        <f t="shared" si="5"/>
        <v>1314334.4395457271</v>
      </c>
      <c r="J44" s="18">
        <f t="shared" si="2"/>
        <v>1414179.6552266902</v>
      </c>
      <c r="K44" s="18">
        <f t="shared" si="3"/>
        <v>99845.215680963127</v>
      </c>
      <c r="L44" s="17">
        <f t="shared" si="6"/>
        <v>0</v>
      </c>
      <c r="M44" s="22">
        <f>VLOOKUP(A44,'[3]model1&amp;RSI'!$A:$K,11)</f>
        <v>2.4601883883860715E-2</v>
      </c>
      <c r="N44" s="22">
        <f>VLOOKUP(A44,'[3]model1&amp;RSI'!$A:$M,13)</f>
        <v>3.3378092843214698E-2</v>
      </c>
      <c r="O44" s="22">
        <f>VLOOKUP(A44,'[3]model1&amp;RSI'!$A:$N,14)</f>
        <v>73.706679406225973</v>
      </c>
      <c r="P44" s="1">
        <f t="shared" si="10"/>
        <v>0.2</v>
      </c>
    </row>
    <row r="45" spans="1:16" ht="12.75" x14ac:dyDescent="0.2">
      <c r="A45" s="15">
        <v>45657</v>
      </c>
      <c r="B45" s="31">
        <f>VLOOKUP(A45,[1]HwabaoWP_szse_innovation_100!$A:$E,5)</f>
        <v>0.78899997472763062</v>
      </c>
      <c r="C45" s="16">
        <f>VLOOKUP(A45,[2]myPEPB!$B:$C,2,FALSE)</f>
        <v>24.799999239999998</v>
      </c>
      <c r="D45" s="17">
        <f>VLOOKUP(A45,[2]myPEPB!$B:$D,3,FALSE)</f>
        <v>25.579355550139105</v>
      </c>
      <c r="E45" s="17">
        <f t="shared" si="9"/>
        <v>615.69148500989468</v>
      </c>
      <c r="F45" s="18">
        <f t="shared" si="0"/>
        <v>780.34411246012587</v>
      </c>
      <c r="G45" s="18">
        <f t="shared" si="4"/>
        <v>1811509.6941977544</v>
      </c>
      <c r="H45" s="18">
        <f t="shared" si="1"/>
        <v>1429281.102940886</v>
      </c>
      <c r="I45" s="18">
        <f t="shared" si="5"/>
        <v>1314950.131030737</v>
      </c>
      <c r="J45" s="18">
        <f t="shared" si="2"/>
        <v>1429281.102940886</v>
      </c>
      <c r="K45" s="18">
        <f t="shared" si="3"/>
        <v>114330.97191014909</v>
      </c>
      <c r="L45" s="17">
        <f t="shared" si="6"/>
        <v>0</v>
      </c>
      <c r="M45" s="22">
        <f>VLOOKUP(A45,'[3]model1&amp;RSI'!$A:$K,11)</f>
        <v>2.1834896004520363E-2</v>
      </c>
      <c r="N45" s="22">
        <f>VLOOKUP(A45,'[3]model1&amp;RSI'!$A:$M,13)</f>
        <v>2.914840347064868E-2</v>
      </c>
      <c r="O45" s="22">
        <f>VLOOKUP(A45,'[3]model1&amp;RSI'!$A:$N,14)</f>
        <v>74.909406364253414</v>
      </c>
      <c r="P45" s="1">
        <f t="shared" si="10"/>
        <v>0.2</v>
      </c>
    </row>
    <row r="46" spans="1:16" ht="12.75" x14ac:dyDescent="0.2">
      <c r="A46" s="15">
        <v>45684</v>
      </c>
      <c r="B46" s="31">
        <f>VLOOKUP(A46,[1]HwabaoWP_szse_innovation_100!$A:$E,5)</f>
        <v>0.78100001811981201</v>
      </c>
      <c r="C46" s="16">
        <f>VLOOKUP(A46,[2]myPEPB!$B:$C,2,FALSE)</f>
        <v>24.409999849999998</v>
      </c>
      <c r="D46" s="17">
        <f>VLOOKUP(A46,[2]myPEPB!$B:$D,3,FALSE)</f>
        <v>25.550295783221614</v>
      </c>
      <c r="E46" s="17">
        <f t="shared" si="9"/>
        <v>900.83378724507645</v>
      </c>
      <c r="F46" s="18">
        <f t="shared" si="0"/>
        <v>1153.4363205442089</v>
      </c>
      <c r="G46" s="18">
        <f t="shared" si="4"/>
        <v>1812663.1305182986</v>
      </c>
      <c r="H46" s="18">
        <f t="shared" si="1"/>
        <v>1415689.9377799064</v>
      </c>
      <c r="I46" s="18">
        <f t="shared" si="5"/>
        <v>1315850.9648179819</v>
      </c>
      <c r="J46" s="18">
        <f t="shared" si="2"/>
        <v>1415689.9377799064</v>
      </c>
      <c r="K46" s="18">
        <f t="shared" si="3"/>
        <v>99838.972961924504</v>
      </c>
      <c r="L46" s="17">
        <f t="shared" si="6"/>
        <v>0</v>
      </c>
      <c r="M46" s="22">
        <f>VLOOKUP(A46,'[3]model1&amp;RSI'!$A:$K,11)</f>
        <v>1.8195746670433634E-2</v>
      </c>
      <c r="N46" s="22">
        <f>VLOOKUP(A46,'[3]model1&amp;RSI'!$A:$M,13)</f>
        <v>2.5623662326843669E-2</v>
      </c>
      <c r="O46" s="22">
        <f>VLOOKUP(A46,'[3]model1&amp;RSI'!$A:$N,14)</f>
        <v>71.01149881830726</v>
      </c>
      <c r="P46" s="1">
        <f t="shared" si="10"/>
        <v>0.2</v>
      </c>
    </row>
    <row r="47" spans="1:16" ht="12.75" x14ac:dyDescent="0.2">
      <c r="A47" s="15">
        <v>45716</v>
      </c>
      <c r="B47" s="31">
        <f>VLOOKUP(A47,[1]HwabaoWP_szse_innovation_100!$A:$E,5)</f>
        <v>0.82700002193450928</v>
      </c>
      <c r="C47" s="16">
        <f>VLOOKUP(A47,[2]myPEPB!$B:$C,2,FALSE)</f>
        <v>26.079999923706055</v>
      </c>
      <c r="D47" s="17">
        <f>VLOOKUP(A47,[2]myPEPB!$B:$D,3,FALSE)</f>
        <v>25.563306017026612</v>
      </c>
      <c r="E47" s="17">
        <f t="shared" si="9"/>
        <v>-408.18818627675978</v>
      </c>
      <c r="F47" s="18">
        <f t="shared" si="0"/>
        <v>-493.57699570784837</v>
      </c>
      <c r="G47" s="18">
        <f t="shared" si="4"/>
        <v>1812169.5535225908</v>
      </c>
      <c r="H47" s="18">
        <f t="shared" si="1"/>
        <v>1498664.2605122325</v>
      </c>
      <c r="I47" s="18">
        <f t="shared" si="5"/>
        <v>1315850.9648179819</v>
      </c>
      <c r="J47" s="18">
        <f t="shared" si="2"/>
        <v>1499072.4486985093</v>
      </c>
      <c r="K47" s="18">
        <f t="shared" si="3"/>
        <v>183221.48388052732</v>
      </c>
      <c r="L47" s="17">
        <f t="shared" si="6"/>
        <v>408.18818627675978</v>
      </c>
      <c r="M47" s="22">
        <f>VLOOKUP(A47,'[3]model1&amp;RSI'!$A:$K,11)</f>
        <v>2.2829789527810906E-2</v>
      </c>
      <c r="N47" s="22">
        <f>VLOOKUP(A47,'[3]model1&amp;RSI'!$A:$M,13)</f>
        <v>2.9019719241485931E-2</v>
      </c>
      <c r="O47" s="22">
        <f>VLOOKUP(A47,'[3]model1&amp;RSI'!$A:$N,14)</f>
        <v>78.66991867782771</v>
      </c>
      <c r="P47" s="1">
        <f t="shared" si="10"/>
        <v>0.2</v>
      </c>
    </row>
    <row r="48" spans="1:16" ht="12.75" x14ac:dyDescent="0.2">
      <c r="A48" s="15">
        <v>45747</v>
      </c>
      <c r="B48" s="31">
        <f>VLOOKUP(A48,[1]HwabaoWP_szse_innovation_100!$A:$E,5)</f>
        <v>0.81400001049041748</v>
      </c>
      <c r="C48" s="16">
        <f>VLOOKUP(A48,[2]myPEPB!$B:$C,2,FALSE)</f>
        <v>25.629999160000001</v>
      </c>
      <c r="D48" s="17">
        <f>VLOOKUP(A48,[2]myPEPB!$B:$D,3,FALSE)</f>
        <v>25.577105780548813</v>
      </c>
      <c r="E48" s="17">
        <f t="shared" si="9"/>
        <v>-41.785769766438428</v>
      </c>
      <c r="F48" s="18">
        <f t="shared" si="0"/>
        <v>-51.333868830374342</v>
      </c>
      <c r="G48" s="18">
        <f t="shared" si="4"/>
        <v>1812118.2196537603</v>
      </c>
      <c r="H48" s="18">
        <f t="shared" si="1"/>
        <v>1475064.2498080377</v>
      </c>
      <c r="I48" s="18">
        <f t="shared" si="5"/>
        <v>1315850.9648179819</v>
      </c>
      <c r="J48" s="18">
        <f t="shared" si="2"/>
        <v>1475514.2237640808</v>
      </c>
      <c r="K48" s="18">
        <f t="shared" si="3"/>
        <v>159663.25894609885</v>
      </c>
      <c r="L48" s="17">
        <f t="shared" si="6"/>
        <v>449.9739560431982</v>
      </c>
      <c r="M48" s="22">
        <f>VLOOKUP(A48,'[3]model1&amp;RSI'!$A:$K,11)</f>
        <v>1.9024824606509089E-2</v>
      </c>
      <c r="N48" s="22">
        <f>VLOOKUP(A48,'[3]model1&amp;RSI'!$A:$M,13)</f>
        <v>2.6349767941920243E-2</v>
      </c>
      <c r="O48" s="22">
        <f>VLOOKUP(A48,'[3]model1&amp;RSI'!$A:$N,14)</f>
        <v>72.201108747687343</v>
      </c>
      <c r="P48" s="1">
        <f t="shared" si="10"/>
        <v>0.2</v>
      </c>
    </row>
    <row r="49" spans="1:16" ht="12.75" x14ac:dyDescent="0.2">
      <c r="A49" s="15">
        <v>45777</v>
      </c>
      <c r="B49" s="31">
        <f>VLOOKUP(A49,[1]HwabaoWP_szse_innovation_100!$A:$E,5)</f>
        <v>0.76899999380111694</v>
      </c>
      <c r="C49" s="16">
        <f>VLOOKUP(A49,[2]myPEPB!$B:$C,2,FALSE)</f>
        <v>24.010000229999999</v>
      </c>
      <c r="D49" s="17">
        <f>VLOOKUP(A49,[2]myPEPB!$B:$D,3,FALSE)</f>
        <v>25.539386200172402</v>
      </c>
      <c r="E49" s="17">
        <f t="shared" si="9"/>
        <v>1208.2149164361979</v>
      </c>
      <c r="F49" s="18">
        <f t="shared" si="0"/>
        <v>1571.1507492530268</v>
      </c>
      <c r="G49" s="18">
        <f t="shared" si="4"/>
        <v>1813689.3704030134</v>
      </c>
      <c r="H49" s="18">
        <f t="shared" si="1"/>
        <v>1394727.1145970691</v>
      </c>
      <c r="I49" s="18">
        <f t="shared" si="5"/>
        <v>1317059.1797344182</v>
      </c>
      <c r="J49" s="18">
        <f t="shared" si="2"/>
        <v>1395177.0885531122</v>
      </c>
      <c r="K49" s="18">
        <f t="shared" si="3"/>
        <v>78117.908818694064</v>
      </c>
      <c r="L49" s="17">
        <f t="shared" si="6"/>
        <v>449.9739560431982</v>
      </c>
      <c r="M49" s="22">
        <f>VLOOKUP(A49,'[3]model1&amp;RSI'!$A:$K,11)</f>
        <v>1.5854020505424241E-2</v>
      </c>
      <c r="N49" s="22">
        <f>VLOOKUP(A49,'[3]model1&amp;RSI'!$A:$M,13)</f>
        <v>2.9458142733150294E-2</v>
      </c>
      <c r="O49" s="22">
        <f>VLOOKUP(A49,'[3]model1&amp;RSI'!$A:$N,14)</f>
        <v>53.818805377649106</v>
      </c>
      <c r="P49" s="1">
        <f t="shared" si="10"/>
        <v>0.2</v>
      </c>
    </row>
    <row r="50" spans="1:16" ht="12.75" x14ac:dyDescent="0.2">
      <c r="A50" s="15">
        <v>45807</v>
      </c>
      <c r="B50" s="31">
        <f>VLOOKUP(A50,[1]HwabaoWP_szse_innovation_100!$A:$E,5)</f>
        <v>0.78200000524520874</v>
      </c>
      <c r="C50" s="16">
        <f>VLOOKUP(A50,[2]myPEPB!$B:$C,2,FALSE)</f>
        <v>23.299999239999998</v>
      </c>
      <c r="D50" s="17">
        <f>VLOOKUP(A50,[2]myPEPB!$B:$D,3,FALSE)</f>
        <v>25.506266578519043</v>
      </c>
      <c r="E50" s="17">
        <f t="shared" si="9"/>
        <v>1742.9511974300451</v>
      </c>
      <c r="F50" s="18">
        <f t="shared" si="0"/>
        <v>2228.8378334262475</v>
      </c>
      <c r="G50" s="18">
        <f t="shared" si="4"/>
        <v>1815918.2082364396</v>
      </c>
      <c r="H50" s="18">
        <f t="shared" si="1"/>
        <v>1420048.0483657659</v>
      </c>
      <c r="I50" s="18">
        <f t="shared" si="5"/>
        <v>1318802.1309318482</v>
      </c>
      <c r="J50" s="18">
        <f t="shared" si="2"/>
        <v>1420498.0223218091</v>
      </c>
      <c r="K50" s="18">
        <f t="shared" si="3"/>
        <v>101695.89138996089</v>
      </c>
      <c r="L50" s="17">
        <f t="shared" si="6"/>
        <v>449.9739560431982</v>
      </c>
      <c r="M50" s="22">
        <f>VLOOKUP(A50,'[3]model1&amp;RSI'!$A:$K,11)</f>
        <v>1.5378352328535501E-2</v>
      </c>
      <c r="N50" s="22">
        <f>VLOOKUP(A50,'[3]model1&amp;RSI'!$A:$M,13)</f>
        <v>2.6715120851640545E-2</v>
      </c>
      <c r="O50" s="22">
        <f>VLOOKUP(A50,'[3]model1&amp;RSI'!$A:$N,14)</f>
        <v>57.56422519642517</v>
      </c>
      <c r="P50" s="1">
        <f t="shared" si="10"/>
        <v>0.2</v>
      </c>
    </row>
    <row r="51" spans="1:16" ht="12.75" x14ac:dyDescent="0.2">
      <c r="A51" s="15">
        <v>45838</v>
      </c>
      <c r="B51" s="31">
        <f>VLOOKUP(A51,[1]HwabaoWP_szse_innovation_100!$A:$E,5)</f>
        <v>0.81199997663497925</v>
      </c>
      <c r="C51" s="16">
        <f>VLOOKUP(A51,[2]myPEPB!$B:$C,2,FALSE)</f>
        <v>24.299999239999998</v>
      </c>
      <c r="D51" s="17">
        <f>VLOOKUP(A51,[2]myPEPB!$B:$D,3,FALSE)</f>
        <v>25.46955573186175</v>
      </c>
      <c r="E51" s="17">
        <f t="shared" si="9"/>
        <v>923.9496285707836</v>
      </c>
      <c r="F51" s="18">
        <f t="shared" si="0"/>
        <v>1137.8690334447256</v>
      </c>
      <c r="G51" s="18">
        <f t="shared" si="4"/>
        <v>1817056.0772698843</v>
      </c>
      <c r="H51" s="18">
        <f t="shared" si="1"/>
        <v>1475449.4922875932</v>
      </c>
      <c r="I51" s="18">
        <f t="shared" si="5"/>
        <v>1319726.080560419</v>
      </c>
      <c r="J51" s="18">
        <f t="shared" si="2"/>
        <v>1475899.4662436363</v>
      </c>
      <c r="K51" s="18">
        <f t="shared" si="3"/>
        <v>156173.38568321732</v>
      </c>
      <c r="L51" s="17">
        <f t="shared" si="6"/>
        <v>449.9739560431982</v>
      </c>
      <c r="M51" s="22">
        <f>VLOOKUP(A51,'[3]model1&amp;RSI'!$A:$K,11)</f>
        <v>1.7815288838741335E-2</v>
      </c>
      <c r="N51" s="22">
        <f>VLOOKUP(A51,'[3]model1&amp;RSI'!$A:$M,13)</f>
        <v>2.7262595941328873E-2</v>
      </c>
      <c r="O51" s="22">
        <f>VLOOKUP(A51,'[3]model1&amp;RSI'!$A:$N,14)</f>
        <v>65.34700098655739</v>
      </c>
      <c r="P51" s="1">
        <f t="shared" si="10"/>
        <v>0.2</v>
      </c>
    </row>
    <row r="52" spans="1:16" ht="12.75" x14ac:dyDescent="0.2">
      <c r="A52" s="15">
        <v>45869</v>
      </c>
      <c r="B52" s="31">
        <f>VLOOKUP(A52,[1]HwabaoWP_szse_innovation_100!$A:$E,5)</f>
        <v>0.84500002861022949</v>
      </c>
      <c r="C52" s="16">
        <f>VLOOKUP(A52,[2]myPEPB!$B:$C,2,FALSE)</f>
        <v>25.25</v>
      </c>
      <c r="D52" s="17">
        <f>VLOOKUP(A52,[2]myPEPB!$B:$D,3,FALSE)</f>
        <v>25.459508277435798</v>
      </c>
      <c r="E52" s="17">
        <f t="shared" si="9"/>
        <v>165.51153917428073</v>
      </c>
      <c r="F52" s="18">
        <f t="shared" si="0"/>
        <v>195.87163736135886</v>
      </c>
      <c r="G52" s="18">
        <f t="shared" si="4"/>
        <v>1817251.9489072456</v>
      </c>
      <c r="H52" s="18">
        <f t="shared" si="1"/>
        <v>1535577.948818618</v>
      </c>
      <c r="I52" s="18">
        <f t="shared" si="5"/>
        <v>1319891.5920995933</v>
      </c>
      <c r="J52" s="18">
        <f t="shared" si="2"/>
        <v>1536027.9227746611</v>
      </c>
      <c r="K52" s="18">
        <f t="shared" si="3"/>
        <v>216136.33067506785</v>
      </c>
      <c r="L52" s="17">
        <f t="shared" si="6"/>
        <v>449.9739560431982</v>
      </c>
      <c r="M52" s="22">
        <f>VLOOKUP(A52,'[3]model1&amp;RSI'!$A:$K,11)</f>
        <v>2.0346082694826153E-2</v>
      </c>
      <c r="N52" s="22">
        <f>VLOOKUP(A52,'[3]model1&amp;RSI'!$A:$M,13)</f>
        <v>2.82188386136491E-2</v>
      </c>
      <c r="O52" s="22">
        <f>VLOOKUP(A52,'[3]model1&amp;RSI'!$A:$N,14)</f>
        <v>72.101063312311538</v>
      </c>
      <c r="P52" s="1">
        <f t="shared" si="10"/>
        <v>0.2</v>
      </c>
    </row>
    <row r="53" spans="1:16" ht="12.75" x14ac:dyDescent="0.2">
      <c r="A53" s="15">
        <v>45898</v>
      </c>
      <c r="B53" s="31">
        <f>VLOOKUP(A53,[1]HwabaoWP_szse_innovation_100!$A:$E,5)</f>
        <v>1.0089999437332153</v>
      </c>
      <c r="C53" s="16">
        <f>VLOOKUP(A53,[2]myPEPB!$B:$C,2,FALSE)</f>
        <v>30.020000459999999</v>
      </c>
      <c r="D53" s="17">
        <f>VLOOKUP(A53,[2]myPEPB!$B:$D,3,FALSE)</f>
        <v>25.492415128467428</v>
      </c>
      <c r="E53" s="17">
        <f t="shared" si="9"/>
        <v>-3576.7924119107311</v>
      </c>
      <c r="F53" s="18">
        <f t="shared" si="0"/>
        <v>-3544.8886138456051</v>
      </c>
      <c r="G53" s="18">
        <f t="shared" si="4"/>
        <v>1813707.0602934</v>
      </c>
      <c r="H53" s="18">
        <f t="shared" si="1"/>
        <v>1830030.3217845759</v>
      </c>
      <c r="I53" s="18">
        <f t="shared" si="5"/>
        <v>1319891.5920995933</v>
      </c>
      <c r="J53" s="18">
        <f t="shared" si="2"/>
        <v>1834057.0881525299</v>
      </c>
      <c r="K53" s="18">
        <f t="shared" si="3"/>
        <v>514165.49605293665</v>
      </c>
      <c r="L53" s="17">
        <f t="shared" si="6"/>
        <v>4026.7663679539291</v>
      </c>
      <c r="M53" s="22">
        <f>VLOOKUP(A53,'[3]model1&amp;RSI'!$A:$K,11)</f>
        <v>4.4288388099519432E-2</v>
      </c>
      <c r="N53" s="22">
        <f>VLOOKUP(A53,'[3]model1&amp;RSI'!$A:$M,13)</f>
        <v>5.084901803187189E-2</v>
      </c>
      <c r="O53" s="22">
        <f>VLOOKUP(A53,'[3]model1&amp;RSI'!$A:$N,14)</f>
        <v>87.097823741177677</v>
      </c>
      <c r="P53" s="1">
        <f t="shared" si="10"/>
        <v>0.2</v>
      </c>
    </row>
    <row r="54" spans="1:16" ht="12.75" x14ac:dyDescent="0.2">
      <c r="A54" s="15">
        <v>45930</v>
      </c>
      <c r="B54" s="31">
        <f>VLOOKUP(A54,[1]HwabaoWP_szse_innovation_100!$A:$E,5)</f>
        <v>1.0880000591278076</v>
      </c>
      <c r="C54" s="16">
        <f>VLOOKUP(A54,[2]myPEPB!$B:$C,2,FALSE)</f>
        <v>32.849998470000003</v>
      </c>
      <c r="D54" s="17">
        <f>VLOOKUP(A54,[2]myPEPB!$B:$D,3,FALSE)</f>
        <v>25.595553284386586</v>
      </c>
      <c r="E54" s="17">
        <f t="shared" si="9"/>
        <v>-28655.058483172998</v>
      </c>
      <c r="F54" s="18">
        <f t="shared" si="0"/>
        <v>-26337.368498071821</v>
      </c>
      <c r="G54" s="18">
        <f t="shared" si="4"/>
        <v>1787369.6917953282</v>
      </c>
      <c r="H54" s="18">
        <f t="shared" si="1"/>
        <v>1944658.3303565683</v>
      </c>
      <c r="I54" s="18">
        <f t="shared" si="5"/>
        <v>1319891.5920995933</v>
      </c>
      <c r="J54" s="18">
        <f t="shared" si="2"/>
        <v>1977340.1552076952</v>
      </c>
      <c r="K54" s="18">
        <f t="shared" si="3"/>
        <v>657448.56310810195</v>
      </c>
      <c r="L54" s="17">
        <f t="shared" si="6"/>
        <v>32681.824851126927</v>
      </c>
      <c r="M54" s="22">
        <f>VLOOKUP(A54,'[3]model1&amp;RSI'!$A:$K,11)</f>
        <v>5.0073675982031572E-2</v>
      </c>
      <c r="N54" s="22">
        <f>VLOOKUP(A54,'[3]model1&amp;RSI'!$A:$M,13)</f>
        <v>5.5540867592325294E-2</v>
      </c>
      <c r="O54" s="22">
        <f>VLOOKUP(A54,'[3]model1&amp;RSI'!$A:$N,14)</f>
        <v>90.156452631558849</v>
      </c>
      <c r="P54" s="1">
        <f t="shared" si="10"/>
        <v>1</v>
      </c>
    </row>
    <row r="55" spans="1:16" ht="12.75" x14ac:dyDescent="0.2">
      <c r="A55" s="15">
        <v>45961</v>
      </c>
      <c r="B55" s="31">
        <f>VLOOKUP(A55,[1]HwabaoWP_szse_innovation_100!$A:$E,5)</f>
        <v>1.0729999542236328</v>
      </c>
      <c r="C55" s="16">
        <f>VLOOKUP(A55,[2]myPEPB!$B:$C,2,FALSE)</f>
        <v>32.159999849999998</v>
      </c>
      <c r="D55" s="17">
        <f>VLOOKUP(A55,[2]myPEPB!$B:$D,3,FALSE)</f>
        <v>25.690355441740447</v>
      </c>
      <c r="E55" s="17">
        <f t="shared" si="9"/>
        <v>-25555.095412625229</v>
      </c>
      <c r="F55" s="18">
        <f t="shared" si="0"/>
        <v>-23816.49254693172</v>
      </c>
      <c r="G55" s="18">
        <f t="shared" si="4"/>
        <v>1763553.1992483966</v>
      </c>
      <c r="H55" s="18">
        <f t="shared" si="1"/>
        <v>1892292.5020644707</v>
      </c>
      <c r="I55" s="18">
        <f t="shared" si="5"/>
        <v>1319891.5920995933</v>
      </c>
      <c r="J55" s="18">
        <f t="shared" si="2"/>
        <v>1950529.4223282228</v>
      </c>
      <c r="K55" s="18">
        <f t="shared" si="3"/>
        <v>630637.83022862952</v>
      </c>
      <c r="L55" s="17">
        <f t="shared" si="6"/>
        <v>58236.920263752152</v>
      </c>
      <c r="M55" s="22">
        <f>VLOOKUP(A55,'[3]model1&amp;RSI'!$A:$K,11)</f>
        <v>4.1728063318359647E-2</v>
      </c>
      <c r="N55" s="22">
        <f>VLOOKUP(A55,'[3]model1&amp;RSI'!$A:$M,13)</f>
        <v>4.8784073810966881E-2</v>
      </c>
      <c r="O55" s="22">
        <f>VLOOKUP(A55,'[3]model1&amp;RSI'!$A:$N,14)</f>
        <v>85.53624176621959</v>
      </c>
      <c r="P55" s="1">
        <f t="shared" si="10"/>
        <v>1</v>
      </c>
    </row>
    <row r="56" spans="1:16" ht="12.75" x14ac:dyDescent="0.2">
      <c r="A56" s="15">
        <v>45989</v>
      </c>
      <c r="B56" s="31">
        <f>VLOOKUP(A56,[1]HwabaoWP_szse_innovation_100!$A:$E,5)</f>
        <v>1.0399999618530273</v>
      </c>
      <c r="C56" s="16">
        <f>VLOOKUP(A56,[2]myPEPB!$B:$C,2,FALSE)</f>
        <v>29.780000690000001</v>
      </c>
      <c r="D56" s="17">
        <f>VLOOKUP(A56,[2]myPEPB!$B:$D,3,FALSE)</f>
        <v>25.767886790921306</v>
      </c>
      <c r="E56" s="17">
        <f t="shared" si="9"/>
        <v>-15847.849901360847</v>
      </c>
      <c r="F56" s="18">
        <f t="shared" si="0"/>
        <v>-15238.317771785132</v>
      </c>
      <c r="G56" s="18">
        <f t="shared" si="4"/>
        <v>1748314.8814766114</v>
      </c>
      <c r="H56" s="18">
        <f t="shared" si="1"/>
        <v>1818247.4100427558</v>
      </c>
      <c r="I56" s="18">
        <f t="shared" si="5"/>
        <v>1319891.5920995933</v>
      </c>
      <c r="J56" s="18">
        <f t="shared" si="2"/>
        <v>1892332.1802078688</v>
      </c>
      <c r="K56" s="18">
        <f t="shared" si="3"/>
        <v>572440.58810827555</v>
      </c>
      <c r="L56" s="17">
        <f t="shared" si="6"/>
        <v>74084.770165113005</v>
      </c>
      <c r="M56" s="22">
        <f>VLOOKUP(A56,'[3]model1&amp;RSI'!$A:$K,11)</f>
        <v>3.4773386098633043E-2</v>
      </c>
      <c r="N56" s="22">
        <f>VLOOKUP(A56,'[3]model1&amp;RSI'!$A:$M,13)</f>
        <v>4.6153393570906642E-2</v>
      </c>
      <c r="O56" s="22">
        <f>VLOOKUP(A56,'[3]model1&amp;RSI'!$A:$N,14)</f>
        <v>75.343075358499476</v>
      </c>
      <c r="P56" s="1">
        <f t="shared" si="10"/>
        <v>1</v>
      </c>
    </row>
    <row r="57" spans="1:16" ht="12.75" x14ac:dyDescent="0.2">
      <c r="A57" s="15">
        <v>46022</v>
      </c>
      <c r="B57" s="31">
        <f>VLOOKUP(A57,[1]HwabaoWP_szse_innovation_100!$A:$E,5)</f>
        <v>1.0640000104904175</v>
      </c>
      <c r="C57" s="16">
        <f>VLOOKUP(A57,[2]myPEPB!$B:$C,2,FALSE)</f>
        <v>31.129999160000001</v>
      </c>
      <c r="D57" s="17">
        <f>VLOOKUP(A57,[2]myPEPB!$B:$D,3,FALSE)</f>
        <v>25.866548769817285</v>
      </c>
      <c r="E57" s="17">
        <f t="shared" si="9"/>
        <v>-4158.1258082443446</v>
      </c>
      <c r="F57" s="18">
        <f t="shared" si="0"/>
        <v>-3908.0129391425353</v>
      </c>
      <c r="G57" s="18">
        <f t="shared" si="4"/>
        <v>1744406.8685374688</v>
      </c>
      <c r="H57" s="18">
        <f t="shared" si="1"/>
        <v>1856048.9264234232</v>
      </c>
      <c r="I57" s="18">
        <f t="shared" si="5"/>
        <v>1319891.5920995933</v>
      </c>
      <c r="J57" s="18">
        <f t="shared" si="2"/>
        <v>1934291.8223967806</v>
      </c>
      <c r="K57" s="18">
        <f t="shared" si="3"/>
        <v>614400.23029718734</v>
      </c>
      <c r="L57" s="17">
        <f t="shared" si="6"/>
        <v>78242.895973357343</v>
      </c>
      <c r="M57" s="22">
        <f>VLOOKUP(A57,'[3]model1&amp;RSI'!$A:$K,11)</f>
        <v>3.2977829855092559E-2</v>
      </c>
      <c r="N57" s="22">
        <f>VLOOKUP(A57,'[3]model1&amp;RSI'!$A:$M,13)</f>
        <v>4.2461169415320556E-2</v>
      </c>
      <c r="O57" s="22">
        <f>VLOOKUP(A57,'[3]model1&amp;RSI'!$A:$N,14)</f>
        <v>77.665854024250493</v>
      </c>
      <c r="P57" s="1">
        <f t="shared" si="10"/>
        <v>0.2</v>
      </c>
    </row>
    <row r="58" spans="1:16" ht="12.75" x14ac:dyDescent="0.2">
      <c r="A58" s="15">
        <v>46052</v>
      </c>
      <c r="B58" s="31">
        <f>VLOOKUP(A58,[1]HwabaoWP_szse_innovation_100!$A:$E,5)</f>
        <v>1.0720000267028809</v>
      </c>
      <c r="C58" s="16">
        <f>VLOOKUP(A58,[2]myPEPB!$B:$C,2,FALSE)</f>
        <v>31.709999079999999</v>
      </c>
      <c r="D58" s="17">
        <f>VLOOKUP(A58,[2]myPEPB!$B:$D,3,FALSE)</f>
        <v>25.973356806597167</v>
      </c>
      <c r="E58" s="17">
        <f t="shared" si="9"/>
        <v>-4531.947395988238</v>
      </c>
      <c r="F58" s="18">
        <f t="shared" si="0"/>
        <v>-4227.5627640859448</v>
      </c>
      <c r="G58" s="18">
        <f t="shared" si="4"/>
        <v>1740179.305773383</v>
      </c>
      <c r="H58" s="18">
        <f t="shared" si="1"/>
        <v>1865472.2622568673</v>
      </c>
      <c r="I58" s="18">
        <f t="shared" si="5"/>
        <v>1319891.5920995933</v>
      </c>
      <c r="J58" s="18">
        <f t="shared" si="2"/>
        <v>1948247.1056262129</v>
      </c>
      <c r="K58" s="18">
        <f t="shared" si="3"/>
        <v>628355.51352661964</v>
      </c>
      <c r="L58" s="17">
        <f t="shared" si="6"/>
        <v>82774.843369345588</v>
      </c>
      <c r="M58" s="22">
        <f>VLOOKUP(A58,'[3]model1&amp;RSI'!$A:$K,11)</f>
        <v>2.8814860914654364E-2</v>
      </c>
      <c r="N58" s="22">
        <f>VLOOKUP(A58,'[3]model1&amp;RSI'!$A:$M,13)</f>
        <v>3.6717643881511025E-2</v>
      </c>
      <c r="O58" s="22">
        <f>VLOOKUP(A58,'[3]model1&amp;RSI'!$A:$N,14)</f>
        <v>78.476878875019352</v>
      </c>
      <c r="P58" s="1">
        <f t="shared" si="10"/>
        <v>0.2</v>
      </c>
    </row>
    <row r="59" spans="1:16" ht="12.75" x14ac:dyDescent="0.2">
      <c r="A59" s="15">
        <v>46080</v>
      </c>
      <c r="B59" s="31">
        <f>VLOOKUP(A59,[1]HwabaoWP_szse_innovation_100!$A:$E,5)</f>
        <v>1.0750000476837158</v>
      </c>
      <c r="C59" s="16">
        <f>VLOOKUP(A59,[2]myPEPB!$B:$C,2,FALSE)</f>
        <v>31.549999239999998</v>
      </c>
      <c r="D59" s="17">
        <f>VLOOKUP(A59,[2]myPEPB!$B:$D,3,FALSE)</f>
        <v>26.039818023753689</v>
      </c>
      <c r="E59" s="17">
        <f t="shared" si="9"/>
        <v>-4353.0431608345843</v>
      </c>
      <c r="F59" s="18">
        <f t="shared" si="0"/>
        <v>-4049.342295578509</v>
      </c>
      <c r="G59" s="18">
        <f t="shared" si="4"/>
        <v>1736129.9634778046</v>
      </c>
      <c r="H59" s="18">
        <f t="shared" si="1"/>
        <v>1866339.7935237677</v>
      </c>
      <c r="I59" s="18">
        <f t="shared" si="5"/>
        <v>1319891.5920995933</v>
      </c>
      <c r="J59" s="18">
        <f t="shared" si="2"/>
        <v>1953467.680053948</v>
      </c>
      <c r="K59" s="18">
        <f t="shared" si="3"/>
        <v>633576.08795435471</v>
      </c>
      <c r="L59" s="17">
        <f t="shared" si="6"/>
        <v>87127.886530180171</v>
      </c>
      <c r="M59" s="22">
        <f>VLOOKUP(A59,'[3]model1&amp;RSI'!$A:$K,11)</f>
        <v>2.4512387592351127E-2</v>
      </c>
      <c r="N59" s="22">
        <f>VLOOKUP(A59,'[3]model1&amp;RSI'!$A:$M,13)</f>
        <v>3.1098040064731682E-2</v>
      </c>
      <c r="O59" s="22">
        <f>VLOOKUP(A59,'[3]model1&amp;RSI'!$A:$N,14)</f>
        <v>78.82293398981966</v>
      </c>
      <c r="P59" s="1">
        <f t="shared" si="10"/>
        <v>0.2</v>
      </c>
    </row>
    <row r="60" spans="1:16" ht="12.75" x14ac:dyDescent="0.2">
      <c r="A60" s="15">
        <v>46112</v>
      </c>
      <c r="B60" s="31">
        <f>VLOOKUP(A60,[1]HwabaoWP_szse_innovation_100!$A:$E,5)</f>
        <v>1.0479999780654907</v>
      </c>
      <c r="C60" s="16">
        <f>VLOOKUP(A60,[2]myPEPB!$B:$C,2,FALSE)</f>
        <v>30.549999239999998</v>
      </c>
      <c r="D60" s="17">
        <f>VLOOKUP(A60,[2]myPEPB!$B:$D,3,FALSE)</f>
        <v>26.136981933917117</v>
      </c>
      <c r="E60" s="17">
        <f t="shared" si="9"/>
        <v>-3486.2836718054768</v>
      </c>
      <c r="F60" s="18">
        <f t="shared" si="0"/>
        <v>-3326.6066266917564</v>
      </c>
      <c r="G60" s="18">
        <f t="shared" si="4"/>
        <v>1732803.3568511128</v>
      </c>
      <c r="H60" s="18">
        <f t="shared" si="1"/>
        <v>1815977.879971775</v>
      </c>
      <c r="I60" s="18">
        <f t="shared" si="5"/>
        <v>1319891.5920995933</v>
      </c>
      <c r="J60" s="18">
        <f t="shared" si="2"/>
        <v>1906592.0501737606</v>
      </c>
      <c r="K60" s="18">
        <f t="shared" si="3"/>
        <v>586700.45807416737</v>
      </c>
      <c r="L60" s="17">
        <f t="shared" si="6"/>
        <v>90614.170201985646</v>
      </c>
      <c r="M60" s="22">
        <f>VLOOKUP(A60,'[3]model1&amp;RSI'!$A:$K,11)</f>
        <v>2.0426989660292605E-2</v>
      </c>
      <c r="N60" s="22">
        <f>VLOOKUP(A60,'[3]model1&amp;RSI'!$A:$M,13)</f>
        <v>3.0415044990313916E-2</v>
      </c>
      <c r="O60" s="22">
        <f>VLOOKUP(A60,'[3]model1&amp;RSI'!$A:$N,14)</f>
        <v>67.160806984825626</v>
      </c>
      <c r="P60" s="1">
        <f t="shared" si="10"/>
        <v>0.2</v>
      </c>
    </row>
    <row r="61" spans="1:16" ht="12.75" x14ac:dyDescent="0.2">
      <c r="A61" s="15">
        <v>46142</v>
      </c>
      <c r="B61" s="31">
        <f>VLOOKUP(A61,[1]HwabaoWP_szse_innovation_100!$A:$E,5)</f>
        <v>1.1770000457763672</v>
      </c>
      <c r="C61" s="16">
        <f>VLOOKUP(A61,[2]myPEPB!$B:$C,2,FALSE)</f>
        <v>34.549999239999998</v>
      </c>
      <c r="D61" s="17">
        <f>VLOOKUP(A61,[2]myPEPB!$B:$D,3,FALSE)</f>
        <v>26.252550181051159</v>
      </c>
      <c r="E61" s="17">
        <f t="shared" si="9"/>
        <v>-6554.9847565695836</v>
      </c>
      <c r="F61" s="18">
        <f t="shared" si="0"/>
        <v>-5569.2306725832077</v>
      </c>
      <c r="G61" s="18">
        <f t="shared" si="4"/>
        <v>1727234.1261785296</v>
      </c>
      <c r="H61" s="18">
        <f t="shared" si="1"/>
        <v>2032954.6455786328</v>
      </c>
      <c r="I61" s="18">
        <f t="shared" si="5"/>
        <v>1319891.5920995933</v>
      </c>
      <c r="J61" s="18">
        <f t="shared" si="2"/>
        <v>2130123.8005371881</v>
      </c>
      <c r="K61" s="18">
        <f t="shared" si="3"/>
        <v>810232.20843759482</v>
      </c>
      <c r="L61" s="17">
        <f t="shared" si="6"/>
        <v>97169.154958555227</v>
      </c>
      <c r="M61" s="22">
        <f>VLOOKUP(A61,'[3]model1&amp;RSI'!$A:$K,11)</f>
        <v>3.8522502668723251E-2</v>
      </c>
      <c r="N61" s="22">
        <f>VLOOKUP(A61,'[3]model1&amp;RSI'!$A:$M,13)</f>
        <v>4.6845882110407668E-2</v>
      </c>
      <c r="O61" s="22">
        <f>VLOOKUP(A61,'[3]model1&amp;RSI'!$A:$N,14)</f>
        <v>82.232420296691927</v>
      </c>
      <c r="P61" s="1">
        <f t="shared" si="10"/>
        <v>0.2</v>
      </c>
    </row>
    <row r="62" spans="1:16" ht="12.75" x14ac:dyDescent="0.2">
      <c r="A62" s="15">
        <v>46171</v>
      </c>
      <c r="B62" s="31">
        <f>VLOOKUP(A62,[1]HwabaoWP_szse_innovation_100!$A:$E,5)</f>
        <v>1.2450000047683716</v>
      </c>
      <c r="C62" s="16">
        <f>VLOOKUP(A62,[2]myPEPB!$B:$C,2,FALSE)</f>
        <v>35.509998320000001</v>
      </c>
      <c r="D62" s="17">
        <f>VLOOKUP(A62,[2]myPEPB!$B:$D,3,FALSE)</f>
        <v>26.381551060434539</v>
      </c>
      <c r="E62" s="17">
        <f t="shared" si="9"/>
        <v>-36057.366675283578</v>
      </c>
      <c r="F62" s="18">
        <f t="shared" si="0"/>
        <v>-28961.740190508626</v>
      </c>
      <c r="G62" s="18">
        <f t="shared" si="4"/>
        <v>1698272.385988021</v>
      </c>
      <c r="H62" s="18">
        <f t="shared" si="1"/>
        <v>2114349.1286530802</v>
      </c>
      <c r="I62" s="18">
        <f t="shared" si="5"/>
        <v>1319891.5920995933</v>
      </c>
      <c r="J62" s="18">
        <f t="shared" si="2"/>
        <v>2247575.650286919</v>
      </c>
      <c r="K62" s="18">
        <f t="shared" si="3"/>
        <v>927684.05818732572</v>
      </c>
      <c r="L62" s="17">
        <f t="shared" si="6"/>
        <v>133226.5216338388</v>
      </c>
      <c r="M62" s="22">
        <f>VLOOKUP(A62,'[3]model1&amp;RSI'!$A:$K,11)</f>
        <v>4.3435412055936783E-2</v>
      </c>
      <c r="N62" s="22">
        <f>VLOOKUP(A62,'[3]model1&amp;RSI'!$A:$M,13)</f>
        <v>5.037156159067379E-2</v>
      </c>
      <c r="O62" s="22">
        <f>VLOOKUP(A62,'[3]model1&amp;RSI'!$A:$N,14)</f>
        <v>86.230028778736084</v>
      </c>
      <c r="P62" s="1">
        <f t="shared" si="10"/>
        <v>1</v>
      </c>
    </row>
    <row r="63" spans="1:16" ht="12.75" x14ac:dyDescent="0.2">
      <c r="A63" s="15">
        <v>46203</v>
      </c>
      <c r="B63" s="31">
        <f>VLOOKUP(A63,[1]HwabaoWP_szse_innovation_100!$A:$E,5)</f>
        <v>1.2760000228881836</v>
      </c>
      <c r="C63" s="16">
        <f>VLOOKUP(A63,[2]myPEPB!$B:$C,2,FALSE)</f>
        <v>41.799999239999998</v>
      </c>
      <c r="D63" s="17">
        <f>VLOOKUP(A63,[2]myPEPB!$B:$D,3,FALSE)</f>
        <v>26.574869220600849</v>
      </c>
      <c r="E63" s="17">
        <f t="shared" si="9"/>
        <v>-60139.263576626639</v>
      </c>
      <c r="F63" s="18">
        <f t="shared" si="0"/>
        <v>-47131.083462289775</v>
      </c>
      <c r="G63" s="18">
        <f t="shared" si="4"/>
        <v>1651141.3025257313</v>
      </c>
      <c r="H63" s="18">
        <f t="shared" si="1"/>
        <v>2106856.3398144585</v>
      </c>
      <c r="I63" s="18">
        <f t="shared" si="5"/>
        <v>1319891.5920995933</v>
      </c>
      <c r="J63" s="18">
        <f t="shared" si="2"/>
        <v>2300222.1250249241</v>
      </c>
      <c r="K63" s="18">
        <f t="shared" si="3"/>
        <v>980330.5329253308</v>
      </c>
      <c r="L63" s="17">
        <f t="shared" si="6"/>
        <v>193365.78521046543</v>
      </c>
      <c r="M63" s="22">
        <f>VLOOKUP(A63,'[3]model1&amp;RSI'!$A:$K,11)</f>
        <v>4.1362846399915991E-2</v>
      </c>
      <c r="N63" s="22">
        <f>VLOOKUP(A63,'[3]model1&amp;RSI'!$A:$M,13)</f>
        <v>4.7142971012196826E-2</v>
      </c>
      <c r="O63" s="22">
        <f>VLOOKUP(A63,'[3]model1&amp;RSI'!$A:$N,14)</f>
        <v>87.739159225273681</v>
      </c>
      <c r="P63" s="1">
        <f t="shared" si="10"/>
        <v>1</v>
      </c>
    </row>
  </sheetData>
  <phoneticPr fontId="2" type="noConversion"/>
  <conditionalFormatting sqref="H2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H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5" style="3" customWidth="1"/>
    <col min="10" max="10" width="12.625" style="1" customWidth="1"/>
    <col min="11" max="11" width="10.75" style="1" customWidth="1"/>
    <col min="12" max="12" width="10.75" style="3" customWidth="1"/>
    <col min="13" max="13" width="9.125" style="3" customWidth="1"/>
    <col min="14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M1" s="44" t="s">
        <v>15</v>
      </c>
      <c r="N1" s="44" t="s">
        <v>16</v>
      </c>
      <c r="O1" s="48" t="s">
        <v>17</v>
      </c>
      <c r="P1" s="11" t="s">
        <v>18</v>
      </c>
    </row>
    <row r="2" spans="1:34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</row>
    <row r="3" spans="1:34" ht="14.1" customHeight="1" x14ac:dyDescent="0.2">
      <c r="A3" s="15">
        <v>44377</v>
      </c>
      <c r="B3" s="31">
        <f>VLOOKUP(A3,[1]HwabaoWP_szse_innovation_100!$A:$E,5)</f>
        <v>1.0309999999999999</v>
      </c>
      <c r="C3" s="16">
        <f>VLOOKUP(A3,[2]myPEPB!$B:$C,2,FALSE)</f>
        <v>41.45</v>
      </c>
      <c r="D3" s="17">
        <f>VLOOKUP(A3,[2]myPEPB!$B:$D,3,FALSE)</f>
        <v>41.041896551724122</v>
      </c>
      <c r="E3" s="17">
        <v>0</v>
      </c>
      <c r="F3" s="18">
        <f t="shared" ref="F3:F63" si="0">E3/B3</f>
        <v>0</v>
      </c>
      <c r="G3" s="18">
        <f>G2+F3</f>
        <v>0</v>
      </c>
      <c r="H3" s="18">
        <f t="shared" ref="H3:H63" si="1">G3*B3</f>
        <v>0</v>
      </c>
      <c r="I3" s="18">
        <f>IF(E3&gt;0,I2+E3,I2)</f>
        <v>0</v>
      </c>
      <c r="J3" s="18">
        <f t="shared" ref="J3:J63" si="2">H3+L3</f>
        <v>0</v>
      </c>
      <c r="K3" s="18">
        <f t="shared" ref="K3:K63" si="3">J3-I3</f>
        <v>0</v>
      </c>
      <c r="L3" s="17">
        <f>IF(E3&lt;0,L2-E3,L2)</f>
        <v>0</v>
      </c>
      <c r="M3" s="21"/>
      <c r="Q3" s="45" t="s">
        <v>1</v>
      </c>
      <c r="R3" s="46" t="s">
        <v>12</v>
      </c>
      <c r="S3" s="46" t="s">
        <v>8</v>
      </c>
      <c r="T3" s="46" t="s">
        <v>9</v>
      </c>
      <c r="U3" s="46" t="s">
        <v>10</v>
      </c>
      <c r="V3" s="47" t="s">
        <v>11</v>
      </c>
      <c r="W3" s="46" t="s">
        <v>13</v>
      </c>
      <c r="X3" s="46" t="s">
        <v>14</v>
      </c>
      <c r="Z3" s="42">
        <v>44561</v>
      </c>
      <c r="AA3" s="1">
        <v>391166.0852938749</v>
      </c>
      <c r="AB3" s="1">
        <f>-AA3</f>
        <v>-391166.0852938749</v>
      </c>
      <c r="AC3" s="42">
        <v>44561</v>
      </c>
      <c r="AD3" s="1">
        <v>391166.03767330461</v>
      </c>
      <c r="AE3" s="1">
        <f>-AD3</f>
        <v>-391166.03767330461</v>
      </c>
      <c r="AF3" s="42">
        <v>44561</v>
      </c>
      <c r="AG3" s="1">
        <v>391166.03767330461</v>
      </c>
      <c r="AH3" s="1">
        <f>-AG3</f>
        <v>-391166.03767330461</v>
      </c>
    </row>
    <row r="4" spans="1:34" ht="14.1" customHeight="1" x14ac:dyDescent="0.2">
      <c r="A4" s="15">
        <v>44407</v>
      </c>
      <c r="B4" s="31">
        <f>VLOOKUP(A4,[1]HwabaoWP_szse_innovation_100!$A:$E,5)</f>
        <v>1.006</v>
      </c>
      <c r="C4" s="16">
        <f>VLOOKUP(A4,[2]myPEPB!$B:$C,2,FALSE)</f>
        <v>39.930000305175781</v>
      </c>
      <c r="D4" s="17">
        <f>VLOOKUP(A4,[2]myPEPB!$B:$D,3,FALSE)</f>
        <v>40.930499984741189</v>
      </c>
      <c r="E4" s="17">
        <f>IF(C4&lt;D4,$E$2*(D4-C4)^2,-$E$2*(D4-C4)^2)</f>
        <v>3953.9484548014116</v>
      </c>
      <c r="F4" s="18">
        <f t="shared" si="0"/>
        <v>3930.3662572578642</v>
      </c>
      <c r="G4" s="18">
        <f t="shared" ref="G4:G63" si="4">G3+F4</f>
        <v>3930.3662572578642</v>
      </c>
      <c r="H4" s="18">
        <f t="shared" si="1"/>
        <v>3953.9484548014116</v>
      </c>
      <c r="I4" s="18">
        <f t="shared" ref="I4:I63" si="5">IF(E4&gt;0,I3+E4,I3)</f>
        <v>3953.9484548014116</v>
      </c>
      <c r="J4" s="18">
        <f t="shared" si="2"/>
        <v>3953.9484548014116</v>
      </c>
      <c r="K4" s="18">
        <f t="shared" si="3"/>
        <v>0</v>
      </c>
      <c r="L4" s="17">
        <f t="shared" ref="L4:L63" si="6">IF(E4&lt;0,L3-E4,L3)</f>
        <v>0</v>
      </c>
      <c r="M4" s="22">
        <f>VLOOKUP(A4,'[3]model1&amp;RSI'!$A:$K,11)</f>
        <v>0</v>
      </c>
      <c r="N4" s="22">
        <f>VLOOKUP(A4,'[3]model1&amp;RSI'!$A:$M,13)</f>
        <v>2.4999999999999911E-2</v>
      </c>
      <c r="O4" s="22">
        <f>VLOOKUP(A4,'[3]model1&amp;RSI'!$A:$N,14)</f>
        <v>0</v>
      </c>
      <c r="Q4" s="42">
        <v>44561</v>
      </c>
      <c r="R4" s="10">
        <f>S4</f>
        <v>391166.03767330461</v>
      </c>
      <c r="S4" s="4">
        <f>VLOOKUP(Q4,A:I,9,)</f>
        <v>391166.03767330461</v>
      </c>
      <c r="T4" s="4">
        <f>VLOOKUP(Q4,A:J,10,)</f>
        <v>397335.53098229726</v>
      </c>
      <c r="U4" s="4">
        <f>VLOOKUP(Q4,A:K,11,)</f>
        <v>6169.493308992649</v>
      </c>
      <c r="V4" s="4">
        <f>VLOOKUP(Q4,A:L,12,)</f>
        <v>0</v>
      </c>
      <c r="W4" s="9">
        <f t="shared" ref="W4" si="7">(T4-S4)/S4</f>
        <v>1.5772057680900477E-2</v>
      </c>
      <c r="X4" s="9">
        <f>W4</f>
        <v>1.5772057680900477E-2</v>
      </c>
      <c r="Z4" s="42">
        <v>44925</v>
      </c>
      <c r="AA4" s="7">
        <v>4936141.2228610869</v>
      </c>
      <c r="AB4" s="7">
        <f>-AA4</f>
        <v>-4936141.2228610869</v>
      </c>
      <c r="AC4" s="42">
        <v>44925</v>
      </c>
      <c r="AD4" s="7">
        <v>4936141.1701060347</v>
      </c>
      <c r="AE4" s="7">
        <f>-AD4</f>
        <v>-4936141.1701060347</v>
      </c>
      <c r="AF4" s="42">
        <v>44925</v>
      </c>
      <c r="AG4" s="7">
        <v>4936141.1701060347</v>
      </c>
      <c r="AH4" s="7">
        <f>-AG4</f>
        <v>-4936141.1701060347</v>
      </c>
    </row>
    <row r="5" spans="1:34" ht="14.1" customHeight="1" x14ac:dyDescent="0.2">
      <c r="A5" s="15">
        <v>44439</v>
      </c>
      <c r="B5" s="31">
        <f>VLOOKUP(A5,[1]HwabaoWP_szse_innovation_100!$A:$E,5)</f>
        <v>0.96599999999999997</v>
      </c>
      <c r="C5" s="16">
        <f>VLOOKUP(A5,[2]myPEPB!$B:$C,2,FALSE)</f>
        <v>38.069999694824219</v>
      </c>
      <c r="D5" s="17">
        <f>VLOOKUP(A5,[2]myPEPB!$B:$D,3,FALSE)</f>
        <v>40.654705834482208</v>
      </c>
      <c r="E5" s="17">
        <f>IF(C5&lt;D5,$E$2*(D5-C5)^2*P5,-$E$2*(D5-C5)^2*P5)</f>
        <v>52777.576044247049</v>
      </c>
      <c r="F5" s="18">
        <f t="shared" si="0"/>
        <v>54635.171888454504</v>
      </c>
      <c r="G5" s="18">
        <f t="shared" si="4"/>
        <v>58565.538145712366</v>
      </c>
      <c r="H5" s="18">
        <f t="shared" si="1"/>
        <v>56574.309848758145</v>
      </c>
      <c r="I5" s="18">
        <f t="shared" si="5"/>
        <v>56731.524499048464</v>
      </c>
      <c r="J5" s="18">
        <f t="shared" si="2"/>
        <v>56574.309848758145</v>
      </c>
      <c r="K5" s="18">
        <f t="shared" si="3"/>
        <v>-157.2146502903197</v>
      </c>
      <c r="L5" s="17">
        <f t="shared" si="6"/>
        <v>0</v>
      </c>
      <c r="M5" s="22">
        <f>VLOOKUP(A5,'[3]model1&amp;RSI'!$A:$K,11)</f>
        <v>0</v>
      </c>
      <c r="N5" s="22">
        <f>VLOOKUP(A5,'[3]model1&amp;RSI'!$A:$M,13)</f>
        <v>2.7499999999999931E-2</v>
      </c>
      <c r="O5" s="22">
        <f>VLOOKUP(A5,'[3]model1&amp;RSI'!$A:$N,14)</f>
        <v>0</v>
      </c>
      <c r="P5" s="1">
        <f>IF(O4&lt;20,2,IF(AND((O4&lt;25),(O4&gt;20)),1,IF(AND((O4&gt;25),(O4&lt;50)),0.95,IF(AND((O4&gt;50),(O4&lt;80)),0.2,IF(O4&gt;80,1,)))))</f>
        <v>2</v>
      </c>
      <c r="Q5" s="42">
        <v>44925</v>
      </c>
      <c r="R5" s="10">
        <f>S5-S4</f>
        <v>4936141.1701060347</v>
      </c>
      <c r="S5" s="4">
        <f>VLOOKUP(Q5,A:I,9,)</f>
        <v>5327307.2077793395</v>
      </c>
      <c r="T5" s="4">
        <f>VLOOKUP(Q5,A:J,10,)</f>
        <v>5021488.6898059482</v>
      </c>
      <c r="U5" s="4">
        <f>VLOOKUP(Q5,A:K,11,)</f>
        <v>-305818.51797339134</v>
      </c>
      <c r="V5" s="4">
        <f>VLOOKUP(Q5,A:L,12,)</f>
        <v>0</v>
      </c>
      <c r="W5" s="9">
        <f t="shared" ref="W5:W7" si="8">(T5-S5)/S5</f>
        <v>-5.7405834889118441E-2</v>
      </c>
      <c r="X5" s="9">
        <f>AB6</f>
        <v>-5.3676131859731302E-2</v>
      </c>
      <c r="Z5" s="42">
        <v>44925</v>
      </c>
      <c r="AA5" s="7"/>
      <c r="AB5" s="7">
        <v>5021488.7754730703</v>
      </c>
      <c r="AC5" s="42">
        <v>45289</v>
      </c>
      <c r="AD5" s="7">
        <v>2811253.8169439584</v>
      </c>
      <c r="AE5" s="7">
        <f>-AD5</f>
        <v>-2811253.8169439584</v>
      </c>
      <c r="AF5" s="42">
        <v>45289</v>
      </c>
      <c r="AG5" s="7">
        <v>2811253.8169439584</v>
      </c>
      <c r="AH5" s="7">
        <f>-AG5</f>
        <v>-2811253.8169439584</v>
      </c>
    </row>
    <row r="6" spans="1:34" ht="14.1" customHeight="1" x14ac:dyDescent="0.2">
      <c r="A6" s="15">
        <v>44469</v>
      </c>
      <c r="B6" s="31">
        <f>VLOOKUP(A6,[1]HwabaoWP_szse_innovation_100!$A:$E,5)</f>
        <v>0.96099999999999997</v>
      </c>
      <c r="C6" s="16">
        <f>VLOOKUP(A6,[2]myPEPB!$B:$C,2,FALSE)</f>
        <v>35.020000457763672</v>
      </c>
      <c r="D6" s="17">
        <f>VLOOKUP(A6,[2]myPEPB!$B:$D,3,FALSE)</f>
        <v>39.730819672131133</v>
      </c>
      <c r="E6" s="17">
        <f t="shared" ref="E6:E63" si="9">IF(C6&lt;D6,$E$2*(D6-C6)^2*P6,-$E$2*(D6-C6)^2*P6)</f>
        <v>175315.35959658396</v>
      </c>
      <c r="F6" s="18">
        <f t="shared" si="0"/>
        <v>182430.13485596667</v>
      </c>
      <c r="G6" s="18">
        <f t="shared" si="4"/>
        <v>240995.67300167904</v>
      </c>
      <c r="H6" s="18">
        <f t="shared" si="1"/>
        <v>231596.84175461356</v>
      </c>
      <c r="I6" s="18">
        <f t="shared" si="5"/>
        <v>232046.88409563241</v>
      </c>
      <c r="J6" s="18">
        <f t="shared" si="2"/>
        <v>231596.84175461356</v>
      </c>
      <c r="K6" s="18">
        <f t="shared" si="3"/>
        <v>-450.04234101885231</v>
      </c>
      <c r="L6" s="17">
        <f t="shared" si="6"/>
        <v>0</v>
      </c>
      <c r="M6" s="22">
        <f>VLOOKUP(A6,'[3]model1&amp;RSI'!$A:$K,11)</f>
        <v>0</v>
      </c>
      <c r="N6" s="22">
        <f>VLOOKUP(A6,'[3]model1&amp;RSI'!$A:$M,13)</f>
        <v>2.3749999999999941E-2</v>
      </c>
      <c r="O6" s="22">
        <f>VLOOKUP(A6,'[3]model1&amp;RSI'!$A:$N,14)</f>
        <v>0</v>
      </c>
      <c r="P6" s="1">
        <f t="shared" ref="P6:P63" si="10">IF(O5&lt;20,2,IF(AND((O5&lt;25),(O5&gt;20)),1,IF(AND((O5&gt;25),(O5&lt;50)),0.95,IF(AND((O5&gt;50),(O5&lt;80)),0.2,IF(O5&gt;80,1,)))))</f>
        <v>2</v>
      </c>
      <c r="Q6" s="42">
        <v>45289</v>
      </c>
      <c r="R6" s="10">
        <f>S6-S5</f>
        <v>2811253.8169439584</v>
      </c>
      <c r="S6" s="4">
        <f>VLOOKUP(Q6,A:I,9,)</f>
        <v>8138561.0247232979</v>
      </c>
      <c r="T6" s="4">
        <f>VLOOKUP(Q6,A:J,10,)</f>
        <v>7072800.7878068425</v>
      </c>
      <c r="U6" s="4">
        <f>VLOOKUP(Q6,A:K,11,)</f>
        <v>-1065760.2369164554</v>
      </c>
      <c r="V6" s="4">
        <f>VLOOKUP(Q6,A:L,12,)</f>
        <v>0</v>
      </c>
      <c r="W6" s="9">
        <f t="shared" si="8"/>
        <v>-0.13095192549136045</v>
      </c>
      <c r="X6" s="9">
        <v>-7.9697327658813766E-2</v>
      </c>
      <c r="Z6" s="7"/>
      <c r="AA6" s="7"/>
      <c r="AB6" s="8">
        <f>IRR(AB3:AB5)</f>
        <v>-5.3676131859731302E-2</v>
      </c>
      <c r="AC6" s="42">
        <v>45289</v>
      </c>
      <c r="AD6" s="7"/>
      <c r="AE6" s="8">
        <v>7072800.7878068425</v>
      </c>
      <c r="AF6" s="42">
        <v>45657</v>
      </c>
      <c r="AG6" s="1">
        <v>2741439.0010766936</v>
      </c>
      <c r="AH6" s="1">
        <f>-AG6</f>
        <v>-2741439.0010766936</v>
      </c>
    </row>
    <row r="7" spans="1:34" ht="14.1" customHeight="1" x14ac:dyDescent="0.2">
      <c r="A7" s="15">
        <v>44498</v>
      </c>
      <c r="B7" s="31">
        <f>VLOOKUP(A7,[1]HwabaoWP_szse_innovation_100!$A:$E,5)</f>
        <v>0.99299997091293335</v>
      </c>
      <c r="C7" s="16">
        <f>VLOOKUP(A7,[2]myPEPB!$B:$C,2,FALSE)</f>
        <v>36.299999237060547</v>
      </c>
      <c r="D7" s="17">
        <f>VLOOKUP(A7,[2]myPEPB!$B:$D,3,FALSE)</f>
        <v>39.253623134226025</v>
      </c>
      <c r="E7" s="17">
        <f t="shared" si="9"/>
        <v>68918.763594665201</v>
      </c>
      <c r="F7" s="18">
        <f t="shared" si="0"/>
        <v>69404.597798027549</v>
      </c>
      <c r="G7" s="18">
        <f t="shared" si="4"/>
        <v>310400.27079970657</v>
      </c>
      <c r="H7" s="18">
        <f t="shared" si="1"/>
        <v>308227.45987547527</v>
      </c>
      <c r="I7" s="18">
        <f t="shared" si="5"/>
        <v>300965.64769029763</v>
      </c>
      <c r="J7" s="18">
        <f t="shared" si="2"/>
        <v>308227.45987547527</v>
      </c>
      <c r="K7" s="18">
        <f t="shared" si="3"/>
        <v>7261.8121851776377</v>
      </c>
      <c r="L7" s="17">
        <f t="shared" si="6"/>
        <v>0</v>
      </c>
      <c r="M7" s="22">
        <f>VLOOKUP(A7,'[3]model1&amp;RSI'!$A:$K,11)</f>
        <v>5.3333284854888974E-3</v>
      </c>
      <c r="N7" s="22">
        <f>VLOOKUP(A7,'[3]model1&amp;RSI'!$A:$M,13)</f>
        <v>2.5124995152155511E-2</v>
      </c>
      <c r="O7" s="22">
        <f>VLOOKUP(A7,'[3]model1&amp;RSI'!$A:$N,14)</f>
        <v>21.227182147461402</v>
      </c>
      <c r="P7" s="1">
        <f t="shared" si="10"/>
        <v>2</v>
      </c>
      <c r="Q7" s="42">
        <v>45657</v>
      </c>
      <c r="R7" s="10">
        <f>S7-S6</f>
        <v>2741439.0010881862</v>
      </c>
      <c r="S7" s="4">
        <f>VLOOKUP(Q7,A:I,9,)</f>
        <v>10880000.025811484</v>
      </c>
      <c r="T7" s="4">
        <f>VLOOKUP(Q7,A:J,10,)</f>
        <v>12123266.898858964</v>
      </c>
      <c r="U7" s="4">
        <f>VLOOKUP(Q7,A:K,11,)</f>
        <v>1243266.8730474804</v>
      </c>
      <c r="V7" s="4">
        <f>VLOOKUP(Q7,A:L,12,)</f>
        <v>0</v>
      </c>
      <c r="W7" s="9">
        <f t="shared" si="8"/>
        <v>0.11427085203106435</v>
      </c>
      <c r="X7" s="9">
        <v>4.8343179700312433E-2</v>
      </c>
      <c r="Z7" s="7"/>
      <c r="AA7" s="7"/>
      <c r="AB7" s="7"/>
      <c r="AE7" s="2">
        <f>IRR(AE3:AE6)</f>
        <v>-7.9697327658813766E-2</v>
      </c>
      <c r="AF7" s="42">
        <v>45657</v>
      </c>
      <c r="AH7" s="2">
        <v>12123266.898844298</v>
      </c>
    </row>
    <row r="8" spans="1:34" ht="14.1" customHeight="1" x14ac:dyDescent="0.2">
      <c r="A8" s="15">
        <v>44530</v>
      </c>
      <c r="B8" s="31">
        <f>VLOOKUP(A8,[1]HwabaoWP_szse_innovation_100!$A:$E,5)</f>
        <v>1.0110000371932983</v>
      </c>
      <c r="C8" s="16">
        <f>VLOOKUP(A8,[2]myPEPB!$B:$C,2,FALSE)</f>
        <v>35.450000762939453</v>
      </c>
      <c r="D8" s="17">
        <f>VLOOKUP(A8,[2]myPEPB!$B:$D,3,FALSE)</f>
        <v>38.695499993324269</v>
      </c>
      <c r="E8" s="17">
        <f t="shared" si="9"/>
        <v>41606.397754992307</v>
      </c>
      <c r="F8" s="18">
        <f t="shared" si="0"/>
        <v>41153.705464243583</v>
      </c>
      <c r="G8" s="18">
        <f t="shared" si="4"/>
        <v>351553.97626395017</v>
      </c>
      <c r="H8" s="18">
        <f t="shared" si="1"/>
        <v>355421.08307830553</v>
      </c>
      <c r="I8" s="18">
        <f t="shared" si="5"/>
        <v>342572.04544528993</v>
      </c>
      <c r="J8" s="18">
        <f t="shared" si="2"/>
        <v>355421.08307830553</v>
      </c>
      <c r="K8" s="18">
        <f t="shared" si="3"/>
        <v>12849.0376330156</v>
      </c>
      <c r="L8" s="17">
        <f t="shared" si="6"/>
        <v>0</v>
      </c>
      <c r="M8" s="22">
        <f>VLOOKUP(A8,'[3]model1&amp;RSI'!$A:$K,11)</f>
        <v>7.4444514513015798E-3</v>
      </c>
      <c r="N8" s="22">
        <f>VLOOKUP(A8,'[3]model1&amp;RSI'!$A:$M,13)</f>
        <v>2.3937507006857092E-2</v>
      </c>
      <c r="O8" s="22">
        <f>VLOOKUP(A8,'[3]model1&amp;RSI'!$A:$N,14)</f>
        <v>31.099526985700965</v>
      </c>
      <c r="P8" s="1">
        <f t="shared" si="10"/>
        <v>1</v>
      </c>
      <c r="AH8" s="2">
        <f>IRR(AH3:AH7)</f>
        <v>4.8343179700312433E-2</v>
      </c>
    </row>
    <row r="9" spans="1:34" ht="14.1" customHeight="1" x14ac:dyDescent="0.2">
      <c r="A9" s="15">
        <v>44561</v>
      </c>
      <c r="B9" s="31">
        <f>VLOOKUP(A9,[1]HwabaoWP_szse_innovation_100!$A:$E,5)</f>
        <v>0.99199998378753662</v>
      </c>
      <c r="C9" s="16">
        <f>VLOOKUP(A9,[2]myPEPB!$B:$C,2,FALSE)</f>
        <v>34.630001068115234</v>
      </c>
      <c r="D9" s="17">
        <f>VLOOKUP(A9,[2]myPEPB!$B:$D,3,FALSE)</f>
        <v>38.2285792249669</v>
      </c>
      <c r="E9" s="17">
        <f t="shared" si="9"/>
        <v>48593.992228014664</v>
      </c>
      <c r="F9" s="18">
        <f t="shared" si="0"/>
        <v>48985.880062698037</v>
      </c>
      <c r="G9" s="18">
        <f t="shared" si="4"/>
        <v>400539.85632664821</v>
      </c>
      <c r="H9" s="18">
        <f t="shared" si="1"/>
        <v>397335.53098229726</v>
      </c>
      <c r="I9" s="18">
        <f t="shared" si="5"/>
        <v>391166.03767330461</v>
      </c>
      <c r="J9" s="18">
        <f t="shared" si="2"/>
        <v>397335.53098229726</v>
      </c>
      <c r="K9" s="18">
        <f t="shared" si="3"/>
        <v>6169.493308992649</v>
      </c>
      <c r="L9" s="17">
        <f t="shared" si="6"/>
        <v>0</v>
      </c>
      <c r="M9" s="22">
        <f>VLOOKUP(A9,'[3]model1&amp;RSI'!$A:$K,11)</f>
        <v>6.2037095427513169E-3</v>
      </c>
      <c r="N9" s="22">
        <f>VLOOKUP(A9,'[3]model1&amp;RSI'!$A:$M,13)</f>
        <v>2.3114598073341198E-2</v>
      </c>
      <c r="O9" s="22">
        <f>VLOOKUP(A9,'[3]model1&amp;RSI'!$A:$N,14)</f>
        <v>26.838924575142201</v>
      </c>
      <c r="P9" s="1">
        <f t="shared" si="10"/>
        <v>0.95</v>
      </c>
      <c r="Z9" s="6"/>
      <c r="AA9" s="7"/>
      <c r="AB9" s="7"/>
    </row>
    <row r="10" spans="1:34" ht="14.1" customHeight="1" x14ac:dyDescent="0.2">
      <c r="A10" s="15">
        <v>44589</v>
      </c>
      <c r="B10" s="31">
        <f>VLOOKUP(A10,[1]HwabaoWP_szse_innovation_100!$A:$E,5)</f>
        <v>0.89099997282028198</v>
      </c>
      <c r="C10" s="16">
        <f>VLOOKUP(A10,[2]myPEPB!$B:$C,2,FALSE)</f>
        <v>31.020000457763672</v>
      </c>
      <c r="D10" s="17">
        <f>VLOOKUP(A10,[2]myPEPB!$B:$D,3,FALSE)</f>
        <v>37.709801948471814</v>
      </c>
      <c r="E10" s="17">
        <f t="shared" si="9"/>
        <v>167937.29855401599</v>
      </c>
      <c r="F10" s="18">
        <f t="shared" si="0"/>
        <v>188481.82230852835</v>
      </c>
      <c r="G10" s="18">
        <f t="shared" si="4"/>
        <v>589021.6786351765</v>
      </c>
      <c r="H10" s="18">
        <f t="shared" si="1"/>
        <v>524818.29965449916</v>
      </c>
      <c r="I10" s="18">
        <f t="shared" si="5"/>
        <v>559103.3362273206</v>
      </c>
      <c r="J10" s="18">
        <f t="shared" si="2"/>
        <v>524818.29965449916</v>
      </c>
      <c r="K10" s="18">
        <f t="shared" si="3"/>
        <v>-34285.036572821438</v>
      </c>
      <c r="L10" s="17">
        <f t="shared" si="6"/>
        <v>0</v>
      </c>
      <c r="M10" s="22">
        <f>VLOOKUP(A10,'[3]model1&amp;RSI'!$A:$K,11)</f>
        <v>5.1697579522927643E-3</v>
      </c>
      <c r="N10" s="22">
        <f>VLOOKUP(A10,'[3]model1&amp;RSI'!$A:$M,13)</f>
        <v>3.6095500222326771E-2</v>
      </c>
      <c r="O10" s="22">
        <f>VLOOKUP(A10,'[3]model1&amp;RSI'!$A:$N,14)</f>
        <v>14.322444405674213</v>
      </c>
      <c r="P10" s="1">
        <f t="shared" si="10"/>
        <v>0.95</v>
      </c>
      <c r="Z10" s="19"/>
      <c r="AA10" s="7"/>
      <c r="AB10" s="7"/>
    </row>
    <row r="11" spans="1:34" ht="14.1" customHeight="1" x14ac:dyDescent="0.2">
      <c r="A11" s="15">
        <v>44620</v>
      </c>
      <c r="B11" s="31">
        <f>VLOOKUP(A11,[1]HwabaoWP_szse_innovation_100!$A:$E,5)</f>
        <v>0.88200002908706665</v>
      </c>
      <c r="C11" s="16">
        <f>VLOOKUP(A11,[2]myPEPB!$B:$C,2,FALSE)</f>
        <v>30.969999313354492</v>
      </c>
      <c r="D11" s="17">
        <f>VLOOKUP(A11,[2]myPEPB!$B:$D,3,FALSE)</f>
        <v>37.189128403969853</v>
      </c>
      <c r="E11" s="17">
        <f t="shared" si="9"/>
        <v>305552.77650133212</v>
      </c>
      <c r="F11" s="18">
        <f t="shared" si="0"/>
        <v>346431.70796445571</v>
      </c>
      <c r="G11" s="18">
        <f t="shared" si="4"/>
        <v>935453.38659963221</v>
      </c>
      <c r="H11" s="18">
        <f t="shared" si="1"/>
        <v>825069.91419047059</v>
      </c>
      <c r="I11" s="18">
        <f t="shared" si="5"/>
        <v>864656.11272865278</v>
      </c>
      <c r="J11" s="18">
        <f t="shared" si="2"/>
        <v>825069.91419047059</v>
      </c>
      <c r="K11" s="18">
        <f t="shared" si="3"/>
        <v>-39586.198538182187</v>
      </c>
      <c r="L11" s="17">
        <f t="shared" si="6"/>
        <v>0</v>
      </c>
      <c r="M11" s="22">
        <f>VLOOKUP(A11,'[3]model1&amp;RSI'!$A:$K,11)</f>
        <v>4.3081316269106369E-3</v>
      </c>
      <c r="N11" s="22">
        <f>VLOOKUP(A11,'[3]model1&amp;RSI'!$A:$M,13)</f>
        <v>3.1579574140808198E-2</v>
      </c>
      <c r="O11" s="22">
        <f>VLOOKUP(A11,'[3]model1&amp;RSI'!$A:$N,14)</f>
        <v>13.642146052069533</v>
      </c>
      <c r="P11" s="1">
        <f t="shared" si="10"/>
        <v>2</v>
      </c>
      <c r="Z11" s="19"/>
      <c r="AA11" s="7"/>
      <c r="AB11" s="7"/>
    </row>
    <row r="12" spans="1:34" ht="14.1" customHeight="1" x14ac:dyDescent="0.2">
      <c r="A12" s="15">
        <v>44651</v>
      </c>
      <c r="B12" s="31">
        <f>VLOOKUP(A12,[1]HwabaoWP_szse_innovation_100!$A:$E,5)</f>
        <v>0.79199999570846558</v>
      </c>
      <c r="C12" s="16">
        <f>VLOOKUP(A12,[2]myPEPB!$B:$C,2,FALSE)</f>
        <v>27.639999389648438</v>
      </c>
      <c r="D12" s="17">
        <f>VLOOKUP(A12,[2]myPEPB!$B:$D,3,FALSE)</f>
        <v>36.340041473831867</v>
      </c>
      <c r="E12" s="17">
        <f t="shared" si="9"/>
        <v>597956.78490584577</v>
      </c>
      <c r="F12" s="18">
        <f t="shared" si="0"/>
        <v>754995.94462870818</v>
      </c>
      <c r="G12" s="18">
        <f t="shared" si="4"/>
        <v>1690449.3312283405</v>
      </c>
      <c r="H12" s="18">
        <f t="shared" si="1"/>
        <v>1338835.8630782242</v>
      </c>
      <c r="I12" s="18">
        <f t="shared" si="5"/>
        <v>1462612.8976344985</v>
      </c>
      <c r="J12" s="18">
        <f t="shared" si="2"/>
        <v>1338835.8630782242</v>
      </c>
      <c r="K12" s="18">
        <f t="shared" si="3"/>
        <v>-123777.0345562743</v>
      </c>
      <c r="L12" s="17">
        <f t="shared" si="6"/>
        <v>0</v>
      </c>
      <c r="M12" s="22">
        <f>VLOOKUP(A12,'[3]model1&amp;RSI'!$A:$K,11)</f>
        <v>3.5901096890921975E-3</v>
      </c>
      <c r="N12" s="22">
        <f>VLOOKUP(A12,'[3]model1&amp;RSI'!$A:$M,13)</f>
        <v>4.1316317347107008E-2</v>
      </c>
      <c r="O12" s="22">
        <f>VLOOKUP(A12,'[3]model1&amp;RSI'!$A:$N,14)</f>
        <v>8.689326444394684</v>
      </c>
      <c r="P12" s="1">
        <f t="shared" si="10"/>
        <v>2</v>
      </c>
      <c r="Z12" s="19"/>
    </row>
    <row r="13" spans="1:34" ht="14.1" customHeight="1" x14ac:dyDescent="0.2">
      <c r="A13" s="15">
        <v>44680</v>
      </c>
      <c r="B13" s="31">
        <f>VLOOKUP(A13,[1]HwabaoWP_szse_innovation_100!$A:$E,5)</f>
        <v>0.71899998188018799</v>
      </c>
      <c r="C13" s="16">
        <f>VLOOKUP(A13,[2]myPEPB!$B:$C,2,FALSE)</f>
        <v>25.129999160766602</v>
      </c>
      <c r="D13" s="17">
        <f>VLOOKUP(A13,[2]myPEPB!$B:$D,3,FALSE)</f>
        <v>35.566115372584406</v>
      </c>
      <c r="E13" s="17">
        <f t="shared" si="9"/>
        <v>860408.92053387454</v>
      </c>
      <c r="F13" s="18">
        <f t="shared" si="0"/>
        <v>1196674.467618068</v>
      </c>
      <c r="G13" s="18">
        <f t="shared" si="4"/>
        <v>2887123.7988464087</v>
      </c>
      <c r="H13" s="18">
        <f t="shared" si="1"/>
        <v>2075841.9590564275</v>
      </c>
      <c r="I13" s="18">
        <f t="shared" si="5"/>
        <v>2323021.8181683728</v>
      </c>
      <c r="J13" s="18">
        <f t="shared" si="2"/>
        <v>2075841.9590564275</v>
      </c>
      <c r="K13" s="18">
        <f t="shared" si="3"/>
        <v>-247179.85911194538</v>
      </c>
      <c r="L13" s="17">
        <f t="shared" si="6"/>
        <v>0</v>
      </c>
      <c r="M13" s="22">
        <f>VLOOKUP(A13,'[3]model1&amp;RSI'!$A:$K,11)</f>
        <v>2.9917580742434978E-3</v>
      </c>
      <c r="N13" s="22">
        <f>VLOOKUP(A13,'[3]model1&amp;RSI'!$A:$M,13)</f>
        <v>4.659693342730211E-2</v>
      </c>
      <c r="O13" s="22">
        <f>VLOOKUP(A13,'[3]model1&amp;RSI'!$A:$N,14)</f>
        <v>6.4205042138901032</v>
      </c>
      <c r="P13" s="1">
        <f t="shared" si="10"/>
        <v>2</v>
      </c>
      <c r="AB13" s="2"/>
    </row>
    <row r="14" spans="1:34" ht="14.1" customHeight="1" x14ac:dyDescent="0.2">
      <c r="A14" s="15">
        <v>44712</v>
      </c>
      <c r="B14" s="31">
        <f>VLOOKUP(A14,[1]HwabaoWP_szse_innovation_100!$A:$E,5)</f>
        <v>0.74699997901916504</v>
      </c>
      <c r="C14" s="16">
        <f>VLOOKUP(A14,[2]myPEPB!$B:$C,2,FALSE)</f>
        <v>24.129999160766602</v>
      </c>
      <c r="D14" s="17">
        <f>VLOOKUP(A14,[2]myPEPB!$B:$D,3,FALSE)</f>
        <v>34.740071662711408</v>
      </c>
      <c r="E14" s="17">
        <f t="shared" si="9"/>
        <v>889331.74412255001</v>
      </c>
      <c r="F14" s="18">
        <f t="shared" si="0"/>
        <v>1190537.843508739</v>
      </c>
      <c r="G14" s="18">
        <f t="shared" si="4"/>
        <v>4077661.6423551477</v>
      </c>
      <c r="H14" s="18">
        <f t="shared" si="1"/>
        <v>3046013.1612865496</v>
      </c>
      <c r="I14" s="18">
        <f t="shared" si="5"/>
        <v>3212353.5622909227</v>
      </c>
      <c r="J14" s="18">
        <f t="shared" si="2"/>
        <v>3046013.1612865496</v>
      </c>
      <c r="K14" s="18">
        <f t="shared" si="3"/>
        <v>-166340.4010043731</v>
      </c>
      <c r="L14" s="17">
        <f t="shared" si="6"/>
        <v>0</v>
      </c>
      <c r="M14" s="22">
        <f>VLOOKUP(A14,'[3]model1&amp;RSI'!$A:$K,11)</f>
        <v>7.1597979183657566E-3</v>
      </c>
      <c r="N14" s="22">
        <f>VLOOKUP(A14,'[3]model1&amp;RSI'!$A:$M,13)</f>
        <v>4.3497444045914602E-2</v>
      </c>
      <c r="O14" s="22">
        <f>VLOOKUP(A14,'[3]model1&amp;RSI'!$A:$N,14)</f>
        <v>16.460272725009055</v>
      </c>
      <c r="P14" s="1">
        <f t="shared" si="10"/>
        <v>2</v>
      </c>
    </row>
    <row r="15" spans="1:34" ht="14.1" customHeight="1" x14ac:dyDescent="0.2">
      <c r="A15" s="15">
        <v>44742</v>
      </c>
      <c r="B15" s="31">
        <f>VLOOKUP(A15,[1]HwabaoWP_szse_innovation_100!$A:$E,5)</f>
        <v>0.84500002861022949</v>
      </c>
      <c r="C15" s="16">
        <f>VLOOKUP(A15,[2]myPEPB!$B:$C,2,FALSE)</f>
        <v>27.809999465942383</v>
      </c>
      <c r="D15" s="17">
        <f>VLOOKUP(A15,[2]myPEPB!$B:$D,3,FALSE)</f>
        <v>34.118899975077305</v>
      </c>
      <c r="E15" s="17">
        <f t="shared" si="9"/>
        <v>314437.58250988676</v>
      </c>
      <c r="F15" s="18">
        <f t="shared" si="0"/>
        <v>372115.46966103878</v>
      </c>
      <c r="G15" s="18">
        <f t="shared" si="4"/>
        <v>4449777.1120161861</v>
      </c>
      <c r="H15" s="18">
        <f t="shared" si="1"/>
        <v>3760061.7869628216</v>
      </c>
      <c r="I15" s="18">
        <f t="shared" si="5"/>
        <v>3526791.1448008097</v>
      </c>
      <c r="J15" s="18">
        <f t="shared" si="2"/>
        <v>3760061.7869628216</v>
      </c>
      <c r="K15" s="18">
        <f t="shared" si="3"/>
        <v>233270.64216201194</v>
      </c>
      <c r="L15" s="17">
        <f t="shared" si="6"/>
        <v>0</v>
      </c>
      <c r="M15" s="22">
        <f>VLOOKUP(A15,'[3]model1&amp;RSI'!$A:$K,11)</f>
        <v>2.2299839863815538E-2</v>
      </c>
      <c r="N15" s="22">
        <f>VLOOKUP(A15,'[3]model1&amp;RSI'!$A:$M,13)</f>
        <v>5.2581211636772908E-2</v>
      </c>
      <c r="O15" s="22">
        <f>VLOOKUP(A15,'[3]model1&amp;RSI'!$A:$N,14)</f>
        <v>42.410281485830289</v>
      </c>
      <c r="P15" s="1">
        <f t="shared" si="10"/>
        <v>2</v>
      </c>
    </row>
    <row r="16" spans="1:34" ht="14.1" customHeight="1" x14ac:dyDescent="0.2">
      <c r="A16" s="15">
        <v>44771</v>
      </c>
      <c r="B16" s="31">
        <f>VLOOKUP(A16,[1]HwabaoWP_szse_innovation_100!$A:$E,5)</f>
        <v>0.80099999904632568</v>
      </c>
      <c r="C16" s="16">
        <f>VLOOKUP(A16,[2]myPEPB!$B:$C,2,FALSE)</f>
        <v>26.329999923706055</v>
      </c>
      <c r="D16" s="17">
        <f>VLOOKUP(A16,[2]myPEPB!$B:$D,3,FALSE)</f>
        <v>33.665700900829464</v>
      </c>
      <c r="E16" s="17">
        <f t="shared" si="9"/>
        <v>201931.43936869942</v>
      </c>
      <c r="F16" s="18">
        <f t="shared" si="0"/>
        <v>252099.17554197245</v>
      </c>
      <c r="G16" s="18">
        <f t="shared" si="4"/>
        <v>4701876.2875581589</v>
      </c>
      <c r="H16" s="18">
        <f t="shared" si="1"/>
        <v>3766202.9018500266</v>
      </c>
      <c r="I16" s="18">
        <f t="shared" si="5"/>
        <v>3728722.5841695089</v>
      </c>
      <c r="J16" s="18">
        <f t="shared" si="2"/>
        <v>3766202.9018500266</v>
      </c>
      <c r="K16" s="18">
        <f t="shared" si="3"/>
        <v>37480.317680517677</v>
      </c>
      <c r="L16" s="17">
        <f t="shared" si="6"/>
        <v>0</v>
      </c>
      <c r="M16" s="22">
        <f>VLOOKUP(A16,'[3]model1&amp;RSI'!$A:$K,11)</f>
        <v>1.8583199886512948E-2</v>
      </c>
      <c r="N16" s="22">
        <f>VLOOKUP(A16,'[3]model1&amp;RSI'!$A:$M,13)</f>
        <v>5.1151014624628059E-2</v>
      </c>
      <c r="O16" s="22">
        <f>VLOOKUP(A16,'[3]model1&amp;RSI'!$A:$N,14)</f>
        <v>36.33007091430315</v>
      </c>
      <c r="P16" s="1">
        <f t="shared" si="10"/>
        <v>0.95</v>
      </c>
    </row>
    <row r="17" spans="1:16" ht="14.1" customHeight="1" x14ac:dyDescent="0.2">
      <c r="A17" s="15">
        <v>44804</v>
      </c>
      <c r="B17" s="31">
        <f>VLOOKUP(A17,[1]HwabaoWP_szse_innovation_100!$A:$E,5)</f>
        <v>0.76499998569488525</v>
      </c>
      <c r="C17" s="16">
        <f>VLOOKUP(A17,[2]myPEPB!$B:$C,2,FALSE)</f>
        <v>25.180000305175781</v>
      </c>
      <c r="D17" s="17">
        <f>VLOOKUP(A17,[2]myPEPB!$B:$D,3,FALSE)</f>
        <v>33.177209276154976</v>
      </c>
      <c r="E17" s="17">
        <f t="shared" si="9"/>
        <v>239992.45584897668</v>
      </c>
      <c r="F17" s="18">
        <f t="shared" si="0"/>
        <v>313715.63442707818</v>
      </c>
      <c r="G17" s="18">
        <f t="shared" si="4"/>
        <v>5015591.9219852369</v>
      </c>
      <c r="H17" s="18">
        <f t="shared" si="1"/>
        <v>3836927.7485700883</v>
      </c>
      <c r="I17" s="18">
        <f t="shared" si="5"/>
        <v>3968715.0400184854</v>
      </c>
      <c r="J17" s="18">
        <f t="shared" si="2"/>
        <v>3836927.7485700883</v>
      </c>
      <c r="K17" s="18">
        <f t="shared" si="3"/>
        <v>-131787.2914483971</v>
      </c>
      <c r="L17" s="17">
        <f t="shared" si="6"/>
        <v>0</v>
      </c>
      <c r="M17" s="22">
        <f>VLOOKUP(A17,'[3]model1&amp;RSI'!$A:$K,11)</f>
        <v>1.5485999905427456E-2</v>
      </c>
      <c r="N17" s="22">
        <f>VLOOKUP(A17,'[3]model1&amp;RSI'!$A:$M,13)</f>
        <v>4.8625847745763451E-2</v>
      </c>
      <c r="O17" s="22">
        <f>VLOOKUP(A17,'[3]model1&amp;RSI'!$A:$N,14)</f>
        <v>31.847259478939737</v>
      </c>
      <c r="P17" s="1">
        <f t="shared" si="10"/>
        <v>0.95</v>
      </c>
    </row>
    <row r="18" spans="1:16" ht="14.1" customHeight="1" x14ac:dyDescent="0.2">
      <c r="A18" s="15">
        <v>44834</v>
      </c>
      <c r="B18" s="31">
        <f>VLOOKUP(A18,[1]HwabaoWP_szse_innovation_100!$A:$E,5)</f>
        <v>0.69599997997283936</v>
      </c>
      <c r="C18" s="16">
        <f>VLOOKUP(A18,[2]myPEPB!$B:$C,2,FALSE)</f>
        <v>22.610000610351563</v>
      </c>
      <c r="D18" s="17">
        <f>VLOOKUP(A18,[2]myPEPB!$B:$D,3,FALSE)</f>
        <v>32.639682721540886</v>
      </c>
      <c r="E18" s="17">
        <f t="shared" si="9"/>
        <v>377480.94850129553</v>
      </c>
      <c r="F18" s="18">
        <f t="shared" si="0"/>
        <v>542357.70023445447</v>
      </c>
      <c r="G18" s="18">
        <f t="shared" si="4"/>
        <v>5557949.6222196911</v>
      </c>
      <c r="H18" s="18">
        <f t="shared" si="1"/>
        <v>3868332.8257549549</v>
      </c>
      <c r="I18" s="18">
        <f t="shared" si="5"/>
        <v>4346195.9885197813</v>
      </c>
      <c r="J18" s="18">
        <f t="shared" si="2"/>
        <v>3868332.8257549549</v>
      </c>
      <c r="K18" s="18">
        <f t="shared" si="3"/>
        <v>-477863.16276482632</v>
      </c>
      <c r="L18" s="17">
        <f t="shared" si="6"/>
        <v>0</v>
      </c>
      <c r="M18" s="22">
        <f>VLOOKUP(A18,'[3]model1&amp;RSI'!$A:$K,11)</f>
        <v>1.2904999921189547E-2</v>
      </c>
      <c r="N18" s="22">
        <f>VLOOKUP(A18,'[3]model1&amp;RSI'!$A:$M,13)</f>
        <v>5.2021540741810528E-2</v>
      </c>
      <c r="O18" s="22">
        <f>VLOOKUP(A18,'[3]model1&amp;RSI'!$A:$N,14)</f>
        <v>24.80703135118333</v>
      </c>
      <c r="P18" s="1">
        <f t="shared" si="10"/>
        <v>0.95</v>
      </c>
    </row>
    <row r="19" spans="1:16" ht="12.75" x14ac:dyDescent="0.2">
      <c r="A19" s="15">
        <v>44865</v>
      </c>
      <c r="B19" s="31">
        <f>VLOOKUP(A19,[1]HwabaoWP_szse_innovation_100!$A:$E,5)</f>
        <v>0.68699997663497925</v>
      </c>
      <c r="C19" s="16">
        <f>VLOOKUP(A19,[2]myPEPB!$B:$C,2,FALSE)</f>
        <v>22.239999771118164</v>
      </c>
      <c r="D19" s="17">
        <f>VLOOKUP(A19,[2]myPEPB!$B:$D,3,FALSE)</f>
        <v>32.234052997346801</v>
      </c>
      <c r="E19" s="17">
        <f t="shared" si="9"/>
        <v>394530.34456032957</v>
      </c>
      <c r="F19" s="18">
        <f t="shared" si="0"/>
        <v>574279.9970573415</v>
      </c>
      <c r="G19" s="18">
        <f t="shared" si="4"/>
        <v>6132229.6192770321</v>
      </c>
      <c r="H19" s="18">
        <f t="shared" si="1"/>
        <v>4212841.6051636487</v>
      </c>
      <c r="I19" s="18">
        <f t="shared" si="5"/>
        <v>4740726.3330801111</v>
      </c>
      <c r="J19" s="18">
        <f t="shared" si="2"/>
        <v>4212841.6051636487</v>
      </c>
      <c r="K19" s="18">
        <f t="shared" si="3"/>
        <v>-527884.72791646235</v>
      </c>
      <c r="L19" s="17">
        <f t="shared" si="6"/>
        <v>0</v>
      </c>
      <c r="M19" s="22">
        <f>VLOOKUP(A19,'[3]model1&amp;RSI'!$A:$K,11)</f>
        <v>1.0754166600991289E-2</v>
      </c>
      <c r="N19" s="22">
        <f>VLOOKUP(A19,'[3]model1&amp;RSI'!$A:$M,13)</f>
        <v>4.4851284507818785E-2</v>
      </c>
      <c r="O19" s="22">
        <f>VLOOKUP(A19,'[3]model1&amp;RSI'!$A:$N,14)</f>
        <v>23.977388204158451</v>
      </c>
      <c r="P19" s="1">
        <f t="shared" si="10"/>
        <v>1</v>
      </c>
    </row>
    <row r="20" spans="1:16" ht="12.75" x14ac:dyDescent="0.2">
      <c r="A20" s="15">
        <v>44895</v>
      </c>
      <c r="B20" s="31">
        <f>VLOOKUP(A20,[1]HwabaoWP_szse_innovation_100!$A:$E,5)</f>
        <v>0.72000002861022949</v>
      </c>
      <c r="C20" s="16">
        <f>VLOOKUP(A20,[2]myPEPB!$B:$C,2,FALSE)</f>
        <v>22.809999465942383</v>
      </c>
      <c r="D20" s="17">
        <f>VLOOKUP(A20,[2]myPEPB!$B:$D,3,FALSE)</f>
        <v>31.717553840474388</v>
      </c>
      <c r="E20" s="17">
        <f t="shared" si="9"/>
        <v>313410.87349421479</v>
      </c>
      <c r="F20" s="18">
        <f t="shared" si="0"/>
        <v>435292.8625560918</v>
      </c>
      <c r="G20" s="18">
        <f t="shared" si="4"/>
        <v>6567522.4818331236</v>
      </c>
      <c r="H20" s="18">
        <f t="shared" si="1"/>
        <v>4728616.3748181742</v>
      </c>
      <c r="I20" s="18">
        <f t="shared" si="5"/>
        <v>5054137.2065743254</v>
      </c>
      <c r="J20" s="18">
        <f t="shared" si="2"/>
        <v>4728616.3748181742</v>
      </c>
      <c r="K20" s="18">
        <f t="shared" si="3"/>
        <v>-325520.83175615128</v>
      </c>
      <c r="L20" s="17">
        <f t="shared" si="6"/>
        <v>0</v>
      </c>
      <c r="M20" s="22">
        <f>VLOOKUP(A20,'[3]model1&amp;RSI'!$A:$K,11)</f>
        <v>1.4461814163367781E-2</v>
      </c>
      <c r="N20" s="22">
        <f>VLOOKUP(A20,'[3]model1&amp;RSI'!$A:$M,13)</f>
        <v>4.287607908572403E-2</v>
      </c>
      <c r="O20" s="22">
        <f>VLOOKUP(A20,'[3]model1&amp;RSI'!$A:$N,14)</f>
        <v>33.729329900837342</v>
      </c>
      <c r="P20" s="1">
        <f t="shared" si="10"/>
        <v>1</v>
      </c>
    </row>
    <row r="21" spans="1:16" ht="12.75" x14ac:dyDescent="0.2">
      <c r="A21" s="15">
        <v>44925</v>
      </c>
      <c r="B21" s="31">
        <f>VLOOKUP(A21,[1]HwabaoWP_szse_innovation_100!$A:$E,5)</f>
        <v>0.72299998998641968</v>
      </c>
      <c r="C21" s="16">
        <f>VLOOKUP(A21,[2]myPEPB!$B:$C,2,FALSE)</f>
        <v>22.739999771118164</v>
      </c>
      <c r="D21" s="17">
        <f>VLOOKUP(A21,[2]myPEPB!$B:$D,3,FALSE)</f>
        <v>31.2721039929989</v>
      </c>
      <c r="E21" s="17">
        <f t="shared" si="9"/>
        <v>273170.00120501418</v>
      </c>
      <c r="F21" s="18">
        <f t="shared" si="0"/>
        <v>377828.4992924346</v>
      </c>
      <c r="G21" s="18">
        <f t="shared" si="4"/>
        <v>6945350.9811255578</v>
      </c>
      <c r="H21" s="18">
        <f t="shared" si="1"/>
        <v>5021488.6898059482</v>
      </c>
      <c r="I21" s="18">
        <f t="shared" si="5"/>
        <v>5327307.2077793395</v>
      </c>
      <c r="J21" s="18">
        <f t="shared" si="2"/>
        <v>5021488.6898059482</v>
      </c>
      <c r="K21" s="18">
        <f t="shared" si="3"/>
        <v>-305818.51797339134</v>
      </c>
      <c r="L21" s="17">
        <f t="shared" si="6"/>
        <v>0</v>
      </c>
      <c r="M21" s="22">
        <f>VLOOKUP(A21,'[3]model1&amp;RSI'!$A:$K,11)</f>
        <v>1.2551505365504848E-2</v>
      </c>
      <c r="N21" s="22">
        <f>VLOOKUP(A21,'[3]model1&amp;RSI'!$A:$M,13)</f>
        <v>3.6230059467468385E-2</v>
      </c>
      <c r="O21" s="22">
        <f>VLOOKUP(A21,'[3]model1&amp;RSI'!$A:$N,14)</f>
        <v>34.643899430457921</v>
      </c>
      <c r="P21" s="1">
        <f t="shared" si="10"/>
        <v>0.95</v>
      </c>
    </row>
    <row r="22" spans="1:16" ht="12.75" x14ac:dyDescent="0.2">
      <c r="A22" s="15">
        <v>44957</v>
      </c>
      <c r="B22" s="31">
        <f>VLOOKUP(A22,[1]HwabaoWP_szse_innovation_100!$A:$E,5)</f>
        <v>0.78899997472763062</v>
      </c>
      <c r="C22" s="16">
        <f>VLOOKUP(A22,[2]myPEPB!$B:$C,2,FALSE)</f>
        <v>24.899999618530273</v>
      </c>
      <c r="D22" s="17">
        <f>VLOOKUP(A22,[2]myPEPB!$B:$D,3,FALSE)</f>
        <v>31.009964169913562</v>
      </c>
      <c r="E22" s="17">
        <f t="shared" si="9"/>
        <v>140087.07973889937</v>
      </c>
      <c r="F22" s="18">
        <f t="shared" si="0"/>
        <v>177550.1701216893</v>
      </c>
      <c r="G22" s="18">
        <f t="shared" si="4"/>
        <v>7122901.1512472471</v>
      </c>
      <c r="H22" s="18">
        <f t="shared" si="1"/>
        <v>5619968.8283214886</v>
      </c>
      <c r="I22" s="18">
        <f t="shared" si="5"/>
        <v>5467394.2875182386</v>
      </c>
      <c r="J22" s="18">
        <f t="shared" si="2"/>
        <v>5619968.8283214886</v>
      </c>
      <c r="K22" s="18">
        <f t="shared" si="3"/>
        <v>152574.54080324993</v>
      </c>
      <c r="L22" s="17">
        <f t="shared" si="6"/>
        <v>0</v>
      </c>
      <c r="M22" s="22">
        <f>VLOOKUP(A22,'[3]model1&amp;RSI'!$A:$K,11)</f>
        <v>2.145958526145586E-2</v>
      </c>
      <c r="N22" s="22">
        <f>VLOOKUP(A22,'[3]model1&amp;RSI'!$A:$M,13)</f>
        <v>4.119171367975881E-2</v>
      </c>
      <c r="O22" s="22">
        <f>VLOOKUP(A22,'[3]model1&amp;RSI'!$A:$N,14)</f>
        <v>52.096849935138493</v>
      </c>
      <c r="P22" s="1">
        <f t="shared" si="10"/>
        <v>0.95</v>
      </c>
    </row>
    <row r="23" spans="1:16" ht="12.75" x14ac:dyDescent="0.2">
      <c r="A23" s="15">
        <v>44985</v>
      </c>
      <c r="B23" s="31">
        <f>VLOOKUP(A23,[1]HwabaoWP_szse_innovation_100!$A:$E,5)</f>
        <v>0.7630000114440918</v>
      </c>
      <c r="C23" s="16">
        <f>VLOOKUP(A23,[2]myPEPB!$B:$C,2,FALSE)</f>
        <v>23.979999542236328</v>
      </c>
      <c r="D23" s="17">
        <f>VLOOKUP(A23,[2]myPEPB!$B:$D,3,FALSE)</f>
        <v>30.72842559388133</v>
      </c>
      <c r="E23" s="17">
        <f t="shared" si="9"/>
        <v>35977.590797871548</v>
      </c>
      <c r="F23" s="18">
        <f t="shared" si="0"/>
        <v>47152.805056684818</v>
      </c>
      <c r="G23" s="18">
        <f t="shared" si="4"/>
        <v>7170053.9563039318</v>
      </c>
      <c r="H23" s="18">
        <f t="shared" si="1"/>
        <v>5470751.250714656</v>
      </c>
      <c r="I23" s="18">
        <f t="shared" si="5"/>
        <v>5503371.87831611</v>
      </c>
      <c r="J23" s="18">
        <f t="shared" si="2"/>
        <v>5470751.250714656</v>
      </c>
      <c r="K23" s="18">
        <f t="shared" si="3"/>
        <v>-32620.627601454034</v>
      </c>
      <c r="L23" s="17">
        <f t="shared" si="6"/>
        <v>0</v>
      </c>
      <c r="M23" s="22">
        <f>VLOOKUP(A23,'[3]model1&amp;RSI'!$A:$K,11)</f>
        <v>1.7882987717879884E-2</v>
      </c>
      <c r="N23" s="22">
        <f>VLOOKUP(A23,'[3]model1&amp;RSI'!$A:$M,13)</f>
        <v>3.8659755280388813E-2</v>
      </c>
      <c r="O23" s="22">
        <f>VLOOKUP(A23,'[3]model1&amp;RSI'!$A:$N,14)</f>
        <v>46.257374337161167</v>
      </c>
      <c r="P23" s="1">
        <f t="shared" si="10"/>
        <v>0.2</v>
      </c>
    </row>
    <row r="24" spans="1:16" ht="12.75" x14ac:dyDescent="0.2">
      <c r="A24" s="15">
        <v>45016</v>
      </c>
      <c r="B24" s="31">
        <f>VLOOKUP(A24,[1]HwabaoWP_szse_innovation_100!$A:$E,5)</f>
        <v>0.77100002765655518</v>
      </c>
      <c r="C24" s="16">
        <f>VLOOKUP(A24,[2]myPEPB!$B:$C,2,FALSE)</f>
        <v>24.159999847412109</v>
      </c>
      <c r="D24" s="17">
        <f>VLOOKUP(A24,[2]myPEPB!$B:$D,3,FALSE)</f>
        <v>30.393087189136843</v>
      </c>
      <c r="E24" s="17">
        <f t="shared" si="9"/>
        <v>145789.79523040805</v>
      </c>
      <c r="F24" s="18">
        <f t="shared" si="0"/>
        <v>189091.81582461714</v>
      </c>
      <c r="G24" s="18">
        <f t="shared" si="4"/>
        <v>7359145.7721285485</v>
      </c>
      <c r="H24" s="18">
        <f t="shared" si="1"/>
        <v>5673901.593839732</v>
      </c>
      <c r="I24" s="18">
        <f t="shared" si="5"/>
        <v>5649161.6735465182</v>
      </c>
      <c r="J24" s="18">
        <f t="shared" si="2"/>
        <v>5673901.593839732</v>
      </c>
      <c r="K24" s="18">
        <f t="shared" si="3"/>
        <v>24739.9202932138</v>
      </c>
      <c r="L24" s="17">
        <f t="shared" si="6"/>
        <v>0</v>
      </c>
      <c r="M24" s="22">
        <f>VLOOKUP(A24,'[3]model1&amp;RSI'!$A:$K,11)</f>
        <v>1.6235825800310466E-2</v>
      </c>
      <c r="N24" s="22">
        <f>VLOOKUP(A24,'[3]model1&amp;RSI'!$A:$M,13)</f>
        <v>3.3549798769067905E-2</v>
      </c>
      <c r="O24" s="22">
        <f>VLOOKUP(A24,'[3]model1&amp;RSI'!$A:$N,14)</f>
        <v>48.393213658495924</v>
      </c>
      <c r="P24" s="1">
        <f t="shared" si="10"/>
        <v>0.95</v>
      </c>
    </row>
    <row r="25" spans="1:16" ht="12.75" x14ac:dyDescent="0.2">
      <c r="A25" s="15">
        <v>45044</v>
      </c>
      <c r="B25" s="31">
        <f>VLOOKUP(A25,[1]HwabaoWP_szse_innovation_100!$A:$E,5)</f>
        <v>0.75099998712539673</v>
      </c>
      <c r="C25" s="16">
        <f>VLOOKUP(A25,[2]myPEPB!$B:$C,2,FALSE)</f>
        <v>23.579999923706055</v>
      </c>
      <c r="D25" s="17">
        <f>VLOOKUP(A25,[2]myPEPB!$B:$D,3,FALSE)</f>
        <v>30.1543821056874</v>
      </c>
      <c r="E25" s="17">
        <f t="shared" si="9"/>
        <v>162192.43528301365</v>
      </c>
      <c r="F25" s="18">
        <f t="shared" si="0"/>
        <v>215968.62591680963</v>
      </c>
      <c r="G25" s="18">
        <f t="shared" si="4"/>
        <v>7575114.3980453582</v>
      </c>
      <c r="H25" s="18">
        <f t="shared" si="1"/>
        <v>5688910.8154054713</v>
      </c>
      <c r="I25" s="18">
        <f t="shared" si="5"/>
        <v>5811354.1088295318</v>
      </c>
      <c r="J25" s="18">
        <f t="shared" si="2"/>
        <v>5688910.8154054713</v>
      </c>
      <c r="K25" s="18">
        <f t="shared" si="3"/>
        <v>-122443.29342406057</v>
      </c>
      <c r="L25" s="17">
        <f t="shared" si="6"/>
        <v>0</v>
      </c>
      <c r="M25" s="22">
        <f>VLOOKUP(A25,'[3]model1&amp;RSI'!$A:$K,11)</f>
        <v>1.3529854833592056E-2</v>
      </c>
      <c r="N25" s="22">
        <f>VLOOKUP(A25,'[3]model1&amp;RSI'!$A:$M,13)</f>
        <v>3.129150572941633E-2</v>
      </c>
      <c r="O25" s="22">
        <f>VLOOKUP(A25,'[3]model1&amp;RSI'!$A:$N,14)</f>
        <v>43.238107333623745</v>
      </c>
      <c r="P25" s="1">
        <f t="shared" si="10"/>
        <v>0.95</v>
      </c>
    </row>
    <row r="26" spans="1:16" ht="12.75" x14ac:dyDescent="0.2">
      <c r="A26" s="15">
        <v>45077</v>
      </c>
      <c r="B26" s="31">
        <f>VLOOKUP(A26,[1]HwabaoWP_szse_innovation_100!$A:$E,5)</f>
        <v>0.72000002861022949</v>
      </c>
      <c r="C26" s="16">
        <f>VLOOKUP(A26,[2]myPEPB!$B:$C,2,FALSE)</f>
        <v>21.329999923706055</v>
      </c>
      <c r="D26" s="17">
        <f>VLOOKUP(A26,[2]myPEPB!$B:$D,3,FALSE)</f>
        <v>29.834329254302094</v>
      </c>
      <c r="E26" s="17">
        <f t="shared" si="9"/>
        <v>271394.3741555434</v>
      </c>
      <c r="F26" s="18">
        <f t="shared" si="0"/>
        <v>376936.61579347268</v>
      </c>
      <c r="G26" s="18">
        <f t="shared" si="4"/>
        <v>7952051.0138388313</v>
      </c>
      <c r="H26" s="18">
        <f t="shared" si="1"/>
        <v>5725476.9574739626</v>
      </c>
      <c r="I26" s="18">
        <f t="shared" si="5"/>
        <v>6082748.4829850756</v>
      </c>
      <c r="J26" s="18">
        <f t="shared" si="2"/>
        <v>5725476.9574739626</v>
      </c>
      <c r="K26" s="18">
        <f t="shared" si="3"/>
        <v>-357271.525511113</v>
      </c>
      <c r="L26" s="17">
        <f t="shared" si="6"/>
        <v>0</v>
      </c>
      <c r="M26" s="22">
        <f>VLOOKUP(A26,'[3]model1&amp;RSI'!$A:$K,11)</f>
        <v>1.127487902799338E-2</v>
      </c>
      <c r="N26" s="22">
        <f>VLOOKUP(A26,'[3]model1&amp;RSI'!$A:$M,13)</f>
        <v>3.124291452704148E-2</v>
      </c>
      <c r="O26" s="22">
        <f>VLOOKUP(A26,'[3]model1&amp;RSI'!$A:$N,14)</f>
        <v>36.087795260697291</v>
      </c>
      <c r="P26" s="1">
        <f t="shared" si="10"/>
        <v>0.95</v>
      </c>
    </row>
    <row r="27" spans="1:16" ht="12.75" x14ac:dyDescent="0.2">
      <c r="A27" s="15">
        <v>45107</v>
      </c>
      <c r="B27" s="31">
        <f>VLOOKUP(A27,[1]HwabaoWP_szse_innovation_100!$A:$E,5)</f>
        <v>0.75499999523162842</v>
      </c>
      <c r="C27" s="16">
        <f>VLOOKUP(A27,[2]myPEPB!$B:$C,2,FALSE)</f>
        <v>22.200000762939453</v>
      </c>
      <c r="D27" s="17">
        <f>VLOOKUP(A27,[2]myPEPB!$B:$D,3,FALSE)</f>
        <v>29.540486551111261</v>
      </c>
      <c r="E27" s="17">
        <f t="shared" si="9"/>
        <v>202194.95035283692</v>
      </c>
      <c r="F27" s="18">
        <f t="shared" si="0"/>
        <v>267807.88295343635</v>
      </c>
      <c r="G27" s="18">
        <f t="shared" si="4"/>
        <v>8219858.8967922674</v>
      </c>
      <c r="H27" s="18">
        <f t="shared" si="1"/>
        <v>6205993.4278828204</v>
      </c>
      <c r="I27" s="18">
        <f t="shared" si="5"/>
        <v>6284943.4333379129</v>
      </c>
      <c r="J27" s="18">
        <f t="shared" si="2"/>
        <v>6205993.4278828204</v>
      </c>
      <c r="K27" s="18">
        <f t="shared" si="3"/>
        <v>-78950.005455092527</v>
      </c>
      <c r="L27" s="17">
        <f t="shared" si="6"/>
        <v>0</v>
      </c>
      <c r="M27" s="22">
        <f>VLOOKUP(A27,'[3]model1&amp;RSI'!$A:$K,11)</f>
        <v>1.522906029356097E-2</v>
      </c>
      <c r="N27" s="22">
        <f>VLOOKUP(A27,'[3]model1&amp;RSI'!$A:$M,13)</f>
        <v>3.1869089876101056E-2</v>
      </c>
      <c r="O27" s="22">
        <f>VLOOKUP(A27,'[3]model1&amp;RSI'!$A:$N,14)</f>
        <v>47.786304387002254</v>
      </c>
      <c r="P27" s="1">
        <f t="shared" si="10"/>
        <v>0.95</v>
      </c>
    </row>
    <row r="28" spans="1:16" ht="12.75" x14ac:dyDescent="0.2">
      <c r="A28" s="15">
        <v>45138</v>
      </c>
      <c r="B28" s="31">
        <f>VLOOKUP(A28,[1]HwabaoWP_szse_innovation_100!$A:$E,5)</f>
        <v>0.76099997758865356</v>
      </c>
      <c r="C28" s="16">
        <f>VLOOKUP(A28,[2]myPEPB!$B:$C,2,FALSE)</f>
        <v>22.409999847412109</v>
      </c>
      <c r="D28" s="17">
        <f>VLOOKUP(A28,[2]myPEPB!$B:$D,3,FALSE)</f>
        <v>29.26302162741802</v>
      </c>
      <c r="E28" s="17">
        <f t="shared" si="9"/>
        <v>176232.06295842573</v>
      </c>
      <c r="F28" s="18">
        <f t="shared" si="0"/>
        <v>231579.59020819468</v>
      </c>
      <c r="G28" s="18">
        <f t="shared" si="4"/>
        <v>8451438.4870004617</v>
      </c>
      <c r="H28" s="18">
        <f t="shared" si="1"/>
        <v>6431544.4991992358</v>
      </c>
      <c r="I28" s="18">
        <f t="shared" si="5"/>
        <v>6461175.4962963387</v>
      </c>
      <c r="J28" s="18">
        <f t="shared" si="2"/>
        <v>6431544.4991992358</v>
      </c>
      <c r="K28" s="18">
        <f t="shared" si="3"/>
        <v>-29630.997097102925</v>
      </c>
      <c r="L28" s="17">
        <f t="shared" si="6"/>
        <v>0</v>
      </c>
      <c r="M28" s="22">
        <f>VLOOKUP(A28,'[3]model1&amp;RSI'!$A:$K,11)</f>
        <v>1.3690880637471666E-2</v>
      </c>
      <c r="N28" s="22">
        <f>VLOOKUP(A28,'[3]model1&amp;RSI'!$A:$M,13)</f>
        <v>2.7557571956255068E-2</v>
      </c>
      <c r="O28" s="22">
        <f>VLOOKUP(A28,'[3]model1&amp;RSI'!$A:$N,14)</f>
        <v>49.681012025314104</v>
      </c>
      <c r="P28" s="1">
        <f t="shared" si="10"/>
        <v>0.95</v>
      </c>
    </row>
    <row r="29" spans="1:16" ht="12.75" x14ac:dyDescent="0.2">
      <c r="A29" s="15">
        <v>45169</v>
      </c>
      <c r="B29" s="31">
        <f>VLOOKUP(A29,[1]HwabaoWP_szse_innovation_100!$A:$E,5)</f>
        <v>0.71399998664855957</v>
      </c>
      <c r="C29" s="16">
        <f>VLOOKUP(A29,[2]myPEPB!$B:$C,2,FALSE)</f>
        <v>20.899999618530273</v>
      </c>
      <c r="D29" s="17">
        <f>VLOOKUP(A29,[2]myPEPB!$B:$D,3,FALSE)</f>
        <v>28.951898116056832</v>
      </c>
      <c r="E29" s="17">
        <f t="shared" si="9"/>
        <v>243286.09297780032</v>
      </c>
      <c r="F29" s="18">
        <f t="shared" si="0"/>
        <v>340736.83127048716</v>
      </c>
      <c r="G29" s="18">
        <f t="shared" si="4"/>
        <v>8792175.3182709496</v>
      </c>
      <c r="H29" s="18">
        <f t="shared" si="1"/>
        <v>6277613.059857253</v>
      </c>
      <c r="I29" s="18">
        <f t="shared" si="5"/>
        <v>6704461.5892741391</v>
      </c>
      <c r="J29" s="18">
        <f t="shared" si="2"/>
        <v>6277613.059857253</v>
      </c>
      <c r="K29" s="18">
        <f t="shared" si="3"/>
        <v>-426848.52941688616</v>
      </c>
      <c r="L29" s="17">
        <f t="shared" si="6"/>
        <v>0</v>
      </c>
      <c r="M29" s="22">
        <f>VLOOKUP(A29,'[3]model1&amp;RSI'!$A:$K,11)</f>
        <v>1.1409067197893056E-2</v>
      </c>
      <c r="N29" s="22">
        <f>VLOOKUP(A29,'[3]model1&amp;RSI'!$A:$M,13)</f>
        <v>3.0797975120228221E-2</v>
      </c>
      <c r="O29" s="22">
        <f>VLOOKUP(A29,'[3]model1&amp;RSI'!$A:$N,14)</f>
        <v>37.04486140194178</v>
      </c>
      <c r="P29" s="1">
        <f t="shared" si="10"/>
        <v>0.95</v>
      </c>
    </row>
    <row r="30" spans="1:16" ht="12.75" x14ac:dyDescent="0.2">
      <c r="A30" s="15">
        <v>45197</v>
      </c>
      <c r="B30" s="31">
        <f>VLOOKUP(A30,[1]HwabaoWP_szse_innovation_100!$A:$E,5)</f>
        <v>0.68500000238418579</v>
      </c>
      <c r="C30" s="16">
        <f>VLOOKUP(A30,[2]myPEPB!$B:$C,2,FALSE)</f>
        <v>19.25</v>
      </c>
      <c r="D30" s="17">
        <f>VLOOKUP(A30,[2]myPEPB!$B:$D,3,FALSE)</f>
        <v>28.642033273139454</v>
      </c>
      <c r="E30" s="17">
        <f t="shared" si="9"/>
        <v>331009.10948660417</v>
      </c>
      <c r="F30" s="18">
        <f t="shared" si="0"/>
        <v>483224.97567081172</v>
      </c>
      <c r="G30" s="18">
        <f t="shared" si="4"/>
        <v>9275400.2939417623</v>
      </c>
      <c r="H30" s="18">
        <f t="shared" si="1"/>
        <v>6353649.2234643847</v>
      </c>
      <c r="I30" s="18">
        <f t="shared" si="5"/>
        <v>7035470.6987607433</v>
      </c>
      <c r="J30" s="18">
        <f t="shared" si="2"/>
        <v>6353649.2234643847</v>
      </c>
      <c r="K30" s="18">
        <f t="shared" si="3"/>
        <v>-681821.47529635858</v>
      </c>
      <c r="L30" s="17">
        <f t="shared" si="6"/>
        <v>0</v>
      </c>
      <c r="M30" s="22">
        <f>VLOOKUP(A30,'[3]model1&amp;RSI'!$A:$K,11)</f>
        <v>9.5075559982442139E-3</v>
      </c>
      <c r="N30" s="22">
        <f>VLOOKUP(A30,'[3]model1&amp;RSI'!$A:$M,13)</f>
        <v>3.0498309977585816E-2</v>
      </c>
      <c r="O30" s="22">
        <f>VLOOKUP(A30,'[3]model1&amp;RSI'!$A:$N,14)</f>
        <v>31.174042119814576</v>
      </c>
      <c r="P30" s="1">
        <f t="shared" si="10"/>
        <v>0.95</v>
      </c>
    </row>
    <row r="31" spans="1:16" ht="12.75" x14ac:dyDescent="0.2">
      <c r="A31" s="15">
        <v>45230</v>
      </c>
      <c r="B31" s="31">
        <f>VLOOKUP(A31,[1]HwabaoWP_szse_innovation_100!$A:$E,5)</f>
        <v>0.66299998760223389</v>
      </c>
      <c r="C31" s="16">
        <f>VLOOKUP(A31,[2]myPEPB!$B:$C,2,FALSE)</f>
        <v>18.770000457763672</v>
      </c>
      <c r="D31" s="17">
        <f>VLOOKUP(A31,[2]myPEPB!$B:$D,3,FALSE)</f>
        <v>28.372122112939287</v>
      </c>
      <c r="E31" s="17">
        <f t="shared" si="9"/>
        <v>345983.27790367388</v>
      </c>
      <c r="F31" s="18">
        <f t="shared" si="0"/>
        <v>521845.07446966373</v>
      </c>
      <c r="G31" s="18">
        <f t="shared" si="4"/>
        <v>9797245.3684114255</v>
      </c>
      <c r="H31" s="18">
        <f t="shared" si="1"/>
        <v>6495573.5577928182</v>
      </c>
      <c r="I31" s="18">
        <f t="shared" si="5"/>
        <v>7381453.9766644174</v>
      </c>
      <c r="J31" s="18">
        <f t="shared" si="2"/>
        <v>6495573.5577928182</v>
      </c>
      <c r="K31" s="18">
        <f t="shared" si="3"/>
        <v>-885880.41887159925</v>
      </c>
      <c r="L31" s="17">
        <f t="shared" si="6"/>
        <v>0</v>
      </c>
      <c r="M31" s="22">
        <f>VLOOKUP(A31,'[3]model1&amp;RSI'!$A:$K,11)</f>
        <v>7.9229633318701771E-3</v>
      </c>
      <c r="N31" s="22">
        <f>VLOOKUP(A31,'[3]model1&amp;RSI'!$A:$M,13)</f>
        <v>2.9081927444980161E-2</v>
      </c>
      <c r="O31" s="22">
        <f>VLOOKUP(A31,'[3]model1&amp;RSI'!$A:$N,14)</f>
        <v>27.24359775279531</v>
      </c>
      <c r="P31" s="1">
        <f t="shared" si="10"/>
        <v>0.95</v>
      </c>
    </row>
    <row r="32" spans="1:16" ht="12.75" x14ac:dyDescent="0.2">
      <c r="A32" s="15">
        <v>45260</v>
      </c>
      <c r="B32" s="31">
        <f>VLOOKUP(A32,[1]HwabaoWP_szse_innovation_100!$A:$E,5)</f>
        <v>0.65100002288818359</v>
      </c>
      <c r="C32" s="16">
        <f>VLOOKUP(A32,[2]myPEPB!$B:$C,2,FALSE)</f>
        <v>17.930000305175781</v>
      </c>
      <c r="D32" s="17">
        <f>VLOOKUP(A32,[2]myPEPB!$B:$D,3,FALSE)</f>
        <v>28.031817642334733</v>
      </c>
      <c r="E32" s="17">
        <f t="shared" si="9"/>
        <v>382930.29245875269</v>
      </c>
      <c r="F32" s="18">
        <f t="shared" si="0"/>
        <v>588218.55452457513</v>
      </c>
      <c r="G32" s="18">
        <f t="shared" si="4"/>
        <v>10385463.922936</v>
      </c>
      <c r="H32" s="18">
        <f t="shared" si="1"/>
        <v>6760937.2515357407</v>
      </c>
      <c r="I32" s="18">
        <f t="shared" si="5"/>
        <v>7764384.2691231705</v>
      </c>
      <c r="J32" s="18">
        <f t="shared" si="2"/>
        <v>6760937.2515357407</v>
      </c>
      <c r="K32" s="18">
        <f t="shared" si="3"/>
        <v>-1003447.0175874298</v>
      </c>
      <c r="L32" s="17">
        <f t="shared" si="6"/>
        <v>0</v>
      </c>
      <c r="M32" s="22">
        <f>VLOOKUP(A32,'[3]model1&amp;RSI'!$A:$K,11)</f>
        <v>6.6024694432251473E-3</v>
      </c>
      <c r="N32" s="22">
        <f>VLOOKUP(A32,'[3]model1&amp;RSI'!$A:$M,13)</f>
        <v>2.6234933656491849E-2</v>
      </c>
      <c r="O32" s="22">
        <f>VLOOKUP(A32,'[3]model1&amp;RSI'!$A:$N,14)</f>
        <v>25.166709127893537</v>
      </c>
      <c r="P32" s="1">
        <f t="shared" si="10"/>
        <v>0.95</v>
      </c>
    </row>
    <row r="33" spans="1:16" ht="12.75" x14ac:dyDescent="0.2">
      <c r="A33" s="15">
        <v>45289</v>
      </c>
      <c r="B33" s="31">
        <f>VLOOKUP(A33,[1]HwabaoWP_szse_innovation_100!$A:$E,5)</f>
        <v>0.64499998092651367</v>
      </c>
      <c r="C33" s="16">
        <f>VLOOKUP(A33,[2]myPEPB!$B:$C,2,FALSE)</f>
        <v>17.709999084472656</v>
      </c>
      <c r="D33" s="17">
        <f>VLOOKUP(A33,[2]myPEPB!$B:$D,3,FALSE)</f>
        <v>27.695688453026897</v>
      </c>
      <c r="E33" s="17">
        <f t="shared" si="9"/>
        <v>374176.75560012757</v>
      </c>
      <c r="F33" s="18">
        <f t="shared" si="0"/>
        <v>580119.01808530185</v>
      </c>
      <c r="G33" s="18">
        <f t="shared" si="4"/>
        <v>10965582.941021301</v>
      </c>
      <c r="H33" s="18">
        <f t="shared" si="1"/>
        <v>7072800.7878068425</v>
      </c>
      <c r="I33" s="18">
        <f t="shared" si="5"/>
        <v>8138561.0247232979</v>
      </c>
      <c r="J33" s="18">
        <f t="shared" si="2"/>
        <v>7072800.7878068425</v>
      </c>
      <c r="K33" s="18">
        <f t="shared" si="3"/>
        <v>-1065760.2369164554</v>
      </c>
      <c r="L33" s="17">
        <f t="shared" si="6"/>
        <v>0</v>
      </c>
      <c r="M33" s="22">
        <f>VLOOKUP(A33,'[3]model1&amp;RSI'!$A:$K,11)</f>
        <v>5.5020578693542902E-3</v>
      </c>
      <c r="N33" s="22">
        <f>VLOOKUP(A33,'[3]model1&amp;RSI'!$A:$M,13)</f>
        <v>2.2862451707354861E-2</v>
      </c>
      <c r="O33" s="22">
        <f>VLOOKUP(A33,'[3]model1&amp;RSI'!$A:$N,14)</f>
        <v>24.065913576470347</v>
      </c>
      <c r="P33" s="1">
        <f t="shared" si="10"/>
        <v>0.95</v>
      </c>
    </row>
    <row r="34" spans="1:16" ht="12.75" x14ac:dyDescent="0.2">
      <c r="A34" s="15">
        <v>45322</v>
      </c>
      <c r="B34" s="31">
        <f>VLOOKUP(A34,[1]HwabaoWP_szse_innovation_100!$A:$E,5)</f>
        <v>0.56099998950958252</v>
      </c>
      <c r="C34" s="16">
        <f>VLOOKUP(A34,[2]myPEPB!$B:$C,2,FALSE)</f>
        <v>15.380000114440918</v>
      </c>
      <c r="D34" s="17">
        <f>VLOOKUP(A34,[2]myPEPB!$B:$D,3,FALSE)</f>
        <v>27.336624376243282</v>
      </c>
      <c r="E34" s="17">
        <f t="shared" si="9"/>
        <v>564695.41176478763</v>
      </c>
      <c r="F34" s="18">
        <f t="shared" si="0"/>
        <v>1006587.2055691759</v>
      </c>
      <c r="G34" s="18">
        <f t="shared" si="4"/>
        <v>11972170.146590477</v>
      </c>
      <c r="H34" s="18">
        <f t="shared" si="1"/>
        <v>6716387.3266441943</v>
      </c>
      <c r="I34" s="18">
        <f t="shared" si="5"/>
        <v>8703256.4364880864</v>
      </c>
      <c r="J34" s="18">
        <f t="shared" si="2"/>
        <v>6716387.3266441943</v>
      </c>
      <c r="K34" s="18">
        <f t="shared" si="3"/>
        <v>-1986869.109843892</v>
      </c>
      <c r="L34" s="17">
        <f t="shared" si="6"/>
        <v>0</v>
      </c>
      <c r="M34" s="22">
        <f>VLOOKUP(A34,'[3]model1&amp;RSI'!$A:$K,11)</f>
        <v>4.5850482244619087E-3</v>
      </c>
      <c r="N34" s="22">
        <f>VLOOKUP(A34,'[3]model1&amp;RSI'!$A:$M,13)</f>
        <v>3.3052041658950905E-2</v>
      </c>
      <c r="O34" s="22">
        <f>VLOOKUP(A34,'[3]model1&amp;RSI'!$A:$N,14)</f>
        <v>13.872208778425705</v>
      </c>
      <c r="P34" s="1">
        <f t="shared" si="10"/>
        <v>1</v>
      </c>
    </row>
    <row r="35" spans="1:16" ht="12.75" x14ac:dyDescent="0.2">
      <c r="A35" s="15">
        <v>45351</v>
      </c>
      <c r="B35" s="31">
        <f>VLOOKUP(A35,[1]HwabaoWP_szse_innovation_100!$A:$E,5)</f>
        <v>0.6380000114440918</v>
      </c>
      <c r="C35" s="16">
        <f>VLOOKUP(A35,[2]myPEPB!$B:$C,2,FALSE)</f>
        <v>17.479999542236328</v>
      </c>
      <c r="D35" s="17">
        <f>VLOOKUP(A35,[2]myPEPB!$B:$D,3,FALSE)</f>
        <v>27.106454818762419</v>
      </c>
      <c r="E35" s="17">
        <f t="shared" si="9"/>
        <v>732082.2654085604</v>
      </c>
      <c r="F35" s="18">
        <f t="shared" si="0"/>
        <v>1147464.3452615566</v>
      </c>
      <c r="G35" s="18">
        <f t="shared" si="4"/>
        <v>13119634.491852034</v>
      </c>
      <c r="H35" s="18">
        <f t="shared" si="1"/>
        <v>8370326.9559438992</v>
      </c>
      <c r="I35" s="18">
        <f t="shared" si="5"/>
        <v>9435338.701896647</v>
      </c>
      <c r="J35" s="18">
        <f t="shared" si="2"/>
        <v>8370326.9559438992</v>
      </c>
      <c r="K35" s="18">
        <f t="shared" si="3"/>
        <v>-1065011.7459527478</v>
      </c>
      <c r="L35" s="17">
        <f t="shared" si="6"/>
        <v>0</v>
      </c>
      <c r="M35" s="22">
        <f>VLOOKUP(A35,'[3]model1&amp;RSI'!$A:$K,11)</f>
        <v>1.6654210509469802E-2</v>
      </c>
      <c r="N35" s="22">
        <f>VLOOKUP(A35,'[3]model1&amp;RSI'!$A:$M,13)</f>
        <v>4.0376705038210635E-2</v>
      </c>
      <c r="O35" s="22">
        <f>VLOOKUP(A35,'[3]model1&amp;RSI'!$A:$N,14)</f>
        <v>41.247076733252584</v>
      </c>
      <c r="P35" s="1">
        <f t="shared" si="10"/>
        <v>2</v>
      </c>
    </row>
    <row r="36" spans="1:16" ht="12.75" x14ac:dyDescent="0.2">
      <c r="A36" s="15">
        <v>45380</v>
      </c>
      <c r="B36" s="31">
        <f>VLOOKUP(A36,[1]HwabaoWP_szse_innovation_100!$A:$E,5)</f>
        <v>0.64600002765655518</v>
      </c>
      <c r="C36" s="16">
        <f>VLOOKUP(A36,[2]myPEPB!$B:$C,2,FALSE)</f>
        <v>17.700000762939453</v>
      </c>
      <c r="D36" s="17">
        <f>VLOOKUP(A36,[2]myPEPB!$B:$D,3,FALSE)</f>
        <v>26.839674750359887</v>
      </c>
      <c r="E36" s="17">
        <f t="shared" si="9"/>
        <v>313459.98633772728</v>
      </c>
      <c r="F36" s="18">
        <f t="shared" si="0"/>
        <v>485232.15621962445</v>
      </c>
      <c r="G36" s="18">
        <f t="shared" si="4"/>
        <v>13604866.648071658</v>
      </c>
      <c r="H36" s="18">
        <f t="shared" si="1"/>
        <v>8788744.2309180368</v>
      </c>
      <c r="I36" s="18">
        <f t="shared" si="5"/>
        <v>9748798.6882343739</v>
      </c>
      <c r="J36" s="18">
        <f t="shared" si="2"/>
        <v>8788744.2309180368</v>
      </c>
      <c r="K36" s="18">
        <f t="shared" si="3"/>
        <v>-960054.45731633715</v>
      </c>
      <c r="L36" s="17">
        <f t="shared" si="6"/>
        <v>0</v>
      </c>
      <c r="M36" s="22">
        <f>VLOOKUP(A36,'[3]model1&amp;RSI'!$A:$K,11)</f>
        <v>1.5211844793302065E-2</v>
      </c>
      <c r="N36" s="22">
        <f>VLOOKUP(A36,'[3]model1&amp;RSI'!$A:$M,13)</f>
        <v>3.4980590233919424E-2</v>
      </c>
      <c r="O36" s="22">
        <f>VLOOKUP(A36,'[3]model1&amp;RSI'!$A:$N,14)</f>
        <v>43.48652979146042</v>
      </c>
      <c r="P36" s="1">
        <f t="shared" si="10"/>
        <v>0.95</v>
      </c>
    </row>
    <row r="37" spans="1:16" ht="12.75" x14ac:dyDescent="0.2">
      <c r="A37" s="15">
        <v>45412</v>
      </c>
      <c r="B37" s="31">
        <f>VLOOKUP(A37,[1]HwabaoWP_szse_innovation_100!$A:$E,5)</f>
        <v>0.66399997472763062</v>
      </c>
      <c r="C37" s="16">
        <f>VLOOKUP(A37,[2]myPEPB!$B:$C,2,FALSE)</f>
        <v>18.110000610351563</v>
      </c>
      <c r="D37" s="17">
        <f>VLOOKUP(A37,[2]myPEPB!$B:$D,3,FALSE)</f>
        <v>26.594314356937268</v>
      </c>
      <c r="E37" s="17">
        <f t="shared" si="9"/>
        <v>270118.38301376312</v>
      </c>
      <c r="F37" s="18">
        <f t="shared" si="0"/>
        <v>406804.80917874177</v>
      </c>
      <c r="G37" s="18">
        <f t="shared" si="4"/>
        <v>14011671.4572504</v>
      </c>
      <c r="H37" s="18">
        <f t="shared" si="1"/>
        <v>9303749.493506128</v>
      </c>
      <c r="I37" s="18">
        <f t="shared" si="5"/>
        <v>10018917.071248136</v>
      </c>
      <c r="J37" s="18">
        <f t="shared" si="2"/>
        <v>9303749.493506128</v>
      </c>
      <c r="K37" s="18">
        <f t="shared" si="3"/>
        <v>-715167.57774200849</v>
      </c>
      <c r="L37" s="17">
        <f t="shared" si="6"/>
        <v>0</v>
      </c>
      <c r="M37" s="22">
        <f>VLOOKUP(A37,'[3]model1&amp;RSI'!$A:$K,11)</f>
        <v>1.5676528506264293E-2</v>
      </c>
      <c r="N37" s="22">
        <f>VLOOKUP(A37,'[3]model1&amp;RSI'!$A:$M,13)</f>
        <v>3.2150483040112095E-2</v>
      </c>
      <c r="O37" s="22">
        <f>VLOOKUP(A37,'[3]model1&amp;RSI'!$A:$N,14)</f>
        <v>48.759853737518327</v>
      </c>
      <c r="P37" s="1">
        <f t="shared" si="10"/>
        <v>0.95</v>
      </c>
    </row>
    <row r="38" spans="1:16" ht="12.75" x14ac:dyDescent="0.2">
      <c r="A38" s="15">
        <v>45443</v>
      </c>
      <c r="B38" s="31">
        <f>VLOOKUP(A38,[1]HwabaoWP_szse_innovation_100!$A:$E,5)</f>
        <v>0.64999997615814209</v>
      </c>
      <c r="C38" s="16">
        <f>VLOOKUP(A38,[2]myPEPB!$B:$C,2,FALSE)</f>
        <v>18.329999919999999</v>
      </c>
      <c r="D38" s="17">
        <f>VLOOKUP(A38,[2]myPEPB!$B:$D,3,FALSE)</f>
        <v>26.389717901760058</v>
      </c>
      <c r="E38" s="17">
        <f t="shared" si="9"/>
        <v>243758.84993051292</v>
      </c>
      <c r="F38" s="18">
        <f t="shared" si="0"/>
        <v>375013.62903313013</v>
      </c>
      <c r="G38" s="18">
        <f t="shared" si="4"/>
        <v>14386685.086283529</v>
      </c>
      <c r="H38" s="18">
        <f t="shared" si="1"/>
        <v>9351344.9630789924</v>
      </c>
      <c r="I38" s="18">
        <f t="shared" si="5"/>
        <v>10262675.92117865</v>
      </c>
      <c r="J38" s="18">
        <f t="shared" si="2"/>
        <v>9351344.9630789924</v>
      </c>
      <c r="K38" s="18">
        <f t="shared" si="3"/>
        <v>-911330.95809965767</v>
      </c>
      <c r="L38" s="17">
        <f t="shared" si="6"/>
        <v>0</v>
      </c>
      <c r="M38" s="22">
        <f>VLOOKUP(A38,'[3]model1&amp;RSI'!$A:$K,11)</f>
        <v>1.3063773755220243E-2</v>
      </c>
      <c r="N38" s="22">
        <f>VLOOKUP(A38,'[3]model1&amp;RSI'!$A:$M,13)</f>
        <v>2.9125402295008165E-2</v>
      </c>
      <c r="O38" s="22">
        <f>VLOOKUP(A38,'[3]model1&amp;RSI'!$A:$N,14)</f>
        <v>44.853539267539169</v>
      </c>
      <c r="P38" s="1">
        <f t="shared" si="10"/>
        <v>0.95</v>
      </c>
    </row>
    <row r="39" spans="1:16" ht="12.75" x14ac:dyDescent="0.2">
      <c r="A39" s="15">
        <v>45471</v>
      </c>
      <c r="B39" s="31">
        <f>VLOOKUP(A39,[1]HwabaoWP_szse_innovation_100!$A:$E,5)</f>
        <v>0.63599997758865356</v>
      </c>
      <c r="C39" s="16">
        <f>VLOOKUP(A39,[2]myPEPB!$B:$C,2,FALSE)</f>
        <v>17.86000061</v>
      </c>
      <c r="D39" s="17">
        <f>VLOOKUP(A39,[2]myPEPB!$B:$D,3,FALSE)</f>
        <v>26.193870144829649</v>
      </c>
      <c r="E39" s="17">
        <f t="shared" si="9"/>
        <v>260623.81379191545</v>
      </c>
      <c r="F39" s="18">
        <f t="shared" si="0"/>
        <v>409785.88518202654</v>
      </c>
      <c r="G39" s="18">
        <f t="shared" si="4"/>
        <v>14796470.971465556</v>
      </c>
      <c r="H39" s="18">
        <f t="shared" si="1"/>
        <v>9410555.2062432561</v>
      </c>
      <c r="I39" s="18">
        <f t="shared" si="5"/>
        <v>10523299.734970566</v>
      </c>
      <c r="J39" s="18">
        <f t="shared" si="2"/>
        <v>9410555.2062432561</v>
      </c>
      <c r="K39" s="18">
        <f t="shared" si="3"/>
        <v>-1112744.5287273098</v>
      </c>
      <c r="L39" s="17">
        <f t="shared" si="6"/>
        <v>0</v>
      </c>
      <c r="M39" s="22">
        <f>VLOOKUP(A39,'[3]model1&amp;RSI'!$A:$K,11)</f>
        <v>1.0886478129350202E-2</v>
      </c>
      <c r="N39" s="22">
        <f>VLOOKUP(A39,'[3]model1&amp;RSI'!$A:$M,13)</f>
        <v>2.6604501674088222E-2</v>
      </c>
      <c r="O39" s="22">
        <f>VLOOKUP(A39,'[3]model1&amp;RSI'!$A:$N,14)</f>
        <v>40.919684430523347</v>
      </c>
      <c r="P39" s="1">
        <f t="shared" si="10"/>
        <v>0.95</v>
      </c>
    </row>
    <row r="40" spans="1:16" ht="12.75" x14ac:dyDescent="0.2">
      <c r="A40" s="15">
        <v>45504</v>
      </c>
      <c r="B40" s="31">
        <f>VLOOKUP(A40,[1]HwabaoWP_szse_innovation_100!$A:$E,5)</f>
        <v>0.63300001621246338</v>
      </c>
      <c r="C40" s="16">
        <f>VLOOKUP(A40,[2]myPEPB!$B:$C,2,FALSE)</f>
        <v>17.709999079999999</v>
      </c>
      <c r="D40" s="17">
        <f>VLOOKUP(A40,[2]myPEPB!$B:$D,3,FALSE)</f>
        <v>25.951256745485065</v>
      </c>
      <c r="E40" s="17">
        <f t="shared" si="9"/>
        <v>254863.52547820861</v>
      </c>
      <c r="F40" s="18">
        <f t="shared" si="0"/>
        <v>402627.99202309171</v>
      </c>
      <c r="G40" s="18">
        <f t="shared" si="4"/>
        <v>15199098.963488648</v>
      </c>
      <c r="H40" s="18">
        <f t="shared" si="1"/>
        <v>9621029.8903031498</v>
      </c>
      <c r="I40" s="18">
        <f t="shared" si="5"/>
        <v>10778163.260448774</v>
      </c>
      <c r="J40" s="18">
        <f t="shared" si="2"/>
        <v>9621029.8903031498</v>
      </c>
      <c r="K40" s="18">
        <f t="shared" si="3"/>
        <v>-1157133.3701456245</v>
      </c>
      <c r="L40" s="17">
        <f t="shared" si="6"/>
        <v>0</v>
      </c>
      <c r="M40" s="22">
        <f>VLOOKUP(A40,'[3]model1&amp;RSI'!$A:$K,11)</f>
        <v>9.0720651077918352E-3</v>
      </c>
      <c r="N40" s="22">
        <f>VLOOKUP(A40,'[3]model1&amp;RSI'!$A:$M,13)</f>
        <v>2.2670411624438547E-2</v>
      </c>
      <c r="O40" s="22">
        <f>VLOOKUP(A40,'[3]model1&amp;RSI'!$A:$N,14)</f>
        <v>40.017205060415456</v>
      </c>
      <c r="P40" s="1">
        <f t="shared" si="10"/>
        <v>0.95</v>
      </c>
    </row>
    <row r="41" spans="1:16" ht="12.75" x14ac:dyDescent="0.2">
      <c r="A41" s="15">
        <v>45534</v>
      </c>
      <c r="B41" s="31">
        <f>VLOOKUP(A41,[1]HwabaoWP_szse_innovation_100!$A:$E,5)</f>
        <v>0.61000001430511475</v>
      </c>
      <c r="C41" s="16">
        <f>VLOOKUP(A41,[2]myPEPB!$B:$C,2,FALSE)</f>
        <v>20.56999969</v>
      </c>
      <c r="D41" s="17">
        <f>VLOOKUP(A41,[2]myPEPB!$B:$D,3,FALSE)</f>
        <v>25.729715551720684</v>
      </c>
      <c r="E41" s="17">
        <f t="shared" si="9"/>
        <v>99901.560820779327</v>
      </c>
      <c r="F41" s="18">
        <f t="shared" si="0"/>
        <v>163773.04668522475</v>
      </c>
      <c r="G41" s="18">
        <f t="shared" si="4"/>
        <v>15362872.010173872</v>
      </c>
      <c r="H41" s="18">
        <f t="shared" si="1"/>
        <v>9371352.1459737085</v>
      </c>
      <c r="I41" s="18">
        <f t="shared" si="5"/>
        <v>10878064.821269553</v>
      </c>
      <c r="J41" s="18">
        <f t="shared" si="2"/>
        <v>9371352.1459737085</v>
      </c>
      <c r="K41" s="18">
        <f t="shared" si="3"/>
        <v>-1506712.6752958447</v>
      </c>
      <c r="L41" s="17">
        <f t="shared" si="6"/>
        <v>0</v>
      </c>
      <c r="M41" s="22">
        <f>VLOOKUP(A41,'[3]model1&amp;RSI'!$A:$K,11)</f>
        <v>7.5600542564931957E-3</v>
      </c>
      <c r="N41" s="22">
        <f>VLOOKUP(A41,'[3]model1&amp;RSI'!$A:$M,13)</f>
        <v>2.2725343338256893E-2</v>
      </c>
      <c r="O41" s="22">
        <f>VLOOKUP(A41,'[3]model1&amp;RSI'!$A:$N,14)</f>
        <v>33.267062873220716</v>
      </c>
      <c r="P41" s="1">
        <f t="shared" si="10"/>
        <v>0.95</v>
      </c>
    </row>
    <row r="42" spans="1:16" ht="12.75" x14ac:dyDescent="0.2">
      <c r="A42" s="15">
        <v>45565</v>
      </c>
      <c r="B42" s="31">
        <f>VLOOKUP(A42,[1]HwabaoWP_szse_innovation_100!$A:$E,5)</f>
        <v>0.76700001955032349</v>
      </c>
      <c r="C42" s="16">
        <f>VLOOKUP(A42,[2]myPEPB!$B:$C,2,FALSE)</f>
        <v>25.239999770000001</v>
      </c>
      <c r="D42" s="17">
        <f>VLOOKUP(A42,[2]myPEPB!$B:$D,3,FALSE)</f>
        <v>25.607882301446285</v>
      </c>
      <c r="E42" s="17">
        <f t="shared" si="9"/>
        <v>507.85418242983161</v>
      </c>
      <c r="F42" s="18">
        <f t="shared" si="0"/>
        <v>662.13059906774993</v>
      </c>
      <c r="G42" s="18">
        <f t="shared" si="4"/>
        <v>15363534.140772941</v>
      </c>
      <c r="H42" s="18">
        <f t="shared" si="1"/>
        <v>11783830.986334907</v>
      </c>
      <c r="I42" s="18">
        <f t="shared" si="5"/>
        <v>10878572.675451983</v>
      </c>
      <c r="J42" s="18">
        <f t="shared" si="2"/>
        <v>11783830.986334907</v>
      </c>
      <c r="K42" s="18">
        <f t="shared" si="3"/>
        <v>905258.31088292412</v>
      </c>
      <c r="L42" s="17">
        <f t="shared" si="6"/>
        <v>0</v>
      </c>
      <c r="M42" s="22">
        <f>VLOOKUP(A42,'[3]model1&amp;RSI'!$A:$K,11)</f>
        <v>3.2466712754612458E-2</v>
      </c>
      <c r="N42" s="22">
        <f>VLOOKUP(A42,'[3]model1&amp;RSI'!$A:$M,13)</f>
        <v>4.5104453656082198E-2</v>
      </c>
      <c r="O42" s="22">
        <f>VLOOKUP(A42,'[3]model1&amp;RSI'!$A:$N,14)</f>
        <v>71.981168427775472</v>
      </c>
      <c r="P42" s="1">
        <f t="shared" si="10"/>
        <v>0.95</v>
      </c>
    </row>
    <row r="43" spans="1:16" ht="12.75" x14ac:dyDescent="0.2">
      <c r="A43" s="15">
        <v>45596</v>
      </c>
      <c r="B43" s="31">
        <f>VLOOKUP(A43,[1]HwabaoWP_szse_innovation_100!$A:$E,5)</f>
        <v>0.77700001001358032</v>
      </c>
      <c r="C43" s="16">
        <f>VLOOKUP(A43,[2]myPEPB!$B:$C,2,FALSE)</f>
        <v>24.940000529999999</v>
      </c>
      <c r="D43" s="17">
        <f>VLOOKUP(A43,[2]myPEPB!$B:$D,3,FALSE)</f>
        <v>25.600824703771881</v>
      </c>
      <c r="E43" s="17">
        <f t="shared" si="9"/>
        <v>344.98398502661962</v>
      </c>
      <c r="F43" s="18">
        <f t="shared" si="0"/>
        <v>443.99482700211297</v>
      </c>
      <c r="G43" s="18">
        <f t="shared" si="4"/>
        <v>15363978.135599943</v>
      </c>
      <c r="H43" s="18">
        <f t="shared" si="1"/>
        <v>11937811.165209584</v>
      </c>
      <c r="I43" s="18">
        <f t="shared" si="5"/>
        <v>10878917.65943701</v>
      </c>
      <c r="J43" s="18">
        <f t="shared" si="2"/>
        <v>11937811.165209584</v>
      </c>
      <c r="K43" s="18">
        <f t="shared" si="3"/>
        <v>1058893.5057725739</v>
      </c>
      <c r="L43" s="17">
        <f t="shared" si="6"/>
        <v>0</v>
      </c>
      <c r="M43" s="22">
        <f>VLOOKUP(A43,'[3]model1&amp;RSI'!$A:$K,11)</f>
        <v>2.8722259039386522E-2</v>
      </c>
      <c r="N43" s="22">
        <f>VLOOKUP(A43,'[3]model1&amp;RSI'!$A:$M,13)</f>
        <v>3.9253709790611303E-2</v>
      </c>
      <c r="O43" s="22">
        <f>VLOOKUP(A43,'[3]model1&amp;RSI'!$A:$N,14)</f>
        <v>73.17081415386707</v>
      </c>
      <c r="P43" s="1">
        <f t="shared" si="10"/>
        <v>0.2</v>
      </c>
    </row>
    <row r="44" spans="1:16" ht="12.75" x14ac:dyDescent="0.2">
      <c r="A44" s="15">
        <v>45625</v>
      </c>
      <c r="B44" s="31">
        <f>VLOOKUP(A44,[1]HwabaoWP_szse_innovation_100!$A:$E,5)</f>
        <v>0.78100001811981201</v>
      </c>
      <c r="C44" s="16">
        <f>VLOOKUP(A44,[2]myPEPB!$B:$C,2,FALSE)</f>
        <v>24.719999309999999</v>
      </c>
      <c r="D44" s="17">
        <f>VLOOKUP(A44,[2]myPEPB!$B:$D,3,FALSE)</f>
        <v>25.593319274370291</v>
      </c>
      <c r="E44" s="17">
        <f t="shared" si="9"/>
        <v>602.52333053250584</v>
      </c>
      <c r="F44" s="18">
        <f t="shared" si="0"/>
        <v>771.47671773814693</v>
      </c>
      <c r="G44" s="18">
        <f t="shared" si="4"/>
        <v>15364749.612317681</v>
      </c>
      <c r="H44" s="18">
        <f t="shared" si="1"/>
        <v>11999869.725626484</v>
      </c>
      <c r="I44" s="18">
        <f t="shared" si="5"/>
        <v>10879520.182767542</v>
      </c>
      <c r="J44" s="18">
        <f t="shared" si="2"/>
        <v>11999869.725626484</v>
      </c>
      <c r="K44" s="18">
        <f t="shared" si="3"/>
        <v>1120349.5428589415</v>
      </c>
      <c r="L44" s="17">
        <f t="shared" si="6"/>
        <v>0</v>
      </c>
      <c r="M44" s="22">
        <f>VLOOKUP(A44,'[3]model1&amp;RSI'!$A:$K,11)</f>
        <v>2.4601883883860715E-2</v>
      </c>
      <c r="N44" s="22">
        <f>VLOOKUP(A44,'[3]model1&amp;RSI'!$A:$M,13)</f>
        <v>3.3378092843214698E-2</v>
      </c>
      <c r="O44" s="22">
        <f>VLOOKUP(A44,'[3]model1&amp;RSI'!$A:$N,14)</f>
        <v>73.706679406225973</v>
      </c>
      <c r="P44" s="1">
        <f t="shared" si="10"/>
        <v>0.2</v>
      </c>
    </row>
    <row r="45" spans="1:16" ht="12.75" x14ac:dyDescent="0.2">
      <c r="A45" s="15">
        <v>45657</v>
      </c>
      <c r="B45" s="31">
        <f>VLOOKUP(A45,[1]HwabaoWP_szse_innovation_100!$A:$E,5)</f>
        <v>0.78899997472763062</v>
      </c>
      <c r="C45" s="16">
        <f>VLOOKUP(A45,[2]myPEPB!$B:$C,2,FALSE)</f>
        <v>24.799999239999998</v>
      </c>
      <c r="D45" s="17">
        <f>VLOOKUP(A45,[2]myPEPB!$B:$D,3,FALSE)</f>
        <v>25.579355550139105</v>
      </c>
      <c r="E45" s="17">
        <f t="shared" si="9"/>
        <v>479.84304394137899</v>
      </c>
      <c r="F45" s="18">
        <f t="shared" si="0"/>
        <v>608.16610812570025</v>
      </c>
      <c r="G45" s="18">
        <f t="shared" si="4"/>
        <v>15365357.778425807</v>
      </c>
      <c r="H45" s="18">
        <f t="shared" si="1"/>
        <v>12123266.898858964</v>
      </c>
      <c r="I45" s="18">
        <f t="shared" si="5"/>
        <v>10880000.025811484</v>
      </c>
      <c r="J45" s="18">
        <f t="shared" si="2"/>
        <v>12123266.898858964</v>
      </c>
      <c r="K45" s="18">
        <f t="shared" si="3"/>
        <v>1243266.8730474804</v>
      </c>
      <c r="L45" s="17">
        <f t="shared" si="6"/>
        <v>0</v>
      </c>
      <c r="M45" s="22">
        <f>VLOOKUP(A45,'[3]model1&amp;RSI'!$A:$K,11)</f>
        <v>2.1834896004520363E-2</v>
      </c>
      <c r="N45" s="22">
        <f>VLOOKUP(A45,'[3]model1&amp;RSI'!$A:$M,13)</f>
        <v>2.914840347064868E-2</v>
      </c>
      <c r="O45" s="22">
        <f>VLOOKUP(A45,'[3]model1&amp;RSI'!$A:$N,14)</f>
        <v>74.909406364253414</v>
      </c>
      <c r="P45" s="1">
        <f t="shared" si="10"/>
        <v>0.2</v>
      </c>
    </row>
    <row r="46" spans="1:16" ht="12.75" x14ac:dyDescent="0.2">
      <c r="A46" s="15">
        <v>45684</v>
      </c>
      <c r="B46" s="31">
        <f>VLOOKUP(A46,[1]HwabaoWP_szse_innovation_100!$A:$E,5)</f>
        <v>0.78100001811981201</v>
      </c>
      <c r="C46" s="16">
        <f>VLOOKUP(A46,[2]myPEPB!$B:$C,2,FALSE)</f>
        <v>24.409999849999998</v>
      </c>
      <c r="D46" s="17">
        <f>VLOOKUP(A46,[2]myPEPB!$B:$D,3,FALSE)</f>
        <v>25.550295783221614</v>
      </c>
      <c r="E46" s="17">
        <f t="shared" si="9"/>
        <v>1027.2171041041865</v>
      </c>
      <c r="F46" s="18">
        <f t="shared" si="0"/>
        <v>1315.2587455466651</v>
      </c>
      <c r="G46" s="18">
        <f t="shared" si="4"/>
        <v>15366673.037171355</v>
      </c>
      <c r="H46" s="18">
        <f t="shared" si="1"/>
        <v>12001371.920472054</v>
      </c>
      <c r="I46" s="18">
        <f t="shared" si="5"/>
        <v>10881027.242915587</v>
      </c>
      <c r="J46" s="18">
        <f t="shared" si="2"/>
        <v>12001371.920472054</v>
      </c>
      <c r="K46" s="18">
        <f t="shared" si="3"/>
        <v>1120344.6775564663</v>
      </c>
      <c r="L46" s="17">
        <f t="shared" si="6"/>
        <v>0</v>
      </c>
      <c r="M46" s="22">
        <f>VLOOKUP(A46,'[3]model1&amp;RSI'!$A:$K,11)</f>
        <v>1.8195746670433634E-2</v>
      </c>
      <c r="N46" s="22">
        <f>VLOOKUP(A46,'[3]model1&amp;RSI'!$A:$M,13)</f>
        <v>2.5623662326843669E-2</v>
      </c>
      <c r="O46" s="22">
        <f>VLOOKUP(A46,'[3]model1&amp;RSI'!$A:$N,14)</f>
        <v>71.01149881830726</v>
      </c>
      <c r="P46" s="1">
        <f t="shared" si="10"/>
        <v>0.2</v>
      </c>
    </row>
    <row r="47" spans="1:16" ht="12.75" x14ac:dyDescent="0.2">
      <c r="A47" s="15">
        <v>45716</v>
      </c>
      <c r="B47" s="31">
        <f>VLOOKUP(A47,[1]HwabaoWP_szse_innovation_100!$A:$E,5)</f>
        <v>0.82700002193450928</v>
      </c>
      <c r="C47" s="16">
        <f>VLOOKUP(A47,[2]myPEPB!$B:$C,2,FALSE)</f>
        <v>26.079999923706055</v>
      </c>
      <c r="D47" s="17">
        <f>VLOOKUP(A47,[2]myPEPB!$B:$D,3,FALSE)</f>
        <v>25.563306017026612</v>
      </c>
      <c r="E47" s="17">
        <f t="shared" si="9"/>
        <v>-210.90834862773511</v>
      </c>
      <c r="F47" s="18">
        <f t="shared" si="0"/>
        <v>-255.0282261593907</v>
      </c>
      <c r="G47" s="18">
        <f t="shared" si="4"/>
        <v>15366418.008945195</v>
      </c>
      <c r="H47" s="18">
        <f t="shared" si="1"/>
        <v>12708028.030452514</v>
      </c>
      <c r="I47" s="18">
        <f t="shared" si="5"/>
        <v>10881027.242915587</v>
      </c>
      <c r="J47" s="18">
        <f t="shared" si="2"/>
        <v>12708238.938801141</v>
      </c>
      <c r="K47" s="18">
        <f t="shared" si="3"/>
        <v>1827211.695885554</v>
      </c>
      <c r="L47" s="17">
        <f t="shared" si="6"/>
        <v>210.90834862773511</v>
      </c>
      <c r="M47" s="22">
        <f>VLOOKUP(A47,'[3]model1&amp;RSI'!$A:$K,11)</f>
        <v>2.2829789527810906E-2</v>
      </c>
      <c r="N47" s="22">
        <f>VLOOKUP(A47,'[3]model1&amp;RSI'!$A:$M,13)</f>
        <v>2.9019719241485931E-2</v>
      </c>
      <c r="O47" s="22">
        <f>VLOOKUP(A47,'[3]model1&amp;RSI'!$A:$N,14)</f>
        <v>78.66991867782771</v>
      </c>
      <c r="P47" s="1">
        <f t="shared" si="10"/>
        <v>0.2</v>
      </c>
    </row>
    <row r="48" spans="1:16" ht="12.75" x14ac:dyDescent="0.2">
      <c r="A48" s="15">
        <v>45747</v>
      </c>
      <c r="B48" s="31">
        <f>VLOOKUP(A48,[1]HwabaoWP_szse_innovation_100!$A:$E,5)</f>
        <v>0.81400001049041748</v>
      </c>
      <c r="C48" s="16">
        <f>VLOOKUP(A48,[2]myPEPB!$B:$C,2,FALSE)</f>
        <v>25.629999160000001</v>
      </c>
      <c r="D48" s="17">
        <f>VLOOKUP(A48,[2]myPEPB!$B:$D,3,FALSE)</f>
        <v>25.577105780548813</v>
      </c>
      <c r="E48" s="17">
        <f t="shared" si="9"/>
        <v>-2.2101905759162022</v>
      </c>
      <c r="F48" s="18">
        <f t="shared" si="0"/>
        <v>-2.7152218027424961</v>
      </c>
      <c r="G48" s="18">
        <f t="shared" si="4"/>
        <v>15366415.293723391</v>
      </c>
      <c r="H48" s="18">
        <f t="shared" si="1"/>
        <v>12508262.210290952</v>
      </c>
      <c r="I48" s="18">
        <f t="shared" si="5"/>
        <v>10881027.242915587</v>
      </c>
      <c r="J48" s="18">
        <f t="shared" si="2"/>
        <v>12508475.328830155</v>
      </c>
      <c r="K48" s="18">
        <f t="shared" si="3"/>
        <v>1627448.0859145671</v>
      </c>
      <c r="L48" s="17">
        <f t="shared" si="6"/>
        <v>213.11853920365132</v>
      </c>
      <c r="M48" s="22">
        <f>VLOOKUP(A48,'[3]model1&amp;RSI'!$A:$K,11)</f>
        <v>1.9024824606509089E-2</v>
      </c>
      <c r="N48" s="22">
        <f>VLOOKUP(A48,'[3]model1&amp;RSI'!$A:$M,13)</f>
        <v>2.6349767941920243E-2</v>
      </c>
      <c r="O48" s="22">
        <f>VLOOKUP(A48,'[3]model1&amp;RSI'!$A:$N,14)</f>
        <v>72.201108747687343</v>
      </c>
      <c r="P48" s="1">
        <f t="shared" si="10"/>
        <v>0.2</v>
      </c>
    </row>
    <row r="49" spans="1:16" ht="12.75" x14ac:dyDescent="0.2">
      <c r="A49" s="15">
        <v>45777</v>
      </c>
      <c r="B49" s="31">
        <f>VLOOKUP(A49,[1]HwabaoWP_szse_innovation_100!$A:$E,5)</f>
        <v>0.76899999380111694</v>
      </c>
      <c r="C49" s="16">
        <f>VLOOKUP(A49,[2]myPEPB!$B:$C,2,FALSE)</f>
        <v>24.010000229999999</v>
      </c>
      <c r="D49" s="17">
        <f>VLOOKUP(A49,[2]myPEPB!$B:$D,3,FALSE)</f>
        <v>25.539386200172402</v>
      </c>
      <c r="E49" s="17">
        <f t="shared" si="9"/>
        <v>1847.8269421505427</v>
      </c>
      <c r="F49" s="18">
        <f t="shared" si="0"/>
        <v>2402.8959129334376</v>
      </c>
      <c r="G49" s="18">
        <f t="shared" si="4"/>
        <v>15368818.189636325</v>
      </c>
      <c r="H49" s="18">
        <f t="shared" si="1"/>
        <v>11818621.092560828</v>
      </c>
      <c r="I49" s="18">
        <f t="shared" si="5"/>
        <v>10882875.069857739</v>
      </c>
      <c r="J49" s="18">
        <f t="shared" si="2"/>
        <v>11818834.211100031</v>
      </c>
      <c r="K49" s="18">
        <f t="shared" si="3"/>
        <v>935959.14124229178</v>
      </c>
      <c r="L49" s="17">
        <f t="shared" si="6"/>
        <v>213.11853920365132</v>
      </c>
      <c r="M49" s="22">
        <f>VLOOKUP(A49,'[3]model1&amp;RSI'!$A:$K,11)</f>
        <v>1.5854020505424241E-2</v>
      </c>
      <c r="N49" s="22">
        <f>VLOOKUP(A49,'[3]model1&amp;RSI'!$A:$M,13)</f>
        <v>2.9458142733150294E-2</v>
      </c>
      <c r="O49" s="22">
        <f>VLOOKUP(A49,'[3]model1&amp;RSI'!$A:$N,14)</f>
        <v>53.818805377649106</v>
      </c>
      <c r="P49" s="1">
        <f t="shared" si="10"/>
        <v>0.2</v>
      </c>
    </row>
    <row r="50" spans="1:16" ht="12.75" x14ac:dyDescent="0.2">
      <c r="A50" s="15">
        <v>45807</v>
      </c>
      <c r="B50" s="31">
        <f>VLOOKUP(A50,[1]HwabaoWP_szse_innovation_100!$A:$E,5)</f>
        <v>0.78200000524520874</v>
      </c>
      <c r="C50" s="16">
        <f>VLOOKUP(A50,[2]myPEPB!$B:$C,2,FALSE)</f>
        <v>23.299999239999998</v>
      </c>
      <c r="D50" s="17">
        <f>VLOOKUP(A50,[2]myPEPB!$B:$D,3,FALSE)</f>
        <v>25.506266578519043</v>
      </c>
      <c r="E50" s="17">
        <f t="shared" si="9"/>
        <v>3845.4162995225665</v>
      </c>
      <c r="F50" s="18">
        <f t="shared" si="0"/>
        <v>4917.4121147438791</v>
      </c>
      <c r="G50" s="18">
        <f t="shared" si="4"/>
        <v>15373735.601751069</v>
      </c>
      <c r="H50" s="18">
        <f t="shared" si="1"/>
        <v>12022261.321207788</v>
      </c>
      <c r="I50" s="18">
        <f t="shared" si="5"/>
        <v>10886720.486157261</v>
      </c>
      <c r="J50" s="18">
        <f t="shared" si="2"/>
        <v>12022474.439746991</v>
      </c>
      <c r="K50" s="18">
        <f t="shared" si="3"/>
        <v>1135753.95358973</v>
      </c>
      <c r="L50" s="17">
        <f t="shared" si="6"/>
        <v>213.11853920365132</v>
      </c>
      <c r="M50" s="22">
        <f>VLOOKUP(A50,'[3]model1&amp;RSI'!$A:$K,11)</f>
        <v>1.5378352328535501E-2</v>
      </c>
      <c r="N50" s="22">
        <f>VLOOKUP(A50,'[3]model1&amp;RSI'!$A:$M,13)</f>
        <v>2.6715120851640545E-2</v>
      </c>
      <c r="O50" s="22">
        <f>VLOOKUP(A50,'[3]model1&amp;RSI'!$A:$N,14)</f>
        <v>57.56422519642517</v>
      </c>
      <c r="P50" s="1">
        <f t="shared" si="10"/>
        <v>0.2</v>
      </c>
    </row>
    <row r="51" spans="1:16" ht="12.75" x14ac:dyDescent="0.2">
      <c r="A51" s="15">
        <v>45838</v>
      </c>
      <c r="B51" s="31">
        <f>VLOOKUP(A51,[1]HwabaoWP_szse_innovation_100!$A:$E,5)</f>
        <v>0.81199997663497925</v>
      </c>
      <c r="C51" s="16">
        <f>VLOOKUP(A51,[2]myPEPB!$B:$C,2,FALSE)</f>
        <v>24.299999239999998</v>
      </c>
      <c r="D51" s="17">
        <f>VLOOKUP(A51,[2]myPEPB!$B:$D,3,FALSE)</f>
        <v>25.46955573186175</v>
      </c>
      <c r="E51" s="17">
        <f t="shared" si="9"/>
        <v>1080.6112862482139</v>
      </c>
      <c r="F51" s="18">
        <f t="shared" si="0"/>
        <v>1330.8021149537351</v>
      </c>
      <c r="G51" s="18">
        <f t="shared" si="4"/>
        <v>15375066.403866023</v>
      </c>
      <c r="H51" s="18">
        <f t="shared" si="1"/>
        <v>12484553.560700465</v>
      </c>
      <c r="I51" s="18">
        <f t="shared" si="5"/>
        <v>10887801.09744351</v>
      </c>
      <c r="J51" s="18">
        <f t="shared" si="2"/>
        <v>12484766.679239668</v>
      </c>
      <c r="K51" s="18">
        <f t="shared" si="3"/>
        <v>1596965.5817961581</v>
      </c>
      <c r="L51" s="17">
        <f t="shared" si="6"/>
        <v>213.11853920365132</v>
      </c>
      <c r="M51" s="22">
        <f>VLOOKUP(A51,'[3]model1&amp;RSI'!$A:$K,11)</f>
        <v>1.7815288838741335E-2</v>
      </c>
      <c r="N51" s="22">
        <f>VLOOKUP(A51,'[3]model1&amp;RSI'!$A:$M,13)</f>
        <v>2.7262595941328873E-2</v>
      </c>
      <c r="O51" s="22">
        <f>VLOOKUP(A51,'[3]model1&amp;RSI'!$A:$N,14)</f>
        <v>65.34700098655739</v>
      </c>
      <c r="P51" s="1">
        <f t="shared" si="10"/>
        <v>0.2</v>
      </c>
    </row>
    <row r="52" spans="1:16" ht="12.75" x14ac:dyDescent="0.2">
      <c r="A52" s="15">
        <v>45869</v>
      </c>
      <c r="B52" s="31">
        <f>VLOOKUP(A52,[1]HwabaoWP_szse_innovation_100!$A:$E,5)</f>
        <v>0.84500002861022949</v>
      </c>
      <c r="C52" s="16">
        <f>VLOOKUP(A52,[2]myPEPB!$B:$C,2,FALSE)</f>
        <v>25.25</v>
      </c>
      <c r="D52" s="17">
        <f>VLOOKUP(A52,[2]myPEPB!$B:$D,3,FALSE)</f>
        <v>25.459508277435798</v>
      </c>
      <c r="E52" s="17">
        <f t="shared" si="9"/>
        <v>34.676037468151208</v>
      </c>
      <c r="F52" s="18">
        <f t="shared" si="0"/>
        <v>41.036729342107648</v>
      </c>
      <c r="G52" s="18">
        <f t="shared" si="4"/>
        <v>15375107.440595364</v>
      </c>
      <c r="H52" s="18">
        <f t="shared" si="1"/>
        <v>12991966.227188434</v>
      </c>
      <c r="I52" s="18">
        <f t="shared" si="5"/>
        <v>10887835.773480978</v>
      </c>
      <c r="J52" s="18">
        <f t="shared" si="2"/>
        <v>12992179.345727637</v>
      </c>
      <c r="K52" s="18">
        <f t="shared" si="3"/>
        <v>2104343.5722466595</v>
      </c>
      <c r="L52" s="17">
        <f t="shared" si="6"/>
        <v>213.11853920365132</v>
      </c>
      <c r="M52" s="22">
        <f>VLOOKUP(A52,'[3]model1&amp;RSI'!$A:$K,11)</f>
        <v>2.0346082694826153E-2</v>
      </c>
      <c r="N52" s="22">
        <f>VLOOKUP(A52,'[3]model1&amp;RSI'!$A:$M,13)</f>
        <v>2.82188386136491E-2</v>
      </c>
      <c r="O52" s="22">
        <f>VLOOKUP(A52,'[3]model1&amp;RSI'!$A:$N,14)</f>
        <v>72.101063312311538</v>
      </c>
      <c r="P52" s="1">
        <f t="shared" si="10"/>
        <v>0.2</v>
      </c>
    </row>
    <row r="53" spans="1:16" ht="12.75" x14ac:dyDescent="0.2">
      <c r="A53" s="15">
        <v>45898</v>
      </c>
      <c r="B53" s="31">
        <f>VLOOKUP(A53,[1]HwabaoWP_szse_innovation_100!$A:$E,5)</f>
        <v>1.0089999437332153</v>
      </c>
      <c r="C53" s="16">
        <f>VLOOKUP(A53,[2]myPEPB!$B:$C,2,FALSE)</f>
        <v>30.020000459999999</v>
      </c>
      <c r="D53" s="17">
        <f>VLOOKUP(A53,[2]myPEPB!$B:$D,3,FALSE)</f>
        <v>25.492415128467428</v>
      </c>
      <c r="E53" s="17">
        <f t="shared" si="9"/>
        <v>-16194.232858104029</v>
      </c>
      <c r="F53" s="18">
        <f t="shared" si="0"/>
        <v>-16049.785689964187</v>
      </c>
      <c r="G53" s="18">
        <f t="shared" si="4"/>
        <v>15359057.654905399</v>
      </c>
      <c r="H53" s="18">
        <f t="shared" si="1"/>
        <v>15497288.309594758</v>
      </c>
      <c r="I53" s="18">
        <f t="shared" si="5"/>
        <v>10887835.773480978</v>
      </c>
      <c r="J53" s="18">
        <f t="shared" si="2"/>
        <v>15513695.660992065</v>
      </c>
      <c r="K53" s="18">
        <f t="shared" si="3"/>
        <v>4625859.8875110876</v>
      </c>
      <c r="L53" s="17">
        <f t="shared" si="6"/>
        <v>16407.351397307681</v>
      </c>
      <c r="M53" s="22">
        <f>VLOOKUP(A53,'[3]model1&amp;RSI'!$A:$K,11)</f>
        <v>4.4288388099519432E-2</v>
      </c>
      <c r="N53" s="22">
        <f>VLOOKUP(A53,'[3]model1&amp;RSI'!$A:$M,13)</f>
        <v>5.084901803187189E-2</v>
      </c>
      <c r="O53" s="22">
        <f>VLOOKUP(A53,'[3]model1&amp;RSI'!$A:$N,14)</f>
        <v>87.097823741177677</v>
      </c>
      <c r="P53" s="1">
        <f t="shared" si="10"/>
        <v>0.2</v>
      </c>
    </row>
    <row r="54" spans="1:16" ht="12.75" x14ac:dyDescent="0.2">
      <c r="A54" s="15">
        <v>45930</v>
      </c>
      <c r="B54" s="31">
        <f>VLOOKUP(A54,[1]HwabaoWP_szse_innovation_100!$A:$E,5)</f>
        <v>1.0880000591278076</v>
      </c>
      <c r="C54" s="16">
        <f>VLOOKUP(A54,[2]myPEPB!$B:$C,2,FALSE)</f>
        <v>32.849998470000003</v>
      </c>
      <c r="D54" s="17">
        <f>VLOOKUP(A54,[2]myPEPB!$B:$D,3,FALSE)</f>
        <v>25.595553284386586</v>
      </c>
      <c r="E54" s="17">
        <f t="shared" si="9"/>
        <v>-207876.55105672523</v>
      </c>
      <c r="F54" s="18">
        <f t="shared" si="0"/>
        <v>-191062.99610256357</v>
      </c>
      <c r="G54" s="18">
        <f t="shared" si="4"/>
        <v>15167994.658802835</v>
      </c>
      <c r="H54" s="18">
        <f t="shared" si="1"/>
        <v>16502779.085627755</v>
      </c>
      <c r="I54" s="18">
        <f t="shared" si="5"/>
        <v>10887835.773480978</v>
      </c>
      <c r="J54" s="18">
        <f t="shared" si="2"/>
        <v>16727062.988081789</v>
      </c>
      <c r="K54" s="18">
        <f t="shared" si="3"/>
        <v>5839227.2146008108</v>
      </c>
      <c r="L54" s="17">
        <f t="shared" si="6"/>
        <v>224283.90245403291</v>
      </c>
      <c r="M54" s="22">
        <f>VLOOKUP(A54,'[3]model1&amp;RSI'!$A:$K,11)</f>
        <v>5.0073675982031572E-2</v>
      </c>
      <c r="N54" s="22">
        <f>VLOOKUP(A54,'[3]model1&amp;RSI'!$A:$M,13)</f>
        <v>5.5540867592325294E-2</v>
      </c>
      <c r="O54" s="22">
        <f>VLOOKUP(A54,'[3]model1&amp;RSI'!$A:$N,14)</f>
        <v>90.156452631558849</v>
      </c>
      <c r="P54" s="1">
        <f t="shared" si="10"/>
        <v>1</v>
      </c>
    </row>
    <row r="55" spans="1:16" ht="12.75" x14ac:dyDescent="0.2">
      <c r="A55" s="15">
        <v>45961</v>
      </c>
      <c r="B55" s="31">
        <f>VLOOKUP(A55,[1]HwabaoWP_szse_innovation_100!$A:$E,5)</f>
        <v>1.0729999542236328</v>
      </c>
      <c r="C55" s="16">
        <f>VLOOKUP(A55,[2]myPEPB!$B:$C,2,FALSE)</f>
        <v>32.159999849999998</v>
      </c>
      <c r="D55" s="17">
        <f>VLOOKUP(A55,[2]myPEPB!$B:$D,3,FALSE)</f>
        <v>25.690355441740447</v>
      </c>
      <c r="E55" s="17">
        <f t="shared" si="9"/>
        <v>-165332.38013883011</v>
      </c>
      <c r="F55" s="18">
        <f t="shared" si="0"/>
        <v>-154084.23783061208</v>
      </c>
      <c r="G55" s="18">
        <f t="shared" si="4"/>
        <v>15013910.420972222</v>
      </c>
      <c r="H55" s="18">
        <f t="shared" si="1"/>
        <v>16109925.194420919</v>
      </c>
      <c r="I55" s="18">
        <f t="shared" si="5"/>
        <v>10887835.773480978</v>
      </c>
      <c r="J55" s="18">
        <f t="shared" si="2"/>
        <v>16499541.477013782</v>
      </c>
      <c r="K55" s="18">
        <f t="shared" si="3"/>
        <v>5611705.7035328038</v>
      </c>
      <c r="L55" s="17">
        <f t="shared" si="6"/>
        <v>389616.28259286302</v>
      </c>
      <c r="M55" s="22">
        <f>VLOOKUP(A55,'[3]model1&amp;RSI'!$A:$K,11)</f>
        <v>4.1728063318359647E-2</v>
      </c>
      <c r="N55" s="22">
        <f>VLOOKUP(A55,'[3]model1&amp;RSI'!$A:$M,13)</f>
        <v>4.8784073810966881E-2</v>
      </c>
      <c r="O55" s="22">
        <f>VLOOKUP(A55,'[3]model1&amp;RSI'!$A:$N,14)</f>
        <v>85.53624176621959</v>
      </c>
      <c r="P55" s="1">
        <f t="shared" si="10"/>
        <v>1</v>
      </c>
    </row>
    <row r="56" spans="1:16" ht="12.75" x14ac:dyDescent="0.2">
      <c r="A56" s="15">
        <v>45989</v>
      </c>
      <c r="B56" s="31">
        <f>VLOOKUP(A56,[1]HwabaoWP_szse_innovation_100!$A:$E,5)</f>
        <v>1.0399999618530273</v>
      </c>
      <c r="C56" s="16">
        <f>VLOOKUP(A56,[2]myPEPB!$B:$C,2,FALSE)</f>
        <v>29.780000690000001</v>
      </c>
      <c r="D56" s="17">
        <f>VLOOKUP(A56,[2]myPEPB!$B:$D,3,FALSE)</f>
        <v>25.767886790921306</v>
      </c>
      <c r="E56" s="17">
        <f t="shared" si="9"/>
        <v>-63583.378859762786</v>
      </c>
      <c r="F56" s="18">
        <f t="shared" si="0"/>
        <v>-61137.866530757026</v>
      </c>
      <c r="G56" s="18">
        <f t="shared" si="4"/>
        <v>14952772.554441465</v>
      </c>
      <c r="H56" s="18">
        <f t="shared" si="1"/>
        <v>15550882.886216117</v>
      </c>
      <c r="I56" s="18">
        <f t="shared" si="5"/>
        <v>10887835.773480978</v>
      </c>
      <c r="J56" s="18">
        <f t="shared" si="2"/>
        <v>16004082.547668742</v>
      </c>
      <c r="K56" s="18">
        <f t="shared" si="3"/>
        <v>5116246.7741877642</v>
      </c>
      <c r="L56" s="17">
        <f t="shared" si="6"/>
        <v>453199.66145262582</v>
      </c>
      <c r="M56" s="22">
        <f>VLOOKUP(A56,'[3]model1&amp;RSI'!$A:$K,11)</f>
        <v>3.4773386098633043E-2</v>
      </c>
      <c r="N56" s="22">
        <f>VLOOKUP(A56,'[3]model1&amp;RSI'!$A:$M,13)</f>
        <v>4.6153393570906642E-2</v>
      </c>
      <c r="O56" s="22">
        <f>VLOOKUP(A56,'[3]model1&amp;RSI'!$A:$N,14)</f>
        <v>75.343075358499476</v>
      </c>
      <c r="P56" s="1">
        <f t="shared" si="10"/>
        <v>1</v>
      </c>
    </row>
    <row r="57" spans="1:16" ht="12.75" x14ac:dyDescent="0.2">
      <c r="A57" s="15">
        <v>46022</v>
      </c>
      <c r="B57" s="31">
        <f>VLOOKUP(A57,[1]HwabaoWP_szse_innovation_100!$A:$E,5)</f>
        <v>1.0640000104904175</v>
      </c>
      <c r="C57" s="16">
        <f>VLOOKUP(A57,[2]myPEPB!$B:$C,2,FALSE)</f>
        <v>31.129999160000001</v>
      </c>
      <c r="D57" s="17">
        <f>VLOOKUP(A57,[2]myPEPB!$B:$D,3,FALSE)</f>
        <v>25.866548769817285</v>
      </c>
      <c r="E57" s="17">
        <f t="shared" si="9"/>
        <v>-21886.088907832516</v>
      </c>
      <c r="F57" s="18">
        <f t="shared" si="0"/>
        <v>-20569.632229368879</v>
      </c>
      <c r="G57" s="18">
        <f t="shared" si="4"/>
        <v>14932202.922212096</v>
      </c>
      <c r="H57" s="18">
        <f t="shared" si="1"/>
        <v>15887864.065878714</v>
      </c>
      <c r="I57" s="18">
        <f t="shared" si="5"/>
        <v>10887835.773480978</v>
      </c>
      <c r="J57" s="18">
        <f t="shared" si="2"/>
        <v>16362949.816239173</v>
      </c>
      <c r="K57" s="18">
        <f t="shared" si="3"/>
        <v>5475114.0427581947</v>
      </c>
      <c r="L57" s="17">
        <f t="shared" si="6"/>
        <v>475085.75036045833</v>
      </c>
      <c r="M57" s="22">
        <f>VLOOKUP(A57,'[3]model1&amp;RSI'!$A:$K,11)</f>
        <v>3.2977829855092559E-2</v>
      </c>
      <c r="N57" s="22">
        <f>VLOOKUP(A57,'[3]model1&amp;RSI'!$A:$M,13)</f>
        <v>4.2461169415320556E-2</v>
      </c>
      <c r="O57" s="22">
        <f>VLOOKUP(A57,'[3]model1&amp;RSI'!$A:$N,14)</f>
        <v>77.665854024250493</v>
      </c>
      <c r="P57" s="1">
        <f t="shared" si="10"/>
        <v>0.2</v>
      </c>
    </row>
    <row r="58" spans="1:16" ht="12.75" x14ac:dyDescent="0.2">
      <c r="A58" s="15">
        <v>46052</v>
      </c>
      <c r="B58" s="31">
        <f>VLOOKUP(A58,[1]HwabaoWP_szse_innovation_100!$A:$E,5)</f>
        <v>1.0720000267028809</v>
      </c>
      <c r="C58" s="16">
        <f>VLOOKUP(A58,[2]myPEPB!$B:$C,2,FALSE)</f>
        <v>31.709999079999999</v>
      </c>
      <c r="D58" s="17">
        <f>VLOOKUP(A58,[2]myPEPB!$B:$D,3,FALSE)</f>
        <v>25.973356806597167</v>
      </c>
      <c r="E58" s="17">
        <f t="shared" si="9"/>
        <v>-25998.161012664015</v>
      </c>
      <c r="F58" s="18">
        <f t="shared" si="0"/>
        <v>-24252.015265919163</v>
      </c>
      <c r="G58" s="18">
        <f t="shared" si="4"/>
        <v>14907950.906946177</v>
      </c>
      <c r="H58" s="18">
        <f t="shared" si="1"/>
        <v>15981323.770331539</v>
      </c>
      <c r="I58" s="18">
        <f t="shared" si="5"/>
        <v>10887835.773480978</v>
      </c>
      <c r="J58" s="18">
        <f t="shared" si="2"/>
        <v>16482407.681704661</v>
      </c>
      <c r="K58" s="18">
        <f t="shared" si="3"/>
        <v>5594571.908223683</v>
      </c>
      <c r="L58" s="17">
        <f t="shared" si="6"/>
        <v>501083.91137312236</v>
      </c>
      <c r="M58" s="22">
        <f>VLOOKUP(A58,'[3]model1&amp;RSI'!$A:$K,11)</f>
        <v>2.8814860914654364E-2</v>
      </c>
      <c r="N58" s="22">
        <f>VLOOKUP(A58,'[3]model1&amp;RSI'!$A:$M,13)</f>
        <v>3.6717643881511025E-2</v>
      </c>
      <c r="O58" s="22">
        <f>VLOOKUP(A58,'[3]model1&amp;RSI'!$A:$N,14)</f>
        <v>78.476878875019352</v>
      </c>
      <c r="P58" s="1">
        <f t="shared" si="10"/>
        <v>0.2</v>
      </c>
    </row>
    <row r="59" spans="1:16" ht="12.75" x14ac:dyDescent="0.2">
      <c r="A59" s="15">
        <v>46080</v>
      </c>
      <c r="B59" s="31">
        <f>VLOOKUP(A59,[1]HwabaoWP_szse_innovation_100!$A:$E,5)</f>
        <v>1.0750000476837158</v>
      </c>
      <c r="C59" s="16">
        <f>VLOOKUP(A59,[2]myPEPB!$B:$C,2,FALSE)</f>
        <v>31.549999239999998</v>
      </c>
      <c r="D59" s="17">
        <f>VLOOKUP(A59,[2]myPEPB!$B:$D,3,FALSE)</f>
        <v>26.039818023753689</v>
      </c>
      <c r="E59" s="17">
        <f t="shared" si="9"/>
        <v>-23986.056658340185</v>
      </c>
      <c r="F59" s="18">
        <f t="shared" si="0"/>
        <v>-22312.609855248407</v>
      </c>
      <c r="G59" s="18">
        <f t="shared" si="4"/>
        <v>14885638.297090929</v>
      </c>
      <c r="H59" s="18">
        <f t="shared" si="1"/>
        <v>16002061.879175294</v>
      </c>
      <c r="I59" s="18">
        <f t="shared" si="5"/>
        <v>10887835.773480978</v>
      </c>
      <c r="J59" s="18">
        <f t="shared" si="2"/>
        <v>16527131.847206756</v>
      </c>
      <c r="K59" s="18">
        <f t="shared" si="3"/>
        <v>5639296.0737257786</v>
      </c>
      <c r="L59" s="17">
        <f t="shared" si="6"/>
        <v>525069.96803146251</v>
      </c>
      <c r="M59" s="22">
        <f>VLOOKUP(A59,'[3]model1&amp;RSI'!$A:$K,11)</f>
        <v>2.4512387592351127E-2</v>
      </c>
      <c r="N59" s="22">
        <f>VLOOKUP(A59,'[3]model1&amp;RSI'!$A:$M,13)</f>
        <v>3.1098040064731682E-2</v>
      </c>
      <c r="O59" s="22">
        <f>VLOOKUP(A59,'[3]model1&amp;RSI'!$A:$N,14)</f>
        <v>78.82293398981966</v>
      </c>
      <c r="P59" s="1">
        <f t="shared" si="10"/>
        <v>0.2</v>
      </c>
    </row>
    <row r="60" spans="1:16" ht="12.75" x14ac:dyDescent="0.2">
      <c r="A60" s="15">
        <v>46112</v>
      </c>
      <c r="B60" s="31">
        <f>VLOOKUP(A60,[1]HwabaoWP_szse_innovation_100!$A:$E,5)</f>
        <v>1.0479999780654907</v>
      </c>
      <c r="C60" s="16">
        <f>VLOOKUP(A60,[2]myPEPB!$B:$C,2,FALSE)</f>
        <v>30.549999239999998</v>
      </c>
      <c r="D60" s="17">
        <f>VLOOKUP(A60,[2]myPEPB!$B:$D,3,FALSE)</f>
        <v>26.136981933917117</v>
      </c>
      <c r="E60" s="17">
        <f t="shared" si="9"/>
        <v>-15385.030177591741</v>
      </c>
      <c r="F60" s="18">
        <f t="shared" si="0"/>
        <v>-14680.372614120717</v>
      </c>
      <c r="G60" s="18">
        <f t="shared" si="4"/>
        <v>14870957.924476808</v>
      </c>
      <c r="H60" s="18">
        <f t="shared" si="1"/>
        <v>15584763.57866453</v>
      </c>
      <c r="I60" s="18">
        <f t="shared" si="5"/>
        <v>10887835.773480978</v>
      </c>
      <c r="J60" s="18">
        <f t="shared" si="2"/>
        <v>16125218.576873584</v>
      </c>
      <c r="K60" s="18">
        <f t="shared" si="3"/>
        <v>5237382.8033926059</v>
      </c>
      <c r="L60" s="17">
        <f t="shared" si="6"/>
        <v>540454.99820905423</v>
      </c>
      <c r="M60" s="22">
        <f>VLOOKUP(A60,'[3]model1&amp;RSI'!$A:$K,11)</f>
        <v>2.0426989660292605E-2</v>
      </c>
      <c r="N60" s="22">
        <f>VLOOKUP(A60,'[3]model1&amp;RSI'!$A:$M,13)</f>
        <v>3.0415044990313916E-2</v>
      </c>
      <c r="O60" s="22">
        <f>VLOOKUP(A60,'[3]model1&amp;RSI'!$A:$N,14)</f>
        <v>67.160806984825626</v>
      </c>
      <c r="P60" s="1">
        <f t="shared" si="10"/>
        <v>0.2</v>
      </c>
    </row>
    <row r="61" spans="1:16" ht="12.75" x14ac:dyDescent="0.2">
      <c r="A61" s="15">
        <v>46142</v>
      </c>
      <c r="B61" s="31">
        <f>VLOOKUP(A61,[1]HwabaoWP_szse_innovation_100!$A:$E,5)</f>
        <v>1.1770000457763672</v>
      </c>
      <c r="C61" s="16">
        <f>VLOOKUP(A61,[2]myPEPB!$B:$C,2,FALSE)</f>
        <v>34.549999239999998</v>
      </c>
      <c r="D61" s="17">
        <f>VLOOKUP(A61,[2]myPEPB!$B:$D,3,FALSE)</f>
        <v>26.252550181051159</v>
      </c>
      <c r="E61" s="17">
        <f t="shared" si="9"/>
        <v>-54389.65209982227</v>
      </c>
      <c r="F61" s="18">
        <f t="shared" si="0"/>
        <v>-46210.40780329454</v>
      </c>
      <c r="G61" s="18">
        <f t="shared" si="4"/>
        <v>14824747.516673513</v>
      </c>
      <c r="H61" s="18">
        <f t="shared" si="1"/>
        <v>17448728.50574781</v>
      </c>
      <c r="I61" s="18">
        <f t="shared" si="5"/>
        <v>10887835.773480978</v>
      </c>
      <c r="J61" s="18">
        <f t="shared" si="2"/>
        <v>18043573.156056687</v>
      </c>
      <c r="K61" s="18">
        <f t="shared" si="3"/>
        <v>7155737.3825757094</v>
      </c>
      <c r="L61" s="17">
        <f t="shared" si="6"/>
        <v>594844.65030887653</v>
      </c>
      <c r="M61" s="22">
        <f>VLOOKUP(A61,'[3]model1&amp;RSI'!$A:$K,11)</f>
        <v>3.8522502668723251E-2</v>
      </c>
      <c r="N61" s="22">
        <f>VLOOKUP(A61,'[3]model1&amp;RSI'!$A:$M,13)</f>
        <v>4.6845882110407668E-2</v>
      </c>
      <c r="O61" s="22">
        <f>VLOOKUP(A61,'[3]model1&amp;RSI'!$A:$N,14)</f>
        <v>82.232420296691927</v>
      </c>
      <c r="P61" s="1">
        <f t="shared" si="10"/>
        <v>0.2</v>
      </c>
    </row>
    <row r="62" spans="1:16" ht="12.75" x14ac:dyDescent="0.2">
      <c r="A62" s="15">
        <v>46171</v>
      </c>
      <c r="B62" s="31">
        <f>VLOOKUP(A62,[1]HwabaoWP_szse_innovation_100!$A:$E,5)</f>
        <v>1.2450000047683716</v>
      </c>
      <c r="C62" s="16">
        <f>VLOOKUP(A62,[2]myPEPB!$B:$C,2,FALSE)</f>
        <v>35.509998320000001</v>
      </c>
      <c r="D62" s="17">
        <f>VLOOKUP(A62,[2]myPEPB!$B:$D,3,FALSE)</f>
        <v>26.381551060434539</v>
      </c>
      <c r="E62" s="17">
        <f t="shared" si="9"/>
        <v>-329147.77001413936</v>
      </c>
      <c r="F62" s="18">
        <f t="shared" si="0"/>
        <v>-264375.71787429531</v>
      </c>
      <c r="G62" s="18">
        <f t="shared" si="4"/>
        <v>14560371.798799217</v>
      </c>
      <c r="H62" s="18">
        <f t="shared" si="1"/>
        <v>18127662.958934288</v>
      </c>
      <c r="I62" s="18">
        <f t="shared" si="5"/>
        <v>10887835.773480978</v>
      </c>
      <c r="J62" s="18">
        <f t="shared" si="2"/>
        <v>19051655.379257303</v>
      </c>
      <c r="K62" s="18">
        <f t="shared" si="3"/>
        <v>8163819.6057763249</v>
      </c>
      <c r="L62" s="17">
        <f t="shared" si="6"/>
        <v>923992.42032301589</v>
      </c>
      <c r="M62" s="22">
        <f>VLOOKUP(A62,'[3]model1&amp;RSI'!$A:$K,11)</f>
        <v>4.3435412055936783E-2</v>
      </c>
      <c r="N62" s="22">
        <f>VLOOKUP(A62,'[3]model1&amp;RSI'!$A:$M,13)</f>
        <v>5.037156159067379E-2</v>
      </c>
      <c r="O62" s="22">
        <f>VLOOKUP(A62,'[3]model1&amp;RSI'!$A:$N,14)</f>
        <v>86.230028778736084</v>
      </c>
      <c r="P62" s="1">
        <f t="shared" si="10"/>
        <v>1</v>
      </c>
    </row>
    <row r="63" spans="1:16" ht="12.75" x14ac:dyDescent="0.2">
      <c r="A63" s="15">
        <v>46203</v>
      </c>
      <c r="B63" s="31">
        <f>VLOOKUP(A63,[1]HwabaoWP_szse_innovation_100!$A:$E,5)</f>
        <v>1.2760000228881836</v>
      </c>
      <c r="C63" s="16">
        <f>VLOOKUP(A63,[2]myPEPB!$B:$C,2,FALSE)</f>
        <v>41.799999239999998</v>
      </c>
      <c r="D63" s="17">
        <f>VLOOKUP(A63,[2]myPEPB!$B:$D,3,FALSE)</f>
        <v>26.574869220600849</v>
      </c>
      <c r="E63" s="17">
        <f t="shared" si="9"/>
        <v>-915628.10722505616</v>
      </c>
      <c r="F63" s="18">
        <f t="shared" si="0"/>
        <v>-717576.87366851489</v>
      </c>
      <c r="G63" s="18">
        <f t="shared" si="4"/>
        <v>13842794.925130703</v>
      </c>
      <c r="H63" s="18">
        <f t="shared" si="1"/>
        <v>17663406.641303208</v>
      </c>
      <c r="I63" s="18">
        <f t="shared" si="5"/>
        <v>10887835.773480978</v>
      </c>
      <c r="J63" s="18">
        <f t="shared" si="2"/>
        <v>19503027.168851279</v>
      </c>
      <c r="K63" s="18">
        <f t="shared" si="3"/>
        <v>8615191.3953703009</v>
      </c>
      <c r="L63" s="17">
        <f t="shared" si="6"/>
        <v>1839620.5275480719</v>
      </c>
      <c r="M63" s="22">
        <f>VLOOKUP(A63,'[3]model1&amp;RSI'!$A:$K,11)</f>
        <v>4.1362846399915991E-2</v>
      </c>
      <c r="N63" s="22">
        <f>VLOOKUP(A63,'[3]model1&amp;RSI'!$A:$M,13)</f>
        <v>4.7142971012196826E-2</v>
      </c>
      <c r="O63" s="22">
        <f>VLOOKUP(A63,'[3]model1&amp;RSI'!$A:$N,14)</f>
        <v>87.739159225273681</v>
      </c>
      <c r="P63" s="1">
        <f t="shared" si="10"/>
        <v>1</v>
      </c>
    </row>
  </sheetData>
  <phoneticPr fontId="2" type="noConversion"/>
  <conditionalFormatting sqref="H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6" width="6.875" style="3" customWidth="1"/>
    <col min="7" max="7" width="9.375" style="3" customWidth="1"/>
    <col min="8" max="8" width="9.25" style="3" customWidth="1"/>
    <col min="9" max="9" width="10.75" style="3" customWidth="1"/>
    <col min="10" max="10" width="11.5" style="3" customWidth="1"/>
    <col min="11" max="11" width="12.5" style="3" customWidth="1"/>
    <col min="12" max="12" width="12.625" style="1" customWidth="1"/>
    <col min="13" max="13" width="10.75" style="1" customWidth="1"/>
    <col min="14" max="14" width="10.75" style="3" customWidth="1"/>
    <col min="15" max="15" width="9.125" style="3" customWidth="1"/>
    <col min="16" max="17" width="9" style="2"/>
    <col min="18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14" t="s">
        <v>25</v>
      </c>
      <c r="F1" s="14" t="s">
        <v>26</v>
      </c>
      <c r="G1" s="40" t="s">
        <v>4</v>
      </c>
      <c r="H1" s="40" t="s">
        <v>5</v>
      </c>
      <c r="I1" s="40" t="s">
        <v>6</v>
      </c>
      <c r="J1" s="40" t="s">
        <v>7</v>
      </c>
      <c r="K1" s="41" t="s">
        <v>8</v>
      </c>
      <c r="L1" s="39" t="s">
        <v>9</v>
      </c>
      <c r="M1" s="43" t="s">
        <v>10</v>
      </c>
      <c r="N1" s="44" t="s">
        <v>11</v>
      </c>
      <c r="O1" s="44" t="s">
        <v>15</v>
      </c>
      <c r="P1" s="44" t="s">
        <v>16</v>
      </c>
      <c r="Q1" s="48" t="s">
        <v>17</v>
      </c>
      <c r="R1" s="11" t="s">
        <v>18</v>
      </c>
    </row>
    <row r="2" spans="1:36" ht="14.1" customHeight="1" x14ac:dyDescent="0.2">
      <c r="A2" s="5"/>
      <c r="B2" s="5"/>
      <c r="C2" s="23" t="s">
        <v>19</v>
      </c>
      <c r="D2" s="4"/>
      <c r="E2" s="4"/>
      <c r="F2" s="4"/>
      <c r="G2" s="4">
        <v>550</v>
      </c>
      <c r="H2" s="4"/>
      <c r="I2" s="4"/>
      <c r="J2" s="4">
        <f>MIN(I:I)</f>
        <v>0</v>
      </c>
      <c r="K2" s="4"/>
      <c r="L2" s="5"/>
      <c r="M2" s="5"/>
      <c r="N2" s="4"/>
      <c r="O2" s="20"/>
    </row>
    <row r="3" spans="1:36" ht="14.1" customHeight="1" x14ac:dyDescent="0.2">
      <c r="A3" s="15">
        <v>44377</v>
      </c>
      <c r="B3" s="31">
        <f>VLOOKUP(A3,[1]HwabaoWP_szse_innovation_100!$A:$E,5)</f>
        <v>1.0309999999999999</v>
      </c>
      <c r="C3" s="16">
        <f>VLOOKUP(A3,[2]myPEPB!$B:$C,2,FALSE)</f>
        <v>41.45</v>
      </c>
      <c r="D3" s="17">
        <f>VLOOKUP(A3,[2]myPEPB!$B:$D,3,FALSE)</f>
        <v>41.041896551724122</v>
      </c>
      <c r="E3" s="17">
        <f>VLOOKUP(A3,[1]HwabaoWP_szse_innovation_100!$A:$F,6)</f>
        <v>54671327</v>
      </c>
      <c r="F3" s="17">
        <f>VLOOKUP(A3,[1]HwabaoWP_szse_innovation_100!$A:$I,9)</f>
        <v>147407244.66666666</v>
      </c>
      <c r="G3" s="17">
        <v>0</v>
      </c>
      <c r="H3" s="18">
        <f t="shared" ref="H3:H63" si="0">G3/B3</f>
        <v>0</v>
      </c>
      <c r="I3" s="18">
        <f>I2+H3</f>
        <v>0</v>
      </c>
      <c r="J3" s="18">
        <f t="shared" ref="J3:J63" si="1">I3*B3</f>
        <v>0</v>
      </c>
      <c r="K3" s="18">
        <f>IF(G3&gt;0,K2+G3,K2)</f>
        <v>0</v>
      </c>
      <c r="L3" s="18">
        <f t="shared" ref="L3:L63" si="2">J3+N3</f>
        <v>0</v>
      </c>
      <c r="M3" s="18">
        <f t="shared" ref="M3:M63" si="3">L3-K3</f>
        <v>0</v>
      </c>
      <c r="N3" s="17">
        <f>IF(G3&lt;0,N2-G3,N2)</f>
        <v>0</v>
      </c>
      <c r="O3" s="22"/>
      <c r="P3" s="22"/>
      <c r="Q3" s="22"/>
      <c r="S3" s="45" t="s">
        <v>1</v>
      </c>
      <c r="T3" s="46" t="s">
        <v>12</v>
      </c>
      <c r="U3" s="46" t="s">
        <v>8</v>
      </c>
      <c r="V3" s="46" t="s">
        <v>9</v>
      </c>
      <c r="W3" s="46" t="s">
        <v>10</v>
      </c>
      <c r="X3" s="47" t="s">
        <v>11</v>
      </c>
      <c r="Y3" s="46" t="s">
        <v>13</v>
      </c>
      <c r="Z3" s="46" t="s">
        <v>14</v>
      </c>
      <c r="AB3" s="42">
        <v>44561</v>
      </c>
      <c r="AC3" s="1">
        <v>10976.009614458515</v>
      </c>
      <c r="AD3" s="1">
        <f>-AC3</f>
        <v>-10976.009614458515</v>
      </c>
      <c r="AE3" s="42">
        <v>44561</v>
      </c>
      <c r="AF3" s="1">
        <v>10976.008183548318</v>
      </c>
      <c r="AG3" s="1">
        <f>-AF3</f>
        <v>-10976.008183548318</v>
      </c>
      <c r="AH3" s="42">
        <v>44561</v>
      </c>
      <c r="AI3" s="1">
        <v>10976.008183548318</v>
      </c>
      <c r="AJ3" s="1">
        <f>-AI3</f>
        <v>-10976.008183548318</v>
      </c>
    </row>
    <row r="4" spans="1:36" ht="14.1" customHeight="1" x14ac:dyDescent="0.2">
      <c r="A4" s="15">
        <v>44407</v>
      </c>
      <c r="B4" s="31">
        <f>VLOOKUP(A4,[1]HwabaoWP_szse_innovation_100!$A:$E,5)</f>
        <v>1.006</v>
      </c>
      <c r="C4" s="16">
        <f>VLOOKUP(A4,[2]myPEPB!$B:$C,2,FALSE)</f>
        <v>39.930000305175781</v>
      </c>
      <c r="D4" s="17">
        <f>VLOOKUP(A4,[2]myPEPB!$B:$D,3,FALSE)</f>
        <v>40.930499984741189</v>
      </c>
      <c r="E4" s="17">
        <f>VLOOKUP(A4,[1]HwabaoWP_szse_innovation_100!$A:$F,6)</f>
        <v>9153472</v>
      </c>
      <c r="F4" s="17">
        <f>VLOOKUP(A4,[1]HwabaoWP_szse_innovation_100!$A:$I,9)</f>
        <v>34298297.880000003</v>
      </c>
      <c r="G4" s="17">
        <f>IF(C4&lt;D4,$G$2*(D4-C4)^2*E4/F4,-$G$2*(D4-C4)^2*E4/F4)</f>
        <v>146.92979977675049</v>
      </c>
      <c r="H4" s="18">
        <f t="shared" si="0"/>
        <v>146.0534789033305</v>
      </c>
      <c r="I4" s="18">
        <f t="shared" ref="I4:I63" si="4">I3+H4</f>
        <v>146.0534789033305</v>
      </c>
      <c r="J4" s="18">
        <f t="shared" si="1"/>
        <v>146.92979977675049</v>
      </c>
      <c r="K4" s="18">
        <f t="shared" ref="K4:K63" si="5">IF(G4&gt;0,K3+G4,K3)</f>
        <v>146.92979977675049</v>
      </c>
      <c r="L4" s="18">
        <f t="shared" si="2"/>
        <v>146.92979977675049</v>
      </c>
      <c r="M4" s="18">
        <f t="shared" si="3"/>
        <v>0</v>
      </c>
      <c r="N4" s="17">
        <f t="shared" ref="N4:N63" si="6">IF(G4&lt;0,N3-G4,N3)</f>
        <v>0</v>
      </c>
      <c r="O4" s="22">
        <f>VLOOKUP(A4,'[3]model1&amp;RSI'!$A:$K,11)</f>
        <v>0</v>
      </c>
      <c r="P4" s="22">
        <f>VLOOKUP(A4,'[3]model1&amp;RSI'!$A:$M,13)</f>
        <v>2.4999999999999911E-2</v>
      </c>
      <c r="Q4" s="22">
        <f>VLOOKUP(A4,'[3]model1&amp;RSI'!$A:$N,14)</f>
        <v>0</v>
      </c>
      <c r="S4" s="42">
        <v>44561</v>
      </c>
      <c r="T4" s="10">
        <f>U4</f>
        <v>10976.008183548318</v>
      </c>
      <c r="U4" s="4">
        <f>VLOOKUP(S4,A:K,11,)</f>
        <v>10976.008183548318</v>
      </c>
      <c r="V4" s="4">
        <f>VLOOKUP(S4,A:L,12,)</f>
        <v>11111.225809707179</v>
      </c>
      <c r="W4" s="4">
        <f>VLOOKUP(S4,A:M,13,)</f>
        <v>135.21762615886109</v>
      </c>
      <c r="X4" s="4">
        <f>VLOOKUP(S4,A:N,14,)</f>
        <v>0</v>
      </c>
      <c r="Y4" s="9">
        <f t="shared" ref="Y4" si="7">(V4-U4)/U4</f>
        <v>1.2319380953226296E-2</v>
      </c>
      <c r="Z4" s="9">
        <f>Y4</f>
        <v>1.2319380953226296E-2</v>
      </c>
      <c r="AB4" s="42">
        <v>44925</v>
      </c>
      <c r="AC4" s="7">
        <v>211828.47506570001</v>
      </c>
      <c r="AD4" s="7">
        <f>-AC4</f>
        <v>-211828.47506570001</v>
      </c>
      <c r="AE4" s="42">
        <v>44925</v>
      </c>
      <c r="AF4" s="7">
        <v>211828.4724995298</v>
      </c>
      <c r="AG4" s="7">
        <f>-AF4</f>
        <v>-211828.4724995298</v>
      </c>
      <c r="AH4" s="42">
        <v>44925</v>
      </c>
      <c r="AI4" s="7">
        <v>211828.4724995298</v>
      </c>
      <c r="AJ4" s="7">
        <f>-AI4</f>
        <v>-211828.4724995298</v>
      </c>
    </row>
    <row r="5" spans="1:36" ht="14.1" customHeight="1" x14ac:dyDescent="0.2">
      <c r="A5" s="15">
        <v>44439</v>
      </c>
      <c r="B5" s="31">
        <f>VLOOKUP(A5,[1]HwabaoWP_szse_innovation_100!$A:$E,5)</f>
        <v>0.96599999999999997</v>
      </c>
      <c r="C5" s="16">
        <f>VLOOKUP(A5,[2]myPEPB!$B:$C,2,FALSE)</f>
        <v>38.069999694824219</v>
      </c>
      <c r="D5" s="17">
        <f>VLOOKUP(A5,[2]myPEPB!$B:$D,3,FALSE)</f>
        <v>40.654705834482208</v>
      </c>
      <c r="E5" s="17">
        <f>VLOOKUP(A5,[1]HwabaoWP_szse_innovation_100!$A:$F,6)</f>
        <v>4459339</v>
      </c>
      <c r="F5" s="17">
        <f>VLOOKUP(A5,[1]HwabaoWP_szse_innovation_100!$A:$I,9)</f>
        <v>21490456.638297871</v>
      </c>
      <c r="G5" s="17">
        <f>IF(C5&lt;D5,$G$2*(D5-C5)^2*R5*E5/F5,-$G$2*(D5-C5)^2*R5*E5/F5)</f>
        <v>1524.8947848996479</v>
      </c>
      <c r="H5" s="18">
        <f t="shared" si="0"/>
        <v>1578.5660299168198</v>
      </c>
      <c r="I5" s="18">
        <f t="shared" si="4"/>
        <v>1724.6195088201503</v>
      </c>
      <c r="J5" s="18">
        <f t="shared" si="1"/>
        <v>1665.9824455202652</v>
      </c>
      <c r="K5" s="18">
        <f t="shared" si="5"/>
        <v>1671.8245846763984</v>
      </c>
      <c r="L5" s="18">
        <f t="shared" si="2"/>
        <v>1665.9824455202652</v>
      </c>
      <c r="M5" s="18">
        <f t="shared" si="3"/>
        <v>-5.8421391561332712</v>
      </c>
      <c r="N5" s="17">
        <f t="shared" si="6"/>
        <v>0</v>
      </c>
      <c r="O5" s="22">
        <f>VLOOKUP(A5,'[3]model1&amp;RSI'!$A:$K,11)</f>
        <v>0</v>
      </c>
      <c r="P5" s="22">
        <f>VLOOKUP(A5,'[3]model1&amp;RSI'!$A:$M,13)</f>
        <v>2.7499999999999931E-2</v>
      </c>
      <c r="Q5" s="22">
        <f>VLOOKUP(A5,'[3]model1&amp;RSI'!$A:$N,14)</f>
        <v>0</v>
      </c>
      <c r="R5" s="1">
        <f t="shared" ref="R5:R63" si="8">IF(Q4&lt;20,2,IF(AND((Q4&lt;25),(Q4&gt;20)),1,IF(AND((Q4&gt;25),(Q4&lt;50)),0.95,IF(AND((Q4&gt;50),(Q4&lt;80)),0.2,IF(Q4&gt;80,1,)))))</f>
        <v>2</v>
      </c>
      <c r="S5" s="42">
        <v>44925</v>
      </c>
      <c r="T5" s="10">
        <f>U5-U4</f>
        <v>211828.4724995298</v>
      </c>
      <c r="U5" s="4">
        <f>VLOOKUP(S5,A:K,11,)</f>
        <v>222804.48068307812</v>
      </c>
      <c r="V5" s="4">
        <f>VLOOKUP(S5,A:L,12,)</f>
        <v>215120.83447589527</v>
      </c>
      <c r="W5" s="4">
        <f>VLOOKUP(S5,A:M,13,)</f>
        <v>-7683.6462071828428</v>
      </c>
      <c r="X5" s="4">
        <f>VLOOKUP(S5,A:N,14,)</f>
        <v>0</v>
      </c>
      <c r="Y5" s="9">
        <f t="shared" ref="Y5:Y7" si="9">(V5-U5)/U5</f>
        <v>-3.4486048860535377E-2</v>
      </c>
      <c r="Z5" s="9">
        <f>AD6</f>
        <v>-3.2917802017357722E-2</v>
      </c>
      <c r="AB5" s="42">
        <v>44925</v>
      </c>
      <c r="AC5" s="7"/>
      <c r="AD5" s="7">
        <v>215120.83805649204</v>
      </c>
      <c r="AE5" s="42">
        <v>45289</v>
      </c>
      <c r="AF5" s="7">
        <v>263265.13798341731</v>
      </c>
      <c r="AG5" s="7">
        <f>-AF5</f>
        <v>-263265.13798341731</v>
      </c>
      <c r="AH5" s="42">
        <v>45289</v>
      </c>
      <c r="AI5" s="7">
        <v>263265.13798341731</v>
      </c>
      <c r="AJ5" s="7">
        <f>-AI5</f>
        <v>-263265.13798341731</v>
      </c>
    </row>
    <row r="6" spans="1:36" ht="14.1" customHeight="1" x14ac:dyDescent="0.2">
      <c r="A6" s="15">
        <v>44469</v>
      </c>
      <c r="B6" s="31">
        <f>VLOOKUP(A6,[1]HwabaoWP_szse_innovation_100!$A:$E,5)</f>
        <v>0.96099999999999997</v>
      </c>
      <c r="C6" s="16">
        <f>VLOOKUP(A6,[2]myPEPB!$B:$C,2,FALSE)</f>
        <v>35.020000457763672</v>
      </c>
      <c r="D6" s="17">
        <f>VLOOKUP(A6,[2]myPEPB!$B:$D,3,FALSE)</f>
        <v>39.730819672131133</v>
      </c>
      <c r="E6" s="17">
        <f>VLOOKUP(A6,[1]HwabaoWP_szse_innovation_100!$A:$F,6)</f>
        <v>2614711</v>
      </c>
      <c r="F6" s="17">
        <f>VLOOKUP(A6,[1]HwabaoWP_szse_innovation_100!$A:$I,9)</f>
        <v>16286261.656716418</v>
      </c>
      <c r="G6" s="17">
        <f t="shared" ref="G6:G63" si="10">IF(C6&lt;D6,$G$2*(D6-C6)^2*R6*E6/F6,-$G$2*(D6-C6)^2*R6*E6/F6)</f>
        <v>3919.1135507699605</v>
      </c>
      <c r="H6" s="18">
        <f t="shared" si="0"/>
        <v>4078.161863444288</v>
      </c>
      <c r="I6" s="18">
        <f t="shared" si="4"/>
        <v>5802.7813722644387</v>
      </c>
      <c r="J6" s="18">
        <f t="shared" si="1"/>
        <v>5576.4728987461258</v>
      </c>
      <c r="K6" s="18">
        <f t="shared" si="5"/>
        <v>5590.9381354463585</v>
      </c>
      <c r="L6" s="18">
        <f t="shared" si="2"/>
        <v>5576.4728987461258</v>
      </c>
      <c r="M6" s="18">
        <f t="shared" si="3"/>
        <v>-14.465236700232708</v>
      </c>
      <c r="N6" s="17">
        <f t="shared" si="6"/>
        <v>0</v>
      </c>
      <c r="O6" s="22">
        <f>VLOOKUP(A6,'[3]model1&amp;RSI'!$A:$K,11)</f>
        <v>0</v>
      </c>
      <c r="P6" s="22">
        <f>VLOOKUP(A6,'[3]model1&amp;RSI'!$A:$M,13)</f>
        <v>2.3749999999999941E-2</v>
      </c>
      <c r="Q6" s="22">
        <f>VLOOKUP(A6,'[3]model1&amp;RSI'!$A:$N,14)</f>
        <v>0</v>
      </c>
      <c r="R6" s="1">
        <f t="shared" si="8"/>
        <v>2</v>
      </c>
      <c r="S6" s="42">
        <v>45289</v>
      </c>
      <c r="T6" s="10">
        <f>U6-U5</f>
        <v>263265.13798341731</v>
      </c>
      <c r="U6" s="4">
        <f>VLOOKUP(S6,A:K,11,)</f>
        <v>486069.61866649543</v>
      </c>
      <c r="V6" s="4">
        <f>VLOOKUP(S6,A:L,12,)</f>
        <v>440577.85841508594</v>
      </c>
      <c r="W6" s="4">
        <f>VLOOKUP(S6,A:M,13,)</f>
        <v>-45491.760251409491</v>
      </c>
      <c r="X6" s="4">
        <f>VLOOKUP(S6,A:N,14,)</f>
        <v>0</v>
      </c>
      <c r="Y6" s="9">
        <f t="shared" si="9"/>
        <v>-9.3591038206036342E-2</v>
      </c>
      <c r="Z6" s="9">
        <v>-6.4611465400573387E-2</v>
      </c>
      <c r="AB6" s="7"/>
      <c r="AC6" s="7"/>
      <c r="AD6" s="8">
        <f>IRR(AD3:AD5)</f>
        <v>-3.2917802017357722E-2</v>
      </c>
      <c r="AE6" s="42">
        <v>45289</v>
      </c>
      <c r="AF6" s="7"/>
      <c r="AG6" s="8">
        <v>440577.85841508594</v>
      </c>
      <c r="AH6" s="42">
        <v>45657</v>
      </c>
      <c r="AI6" s="1">
        <v>832608.64083191683</v>
      </c>
      <c r="AJ6" s="1">
        <f>-AI6</f>
        <v>-832608.64083191683</v>
      </c>
    </row>
    <row r="7" spans="1:36" ht="14.1" customHeight="1" x14ac:dyDescent="0.2">
      <c r="A7" s="15">
        <v>44498</v>
      </c>
      <c r="B7" s="31">
        <f>VLOOKUP(A7,[1]HwabaoWP_szse_innovation_100!$A:$E,5)</f>
        <v>0.99299997091293335</v>
      </c>
      <c r="C7" s="16">
        <f>VLOOKUP(A7,[2]myPEPB!$B:$C,2,FALSE)</f>
        <v>36.299999237060547</v>
      </c>
      <c r="D7" s="17">
        <f>VLOOKUP(A7,[2]myPEPB!$B:$D,3,FALSE)</f>
        <v>39.253623134226025</v>
      </c>
      <c r="E7" s="17">
        <f>VLOOKUP(A7,[1]HwabaoWP_szse_innovation_100!$A:$F,6)</f>
        <v>3805620</v>
      </c>
      <c r="F7" s="17">
        <f>VLOOKUP(A7,[1]HwabaoWP_szse_innovation_100!$A:$I,9)</f>
        <v>13885339.653614458</v>
      </c>
      <c r="G7" s="17">
        <f t="shared" si="10"/>
        <v>2630.0983246219107</v>
      </c>
      <c r="H7" s="18">
        <f t="shared" si="0"/>
        <v>2648.6388737795028</v>
      </c>
      <c r="I7" s="18">
        <f t="shared" si="4"/>
        <v>8451.420246043941</v>
      </c>
      <c r="J7" s="18">
        <f t="shared" si="1"/>
        <v>8392.2600584946085</v>
      </c>
      <c r="K7" s="18">
        <f t="shared" si="5"/>
        <v>8221.0364600682697</v>
      </c>
      <c r="L7" s="18">
        <f t="shared" si="2"/>
        <v>8392.2600584946085</v>
      </c>
      <c r="M7" s="18">
        <f t="shared" si="3"/>
        <v>171.22359842633887</v>
      </c>
      <c r="N7" s="17">
        <f t="shared" si="6"/>
        <v>0</v>
      </c>
      <c r="O7" s="22">
        <f>VLOOKUP(A7,'[3]model1&amp;RSI'!$A:$K,11)</f>
        <v>5.3333284854888974E-3</v>
      </c>
      <c r="P7" s="22">
        <f>VLOOKUP(A7,'[3]model1&amp;RSI'!$A:$M,13)</f>
        <v>2.5124995152155511E-2</v>
      </c>
      <c r="Q7" s="22">
        <f>VLOOKUP(A7,'[3]model1&amp;RSI'!$A:$N,14)</f>
        <v>21.227182147461402</v>
      </c>
      <c r="R7" s="1">
        <f t="shared" si="8"/>
        <v>2</v>
      </c>
      <c r="S7" s="42">
        <v>45657</v>
      </c>
      <c r="T7" s="10">
        <f>U7-U6</f>
        <v>832608.64083191683</v>
      </c>
      <c r="U7" s="4">
        <f>VLOOKUP(S7,A:K,11,)</f>
        <v>1318678.2594984123</v>
      </c>
      <c r="V7" s="4">
        <f>VLOOKUP(S7,A:L,12,)</f>
        <v>1600368.575832787</v>
      </c>
      <c r="W7" s="4">
        <f>VLOOKUP(S7,A:M,13,)</f>
        <v>281690.31633437471</v>
      </c>
      <c r="X7" s="4">
        <f>VLOOKUP(S7,A:N,14,)</f>
        <v>0</v>
      </c>
      <c r="Y7" s="9">
        <f t="shared" si="9"/>
        <v>0.21361565211632572</v>
      </c>
      <c r="Z7" s="9">
        <v>0.1299195578465453</v>
      </c>
      <c r="AB7" s="7"/>
      <c r="AC7" s="7"/>
      <c r="AD7" s="7"/>
      <c r="AG7" s="2">
        <f>IRR(AG3:AG6)</f>
        <v>-6.4611465400573387E-2</v>
      </c>
      <c r="AH7" s="42">
        <v>45657</v>
      </c>
      <c r="AJ7" s="2">
        <v>1600368.575832787</v>
      </c>
    </row>
    <row r="8" spans="1:36" ht="14.1" customHeight="1" x14ac:dyDescent="0.2">
      <c r="A8" s="15">
        <v>44530</v>
      </c>
      <c r="B8" s="31">
        <f>VLOOKUP(A8,[1]HwabaoWP_szse_innovation_100!$A:$E,5)</f>
        <v>1.0110000371932983</v>
      </c>
      <c r="C8" s="16">
        <f>VLOOKUP(A8,[2]myPEPB!$B:$C,2,FALSE)</f>
        <v>35.450000762939453</v>
      </c>
      <c r="D8" s="17">
        <f>VLOOKUP(A8,[2]myPEPB!$B:$D,3,FALSE)</f>
        <v>38.695499993324269</v>
      </c>
      <c r="E8" s="17">
        <f>VLOOKUP(A8,[1]HwabaoWP_szse_innovation_100!$A:$F,6)</f>
        <v>3040778</v>
      </c>
      <c r="F8" s="17">
        <f>VLOOKUP(A8,[1]HwabaoWP_szse_innovation_100!$A:$I,9)</f>
        <v>12014868.042857142</v>
      </c>
      <c r="G8" s="17">
        <f t="shared" si="10"/>
        <v>1466.193937941709</v>
      </c>
      <c r="H8" s="18">
        <f t="shared" si="0"/>
        <v>1450.2412304673137</v>
      </c>
      <c r="I8" s="18">
        <f t="shared" si="4"/>
        <v>9901.6614765112554</v>
      </c>
      <c r="J8" s="18">
        <f t="shared" si="1"/>
        <v>10010.580121028328</v>
      </c>
      <c r="K8" s="18">
        <f t="shared" si="5"/>
        <v>9687.2303980099787</v>
      </c>
      <c r="L8" s="18">
        <f t="shared" si="2"/>
        <v>10010.580121028328</v>
      </c>
      <c r="M8" s="18">
        <f t="shared" si="3"/>
        <v>323.34972301834932</v>
      </c>
      <c r="N8" s="17">
        <f t="shared" si="6"/>
        <v>0</v>
      </c>
      <c r="O8" s="22">
        <f>VLOOKUP(A8,'[3]model1&amp;RSI'!$A:$K,11)</f>
        <v>7.4444514513015798E-3</v>
      </c>
      <c r="P8" s="22">
        <f>VLOOKUP(A8,'[3]model1&amp;RSI'!$A:$M,13)</f>
        <v>2.3937507006857092E-2</v>
      </c>
      <c r="Q8" s="22">
        <f>VLOOKUP(A8,'[3]model1&amp;RSI'!$A:$N,14)</f>
        <v>31.099526985700965</v>
      </c>
      <c r="R8" s="1">
        <f t="shared" si="8"/>
        <v>1</v>
      </c>
      <c r="AJ8" s="2">
        <f>IRR(AJ3:AJ7)</f>
        <v>0.1299195578465453</v>
      </c>
    </row>
    <row r="9" spans="1:36" ht="14.1" customHeight="1" x14ac:dyDescent="0.2">
      <c r="A9" s="15">
        <v>44561</v>
      </c>
      <c r="B9" s="31">
        <f>VLOOKUP(A9,[1]HwabaoWP_szse_innovation_100!$A:$E,5)</f>
        <v>0.99199998378753662</v>
      </c>
      <c r="C9" s="16">
        <f>VLOOKUP(A9,[2]myPEPB!$B:$C,2,FALSE)</f>
        <v>34.630001068115234</v>
      </c>
      <c r="D9" s="17">
        <f>VLOOKUP(A9,[2]myPEPB!$B:$D,3,FALSE)</f>
        <v>38.2285792249669</v>
      </c>
      <c r="E9" s="17">
        <f>VLOOKUP(A9,[1]HwabaoWP_szse_innovation_100!$A:$F,6)</f>
        <v>1988017</v>
      </c>
      <c r="F9" s="17">
        <f>VLOOKUP(A9,[1]HwabaoWP_szse_innovation_100!$A:$I,9)</f>
        <v>10437349.492675781</v>
      </c>
      <c r="G9" s="17">
        <f t="shared" si="10"/>
        <v>1288.7777855383388</v>
      </c>
      <c r="H9" s="18">
        <f t="shared" si="0"/>
        <v>1299.1711760091773</v>
      </c>
      <c r="I9" s="18">
        <f t="shared" si="4"/>
        <v>11200.832652520432</v>
      </c>
      <c r="J9" s="18">
        <f t="shared" si="1"/>
        <v>11111.225809707179</v>
      </c>
      <c r="K9" s="18">
        <f t="shared" si="5"/>
        <v>10976.008183548318</v>
      </c>
      <c r="L9" s="18">
        <f t="shared" si="2"/>
        <v>11111.225809707179</v>
      </c>
      <c r="M9" s="18">
        <f t="shared" si="3"/>
        <v>135.21762615886109</v>
      </c>
      <c r="N9" s="17">
        <f t="shared" si="6"/>
        <v>0</v>
      </c>
      <c r="O9" s="22">
        <f>VLOOKUP(A9,'[3]model1&amp;RSI'!$A:$K,11)</f>
        <v>6.2037095427513169E-3</v>
      </c>
      <c r="P9" s="22">
        <f>VLOOKUP(A9,'[3]model1&amp;RSI'!$A:$M,13)</f>
        <v>2.3114598073341198E-2</v>
      </c>
      <c r="Q9" s="22">
        <f>VLOOKUP(A9,'[3]model1&amp;RSI'!$A:$N,14)</f>
        <v>26.838924575142201</v>
      </c>
      <c r="R9" s="1">
        <f t="shared" si="8"/>
        <v>0.95</v>
      </c>
      <c r="AB9" s="6"/>
      <c r="AC9" s="7"/>
      <c r="AD9" s="7"/>
    </row>
    <row r="10" spans="1:36" ht="14.1" customHeight="1" x14ac:dyDescent="0.2">
      <c r="A10" s="15">
        <v>44589</v>
      </c>
      <c r="B10" s="31">
        <f>VLOOKUP(A10,[1]HwabaoWP_szse_innovation_100!$A:$E,5)</f>
        <v>0.89099997282028198</v>
      </c>
      <c r="C10" s="16">
        <f>VLOOKUP(A10,[2]myPEPB!$B:$C,2,FALSE)</f>
        <v>31.020000457763672</v>
      </c>
      <c r="D10" s="17">
        <f>VLOOKUP(A10,[2]myPEPB!$B:$D,3,FALSE)</f>
        <v>37.709801948471814</v>
      </c>
      <c r="E10" s="17">
        <f>VLOOKUP(A10,[1]HwabaoWP_szse_innovation_100!$A:$F,6)</f>
        <v>2257005</v>
      </c>
      <c r="F10" s="17">
        <f>VLOOKUP(A10,[1]HwabaoWP_szse_innovation_100!$A:$I,9)</f>
        <v>9461572.5990646258</v>
      </c>
      <c r="G10" s="17">
        <f t="shared" si="10"/>
        <v>5578.0442069351247</v>
      </c>
      <c r="H10" s="18">
        <f t="shared" si="0"/>
        <v>6260.4313996541914</v>
      </c>
      <c r="I10" s="18">
        <f t="shared" si="4"/>
        <v>17461.264052174622</v>
      </c>
      <c r="J10" s="18">
        <f t="shared" si="1"/>
        <v>15557.985795895354</v>
      </c>
      <c r="K10" s="18">
        <f t="shared" si="5"/>
        <v>16554.052390483441</v>
      </c>
      <c r="L10" s="18">
        <f t="shared" si="2"/>
        <v>15557.985795895354</v>
      </c>
      <c r="M10" s="18">
        <f t="shared" si="3"/>
        <v>-996.06659458808645</v>
      </c>
      <c r="N10" s="17">
        <f t="shared" si="6"/>
        <v>0</v>
      </c>
      <c r="O10" s="22">
        <f>VLOOKUP(A10,'[3]model1&amp;RSI'!$A:$K,11)</f>
        <v>5.1697579522927643E-3</v>
      </c>
      <c r="P10" s="22">
        <f>VLOOKUP(A10,'[3]model1&amp;RSI'!$A:$M,13)</f>
        <v>3.6095500222326771E-2</v>
      </c>
      <c r="Q10" s="22">
        <f>VLOOKUP(A10,'[3]model1&amp;RSI'!$A:$N,14)</f>
        <v>14.322444405674213</v>
      </c>
      <c r="R10" s="1">
        <f t="shared" si="8"/>
        <v>0.95</v>
      </c>
      <c r="AB10" s="19"/>
      <c r="AC10" s="7"/>
      <c r="AD10" s="7"/>
    </row>
    <row r="11" spans="1:36" ht="14.1" customHeight="1" x14ac:dyDescent="0.2">
      <c r="A11" s="15">
        <v>44620</v>
      </c>
      <c r="B11" s="31">
        <f>VLOOKUP(A11,[1]HwabaoWP_szse_innovation_100!$A:$E,5)</f>
        <v>0.88200002908706665</v>
      </c>
      <c r="C11" s="16">
        <f>VLOOKUP(A11,[2]myPEPB!$B:$C,2,FALSE)</f>
        <v>30.969999313354492</v>
      </c>
      <c r="D11" s="17">
        <f>VLOOKUP(A11,[2]myPEPB!$B:$D,3,FALSE)</f>
        <v>37.189128403969853</v>
      </c>
      <c r="E11" s="17">
        <f>VLOOKUP(A11,[1]HwabaoWP_szse_innovation_100!$A:$F,6)</f>
        <v>906904</v>
      </c>
      <c r="F11" s="17">
        <f>VLOOKUP(A11,[1]HwabaoWP_szse_innovation_100!$A:$I,9)</f>
        <v>8699501.0544478521</v>
      </c>
      <c r="G11" s="17">
        <f t="shared" si="10"/>
        <v>4435.2571084163374</v>
      </c>
      <c r="H11" s="18">
        <f t="shared" si="0"/>
        <v>5028.6360115057441</v>
      </c>
      <c r="I11" s="18">
        <f t="shared" si="4"/>
        <v>22489.900063680365</v>
      </c>
      <c r="J11" s="18">
        <f t="shared" si="1"/>
        <v>19836.092510331306</v>
      </c>
      <c r="K11" s="18">
        <f t="shared" si="5"/>
        <v>20989.309498899776</v>
      </c>
      <c r="L11" s="18">
        <f t="shared" si="2"/>
        <v>19836.092510331306</v>
      </c>
      <c r="M11" s="18">
        <f t="shared" si="3"/>
        <v>-1153.2169885684707</v>
      </c>
      <c r="N11" s="17">
        <f t="shared" si="6"/>
        <v>0</v>
      </c>
      <c r="O11" s="22">
        <f>VLOOKUP(A11,'[3]model1&amp;RSI'!$A:$K,11)</f>
        <v>4.3081316269106369E-3</v>
      </c>
      <c r="P11" s="22">
        <f>VLOOKUP(A11,'[3]model1&amp;RSI'!$A:$M,13)</f>
        <v>3.1579574140808198E-2</v>
      </c>
      <c r="Q11" s="22">
        <f>VLOOKUP(A11,'[3]model1&amp;RSI'!$A:$N,14)</f>
        <v>13.642146052069533</v>
      </c>
      <c r="R11" s="1">
        <f t="shared" si="8"/>
        <v>2</v>
      </c>
      <c r="AB11" s="19"/>
      <c r="AC11" s="7"/>
      <c r="AD11" s="7"/>
    </row>
    <row r="12" spans="1:36" ht="14.1" customHeight="1" x14ac:dyDescent="0.2">
      <c r="A12" s="15">
        <v>44651</v>
      </c>
      <c r="B12" s="31">
        <f>VLOOKUP(A12,[1]HwabaoWP_szse_innovation_100!$A:$E,5)</f>
        <v>0.79199999570846558</v>
      </c>
      <c r="C12" s="16">
        <f>VLOOKUP(A12,[2]myPEPB!$B:$C,2,FALSE)</f>
        <v>27.639999389648438</v>
      </c>
      <c r="D12" s="17">
        <f>VLOOKUP(A12,[2]myPEPB!$B:$D,3,FALSE)</f>
        <v>36.340041473831867</v>
      </c>
      <c r="E12" s="17">
        <f>VLOOKUP(A12,[1]HwabaoWP_szse_innovation_100!$A:$F,6)</f>
        <v>1401901</v>
      </c>
      <c r="F12" s="17">
        <f>VLOOKUP(A12,[1]HwabaoWP_szse_innovation_100!$A:$I,9)</f>
        <v>7836928.591733871</v>
      </c>
      <c r="G12" s="17">
        <f t="shared" si="10"/>
        <v>14893.845620063927</v>
      </c>
      <c r="H12" s="18">
        <f t="shared" si="0"/>
        <v>18805.360733292651</v>
      </c>
      <c r="I12" s="18">
        <f t="shared" si="4"/>
        <v>41295.260796973016</v>
      </c>
      <c r="J12" s="18">
        <f t="shared" si="1"/>
        <v>32705.846373982597</v>
      </c>
      <c r="K12" s="18">
        <f t="shared" si="5"/>
        <v>35883.155118963703</v>
      </c>
      <c r="L12" s="18">
        <f t="shared" si="2"/>
        <v>32705.846373982597</v>
      </c>
      <c r="M12" s="18">
        <f t="shared" si="3"/>
        <v>-3177.3087449811064</v>
      </c>
      <c r="N12" s="17">
        <f t="shared" si="6"/>
        <v>0</v>
      </c>
      <c r="O12" s="22">
        <f>VLOOKUP(A12,'[3]model1&amp;RSI'!$A:$K,11)</f>
        <v>3.5901096890921975E-3</v>
      </c>
      <c r="P12" s="22">
        <f>VLOOKUP(A12,'[3]model1&amp;RSI'!$A:$M,13)</f>
        <v>4.1316317347107008E-2</v>
      </c>
      <c r="Q12" s="22">
        <f>VLOOKUP(A12,'[3]model1&amp;RSI'!$A:$N,14)</f>
        <v>8.689326444394684</v>
      </c>
      <c r="R12" s="1">
        <f t="shared" si="8"/>
        <v>2</v>
      </c>
      <c r="AB12" s="19"/>
    </row>
    <row r="13" spans="1:36" ht="14.1" customHeight="1" x14ac:dyDescent="0.2">
      <c r="A13" s="15">
        <v>44680</v>
      </c>
      <c r="B13" s="31">
        <f>VLOOKUP(A13,[1]HwabaoWP_szse_innovation_100!$A:$E,5)</f>
        <v>0.71899998188018799</v>
      </c>
      <c r="C13" s="16">
        <f>VLOOKUP(A13,[2]myPEPB!$B:$C,2,FALSE)</f>
        <v>25.129999160766602</v>
      </c>
      <c r="D13" s="17">
        <f>VLOOKUP(A13,[2]myPEPB!$B:$D,3,FALSE)</f>
        <v>35.566115372584406</v>
      </c>
      <c r="E13" s="17">
        <f>VLOOKUP(A13,[1]HwabaoWP_szse_innovation_100!$A:$F,6)</f>
        <v>2631500</v>
      </c>
      <c r="F13" s="17">
        <f>VLOOKUP(A13,[1]HwabaoWP_szse_innovation_100!$A:$I,9)</f>
        <v>7310293.186280488</v>
      </c>
      <c r="G13" s="17">
        <f t="shared" si="10"/>
        <v>43125.989967436872</v>
      </c>
      <c r="H13" s="18">
        <f t="shared" si="0"/>
        <v>59980.516069920093</v>
      </c>
      <c r="I13" s="18">
        <f t="shared" si="4"/>
        <v>101275.77686689311</v>
      </c>
      <c r="J13" s="18">
        <f t="shared" si="1"/>
        <v>72817.281732198113</v>
      </c>
      <c r="K13" s="18">
        <f t="shared" si="5"/>
        <v>79009.145086400575</v>
      </c>
      <c r="L13" s="18">
        <f t="shared" si="2"/>
        <v>72817.281732198113</v>
      </c>
      <c r="M13" s="18">
        <f t="shared" si="3"/>
        <v>-6191.8633542024618</v>
      </c>
      <c r="N13" s="17">
        <f t="shared" si="6"/>
        <v>0</v>
      </c>
      <c r="O13" s="22">
        <f>VLOOKUP(A13,'[3]model1&amp;RSI'!$A:$K,11)</f>
        <v>2.9917580742434978E-3</v>
      </c>
      <c r="P13" s="22">
        <f>VLOOKUP(A13,'[3]model1&amp;RSI'!$A:$M,13)</f>
        <v>4.659693342730211E-2</v>
      </c>
      <c r="Q13" s="22">
        <f>VLOOKUP(A13,'[3]model1&amp;RSI'!$A:$N,14)</f>
        <v>6.4205042138901032</v>
      </c>
      <c r="R13" s="1">
        <f t="shared" si="8"/>
        <v>2</v>
      </c>
      <c r="AD13" s="2"/>
    </row>
    <row r="14" spans="1:36" ht="14.1" customHeight="1" x14ac:dyDescent="0.2">
      <c r="A14" s="15">
        <v>44712</v>
      </c>
      <c r="B14" s="31">
        <f>VLOOKUP(A14,[1]HwabaoWP_szse_innovation_100!$A:$E,5)</f>
        <v>0.74699997901916504</v>
      </c>
      <c r="C14" s="16">
        <f>VLOOKUP(A14,[2]myPEPB!$B:$C,2,FALSE)</f>
        <v>24.129999160766602</v>
      </c>
      <c r="D14" s="17">
        <f>VLOOKUP(A14,[2]myPEPB!$B:$D,3,FALSE)</f>
        <v>34.740071662711408</v>
      </c>
      <c r="E14" s="17">
        <f>VLOOKUP(A14,[1]HwabaoWP_szse_innovation_100!$A:$F,6)</f>
        <v>1147010</v>
      </c>
      <c r="F14" s="17">
        <f>VLOOKUP(A14,[1]HwabaoWP_szse_innovation_100!$A:$I,9)</f>
        <v>6847440.4204799104</v>
      </c>
      <c r="G14" s="17">
        <f t="shared" si="10"/>
        <v>20742.845396110031</v>
      </c>
      <c r="H14" s="18">
        <f t="shared" si="0"/>
        <v>27768.200774712273</v>
      </c>
      <c r="I14" s="18">
        <f t="shared" si="4"/>
        <v>129043.97764160538</v>
      </c>
      <c r="J14" s="18">
        <f t="shared" si="1"/>
        <v>96395.848590828828</v>
      </c>
      <c r="K14" s="18">
        <f t="shared" si="5"/>
        <v>99751.990482510606</v>
      </c>
      <c r="L14" s="18">
        <f t="shared" si="2"/>
        <v>96395.848590828828</v>
      </c>
      <c r="M14" s="18">
        <f t="shared" si="3"/>
        <v>-3356.1418916817784</v>
      </c>
      <c r="N14" s="17">
        <f t="shared" si="6"/>
        <v>0</v>
      </c>
      <c r="O14" s="22">
        <f>VLOOKUP(A14,'[3]model1&amp;RSI'!$A:$K,11)</f>
        <v>7.1597979183657566E-3</v>
      </c>
      <c r="P14" s="22">
        <f>VLOOKUP(A14,'[3]model1&amp;RSI'!$A:$M,13)</f>
        <v>4.3497444045914602E-2</v>
      </c>
      <c r="Q14" s="22">
        <f>VLOOKUP(A14,'[3]model1&amp;RSI'!$A:$N,14)</f>
        <v>16.460272725009055</v>
      </c>
      <c r="R14" s="1">
        <f t="shared" si="8"/>
        <v>2</v>
      </c>
    </row>
    <row r="15" spans="1:36" ht="14.1" customHeight="1" x14ac:dyDescent="0.2">
      <c r="A15" s="15">
        <v>44742</v>
      </c>
      <c r="B15" s="31">
        <f>VLOOKUP(A15,[1]HwabaoWP_szse_innovation_100!$A:$E,5)</f>
        <v>0.84500002861022949</v>
      </c>
      <c r="C15" s="16">
        <f>VLOOKUP(A15,[2]myPEPB!$B:$C,2,FALSE)</f>
        <v>27.809999465942383</v>
      </c>
      <c r="D15" s="17">
        <f>VLOOKUP(A15,[2]myPEPB!$B:$D,3,FALSE)</f>
        <v>34.118899975077305</v>
      </c>
      <c r="E15" s="17">
        <f>VLOOKUP(A15,[1]HwabaoWP_szse_innovation_100!$A:$F,6)</f>
        <v>2764909</v>
      </c>
      <c r="F15" s="17">
        <f>VLOOKUP(A15,[1]HwabaoWP_szse_innovation_100!$A:$I,9)</f>
        <v>6486059.213010204</v>
      </c>
      <c r="G15" s="17">
        <f t="shared" si="10"/>
        <v>18663.795856303725</v>
      </c>
      <c r="H15" s="18">
        <f t="shared" si="0"/>
        <v>22087.331626485324</v>
      </c>
      <c r="I15" s="18">
        <f t="shared" si="4"/>
        <v>151131.3092680907</v>
      </c>
      <c r="J15" s="18">
        <f t="shared" si="1"/>
        <v>127705.96065543809</v>
      </c>
      <c r="K15" s="18">
        <f t="shared" si="5"/>
        <v>118415.78633881433</v>
      </c>
      <c r="L15" s="18">
        <f t="shared" si="2"/>
        <v>127705.96065543809</v>
      </c>
      <c r="M15" s="18">
        <f t="shared" si="3"/>
        <v>9290.1743166237575</v>
      </c>
      <c r="N15" s="17">
        <f t="shared" si="6"/>
        <v>0</v>
      </c>
      <c r="O15" s="22">
        <f>VLOOKUP(A15,'[3]model1&amp;RSI'!$A:$K,11)</f>
        <v>2.2299839863815538E-2</v>
      </c>
      <c r="P15" s="22">
        <f>VLOOKUP(A15,'[3]model1&amp;RSI'!$A:$M,13)</f>
        <v>5.2581211636772908E-2</v>
      </c>
      <c r="Q15" s="22">
        <f>VLOOKUP(A15,'[3]model1&amp;RSI'!$A:$N,14)</f>
        <v>42.410281485830289</v>
      </c>
      <c r="R15" s="1">
        <f t="shared" si="8"/>
        <v>2</v>
      </c>
    </row>
    <row r="16" spans="1:36" ht="14.1" customHeight="1" x14ac:dyDescent="0.2">
      <c r="A16" s="15">
        <v>44771</v>
      </c>
      <c r="B16" s="31">
        <f>VLOOKUP(A16,[1]HwabaoWP_szse_innovation_100!$A:$E,5)</f>
        <v>0.80099999904632568</v>
      </c>
      <c r="C16" s="16">
        <f>VLOOKUP(A16,[2]myPEPB!$B:$C,2,FALSE)</f>
        <v>26.329999923706055</v>
      </c>
      <c r="D16" s="17">
        <f>VLOOKUP(A16,[2]myPEPB!$B:$D,3,FALSE)</f>
        <v>33.665700900829464</v>
      </c>
      <c r="E16" s="17">
        <f>VLOOKUP(A16,[1]HwabaoWP_szse_innovation_100!$A:$F,6)</f>
        <v>2184000</v>
      </c>
      <c r="F16" s="17">
        <f>VLOOKUP(A16,[1]HwabaoWP_szse_innovation_100!$A:$I,9)</f>
        <v>6139372.2173402254</v>
      </c>
      <c r="G16" s="17">
        <f t="shared" si="10"/>
        <v>10002.261493120901</v>
      </c>
      <c r="H16" s="18">
        <f t="shared" si="0"/>
        <v>12487.217858963346</v>
      </c>
      <c r="I16" s="18">
        <f t="shared" si="4"/>
        <v>163618.52712705405</v>
      </c>
      <c r="J16" s="18">
        <f t="shared" si="1"/>
        <v>131058.44007273151</v>
      </c>
      <c r="K16" s="18">
        <f t="shared" si="5"/>
        <v>128418.04783193523</v>
      </c>
      <c r="L16" s="18">
        <f t="shared" si="2"/>
        <v>131058.44007273151</v>
      </c>
      <c r="M16" s="18">
        <f t="shared" si="3"/>
        <v>2640.3922407962818</v>
      </c>
      <c r="N16" s="17">
        <f t="shared" si="6"/>
        <v>0</v>
      </c>
      <c r="O16" s="22">
        <f>VLOOKUP(A16,'[3]model1&amp;RSI'!$A:$K,11)</f>
        <v>1.8583199886512948E-2</v>
      </c>
      <c r="P16" s="22">
        <f>VLOOKUP(A16,'[3]model1&amp;RSI'!$A:$M,13)</f>
        <v>5.1151014624628059E-2</v>
      </c>
      <c r="Q16" s="22">
        <f>VLOOKUP(A16,'[3]model1&amp;RSI'!$A:$N,14)</f>
        <v>36.33007091430315</v>
      </c>
      <c r="R16" s="1">
        <f t="shared" si="8"/>
        <v>0.95</v>
      </c>
    </row>
    <row r="17" spans="1:18" ht="14.1" customHeight="1" x14ac:dyDescent="0.2">
      <c r="A17" s="15">
        <v>44804</v>
      </c>
      <c r="B17" s="31">
        <f>VLOOKUP(A17,[1]HwabaoWP_szse_innovation_100!$A:$E,5)</f>
        <v>0.76499998569488525</v>
      </c>
      <c r="C17" s="16">
        <f>VLOOKUP(A17,[2]myPEPB!$B:$C,2,FALSE)</f>
        <v>25.180000305175781</v>
      </c>
      <c r="D17" s="17">
        <f>VLOOKUP(A17,[2]myPEPB!$B:$D,3,FALSE)</f>
        <v>33.177209276154976</v>
      </c>
      <c r="E17" s="17">
        <f>VLOOKUP(A17,[1]HwabaoWP_szse_innovation_100!$A:$F,6)</f>
        <v>719700</v>
      </c>
      <c r="F17" s="17">
        <f>VLOOKUP(A17,[1]HwabaoWP_szse_innovation_100!$A:$I,9)</f>
        <v>5816280.4526384082</v>
      </c>
      <c r="G17" s="17">
        <f t="shared" si="10"/>
        <v>4134.9412847564736</v>
      </c>
      <c r="H17" s="18">
        <f t="shared" si="0"/>
        <v>5405.1521072912346</v>
      </c>
      <c r="I17" s="18">
        <f t="shared" si="4"/>
        <v>169023.6792343453</v>
      </c>
      <c r="J17" s="18">
        <f t="shared" si="1"/>
        <v>129303.11219637103</v>
      </c>
      <c r="K17" s="18">
        <f t="shared" si="5"/>
        <v>132552.98911669169</v>
      </c>
      <c r="L17" s="18">
        <f t="shared" si="2"/>
        <v>129303.11219637103</v>
      </c>
      <c r="M17" s="18">
        <f t="shared" si="3"/>
        <v>-3249.8769203206612</v>
      </c>
      <c r="N17" s="17">
        <f t="shared" si="6"/>
        <v>0</v>
      </c>
      <c r="O17" s="22">
        <f>VLOOKUP(A17,'[3]model1&amp;RSI'!$A:$K,11)</f>
        <v>1.5485999905427456E-2</v>
      </c>
      <c r="P17" s="22">
        <f>VLOOKUP(A17,'[3]model1&amp;RSI'!$A:$M,13)</f>
        <v>4.8625847745763451E-2</v>
      </c>
      <c r="Q17" s="22">
        <f>VLOOKUP(A17,'[3]model1&amp;RSI'!$A:$N,14)</f>
        <v>31.847259478939737</v>
      </c>
      <c r="R17" s="1">
        <f t="shared" si="8"/>
        <v>0.95</v>
      </c>
    </row>
    <row r="18" spans="1:18" ht="14.1" customHeight="1" x14ac:dyDescent="0.2">
      <c r="A18" s="15">
        <v>44834</v>
      </c>
      <c r="B18" s="31">
        <f>VLOOKUP(A18,[1]HwabaoWP_szse_innovation_100!$A:$E,5)</f>
        <v>0.69599997997283936</v>
      </c>
      <c r="C18" s="16">
        <f>VLOOKUP(A18,[2]myPEPB!$B:$C,2,FALSE)</f>
        <v>22.610000610351563</v>
      </c>
      <c r="D18" s="17">
        <f>VLOOKUP(A18,[2]myPEPB!$B:$D,3,FALSE)</f>
        <v>32.639682721540886</v>
      </c>
      <c r="E18" s="17">
        <f>VLOOKUP(A18,[1]HwabaoWP_szse_innovation_100!$A:$F,6)</f>
        <v>2128200</v>
      </c>
      <c r="F18" s="17">
        <f>VLOOKUP(A18,[1]HwabaoWP_szse_innovation_100!$A:$I,9)</f>
        <v>5555987.6610887097</v>
      </c>
      <c r="G18" s="17">
        <f t="shared" si="10"/>
        <v>20133.153178862682</v>
      </c>
      <c r="H18" s="18">
        <f t="shared" si="0"/>
        <v>28926.945054866748</v>
      </c>
      <c r="I18" s="18">
        <f t="shared" si="4"/>
        <v>197950.62428921205</v>
      </c>
      <c r="J18" s="18">
        <f t="shared" si="1"/>
        <v>137773.63054090264</v>
      </c>
      <c r="K18" s="18">
        <f t="shared" si="5"/>
        <v>152686.14229555437</v>
      </c>
      <c r="L18" s="18">
        <f t="shared" si="2"/>
        <v>137773.63054090264</v>
      </c>
      <c r="M18" s="18">
        <f t="shared" si="3"/>
        <v>-14912.511754651729</v>
      </c>
      <c r="N18" s="17">
        <f t="shared" si="6"/>
        <v>0</v>
      </c>
      <c r="O18" s="22">
        <f>VLOOKUP(A18,'[3]model1&amp;RSI'!$A:$K,11)</f>
        <v>1.2904999921189547E-2</v>
      </c>
      <c r="P18" s="22">
        <f>VLOOKUP(A18,'[3]model1&amp;RSI'!$A:$M,13)</f>
        <v>5.2021540741810528E-2</v>
      </c>
      <c r="Q18" s="22">
        <f>VLOOKUP(A18,'[3]model1&amp;RSI'!$A:$N,14)</f>
        <v>24.80703135118333</v>
      </c>
      <c r="R18" s="1">
        <f t="shared" si="8"/>
        <v>0.95</v>
      </c>
    </row>
    <row r="19" spans="1:18" ht="12.75" x14ac:dyDescent="0.2">
      <c r="A19" s="15">
        <v>44865</v>
      </c>
      <c r="B19" s="31">
        <f>VLOOKUP(A19,[1]HwabaoWP_szse_innovation_100!$A:$E,5)</f>
        <v>0.68699997663497925</v>
      </c>
      <c r="C19" s="16">
        <f>VLOOKUP(A19,[2]myPEPB!$B:$C,2,FALSE)</f>
        <v>22.239999771118164</v>
      </c>
      <c r="D19" s="17">
        <f>VLOOKUP(A19,[2]myPEPB!$B:$D,3,FALSE)</f>
        <v>32.234052997346801</v>
      </c>
      <c r="E19" s="17">
        <f>VLOOKUP(A19,[1]HwabaoWP_szse_innovation_100!$A:$F,6)</f>
        <v>3400007.75</v>
      </c>
      <c r="F19" s="17">
        <f>VLOOKUP(A19,[1]HwabaoWP_szse_innovation_100!$A:$I,9)</f>
        <v>5444602.8119248468</v>
      </c>
      <c r="G19" s="17">
        <f t="shared" si="10"/>
        <v>34305.180558985216</v>
      </c>
      <c r="H19" s="18">
        <f t="shared" si="0"/>
        <v>49934.762337280896</v>
      </c>
      <c r="I19" s="18">
        <f t="shared" si="4"/>
        <v>247885.38662649295</v>
      </c>
      <c r="J19" s="18">
        <f t="shared" si="1"/>
        <v>170297.25482055347</v>
      </c>
      <c r="K19" s="18">
        <f t="shared" si="5"/>
        <v>186991.32285453958</v>
      </c>
      <c r="L19" s="18">
        <f t="shared" si="2"/>
        <v>170297.25482055347</v>
      </c>
      <c r="M19" s="18">
        <f t="shared" si="3"/>
        <v>-16694.068033986114</v>
      </c>
      <c r="N19" s="17">
        <f t="shared" si="6"/>
        <v>0</v>
      </c>
      <c r="O19" s="22">
        <f>VLOOKUP(A19,'[3]model1&amp;RSI'!$A:$K,11)</f>
        <v>1.0754166600991289E-2</v>
      </c>
      <c r="P19" s="22">
        <f>VLOOKUP(A19,'[3]model1&amp;RSI'!$A:$M,13)</f>
        <v>4.4851284507818785E-2</v>
      </c>
      <c r="Q19" s="22">
        <f>VLOOKUP(A19,'[3]model1&amp;RSI'!$A:$N,14)</f>
        <v>23.977388204158451</v>
      </c>
      <c r="R19" s="1">
        <f t="shared" si="8"/>
        <v>1</v>
      </c>
    </row>
    <row r="20" spans="1:18" ht="12.75" x14ac:dyDescent="0.2">
      <c r="A20" s="15">
        <v>44895</v>
      </c>
      <c r="B20" s="31">
        <f>VLOOKUP(A20,[1]HwabaoWP_szse_innovation_100!$A:$E,5)</f>
        <v>0.72000002861022949</v>
      </c>
      <c r="C20" s="16">
        <f>VLOOKUP(A20,[2]myPEPB!$B:$C,2,FALSE)</f>
        <v>22.809999465942383</v>
      </c>
      <c r="D20" s="17">
        <f>VLOOKUP(A20,[2]myPEPB!$B:$D,3,FALSE)</f>
        <v>31.717553840474388</v>
      </c>
      <c r="E20" s="17">
        <f>VLOOKUP(A20,[1]HwabaoWP_szse_innovation_100!$A:$F,6)</f>
        <v>2516800</v>
      </c>
      <c r="F20" s="17">
        <f>VLOOKUP(A20,[1]HwabaoWP_szse_innovation_100!$A:$I,9)</f>
        <v>5287757.6291307472</v>
      </c>
      <c r="G20" s="17">
        <f t="shared" si="10"/>
        <v>20770.971912798836</v>
      </c>
      <c r="H20" s="18">
        <f t="shared" si="0"/>
        <v>28848.570954770279</v>
      </c>
      <c r="I20" s="18">
        <f t="shared" si="4"/>
        <v>276733.95758126321</v>
      </c>
      <c r="J20" s="18">
        <f t="shared" si="1"/>
        <v>199248.45737593155</v>
      </c>
      <c r="K20" s="18">
        <f t="shared" si="5"/>
        <v>207762.29476733843</v>
      </c>
      <c r="L20" s="18">
        <f t="shared" si="2"/>
        <v>199248.45737593155</v>
      </c>
      <c r="M20" s="18">
        <f t="shared" si="3"/>
        <v>-8513.8373914068798</v>
      </c>
      <c r="N20" s="17">
        <f t="shared" si="6"/>
        <v>0</v>
      </c>
      <c r="O20" s="22">
        <f>VLOOKUP(A20,'[3]model1&amp;RSI'!$A:$K,11)</f>
        <v>1.4461814163367781E-2</v>
      </c>
      <c r="P20" s="22">
        <f>VLOOKUP(A20,'[3]model1&amp;RSI'!$A:$M,13)</f>
        <v>4.287607908572403E-2</v>
      </c>
      <c r="Q20" s="22">
        <f>VLOOKUP(A20,'[3]model1&amp;RSI'!$A:$N,14)</f>
        <v>33.729329900837342</v>
      </c>
      <c r="R20" s="1">
        <f t="shared" si="8"/>
        <v>1</v>
      </c>
    </row>
    <row r="21" spans="1:18" ht="12.75" x14ac:dyDescent="0.2">
      <c r="A21" s="15">
        <v>44925</v>
      </c>
      <c r="B21" s="31">
        <f>VLOOKUP(A21,[1]HwabaoWP_szse_innovation_100!$A:$E,5)</f>
        <v>0.72299998998641968</v>
      </c>
      <c r="C21" s="16">
        <f>VLOOKUP(A21,[2]myPEPB!$B:$C,2,FALSE)</f>
        <v>22.739999771118164</v>
      </c>
      <c r="D21" s="17">
        <f>VLOOKUP(A21,[2]myPEPB!$B:$D,3,FALSE)</f>
        <v>31.2721039929989</v>
      </c>
      <c r="E21" s="17">
        <f>VLOOKUP(A21,[1]HwabaoWP_szse_innovation_100!$A:$F,6)</f>
        <v>2041800</v>
      </c>
      <c r="F21" s="17">
        <f>VLOOKUP(A21,[1]HwabaoWP_szse_innovation_100!$A:$I,9)</f>
        <v>5162984.7923986483</v>
      </c>
      <c r="G21" s="17">
        <f t="shared" si="10"/>
        <v>15042.185915739694</v>
      </c>
      <c r="H21" s="18">
        <f t="shared" si="0"/>
        <v>20805.236686133612</v>
      </c>
      <c r="I21" s="18">
        <f t="shared" si="4"/>
        <v>297539.19426739682</v>
      </c>
      <c r="J21" s="18">
        <f t="shared" si="1"/>
        <v>215120.83447589527</v>
      </c>
      <c r="K21" s="18">
        <f t="shared" si="5"/>
        <v>222804.48068307812</v>
      </c>
      <c r="L21" s="18">
        <f t="shared" si="2"/>
        <v>215120.83447589527</v>
      </c>
      <c r="M21" s="18">
        <f t="shared" si="3"/>
        <v>-7683.6462071828428</v>
      </c>
      <c r="N21" s="17">
        <f t="shared" si="6"/>
        <v>0</v>
      </c>
      <c r="O21" s="22">
        <f>VLOOKUP(A21,'[3]model1&amp;RSI'!$A:$K,11)</f>
        <v>1.2551505365504848E-2</v>
      </c>
      <c r="P21" s="22">
        <f>VLOOKUP(A21,'[3]model1&amp;RSI'!$A:$M,13)</f>
        <v>3.6230059467468385E-2</v>
      </c>
      <c r="Q21" s="22">
        <f>VLOOKUP(A21,'[3]model1&amp;RSI'!$A:$N,14)</f>
        <v>34.643899430457921</v>
      </c>
      <c r="R21" s="1">
        <f t="shared" si="8"/>
        <v>0.95</v>
      </c>
    </row>
    <row r="22" spans="1:18" ht="12.75" x14ac:dyDescent="0.2">
      <c r="A22" s="15">
        <v>44957</v>
      </c>
      <c r="B22" s="31">
        <f>VLOOKUP(A22,[1]HwabaoWP_szse_innovation_100!$A:$E,5)</f>
        <v>0.78899997472763062</v>
      </c>
      <c r="C22" s="16">
        <f>VLOOKUP(A22,[2]myPEPB!$B:$C,2,FALSE)</f>
        <v>24.899999618530273</v>
      </c>
      <c r="D22" s="17">
        <f>VLOOKUP(A22,[2]myPEPB!$B:$D,3,FALSE)</f>
        <v>31.009964169913562</v>
      </c>
      <c r="E22" s="17">
        <f>VLOOKUP(A22,[1]HwabaoWP_szse_innovation_100!$A:$F,6)</f>
        <v>2396100</v>
      </c>
      <c r="F22" s="17">
        <f>VLOOKUP(A22,[1]HwabaoWP_szse_innovation_100!$A:$I,9)</f>
        <v>5058906.2336463733</v>
      </c>
      <c r="G22" s="17">
        <f t="shared" si="10"/>
        <v>9238.7238324989776</v>
      </c>
      <c r="H22" s="18">
        <f t="shared" si="0"/>
        <v>11709.409541728139</v>
      </c>
      <c r="I22" s="18">
        <f t="shared" si="4"/>
        <v>309248.60380912496</v>
      </c>
      <c r="J22" s="18">
        <f t="shared" si="1"/>
        <v>243997.14058995465</v>
      </c>
      <c r="K22" s="18">
        <f t="shared" si="5"/>
        <v>232043.20451557709</v>
      </c>
      <c r="L22" s="18">
        <f t="shared" si="2"/>
        <v>243997.14058995465</v>
      </c>
      <c r="M22" s="18">
        <f t="shared" si="3"/>
        <v>11953.936074377561</v>
      </c>
      <c r="N22" s="17">
        <f t="shared" si="6"/>
        <v>0</v>
      </c>
      <c r="O22" s="22">
        <f>VLOOKUP(A22,'[3]model1&amp;RSI'!$A:$K,11)</f>
        <v>2.145958526145586E-2</v>
      </c>
      <c r="P22" s="22">
        <f>VLOOKUP(A22,'[3]model1&amp;RSI'!$A:$M,13)</f>
        <v>4.119171367975881E-2</v>
      </c>
      <c r="Q22" s="22">
        <f>VLOOKUP(A22,'[3]model1&amp;RSI'!$A:$N,14)</f>
        <v>52.096849935138493</v>
      </c>
      <c r="R22" s="1">
        <f t="shared" si="8"/>
        <v>0.95</v>
      </c>
    </row>
    <row r="23" spans="1:18" ht="12.75" x14ac:dyDescent="0.2">
      <c r="A23" s="15">
        <v>44985</v>
      </c>
      <c r="B23" s="31">
        <f>VLOOKUP(A23,[1]HwabaoWP_szse_innovation_100!$A:$E,5)</f>
        <v>0.7630000114440918</v>
      </c>
      <c r="C23" s="16">
        <f>VLOOKUP(A23,[2]myPEPB!$B:$C,2,FALSE)</f>
        <v>23.979999542236328</v>
      </c>
      <c r="D23" s="17">
        <f>VLOOKUP(A23,[2]myPEPB!$B:$D,3,FALSE)</f>
        <v>30.72842559388133</v>
      </c>
      <c r="E23" s="17">
        <f>VLOOKUP(A23,[1]HwabaoWP_szse_innovation_100!$A:$F,6)</f>
        <v>699600</v>
      </c>
      <c r="F23" s="17">
        <f>VLOOKUP(A23,[1]HwabaoWP_szse_innovation_100!$A:$I,9)</f>
        <v>4885493.1924261088</v>
      </c>
      <c r="G23" s="17">
        <f t="shared" si="10"/>
        <v>717.36314394781357</v>
      </c>
      <c r="H23" s="18">
        <f t="shared" si="0"/>
        <v>940.18759264511198</v>
      </c>
      <c r="I23" s="18">
        <f t="shared" si="4"/>
        <v>310188.79140177008</v>
      </c>
      <c r="J23" s="18">
        <f t="shared" si="1"/>
        <v>236674.05138937957</v>
      </c>
      <c r="K23" s="18">
        <f t="shared" si="5"/>
        <v>232760.56765952491</v>
      </c>
      <c r="L23" s="18">
        <f t="shared" si="2"/>
        <v>236674.05138937957</v>
      </c>
      <c r="M23" s="18">
        <f t="shared" si="3"/>
        <v>3913.4837298546627</v>
      </c>
      <c r="N23" s="17">
        <f t="shared" si="6"/>
        <v>0</v>
      </c>
      <c r="O23" s="22">
        <f>VLOOKUP(A23,'[3]model1&amp;RSI'!$A:$K,11)</f>
        <v>1.7882987717879884E-2</v>
      </c>
      <c r="P23" s="22">
        <f>VLOOKUP(A23,'[3]model1&amp;RSI'!$A:$M,13)</f>
        <v>3.8659755280388813E-2</v>
      </c>
      <c r="Q23" s="22">
        <f>VLOOKUP(A23,'[3]model1&amp;RSI'!$A:$N,14)</f>
        <v>46.257374337161167</v>
      </c>
      <c r="R23" s="1">
        <f t="shared" si="8"/>
        <v>0.2</v>
      </c>
    </row>
    <row r="24" spans="1:18" ht="12.75" x14ac:dyDescent="0.2">
      <c r="A24" s="15">
        <v>45016</v>
      </c>
      <c r="B24" s="31">
        <f>VLOOKUP(A24,[1]HwabaoWP_szse_innovation_100!$A:$E,5)</f>
        <v>0.77100002765655518</v>
      </c>
      <c r="C24" s="16">
        <f>VLOOKUP(A24,[2]myPEPB!$B:$C,2,FALSE)</f>
        <v>24.159999847412109</v>
      </c>
      <c r="D24" s="17">
        <f>VLOOKUP(A24,[2]myPEPB!$B:$D,3,FALSE)</f>
        <v>30.393087189136843</v>
      </c>
      <c r="E24" s="17">
        <f>VLOOKUP(A24,[1]HwabaoWP_szse_innovation_100!$A:$F,6)</f>
        <v>1673001</v>
      </c>
      <c r="F24" s="17">
        <f>VLOOKUP(A24,[1]HwabaoWP_szse_innovation_100!$A:$I,9)</f>
        <v>4738143.9705710951</v>
      </c>
      <c r="G24" s="17">
        <f t="shared" si="10"/>
        <v>7167.7139904747792</v>
      </c>
      <c r="H24" s="18">
        <f t="shared" si="0"/>
        <v>9296.6455685623714</v>
      </c>
      <c r="I24" s="18">
        <f t="shared" si="4"/>
        <v>319485.43697033246</v>
      </c>
      <c r="J24" s="18">
        <f t="shared" si="1"/>
        <v>246323.28073999294</v>
      </c>
      <c r="K24" s="18">
        <f t="shared" si="5"/>
        <v>239928.2816499997</v>
      </c>
      <c r="L24" s="18">
        <f t="shared" si="2"/>
        <v>246323.28073999294</v>
      </c>
      <c r="M24" s="18">
        <f t="shared" si="3"/>
        <v>6394.9990899932454</v>
      </c>
      <c r="N24" s="17">
        <f t="shared" si="6"/>
        <v>0</v>
      </c>
      <c r="O24" s="22">
        <f>VLOOKUP(A24,'[3]model1&amp;RSI'!$A:$K,11)</f>
        <v>1.6235825800310466E-2</v>
      </c>
      <c r="P24" s="22">
        <f>VLOOKUP(A24,'[3]model1&amp;RSI'!$A:$M,13)</f>
        <v>3.3549798769067905E-2</v>
      </c>
      <c r="Q24" s="22">
        <f>VLOOKUP(A24,'[3]model1&amp;RSI'!$A:$N,14)</f>
        <v>48.393213658495924</v>
      </c>
      <c r="R24" s="1">
        <f t="shared" si="8"/>
        <v>0.95</v>
      </c>
    </row>
    <row r="25" spans="1:18" ht="12.75" x14ac:dyDescent="0.2">
      <c r="A25" s="15">
        <v>45044</v>
      </c>
      <c r="B25" s="31">
        <f>VLOOKUP(A25,[1]HwabaoWP_szse_innovation_100!$A:$E,5)</f>
        <v>0.75099998712539673</v>
      </c>
      <c r="C25" s="16">
        <f>VLOOKUP(A25,[2]myPEPB!$B:$C,2,FALSE)</f>
        <v>23.579999923706055</v>
      </c>
      <c r="D25" s="17">
        <f>VLOOKUP(A25,[2]myPEPB!$B:$D,3,FALSE)</f>
        <v>30.1543821056874</v>
      </c>
      <c r="E25" s="17">
        <f>VLOOKUP(A25,[1]HwabaoWP_szse_innovation_100!$A:$F,6)</f>
        <v>1925900</v>
      </c>
      <c r="F25" s="17">
        <f>VLOOKUP(A25,[1]HwabaoWP_szse_innovation_100!$A:$I,9)</f>
        <v>4625994.8803013396</v>
      </c>
      <c r="G25" s="17">
        <f t="shared" si="10"/>
        <v>9402.0980067638939</v>
      </c>
      <c r="H25" s="18">
        <f t="shared" si="0"/>
        <v>12519.438306187343</v>
      </c>
      <c r="I25" s="18">
        <f t="shared" si="4"/>
        <v>332004.8752765198</v>
      </c>
      <c r="J25" s="18">
        <f t="shared" si="1"/>
        <v>249335.65705823532</v>
      </c>
      <c r="K25" s="18">
        <f t="shared" si="5"/>
        <v>249330.3796567636</v>
      </c>
      <c r="L25" s="18">
        <f t="shared" si="2"/>
        <v>249335.65705823532</v>
      </c>
      <c r="M25" s="18">
        <f t="shared" si="3"/>
        <v>5.2774014717142563</v>
      </c>
      <c r="N25" s="17">
        <f t="shared" si="6"/>
        <v>0</v>
      </c>
      <c r="O25" s="22">
        <f>VLOOKUP(A25,'[3]model1&amp;RSI'!$A:$K,11)</f>
        <v>1.3529854833592056E-2</v>
      </c>
      <c r="P25" s="22">
        <f>VLOOKUP(A25,'[3]model1&amp;RSI'!$A:$M,13)</f>
        <v>3.129150572941633E-2</v>
      </c>
      <c r="Q25" s="22">
        <f>VLOOKUP(A25,'[3]model1&amp;RSI'!$A:$N,14)</f>
        <v>43.238107333623745</v>
      </c>
      <c r="R25" s="1">
        <f t="shared" si="8"/>
        <v>0.95</v>
      </c>
    </row>
    <row r="26" spans="1:18" ht="12.75" x14ac:dyDescent="0.2">
      <c r="A26" s="15">
        <v>45077</v>
      </c>
      <c r="B26" s="31">
        <f>VLOOKUP(A26,[1]HwabaoWP_szse_innovation_100!$A:$E,5)</f>
        <v>0.72000002861022949</v>
      </c>
      <c r="C26" s="16">
        <f>VLOOKUP(A26,[2]myPEPB!$B:$C,2,FALSE)</f>
        <v>21.329999923706055</v>
      </c>
      <c r="D26" s="17">
        <f>VLOOKUP(A26,[2]myPEPB!$B:$D,3,FALSE)</f>
        <v>29.834329254302094</v>
      </c>
      <c r="E26" s="17">
        <f>VLOOKUP(A26,[1]HwabaoWP_szse_innovation_100!$A:$F,6)</f>
        <v>1602700</v>
      </c>
      <c r="F26" s="17">
        <f>VLOOKUP(A26,[1]HwabaoWP_szse_innovation_100!$A:$I,9)</f>
        <v>4484713.805488782</v>
      </c>
      <c r="G26" s="17">
        <f t="shared" si="10"/>
        <v>13504.668811806087</v>
      </c>
      <c r="H26" s="18">
        <f t="shared" si="0"/>
        <v>18756.483715526087</v>
      </c>
      <c r="I26" s="18">
        <f t="shared" si="4"/>
        <v>350761.35899204586</v>
      </c>
      <c r="J26" s="18">
        <f t="shared" si="1"/>
        <v>252548.18850963601</v>
      </c>
      <c r="K26" s="18">
        <f t="shared" si="5"/>
        <v>262835.0484685697</v>
      </c>
      <c r="L26" s="18">
        <f t="shared" si="2"/>
        <v>252548.18850963601</v>
      </c>
      <c r="M26" s="18">
        <f t="shared" si="3"/>
        <v>-10286.859958933695</v>
      </c>
      <c r="N26" s="17">
        <f t="shared" si="6"/>
        <v>0</v>
      </c>
      <c r="O26" s="22">
        <f>VLOOKUP(A26,'[3]model1&amp;RSI'!$A:$K,11)</f>
        <v>1.127487902799338E-2</v>
      </c>
      <c r="P26" s="22">
        <f>VLOOKUP(A26,'[3]model1&amp;RSI'!$A:$M,13)</f>
        <v>3.124291452704148E-2</v>
      </c>
      <c r="Q26" s="22">
        <f>VLOOKUP(A26,'[3]model1&amp;RSI'!$A:$N,14)</f>
        <v>36.087795260697291</v>
      </c>
      <c r="R26" s="1">
        <f t="shared" si="8"/>
        <v>0.95</v>
      </c>
    </row>
    <row r="27" spans="1:18" ht="12.75" x14ac:dyDescent="0.2">
      <c r="A27" s="15">
        <v>45107</v>
      </c>
      <c r="B27" s="31">
        <f>VLOOKUP(A27,[1]HwabaoWP_szse_innovation_100!$A:$E,5)</f>
        <v>0.75499999523162842</v>
      </c>
      <c r="C27" s="16">
        <f>VLOOKUP(A27,[2]myPEPB!$B:$C,2,FALSE)</f>
        <v>22.200000762939453</v>
      </c>
      <c r="D27" s="17">
        <f>VLOOKUP(A27,[2]myPEPB!$B:$D,3,FALSE)</f>
        <v>29.540486551111261</v>
      </c>
      <c r="E27" s="17">
        <f>VLOOKUP(A27,[1]HwabaoWP_szse_innovation_100!$A:$F,6)</f>
        <v>2280700</v>
      </c>
      <c r="F27" s="17">
        <f>VLOOKUP(A27,[1]HwabaoWP_szse_innovation_100!$A:$I,9)</f>
        <v>4412683.3111552252</v>
      </c>
      <c r="G27" s="17">
        <f t="shared" si="10"/>
        <v>14551.283480826656</v>
      </c>
      <c r="H27" s="18">
        <f t="shared" si="0"/>
        <v>19273.223275137148</v>
      </c>
      <c r="I27" s="18">
        <f t="shared" si="4"/>
        <v>370034.582267183</v>
      </c>
      <c r="J27" s="18">
        <f t="shared" si="1"/>
        <v>279376.10784726078</v>
      </c>
      <c r="K27" s="18">
        <f t="shared" si="5"/>
        <v>277386.33194939635</v>
      </c>
      <c r="L27" s="18">
        <f t="shared" si="2"/>
        <v>279376.10784726078</v>
      </c>
      <c r="M27" s="18">
        <f t="shared" si="3"/>
        <v>1989.775897864427</v>
      </c>
      <c r="N27" s="17">
        <f t="shared" si="6"/>
        <v>0</v>
      </c>
      <c r="O27" s="22">
        <f>VLOOKUP(A27,'[3]model1&amp;RSI'!$A:$K,11)</f>
        <v>1.522906029356097E-2</v>
      </c>
      <c r="P27" s="22">
        <f>VLOOKUP(A27,'[3]model1&amp;RSI'!$A:$M,13)</f>
        <v>3.1869089876101056E-2</v>
      </c>
      <c r="Q27" s="22">
        <f>VLOOKUP(A27,'[3]model1&amp;RSI'!$A:$N,14)</f>
        <v>47.786304387002254</v>
      </c>
      <c r="R27" s="1">
        <f t="shared" si="8"/>
        <v>0.95</v>
      </c>
    </row>
    <row r="28" spans="1:18" ht="12.75" x14ac:dyDescent="0.2">
      <c r="A28" s="15">
        <v>45138</v>
      </c>
      <c r="B28" s="31">
        <f>VLOOKUP(A28,[1]HwabaoWP_szse_innovation_100!$A:$E,5)</f>
        <v>0.76099997758865356</v>
      </c>
      <c r="C28" s="16">
        <f>VLOOKUP(A28,[2]myPEPB!$B:$C,2,FALSE)</f>
        <v>22.409999847412109</v>
      </c>
      <c r="D28" s="17">
        <f>VLOOKUP(A28,[2]myPEPB!$B:$D,3,FALSE)</f>
        <v>29.26302162741802</v>
      </c>
      <c r="E28" s="17">
        <f>VLOOKUP(A28,[1]HwabaoWP_szse_innovation_100!$A:$F,6)</f>
        <v>2111506</v>
      </c>
      <c r="F28" s="17">
        <f>VLOOKUP(A28,[1]HwabaoWP_szse_innovation_100!$A:$I,9)</f>
        <v>4325606.2786714146</v>
      </c>
      <c r="G28" s="17">
        <f t="shared" si="10"/>
        <v>11978.318366586287</v>
      </c>
      <c r="H28" s="18">
        <f t="shared" si="0"/>
        <v>15740.234848023842</v>
      </c>
      <c r="I28" s="18">
        <f t="shared" si="4"/>
        <v>385774.81711520685</v>
      </c>
      <c r="J28" s="18">
        <f t="shared" si="1"/>
        <v>293574.62717893935</v>
      </c>
      <c r="K28" s="18">
        <f t="shared" si="5"/>
        <v>289364.65031598264</v>
      </c>
      <c r="L28" s="18">
        <f t="shared" si="2"/>
        <v>293574.62717893935</v>
      </c>
      <c r="M28" s="18">
        <f t="shared" si="3"/>
        <v>4209.9768629567116</v>
      </c>
      <c r="N28" s="17">
        <f t="shared" si="6"/>
        <v>0</v>
      </c>
      <c r="O28" s="22">
        <f>VLOOKUP(A28,'[3]model1&amp;RSI'!$A:$K,11)</f>
        <v>1.3690880637471666E-2</v>
      </c>
      <c r="P28" s="22">
        <f>VLOOKUP(A28,'[3]model1&amp;RSI'!$A:$M,13)</f>
        <v>2.7557571956255068E-2</v>
      </c>
      <c r="Q28" s="22">
        <f>VLOOKUP(A28,'[3]model1&amp;RSI'!$A:$N,14)</f>
        <v>49.681012025314104</v>
      </c>
      <c r="R28" s="1">
        <f t="shared" si="8"/>
        <v>0.95</v>
      </c>
    </row>
    <row r="29" spans="1:18" ht="12.75" x14ac:dyDescent="0.2">
      <c r="A29" s="15">
        <v>45169</v>
      </c>
      <c r="B29" s="31">
        <f>VLOOKUP(A29,[1]HwabaoWP_szse_innovation_100!$A:$E,5)</f>
        <v>0.71399998664855957</v>
      </c>
      <c r="C29" s="16">
        <f>VLOOKUP(A29,[2]myPEPB!$B:$C,2,FALSE)</f>
        <v>20.899999618530273</v>
      </c>
      <c r="D29" s="17">
        <f>VLOOKUP(A29,[2]myPEPB!$B:$D,3,FALSE)</f>
        <v>28.951898116056832</v>
      </c>
      <c r="E29" s="17">
        <f>VLOOKUP(A29,[1]HwabaoWP_szse_innovation_100!$A:$F,6)</f>
        <v>3152600</v>
      </c>
      <c r="F29" s="17">
        <f>VLOOKUP(A29,[1]HwabaoWP_szse_innovation_100!$A:$I,9)</f>
        <v>4215152.2814262221</v>
      </c>
      <c r="G29" s="17">
        <f t="shared" si="10"/>
        <v>25336.025063181412</v>
      </c>
      <c r="H29" s="18">
        <f t="shared" si="0"/>
        <v>35484.629603574693</v>
      </c>
      <c r="I29" s="18">
        <f t="shared" si="4"/>
        <v>421259.44671878155</v>
      </c>
      <c r="J29" s="18">
        <f t="shared" si="1"/>
        <v>300779.23933278961</v>
      </c>
      <c r="K29" s="18">
        <f t="shared" si="5"/>
        <v>314700.67537916405</v>
      </c>
      <c r="L29" s="18">
        <f t="shared" si="2"/>
        <v>300779.23933278961</v>
      </c>
      <c r="M29" s="18">
        <f t="shared" si="3"/>
        <v>-13921.436046374438</v>
      </c>
      <c r="N29" s="17">
        <f t="shared" si="6"/>
        <v>0</v>
      </c>
      <c r="O29" s="22">
        <f>VLOOKUP(A29,'[3]model1&amp;RSI'!$A:$K,11)</f>
        <v>1.1409067197893056E-2</v>
      </c>
      <c r="P29" s="22">
        <f>VLOOKUP(A29,'[3]model1&amp;RSI'!$A:$M,13)</f>
        <v>3.0797975120228221E-2</v>
      </c>
      <c r="Q29" s="22">
        <f>VLOOKUP(A29,'[3]model1&amp;RSI'!$A:$N,14)</f>
        <v>37.04486140194178</v>
      </c>
      <c r="R29" s="1">
        <f t="shared" si="8"/>
        <v>0.95</v>
      </c>
    </row>
    <row r="30" spans="1:18" ht="12.75" x14ac:dyDescent="0.2">
      <c r="A30" s="15">
        <v>45197</v>
      </c>
      <c r="B30" s="31">
        <f>VLOOKUP(A30,[1]HwabaoWP_szse_innovation_100!$A:$E,5)</f>
        <v>0.68500000238418579</v>
      </c>
      <c r="C30" s="16">
        <f>VLOOKUP(A30,[2]myPEPB!$B:$C,2,FALSE)</f>
        <v>19.25</v>
      </c>
      <c r="D30" s="17">
        <f>VLOOKUP(A30,[2]myPEPB!$B:$D,3,FALSE)</f>
        <v>28.642033273139454</v>
      </c>
      <c r="E30" s="17">
        <f>VLOOKUP(A30,[1]HwabaoWP_szse_innovation_100!$A:$F,6)</f>
        <v>1644900</v>
      </c>
      <c r="F30" s="17">
        <f>VLOOKUP(A30,[1]HwabaoWP_szse_innovation_100!$A:$I,9)</f>
        <v>4176288.16796875</v>
      </c>
      <c r="G30" s="17">
        <f t="shared" si="10"/>
        <v>18153.258106376416</v>
      </c>
      <c r="H30" s="18">
        <f t="shared" si="0"/>
        <v>26501.106632398325</v>
      </c>
      <c r="I30" s="18">
        <f t="shared" si="4"/>
        <v>447760.55335117987</v>
      </c>
      <c r="J30" s="18">
        <f t="shared" si="1"/>
        <v>306715.98011310259</v>
      </c>
      <c r="K30" s="18">
        <f t="shared" si="5"/>
        <v>332853.93348554044</v>
      </c>
      <c r="L30" s="18">
        <f t="shared" si="2"/>
        <v>306715.98011310259</v>
      </c>
      <c r="M30" s="18">
        <f t="shared" si="3"/>
        <v>-26137.953372437856</v>
      </c>
      <c r="N30" s="17">
        <f t="shared" si="6"/>
        <v>0</v>
      </c>
      <c r="O30" s="22">
        <f>VLOOKUP(A30,'[3]model1&amp;RSI'!$A:$K,11)</f>
        <v>9.5075559982442139E-3</v>
      </c>
      <c r="P30" s="22">
        <f>VLOOKUP(A30,'[3]model1&amp;RSI'!$A:$M,13)</f>
        <v>3.0498309977585816E-2</v>
      </c>
      <c r="Q30" s="22">
        <f>VLOOKUP(A30,'[3]model1&amp;RSI'!$A:$N,14)</f>
        <v>31.174042119814576</v>
      </c>
      <c r="R30" s="1">
        <f t="shared" si="8"/>
        <v>0.95</v>
      </c>
    </row>
    <row r="31" spans="1:18" ht="12.75" x14ac:dyDescent="0.2">
      <c r="A31" s="15">
        <v>45230</v>
      </c>
      <c r="B31" s="31">
        <f>VLOOKUP(A31,[1]HwabaoWP_szse_innovation_100!$A:$E,5)</f>
        <v>0.66299998760223389</v>
      </c>
      <c r="C31" s="16">
        <f>VLOOKUP(A31,[2]myPEPB!$B:$C,2,FALSE)</f>
        <v>18.770000457763672</v>
      </c>
      <c r="D31" s="17">
        <f>VLOOKUP(A31,[2]myPEPB!$B:$D,3,FALSE)</f>
        <v>28.372122112939287</v>
      </c>
      <c r="E31" s="17">
        <f>VLOOKUP(A31,[1]HwabaoWP_szse_innovation_100!$A:$F,6)</f>
        <v>3279702</v>
      </c>
      <c r="F31" s="17">
        <f>VLOOKUP(A31,[1]HwabaoWP_szse_innovation_100!$A:$I,9)</f>
        <v>4151158.042563708</v>
      </c>
      <c r="G31" s="17">
        <f t="shared" si="10"/>
        <v>38061.492951344779</v>
      </c>
      <c r="H31" s="18">
        <f t="shared" si="0"/>
        <v>57407.984408862052</v>
      </c>
      <c r="I31" s="18">
        <f t="shared" si="4"/>
        <v>505168.53776004195</v>
      </c>
      <c r="J31" s="18">
        <f t="shared" si="1"/>
        <v>334926.73427194642</v>
      </c>
      <c r="K31" s="18">
        <f t="shared" si="5"/>
        <v>370915.4264368852</v>
      </c>
      <c r="L31" s="18">
        <f t="shared" si="2"/>
        <v>334926.73427194642</v>
      </c>
      <c r="M31" s="18">
        <f t="shared" si="3"/>
        <v>-35988.69216493878</v>
      </c>
      <c r="N31" s="17">
        <f t="shared" si="6"/>
        <v>0</v>
      </c>
      <c r="O31" s="22">
        <f>VLOOKUP(A31,'[3]model1&amp;RSI'!$A:$K,11)</f>
        <v>7.9229633318701771E-3</v>
      </c>
      <c r="P31" s="22">
        <f>VLOOKUP(A31,'[3]model1&amp;RSI'!$A:$M,13)</f>
        <v>2.9081927444980161E-2</v>
      </c>
      <c r="Q31" s="22">
        <f>VLOOKUP(A31,'[3]model1&amp;RSI'!$A:$N,14)</f>
        <v>27.24359775279531</v>
      </c>
      <c r="R31" s="1">
        <f t="shared" si="8"/>
        <v>0.95</v>
      </c>
    </row>
    <row r="32" spans="1:18" ht="12.75" x14ac:dyDescent="0.2">
      <c r="A32" s="15">
        <v>45260</v>
      </c>
      <c r="B32" s="31">
        <f>VLOOKUP(A32,[1]HwabaoWP_szse_innovation_100!$A:$E,5)</f>
        <v>0.65100002288818359</v>
      </c>
      <c r="C32" s="16">
        <f>VLOOKUP(A32,[2]myPEPB!$B:$C,2,FALSE)</f>
        <v>17.930000305175781</v>
      </c>
      <c r="D32" s="17">
        <f>VLOOKUP(A32,[2]myPEPB!$B:$D,3,FALSE)</f>
        <v>28.031817642334733</v>
      </c>
      <c r="E32" s="17">
        <f>VLOOKUP(A32,[1]HwabaoWP_szse_innovation_100!$A:$F,6)</f>
        <v>3444800</v>
      </c>
      <c r="F32" s="17">
        <f>VLOOKUP(A32,[1]HwabaoWP_szse_innovation_100!$A:$I,9)</f>
        <v>4128629.2469860404</v>
      </c>
      <c r="G32" s="17">
        <f t="shared" si="10"/>
        <v>44488.05766718513</v>
      </c>
      <c r="H32" s="18">
        <f t="shared" si="0"/>
        <v>68338.027808067287</v>
      </c>
      <c r="I32" s="18">
        <f t="shared" si="4"/>
        <v>573506.56556810928</v>
      </c>
      <c r="J32" s="18">
        <f t="shared" si="1"/>
        <v>373352.78731136268</v>
      </c>
      <c r="K32" s="18">
        <f t="shared" si="5"/>
        <v>415403.48410407035</v>
      </c>
      <c r="L32" s="18">
        <f t="shared" si="2"/>
        <v>373352.78731136268</v>
      </c>
      <c r="M32" s="18">
        <f t="shared" si="3"/>
        <v>-42050.696792707662</v>
      </c>
      <c r="N32" s="17">
        <f t="shared" si="6"/>
        <v>0</v>
      </c>
      <c r="O32" s="22">
        <f>VLOOKUP(A32,'[3]model1&amp;RSI'!$A:$K,11)</f>
        <v>6.6024694432251473E-3</v>
      </c>
      <c r="P32" s="22">
        <f>VLOOKUP(A32,'[3]model1&amp;RSI'!$A:$M,13)</f>
        <v>2.6234933656491849E-2</v>
      </c>
      <c r="Q32" s="22">
        <f>VLOOKUP(A32,'[3]model1&amp;RSI'!$A:$N,14)</f>
        <v>25.166709127893537</v>
      </c>
      <c r="R32" s="1">
        <f t="shared" si="8"/>
        <v>0.95</v>
      </c>
    </row>
    <row r="33" spans="1:18" ht="12.75" x14ac:dyDescent="0.2">
      <c r="A33" s="15">
        <v>45289</v>
      </c>
      <c r="B33" s="31">
        <f>VLOOKUP(A33,[1]HwabaoWP_szse_innovation_100!$A:$E,5)</f>
        <v>0.64499998092651367</v>
      </c>
      <c r="C33" s="16">
        <f>VLOOKUP(A33,[2]myPEPB!$B:$C,2,FALSE)</f>
        <v>17.709999084472656</v>
      </c>
      <c r="D33" s="17">
        <f>VLOOKUP(A33,[2]myPEPB!$B:$D,3,FALSE)</f>
        <v>27.695688453026897</v>
      </c>
      <c r="E33" s="17">
        <f>VLOOKUP(A33,[1]HwabaoWP_szse_innovation_100!$A:$F,6)</f>
        <v>5609700</v>
      </c>
      <c r="F33" s="17">
        <f>VLOOKUP(A33,[1]HwabaoWP_szse_innovation_100!$A:$I,9)</f>
        <v>4135906.376174428</v>
      </c>
      <c r="G33" s="17">
        <f t="shared" si="10"/>
        <v>70666.134562425083</v>
      </c>
      <c r="H33" s="18">
        <f t="shared" si="0"/>
        <v>109559.90178622383</v>
      </c>
      <c r="I33" s="18">
        <f t="shared" si="4"/>
        <v>683066.46735433314</v>
      </c>
      <c r="J33" s="18">
        <f t="shared" si="1"/>
        <v>440577.85841508594</v>
      </c>
      <c r="K33" s="18">
        <f t="shared" si="5"/>
        <v>486069.61866649543</v>
      </c>
      <c r="L33" s="18">
        <f t="shared" si="2"/>
        <v>440577.85841508594</v>
      </c>
      <c r="M33" s="18">
        <f t="shared" si="3"/>
        <v>-45491.760251409491</v>
      </c>
      <c r="N33" s="17">
        <f t="shared" si="6"/>
        <v>0</v>
      </c>
      <c r="O33" s="22">
        <f>VLOOKUP(A33,'[3]model1&amp;RSI'!$A:$K,11)</f>
        <v>5.5020578693542902E-3</v>
      </c>
      <c r="P33" s="22">
        <f>VLOOKUP(A33,'[3]model1&amp;RSI'!$A:$M,13)</f>
        <v>2.2862451707354861E-2</v>
      </c>
      <c r="Q33" s="22">
        <f>VLOOKUP(A33,'[3]model1&amp;RSI'!$A:$N,14)</f>
        <v>24.065913576470347</v>
      </c>
      <c r="R33" s="1">
        <f t="shared" si="8"/>
        <v>0.95</v>
      </c>
    </row>
    <row r="34" spans="1:18" ht="12.75" x14ac:dyDescent="0.2">
      <c r="A34" s="15">
        <v>45322</v>
      </c>
      <c r="B34" s="31">
        <f>VLOOKUP(A34,[1]HwabaoWP_szse_innovation_100!$A:$E,5)</f>
        <v>0.56099998950958252</v>
      </c>
      <c r="C34" s="16">
        <f>VLOOKUP(A34,[2]myPEPB!$B:$C,2,FALSE)</f>
        <v>15.380000114440918</v>
      </c>
      <c r="D34" s="17">
        <f>VLOOKUP(A34,[2]myPEPB!$B:$D,3,FALSE)</f>
        <v>27.336624376243282</v>
      </c>
      <c r="E34" s="17">
        <f>VLOOKUP(A34,[1]HwabaoWP_szse_innovation_100!$A:$F,6)</f>
        <v>10787006</v>
      </c>
      <c r="F34" s="17">
        <f>VLOOKUP(A34,[1]HwabaoWP_szse_innovation_100!$A:$I,9)</f>
        <v>4203114.608389196</v>
      </c>
      <c r="G34" s="17">
        <f t="shared" si="10"/>
        <v>201794.60024846339</v>
      </c>
      <c r="H34" s="18">
        <f t="shared" si="0"/>
        <v>359705.17650966288</v>
      </c>
      <c r="I34" s="18">
        <f t="shared" si="4"/>
        <v>1042771.643863996</v>
      </c>
      <c r="J34" s="18">
        <f t="shared" si="1"/>
        <v>584994.88126859185</v>
      </c>
      <c r="K34" s="18">
        <f t="shared" si="5"/>
        <v>687864.21891495888</v>
      </c>
      <c r="L34" s="18">
        <f t="shared" si="2"/>
        <v>584994.88126859185</v>
      </c>
      <c r="M34" s="18">
        <f t="shared" si="3"/>
        <v>-102869.33764636703</v>
      </c>
      <c r="N34" s="17">
        <f t="shared" si="6"/>
        <v>0</v>
      </c>
      <c r="O34" s="22">
        <f>VLOOKUP(A34,'[3]model1&amp;RSI'!$A:$K,11)</f>
        <v>4.5850482244619087E-3</v>
      </c>
      <c r="P34" s="22">
        <f>VLOOKUP(A34,'[3]model1&amp;RSI'!$A:$M,13)</f>
        <v>3.3052041658950905E-2</v>
      </c>
      <c r="Q34" s="22">
        <f>VLOOKUP(A34,'[3]model1&amp;RSI'!$A:$N,14)</f>
        <v>13.872208778425705</v>
      </c>
      <c r="R34" s="1">
        <f t="shared" si="8"/>
        <v>1</v>
      </c>
    </row>
    <row r="35" spans="1:18" ht="12.75" x14ac:dyDescent="0.2">
      <c r="A35" s="15">
        <v>45351</v>
      </c>
      <c r="B35" s="31">
        <f>VLOOKUP(A35,[1]HwabaoWP_szse_innovation_100!$A:$E,5)</f>
        <v>0.6380000114440918</v>
      </c>
      <c r="C35" s="16">
        <f>VLOOKUP(A35,[2]myPEPB!$B:$C,2,FALSE)</f>
        <v>17.479999542236328</v>
      </c>
      <c r="D35" s="17">
        <f>VLOOKUP(A35,[2]myPEPB!$B:$D,3,FALSE)</f>
        <v>27.106454818762419</v>
      </c>
      <c r="E35" s="17">
        <f>VLOOKUP(A35,[1]HwabaoWP_szse_innovation_100!$A:$F,6)</f>
        <v>12736000</v>
      </c>
      <c r="F35" s="17">
        <f>VLOOKUP(A35,[1]HwabaoWP_szse_innovation_100!$A:$I,9)</f>
        <v>4305005.2464849772</v>
      </c>
      <c r="G35" s="17">
        <f t="shared" si="10"/>
        <v>301567.71508904634</v>
      </c>
      <c r="H35" s="18">
        <f t="shared" si="0"/>
        <v>472676.66093995492</v>
      </c>
      <c r="I35" s="18">
        <f t="shared" si="4"/>
        <v>1515448.3048039509</v>
      </c>
      <c r="J35" s="18">
        <f t="shared" si="1"/>
        <v>966856.03580785019</v>
      </c>
      <c r="K35" s="18">
        <f t="shared" si="5"/>
        <v>989431.93400400528</v>
      </c>
      <c r="L35" s="18">
        <f t="shared" si="2"/>
        <v>966856.03580785019</v>
      </c>
      <c r="M35" s="18">
        <f t="shared" si="3"/>
        <v>-22575.898196155089</v>
      </c>
      <c r="N35" s="17">
        <f t="shared" si="6"/>
        <v>0</v>
      </c>
      <c r="O35" s="22">
        <f>VLOOKUP(A35,'[3]model1&amp;RSI'!$A:$K,11)</f>
        <v>1.6654210509469802E-2</v>
      </c>
      <c r="P35" s="22">
        <f>VLOOKUP(A35,'[3]model1&amp;RSI'!$A:$M,13)</f>
        <v>4.0376705038210635E-2</v>
      </c>
      <c r="Q35" s="22">
        <f>VLOOKUP(A35,'[3]model1&amp;RSI'!$A:$N,14)</f>
        <v>41.247076733252584</v>
      </c>
      <c r="R35" s="1">
        <f t="shared" si="8"/>
        <v>2</v>
      </c>
    </row>
    <row r="36" spans="1:18" ht="12.75" x14ac:dyDescent="0.2">
      <c r="A36" s="15">
        <v>45380</v>
      </c>
      <c r="B36" s="31">
        <f>VLOOKUP(A36,[1]HwabaoWP_szse_innovation_100!$A:$E,5)</f>
        <v>0.64600002765655518</v>
      </c>
      <c r="C36" s="16">
        <f>VLOOKUP(A36,[2]myPEPB!$B:$C,2,FALSE)</f>
        <v>17.700000762939453</v>
      </c>
      <c r="D36" s="17">
        <f>VLOOKUP(A36,[2]myPEPB!$B:$D,3,FALSE)</f>
        <v>26.839674750359887</v>
      </c>
      <c r="E36" s="17">
        <f>VLOOKUP(A36,[1]HwabaoWP_szse_innovation_100!$A:$F,6)</f>
        <v>8545319</v>
      </c>
      <c r="F36" s="17">
        <f>VLOOKUP(A36,[1]HwabaoWP_szse_innovation_100!$A:$I,9)</f>
        <v>4423306.3268190296</v>
      </c>
      <c r="G36" s="17">
        <f t="shared" si="10"/>
        <v>84319.683432273057</v>
      </c>
      <c r="H36" s="18">
        <f t="shared" si="0"/>
        <v>130525.82015848067</v>
      </c>
      <c r="I36" s="18">
        <f t="shared" si="4"/>
        <v>1645974.1249624316</v>
      </c>
      <c r="J36" s="18">
        <f t="shared" si="1"/>
        <v>1063299.3302477051</v>
      </c>
      <c r="K36" s="18">
        <f t="shared" si="5"/>
        <v>1073751.6174362784</v>
      </c>
      <c r="L36" s="18">
        <f t="shared" si="2"/>
        <v>1063299.3302477051</v>
      </c>
      <c r="M36" s="18">
        <f t="shared" si="3"/>
        <v>-10452.287188573275</v>
      </c>
      <c r="N36" s="17">
        <f t="shared" si="6"/>
        <v>0</v>
      </c>
      <c r="O36" s="22">
        <f>VLOOKUP(A36,'[3]model1&amp;RSI'!$A:$K,11)</f>
        <v>1.5211844793302065E-2</v>
      </c>
      <c r="P36" s="22">
        <f>VLOOKUP(A36,'[3]model1&amp;RSI'!$A:$M,13)</f>
        <v>3.4980590233919424E-2</v>
      </c>
      <c r="Q36" s="22">
        <f>VLOOKUP(A36,'[3]model1&amp;RSI'!$A:$N,14)</f>
        <v>43.48652979146042</v>
      </c>
      <c r="R36" s="1">
        <f t="shared" si="8"/>
        <v>0.95</v>
      </c>
    </row>
    <row r="37" spans="1:18" ht="12.75" x14ac:dyDescent="0.2">
      <c r="A37" s="15">
        <v>45412</v>
      </c>
      <c r="B37" s="31">
        <f>VLOOKUP(A37,[1]HwabaoWP_szse_innovation_100!$A:$E,5)</f>
        <v>0.66399997472763062</v>
      </c>
      <c r="C37" s="16">
        <f>VLOOKUP(A37,[2]myPEPB!$B:$C,2,FALSE)</f>
        <v>18.110000610351563</v>
      </c>
      <c r="D37" s="17">
        <f>VLOOKUP(A37,[2]myPEPB!$B:$D,3,FALSE)</f>
        <v>26.594314356937268</v>
      </c>
      <c r="E37" s="17">
        <f>VLOOKUP(A37,[1]HwabaoWP_szse_innovation_100!$A:$F,6)</f>
        <v>5195700</v>
      </c>
      <c r="F37" s="17">
        <f>VLOOKUP(A37,[1]HwabaoWP_szse_innovation_100!$A:$I,9)</f>
        <v>4505504.5858242754</v>
      </c>
      <c r="G37" s="17">
        <f t="shared" si="10"/>
        <v>43373.090261445432</v>
      </c>
      <c r="H37" s="18">
        <f t="shared" si="0"/>
        <v>65320.921554608271</v>
      </c>
      <c r="I37" s="18">
        <f t="shared" si="4"/>
        <v>1711295.0465170399</v>
      </c>
      <c r="J37" s="18">
        <f t="shared" si="1"/>
        <v>1136299.8676388341</v>
      </c>
      <c r="K37" s="18">
        <f t="shared" si="5"/>
        <v>1117124.7076977238</v>
      </c>
      <c r="L37" s="18">
        <f t="shared" si="2"/>
        <v>1136299.8676388341</v>
      </c>
      <c r="M37" s="18">
        <f t="shared" si="3"/>
        <v>19175.159941110294</v>
      </c>
      <c r="N37" s="17">
        <f t="shared" si="6"/>
        <v>0</v>
      </c>
      <c r="O37" s="22">
        <f>VLOOKUP(A37,'[3]model1&amp;RSI'!$A:$K,11)</f>
        <v>1.5676528506264293E-2</v>
      </c>
      <c r="P37" s="22">
        <f>VLOOKUP(A37,'[3]model1&amp;RSI'!$A:$M,13)</f>
        <v>3.2150483040112095E-2</v>
      </c>
      <c r="Q37" s="22">
        <f>VLOOKUP(A37,'[3]model1&amp;RSI'!$A:$N,14)</f>
        <v>48.759853737518327</v>
      </c>
      <c r="R37" s="1">
        <f t="shared" si="8"/>
        <v>0.95</v>
      </c>
    </row>
    <row r="38" spans="1:18" ht="12.75" x14ac:dyDescent="0.2">
      <c r="A38" s="15">
        <v>45443</v>
      </c>
      <c r="B38" s="31">
        <f>VLOOKUP(A38,[1]HwabaoWP_szse_innovation_100!$A:$E,5)</f>
        <v>0.64999997615814209</v>
      </c>
      <c r="C38" s="16">
        <f>VLOOKUP(A38,[2]myPEPB!$B:$C,2,FALSE)</f>
        <v>18.329999919999999</v>
      </c>
      <c r="D38" s="17">
        <f>VLOOKUP(A38,[2]myPEPB!$B:$D,3,FALSE)</f>
        <v>26.389717901760058</v>
      </c>
      <c r="E38" s="17">
        <f>VLOOKUP(A38,[1]HwabaoWP_szse_innovation_100!$A:$F,6)</f>
        <v>6567000</v>
      </c>
      <c r="F38" s="17">
        <f>VLOOKUP(A38,[1]HwabaoWP_szse_innovation_100!$A:$I,9)</f>
        <v>4606710.9436179576</v>
      </c>
      <c r="G38" s="17">
        <f t="shared" si="10"/>
        <v>48384.030118540977</v>
      </c>
      <c r="H38" s="18">
        <f t="shared" si="0"/>
        <v>74436.972143471838</v>
      </c>
      <c r="I38" s="18">
        <f t="shared" si="4"/>
        <v>1785732.0186605118</v>
      </c>
      <c r="J38" s="18">
        <f t="shared" si="1"/>
        <v>1160725.7695541636</v>
      </c>
      <c r="K38" s="18">
        <f t="shared" si="5"/>
        <v>1165508.7378162649</v>
      </c>
      <c r="L38" s="18">
        <f t="shared" si="2"/>
        <v>1160725.7695541636</v>
      </c>
      <c r="M38" s="18">
        <f t="shared" si="3"/>
        <v>-4782.9682621012907</v>
      </c>
      <c r="N38" s="17">
        <f t="shared" si="6"/>
        <v>0</v>
      </c>
      <c r="O38" s="22">
        <f>VLOOKUP(A38,'[3]model1&amp;RSI'!$A:$K,11)</f>
        <v>1.3063773755220243E-2</v>
      </c>
      <c r="P38" s="22">
        <f>VLOOKUP(A38,'[3]model1&amp;RSI'!$A:$M,13)</f>
        <v>2.9125402295008165E-2</v>
      </c>
      <c r="Q38" s="22">
        <f>VLOOKUP(A38,'[3]model1&amp;RSI'!$A:$N,14)</f>
        <v>44.853539267539169</v>
      </c>
      <c r="R38" s="1">
        <f t="shared" si="8"/>
        <v>0.95</v>
      </c>
    </row>
    <row r="39" spans="1:18" ht="12.75" x14ac:dyDescent="0.2">
      <c r="A39" s="15">
        <v>45471</v>
      </c>
      <c r="B39" s="31">
        <f>VLOOKUP(A39,[1]HwabaoWP_szse_innovation_100!$A:$E,5)</f>
        <v>0.63599997758865356</v>
      </c>
      <c r="C39" s="16">
        <f>VLOOKUP(A39,[2]myPEPB!$B:$C,2,FALSE)</f>
        <v>17.86000061</v>
      </c>
      <c r="D39" s="17">
        <f>VLOOKUP(A39,[2]myPEPB!$B:$D,3,FALSE)</f>
        <v>26.193870144829649</v>
      </c>
      <c r="E39" s="17">
        <f>VLOOKUP(A39,[1]HwabaoWP_szse_innovation_100!$A:$F,6)</f>
        <v>8456200</v>
      </c>
      <c r="F39" s="17">
        <f>VLOOKUP(A39,[1]HwabaoWP_szse_innovation_100!$A:$I,9)</f>
        <v>4684454.1679955423</v>
      </c>
      <c r="G39" s="17">
        <f t="shared" si="10"/>
        <v>65508.241490199747</v>
      </c>
      <c r="H39" s="18">
        <f t="shared" si="0"/>
        <v>103000.38333109595</v>
      </c>
      <c r="I39" s="18">
        <f t="shared" si="4"/>
        <v>1888732.4019916079</v>
      </c>
      <c r="J39" s="18">
        <f t="shared" si="1"/>
        <v>1201233.7653376264</v>
      </c>
      <c r="K39" s="18">
        <f t="shared" si="5"/>
        <v>1231016.9793064645</v>
      </c>
      <c r="L39" s="18">
        <f t="shared" si="2"/>
        <v>1201233.7653376264</v>
      </c>
      <c r="M39" s="18">
        <f t="shared" si="3"/>
        <v>-29783.213968838099</v>
      </c>
      <c r="N39" s="17">
        <f t="shared" si="6"/>
        <v>0</v>
      </c>
      <c r="O39" s="22">
        <f>VLOOKUP(A39,'[3]model1&amp;RSI'!$A:$K,11)</f>
        <v>1.0886478129350202E-2</v>
      </c>
      <c r="P39" s="22">
        <f>VLOOKUP(A39,'[3]model1&amp;RSI'!$A:$M,13)</f>
        <v>2.6604501674088222E-2</v>
      </c>
      <c r="Q39" s="22">
        <f>VLOOKUP(A39,'[3]model1&amp;RSI'!$A:$N,14)</f>
        <v>40.919684430523347</v>
      </c>
      <c r="R39" s="1">
        <f t="shared" si="8"/>
        <v>0.95</v>
      </c>
    </row>
    <row r="40" spans="1:18" ht="12.75" x14ac:dyDescent="0.2">
      <c r="A40" s="15">
        <v>45504</v>
      </c>
      <c r="B40" s="31">
        <f>VLOOKUP(A40,[1]HwabaoWP_szse_innovation_100!$A:$E,5)</f>
        <v>0.63300001621246338</v>
      </c>
      <c r="C40" s="16">
        <f>VLOOKUP(A40,[2]myPEPB!$B:$C,2,FALSE)</f>
        <v>17.709999079999999</v>
      </c>
      <c r="D40" s="17">
        <f>VLOOKUP(A40,[2]myPEPB!$B:$D,3,FALSE)</f>
        <v>25.951256745485065</v>
      </c>
      <c r="E40" s="17">
        <f>VLOOKUP(A40,[1]HwabaoWP_szse_innovation_100!$A:$F,6)</f>
        <v>9012202</v>
      </c>
      <c r="F40" s="17">
        <f>VLOOKUP(A40,[1]HwabaoWP_szse_innovation_100!$A:$I,9)</f>
        <v>4764694.1608626992</v>
      </c>
      <c r="G40" s="17">
        <f t="shared" si="10"/>
        <v>67122.661507759942</v>
      </c>
      <c r="H40" s="18">
        <f t="shared" si="0"/>
        <v>106038.95701201775</v>
      </c>
      <c r="I40" s="18">
        <f t="shared" si="4"/>
        <v>1994771.3590036256</v>
      </c>
      <c r="J40" s="18">
        <f t="shared" si="1"/>
        <v>1262690.3025894526</v>
      </c>
      <c r="K40" s="18">
        <f t="shared" si="5"/>
        <v>1298139.6408142245</v>
      </c>
      <c r="L40" s="18">
        <f t="shared" si="2"/>
        <v>1262690.3025894526</v>
      </c>
      <c r="M40" s="18">
        <f t="shared" si="3"/>
        <v>-35449.338224771898</v>
      </c>
      <c r="N40" s="17">
        <f t="shared" si="6"/>
        <v>0</v>
      </c>
      <c r="O40" s="22">
        <f>VLOOKUP(A40,'[3]model1&amp;RSI'!$A:$K,11)</f>
        <v>9.0720651077918352E-3</v>
      </c>
      <c r="P40" s="22">
        <f>VLOOKUP(A40,'[3]model1&amp;RSI'!$A:$M,13)</f>
        <v>2.2670411624438547E-2</v>
      </c>
      <c r="Q40" s="22">
        <f>VLOOKUP(A40,'[3]model1&amp;RSI'!$A:$N,14)</f>
        <v>40.017205060415456</v>
      </c>
      <c r="R40" s="1">
        <f t="shared" si="8"/>
        <v>0.95</v>
      </c>
    </row>
    <row r="41" spans="1:18" ht="12.75" x14ac:dyDescent="0.2">
      <c r="A41" s="15">
        <v>45534</v>
      </c>
      <c r="B41" s="31">
        <f>VLOOKUP(A41,[1]HwabaoWP_szse_innovation_100!$A:$E,5)</f>
        <v>0.61000001430511475</v>
      </c>
      <c r="C41" s="16">
        <f>VLOOKUP(A41,[2]myPEPB!$B:$C,2,FALSE)</f>
        <v>20.56999969</v>
      </c>
      <c r="D41" s="17">
        <f>VLOOKUP(A41,[2]myPEPB!$B:$D,3,FALSE)</f>
        <v>25.729715551720684</v>
      </c>
      <c r="E41" s="17">
        <f>VLOOKUP(A41,[1]HwabaoWP_szse_innovation_100!$A:$F,6)</f>
        <v>6956200</v>
      </c>
      <c r="F41" s="17">
        <f>VLOOKUP(A41,[1]HwabaoWP_szse_innovation_100!$A:$I,9)</f>
        <v>4772486.4689518735</v>
      </c>
      <c r="G41" s="17">
        <f t="shared" si="10"/>
        <v>20275.203491607746</v>
      </c>
      <c r="H41" s="18">
        <f t="shared" si="0"/>
        <v>33238.037731366887</v>
      </c>
      <c r="I41" s="18">
        <f t="shared" si="4"/>
        <v>2028009.3967349925</v>
      </c>
      <c r="J41" s="18">
        <f t="shared" si="1"/>
        <v>1237085.7610192525</v>
      </c>
      <c r="K41" s="18">
        <f t="shared" si="5"/>
        <v>1318414.8443058322</v>
      </c>
      <c r="L41" s="18">
        <f t="shared" si="2"/>
        <v>1237085.7610192525</v>
      </c>
      <c r="M41" s="18">
        <f t="shared" si="3"/>
        <v>-81329.083286579698</v>
      </c>
      <c r="N41" s="17">
        <f t="shared" si="6"/>
        <v>0</v>
      </c>
      <c r="O41" s="22">
        <f>VLOOKUP(A41,'[3]model1&amp;RSI'!$A:$K,11)</f>
        <v>7.5600542564931957E-3</v>
      </c>
      <c r="P41" s="22">
        <f>VLOOKUP(A41,'[3]model1&amp;RSI'!$A:$M,13)</f>
        <v>2.2725343338256893E-2</v>
      </c>
      <c r="Q41" s="22">
        <f>VLOOKUP(A41,'[3]model1&amp;RSI'!$A:$N,14)</f>
        <v>33.267062873220716</v>
      </c>
      <c r="R41" s="1">
        <f t="shared" si="8"/>
        <v>0.95</v>
      </c>
    </row>
    <row r="42" spans="1:18" ht="12.75" x14ac:dyDescent="0.2">
      <c r="A42" s="15">
        <v>45565</v>
      </c>
      <c r="B42" s="31">
        <f>VLOOKUP(A42,[1]HwabaoWP_szse_innovation_100!$A:$E,5)</f>
        <v>0.76700001955032349</v>
      </c>
      <c r="C42" s="16">
        <f>VLOOKUP(A42,[2]myPEPB!$B:$C,2,FALSE)</f>
        <v>25.239999770000001</v>
      </c>
      <c r="D42" s="17">
        <f>VLOOKUP(A42,[2]myPEPB!$B:$D,3,FALSE)</f>
        <v>25.607882301446285</v>
      </c>
      <c r="E42" s="17">
        <f>VLOOKUP(A42,[1]HwabaoWP_szse_innovation_100!$A:$F,6)</f>
        <v>12479809</v>
      </c>
      <c r="F42" s="17">
        <f>VLOOKUP(A42,[1]HwabaoWP_szse_innovation_100!$A:$I,9)</f>
        <v>4825138.2799101509</v>
      </c>
      <c r="G42" s="17">
        <f t="shared" si="10"/>
        <v>182.89540812551292</v>
      </c>
      <c r="H42" s="18">
        <f t="shared" si="0"/>
        <v>238.45554558491509</v>
      </c>
      <c r="I42" s="18">
        <f t="shared" si="4"/>
        <v>2028247.8522805774</v>
      </c>
      <c r="J42" s="18">
        <f t="shared" si="1"/>
        <v>1555666.1423521044</v>
      </c>
      <c r="K42" s="18">
        <f t="shared" si="5"/>
        <v>1318597.7397139578</v>
      </c>
      <c r="L42" s="18">
        <f t="shared" si="2"/>
        <v>1555666.1423521044</v>
      </c>
      <c r="M42" s="18">
        <f t="shared" si="3"/>
        <v>237068.40263814665</v>
      </c>
      <c r="N42" s="17">
        <f t="shared" si="6"/>
        <v>0</v>
      </c>
      <c r="O42" s="22">
        <f>VLOOKUP(A42,'[3]model1&amp;RSI'!$A:$K,11)</f>
        <v>3.2466712754612458E-2</v>
      </c>
      <c r="P42" s="22">
        <f>VLOOKUP(A42,'[3]model1&amp;RSI'!$A:$M,13)</f>
        <v>4.5104453656082198E-2</v>
      </c>
      <c r="Q42" s="22">
        <f>VLOOKUP(A42,'[3]model1&amp;RSI'!$A:$N,14)</f>
        <v>71.981168427775472</v>
      </c>
      <c r="R42" s="1">
        <f t="shared" si="8"/>
        <v>0.95</v>
      </c>
    </row>
    <row r="43" spans="1:18" ht="12.75" x14ac:dyDescent="0.2">
      <c r="A43" s="15">
        <v>45596</v>
      </c>
      <c r="B43" s="31">
        <f>VLOOKUP(A43,[1]HwabaoWP_szse_innovation_100!$A:$E,5)</f>
        <v>0.77700001001358032</v>
      </c>
      <c r="C43" s="16">
        <f>VLOOKUP(A43,[2]myPEPB!$B:$C,2,FALSE)</f>
        <v>24.940000529999999</v>
      </c>
      <c r="D43" s="17">
        <f>VLOOKUP(A43,[2]myPEPB!$B:$D,3,FALSE)</f>
        <v>25.600824703771881</v>
      </c>
      <c r="E43" s="17">
        <f>VLOOKUP(A43,[1]HwabaoWP_szse_innovation_100!$A:$F,6)</f>
        <v>1578400</v>
      </c>
      <c r="F43" s="17">
        <f>VLOOKUP(A43,[1]HwabaoWP_szse_innovation_100!$A:$I,9)</f>
        <v>4778839.6069281753</v>
      </c>
      <c r="G43" s="17">
        <f t="shared" si="10"/>
        <v>15.86569664408387</v>
      </c>
      <c r="H43" s="18">
        <f t="shared" si="0"/>
        <v>20.419171736956056</v>
      </c>
      <c r="I43" s="18">
        <f t="shared" si="4"/>
        <v>2028268.2714523145</v>
      </c>
      <c r="J43" s="18">
        <f t="shared" si="1"/>
        <v>1575964.4672286755</v>
      </c>
      <c r="K43" s="18">
        <f t="shared" si="5"/>
        <v>1318613.6054106019</v>
      </c>
      <c r="L43" s="18">
        <f t="shared" si="2"/>
        <v>1575964.4672286755</v>
      </c>
      <c r="M43" s="18">
        <f t="shared" si="3"/>
        <v>257350.86181807355</v>
      </c>
      <c r="N43" s="17">
        <f t="shared" si="6"/>
        <v>0</v>
      </c>
      <c r="O43" s="22">
        <f>VLOOKUP(A43,'[3]model1&amp;RSI'!$A:$K,11)</f>
        <v>2.8722259039386522E-2</v>
      </c>
      <c r="P43" s="22">
        <f>VLOOKUP(A43,'[3]model1&amp;RSI'!$A:$M,13)</f>
        <v>3.9253709790611303E-2</v>
      </c>
      <c r="Q43" s="22">
        <f>VLOOKUP(A43,'[3]model1&amp;RSI'!$A:$N,14)</f>
        <v>73.17081415386707</v>
      </c>
      <c r="R43" s="1">
        <f t="shared" si="8"/>
        <v>0.2</v>
      </c>
    </row>
    <row r="44" spans="1:18" ht="12.75" x14ac:dyDescent="0.2">
      <c r="A44" s="15">
        <v>45625</v>
      </c>
      <c r="B44" s="31">
        <f>VLOOKUP(A44,[1]HwabaoWP_szse_innovation_100!$A:$E,5)</f>
        <v>0.78100001811981201</v>
      </c>
      <c r="C44" s="16">
        <f>VLOOKUP(A44,[2]myPEPB!$B:$C,2,FALSE)</f>
        <v>24.719999309999999</v>
      </c>
      <c r="D44" s="17">
        <f>VLOOKUP(A44,[2]myPEPB!$B:$D,3,FALSE)</f>
        <v>25.593319274370291</v>
      </c>
      <c r="E44" s="17">
        <f>VLOOKUP(A44,[1]HwabaoWP_szse_innovation_100!$A:$F,6)</f>
        <v>1693501</v>
      </c>
      <c r="F44" s="17">
        <f>VLOOKUP(A44,[1]HwabaoWP_szse_innovation_100!$A:$I,9)</f>
        <v>4743142.4693134017</v>
      </c>
      <c r="G44" s="17">
        <f t="shared" si="10"/>
        <v>29.954270658681178</v>
      </c>
      <c r="H44" s="18">
        <f t="shared" si="0"/>
        <v>38.353738749959852</v>
      </c>
      <c r="I44" s="18">
        <f t="shared" si="4"/>
        <v>2028306.6251910643</v>
      </c>
      <c r="J44" s="18">
        <f t="shared" si="1"/>
        <v>1584107.5110267559</v>
      </c>
      <c r="K44" s="18">
        <f t="shared" si="5"/>
        <v>1318643.5596812607</v>
      </c>
      <c r="L44" s="18">
        <f t="shared" si="2"/>
        <v>1584107.5110267559</v>
      </c>
      <c r="M44" s="18">
        <f t="shared" si="3"/>
        <v>265463.95134549518</v>
      </c>
      <c r="N44" s="17">
        <f t="shared" si="6"/>
        <v>0</v>
      </c>
      <c r="O44" s="22">
        <f>VLOOKUP(A44,'[3]model1&amp;RSI'!$A:$K,11)</f>
        <v>2.4601883883860715E-2</v>
      </c>
      <c r="P44" s="22">
        <f>VLOOKUP(A44,'[3]model1&amp;RSI'!$A:$M,13)</f>
        <v>3.3378092843214698E-2</v>
      </c>
      <c r="Q44" s="22">
        <f>VLOOKUP(A44,'[3]model1&amp;RSI'!$A:$N,14)</f>
        <v>73.706679406225973</v>
      </c>
      <c r="R44" s="1">
        <f t="shared" si="8"/>
        <v>0.2</v>
      </c>
    </row>
    <row r="45" spans="1:18" ht="12.75" x14ac:dyDescent="0.2">
      <c r="A45" s="15">
        <v>45657</v>
      </c>
      <c r="B45" s="31">
        <f>VLOOKUP(A45,[1]HwabaoWP_szse_innovation_100!$A:$E,5)</f>
        <v>0.78899997472763062</v>
      </c>
      <c r="C45" s="16">
        <f>VLOOKUP(A45,[2]myPEPB!$B:$C,2,FALSE)</f>
        <v>24.799999239999998</v>
      </c>
      <c r="D45" s="17">
        <f>VLOOKUP(A45,[2]myPEPB!$B:$D,3,FALSE)</f>
        <v>25.579355550139105</v>
      </c>
      <c r="E45" s="17">
        <f>VLOOKUP(A45,[1]HwabaoWP_szse_innovation_100!$A:$F,6)</f>
        <v>2431000</v>
      </c>
      <c r="F45" s="17">
        <f>VLOOKUP(A45,[1]HwabaoWP_szse_innovation_100!$A:$I,9)</f>
        <v>4680826.7802620027</v>
      </c>
      <c r="G45" s="17">
        <f t="shared" si="10"/>
        <v>34.699817151485057</v>
      </c>
      <c r="H45" s="18">
        <f t="shared" si="0"/>
        <v>43.979490827567801</v>
      </c>
      <c r="I45" s="18">
        <f t="shared" si="4"/>
        <v>2028350.6046818919</v>
      </c>
      <c r="J45" s="18">
        <f t="shared" si="1"/>
        <v>1600368.575832787</v>
      </c>
      <c r="K45" s="18">
        <f t="shared" si="5"/>
        <v>1318678.2594984123</v>
      </c>
      <c r="L45" s="18">
        <f t="shared" si="2"/>
        <v>1600368.575832787</v>
      </c>
      <c r="M45" s="18">
        <f t="shared" si="3"/>
        <v>281690.31633437471</v>
      </c>
      <c r="N45" s="17">
        <f t="shared" si="6"/>
        <v>0</v>
      </c>
      <c r="O45" s="22">
        <f>VLOOKUP(A45,'[3]model1&amp;RSI'!$A:$K,11)</f>
        <v>2.1834896004520363E-2</v>
      </c>
      <c r="P45" s="22">
        <f>VLOOKUP(A45,'[3]model1&amp;RSI'!$A:$M,13)</f>
        <v>2.914840347064868E-2</v>
      </c>
      <c r="Q45" s="22">
        <f>VLOOKUP(A45,'[3]model1&amp;RSI'!$A:$N,14)</f>
        <v>74.909406364253414</v>
      </c>
      <c r="R45" s="1">
        <f t="shared" si="8"/>
        <v>0.2</v>
      </c>
    </row>
    <row r="46" spans="1:18" ht="12.75" x14ac:dyDescent="0.2">
      <c r="A46" s="15">
        <v>45684</v>
      </c>
      <c r="B46" s="31">
        <f>VLOOKUP(A46,[1]HwabaoWP_szse_innovation_100!$A:$E,5)</f>
        <v>0.78100001811981201</v>
      </c>
      <c r="C46" s="16">
        <f>VLOOKUP(A46,[2]myPEPB!$B:$C,2,FALSE)</f>
        <v>24.409999849999998</v>
      </c>
      <c r="D46" s="17">
        <f>VLOOKUP(A46,[2]myPEPB!$B:$D,3,FALSE)</f>
        <v>25.550295783221614</v>
      </c>
      <c r="E46" s="17">
        <f>VLOOKUP(A46,[1]HwabaoWP_szse_innovation_100!$A:$F,6)</f>
        <v>851700</v>
      </c>
      <c r="F46" s="17">
        <f>VLOOKUP(A46,[1]HwabaoWP_szse_innovation_100!$A:$I,9)</f>
        <v>4623625.5848982222</v>
      </c>
      <c r="G46" s="17">
        <f t="shared" si="10"/>
        <v>26.347039652375056</v>
      </c>
      <c r="H46" s="18">
        <f t="shared" si="0"/>
        <v>33.735005174267741</v>
      </c>
      <c r="I46" s="18">
        <f t="shared" si="4"/>
        <v>2028384.3396870662</v>
      </c>
      <c r="J46" s="18">
        <f t="shared" si="1"/>
        <v>1584168.2060495415</v>
      </c>
      <c r="K46" s="18">
        <f t="shared" si="5"/>
        <v>1318704.6065380645</v>
      </c>
      <c r="L46" s="18">
        <f t="shared" si="2"/>
        <v>1584168.2060495415</v>
      </c>
      <c r="M46" s="18">
        <f t="shared" si="3"/>
        <v>265463.59951147693</v>
      </c>
      <c r="N46" s="17">
        <f t="shared" si="6"/>
        <v>0</v>
      </c>
      <c r="O46" s="22">
        <f>VLOOKUP(A46,'[3]model1&amp;RSI'!$A:$K,11)</f>
        <v>1.8195746670433634E-2</v>
      </c>
      <c r="P46" s="22">
        <f>VLOOKUP(A46,'[3]model1&amp;RSI'!$A:$M,13)</f>
        <v>2.5623662326843669E-2</v>
      </c>
      <c r="Q46" s="22">
        <f>VLOOKUP(A46,'[3]model1&amp;RSI'!$A:$N,14)</f>
        <v>71.01149881830726</v>
      </c>
      <c r="R46" s="1">
        <f t="shared" si="8"/>
        <v>0.2</v>
      </c>
    </row>
    <row r="47" spans="1:18" ht="12.75" x14ac:dyDescent="0.2">
      <c r="A47" s="15">
        <v>45716</v>
      </c>
      <c r="B47" s="31">
        <f>VLOOKUP(A47,[1]HwabaoWP_szse_innovation_100!$A:$E,5)</f>
        <v>0.82700002193450928</v>
      </c>
      <c r="C47" s="16">
        <f>VLOOKUP(A47,[2]myPEPB!$B:$C,2,FALSE)</f>
        <v>26.079999923706055</v>
      </c>
      <c r="D47" s="17">
        <f>VLOOKUP(A47,[2]myPEPB!$B:$D,3,FALSE)</f>
        <v>25.563306017026612</v>
      </c>
      <c r="E47" s="17">
        <f>VLOOKUP(A47,[1]HwabaoWP_szse_innovation_100!$A:$F,6)</f>
        <v>1283704</v>
      </c>
      <c r="F47" s="17">
        <f>VLOOKUP(A47,[1]HwabaoWP_szse_innovation_100!$A:$I,9)</f>
        <v>4583555.4425912919</v>
      </c>
      <c r="G47" s="17">
        <f t="shared" si="10"/>
        <v>-8.2247322865529409</v>
      </c>
      <c r="H47" s="18">
        <f t="shared" si="0"/>
        <v>-9.9452624769147384</v>
      </c>
      <c r="I47" s="18">
        <f t="shared" si="4"/>
        <v>2028374.3944245894</v>
      </c>
      <c r="J47" s="18">
        <f t="shared" si="1"/>
        <v>1677465.6686805324</v>
      </c>
      <c r="K47" s="18">
        <f t="shared" si="5"/>
        <v>1318704.6065380645</v>
      </c>
      <c r="L47" s="18">
        <f t="shared" si="2"/>
        <v>1677473.8934128189</v>
      </c>
      <c r="M47" s="18">
        <f t="shared" si="3"/>
        <v>358769.28687475435</v>
      </c>
      <c r="N47" s="17">
        <f t="shared" si="6"/>
        <v>8.2247322865529409</v>
      </c>
      <c r="O47" s="22">
        <f>VLOOKUP(A47,'[3]model1&amp;RSI'!$A:$K,11)</f>
        <v>2.2829789527810906E-2</v>
      </c>
      <c r="P47" s="22">
        <f>VLOOKUP(A47,'[3]model1&amp;RSI'!$A:$M,13)</f>
        <v>2.9019719241485931E-2</v>
      </c>
      <c r="Q47" s="22">
        <f>VLOOKUP(A47,'[3]model1&amp;RSI'!$A:$N,14)</f>
        <v>78.66991867782771</v>
      </c>
      <c r="R47" s="1">
        <f t="shared" si="8"/>
        <v>0.2</v>
      </c>
    </row>
    <row r="48" spans="1:18" ht="12.75" x14ac:dyDescent="0.2">
      <c r="A48" s="15">
        <v>45747</v>
      </c>
      <c r="B48" s="31">
        <f>VLOOKUP(A48,[1]HwabaoWP_szse_innovation_100!$A:$E,5)</f>
        <v>0.81400001049041748</v>
      </c>
      <c r="C48" s="16">
        <f>VLOOKUP(A48,[2]myPEPB!$B:$C,2,FALSE)</f>
        <v>25.629999160000001</v>
      </c>
      <c r="D48" s="17">
        <f>VLOOKUP(A48,[2]myPEPB!$B:$D,3,FALSE)</f>
        <v>25.577105780548813</v>
      </c>
      <c r="E48" s="17">
        <f>VLOOKUP(A48,[1]HwabaoWP_szse_innovation_100!$A:$F,6)</f>
        <v>2900300</v>
      </c>
      <c r="F48" s="17">
        <f>VLOOKUP(A48,[1]HwabaoWP_szse_innovation_100!$A:$I,9)</f>
        <v>4549765.5046995059</v>
      </c>
      <c r="G48" s="17">
        <f t="shared" si="10"/>
        <v>-0.19617751346312418</v>
      </c>
      <c r="H48" s="18">
        <f t="shared" si="0"/>
        <v>-0.24100431318782348</v>
      </c>
      <c r="I48" s="18">
        <f t="shared" si="4"/>
        <v>2028374.1534202762</v>
      </c>
      <c r="J48" s="18">
        <f t="shared" si="1"/>
        <v>1651096.5821625965</v>
      </c>
      <c r="K48" s="18">
        <f t="shared" si="5"/>
        <v>1318704.6065380645</v>
      </c>
      <c r="L48" s="18">
        <f t="shared" si="2"/>
        <v>1651105.0030723966</v>
      </c>
      <c r="M48" s="18">
        <f t="shared" si="3"/>
        <v>332400.39653433207</v>
      </c>
      <c r="N48" s="17">
        <f t="shared" si="6"/>
        <v>8.4209098000160658</v>
      </c>
      <c r="O48" s="22">
        <f>VLOOKUP(A48,'[3]model1&amp;RSI'!$A:$K,11)</f>
        <v>1.9024824606509089E-2</v>
      </c>
      <c r="P48" s="22">
        <f>VLOOKUP(A48,'[3]model1&amp;RSI'!$A:$M,13)</f>
        <v>2.6349767941920243E-2</v>
      </c>
      <c r="Q48" s="22">
        <f>VLOOKUP(A48,'[3]model1&amp;RSI'!$A:$N,14)</f>
        <v>72.201108747687343</v>
      </c>
      <c r="R48" s="1">
        <f t="shared" si="8"/>
        <v>0.2</v>
      </c>
    </row>
    <row r="49" spans="1:18" ht="12.75" x14ac:dyDescent="0.2">
      <c r="A49" s="15">
        <v>45777</v>
      </c>
      <c r="B49" s="31">
        <f>VLOOKUP(A49,[1]HwabaoWP_szse_innovation_100!$A:$E,5)</f>
        <v>0.76899999380111694</v>
      </c>
      <c r="C49" s="16">
        <f>VLOOKUP(A49,[2]myPEPB!$B:$C,2,FALSE)</f>
        <v>24.010000229999999</v>
      </c>
      <c r="D49" s="17">
        <f>VLOOKUP(A49,[2]myPEPB!$B:$D,3,FALSE)</f>
        <v>25.539386200172402</v>
      </c>
      <c r="E49" s="17">
        <f>VLOOKUP(A49,[1]HwabaoWP_szse_innovation_100!$A:$F,6)</f>
        <v>1839402</v>
      </c>
      <c r="F49" s="17">
        <f>VLOOKUP(A49,[1]HwabaoWP_szse_innovation_100!$A:$I,9)</f>
        <v>4515206.3014686154</v>
      </c>
      <c r="G49" s="17">
        <f t="shared" si="10"/>
        <v>104.81560491205566</v>
      </c>
      <c r="H49" s="18">
        <f t="shared" si="0"/>
        <v>136.30117783741318</v>
      </c>
      <c r="I49" s="18">
        <f t="shared" si="4"/>
        <v>2028510.4545981137</v>
      </c>
      <c r="J49" s="18">
        <f t="shared" si="1"/>
        <v>1559924.5270114504</v>
      </c>
      <c r="K49" s="18">
        <f t="shared" si="5"/>
        <v>1318809.4221429767</v>
      </c>
      <c r="L49" s="18">
        <f t="shared" si="2"/>
        <v>1559932.9479212505</v>
      </c>
      <c r="M49" s="18">
        <f t="shared" si="3"/>
        <v>241123.52577827382</v>
      </c>
      <c r="N49" s="17">
        <f t="shared" si="6"/>
        <v>8.4209098000160658</v>
      </c>
      <c r="O49" s="22">
        <f>VLOOKUP(A49,'[3]model1&amp;RSI'!$A:$K,11)</f>
        <v>1.5854020505424241E-2</v>
      </c>
      <c r="P49" s="22">
        <f>VLOOKUP(A49,'[3]model1&amp;RSI'!$A:$M,13)</f>
        <v>2.9458142733150294E-2</v>
      </c>
      <c r="Q49" s="22">
        <f>VLOOKUP(A49,'[3]model1&amp;RSI'!$A:$N,14)</f>
        <v>53.818805377649106</v>
      </c>
      <c r="R49" s="1">
        <f t="shared" si="8"/>
        <v>0.2</v>
      </c>
    </row>
    <row r="50" spans="1:18" ht="12.75" x14ac:dyDescent="0.2">
      <c r="A50" s="15">
        <v>45807</v>
      </c>
      <c r="B50" s="31">
        <f>VLOOKUP(A50,[1]HwabaoWP_szse_innovation_100!$A:$E,5)</f>
        <v>0.78200000524520874</v>
      </c>
      <c r="C50" s="16">
        <f>VLOOKUP(A50,[2]myPEPB!$B:$C,2,FALSE)</f>
        <v>23.299999239999998</v>
      </c>
      <c r="D50" s="17">
        <f>VLOOKUP(A50,[2]myPEPB!$B:$D,3,FALSE)</f>
        <v>25.506266578519043</v>
      </c>
      <c r="E50" s="17">
        <f>VLOOKUP(A50,[1]HwabaoWP_szse_innovation_100!$A:$F,6)</f>
        <v>2171902</v>
      </c>
      <c r="F50" s="17">
        <f>VLOOKUP(A50,[1]HwabaoWP_szse_innovation_100!$A:$I,9)</f>
        <v>4456684.012585436</v>
      </c>
      <c r="G50" s="17">
        <f t="shared" si="10"/>
        <v>260.93800582886917</v>
      </c>
      <c r="H50" s="18">
        <f t="shared" si="0"/>
        <v>333.68031212103102</v>
      </c>
      <c r="I50" s="18">
        <f t="shared" si="4"/>
        <v>2028844.1349102347</v>
      </c>
      <c r="J50" s="18">
        <f t="shared" si="1"/>
        <v>1586556.1241415145</v>
      </c>
      <c r="K50" s="18">
        <f t="shared" si="5"/>
        <v>1319070.3601488054</v>
      </c>
      <c r="L50" s="18">
        <f t="shared" si="2"/>
        <v>1586564.5450513146</v>
      </c>
      <c r="M50" s="18">
        <f t="shared" si="3"/>
        <v>267494.18490250921</v>
      </c>
      <c r="N50" s="17">
        <f t="shared" si="6"/>
        <v>8.4209098000160658</v>
      </c>
      <c r="O50" s="22">
        <f>VLOOKUP(A50,'[3]model1&amp;RSI'!$A:$K,11)</f>
        <v>1.5378352328535501E-2</v>
      </c>
      <c r="P50" s="22">
        <f>VLOOKUP(A50,'[3]model1&amp;RSI'!$A:$M,13)</f>
        <v>2.6715120851640545E-2</v>
      </c>
      <c r="Q50" s="22">
        <f>VLOOKUP(A50,'[3]model1&amp;RSI'!$A:$N,14)</f>
        <v>57.56422519642517</v>
      </c>
      <c r="R50" s="1">
        <f t="shared" si="8"/>
        <v>0.2</v>
      </c>
    </row>
    <row r="51" spans="1:18" ht="12.75" x14ac:dyDescent="0.2">
      <c r="A51" s="15">
        <v>45838</v>
      </c>
      <c r="B51" s="31">
        <f>VLOOKUP(A51,[1]HwabaoWP_szse_innovation_100!$A:$E,5)</f>
        <v>0.81199997663497925</v>
      </c>
      <c r="C51" s="16">
        <f>VLOOKUP(A51,[2]myPEPB!$B:$C,2,FALSE)</f>
        <v>24.299999239999998</v>
      </c>
      <c r="D51" s="17">
        <f>VLOOKUP(A51,[2]myPEPB!$B:$D,3,FALSE)</f>
        <v>25.46955573186175</v>
      </c>
      <c r="E51" s="17">
        <f>VLOOKUP(A51,[1]HwabaoWP_szse_innovation_100!$A:$F,6)</f>
        <v>667200</v>
      </c>
      <c r="F51" s="17">
        <f>VLOOKUP(A51,[1]HwabaoWP_szse_innovation_100!$A:$I,9)</f>
        <v>4413310.9153900621</v>
      </c>
      <c r="G51" s="17">
        <f t="shared" si="10"/>
        <v>22.747129825992314</v>
      </c>
      <c r="H51" s="18">
        <f t="shared" si="0"/>
        <v>28.013707488341343</v>
      </c>
      <c r="I51" s="18">
        <f t="shared" si="4"/>
        <v>2028872.148617723</v>
      </c>
      <c r="J51" s="18">
        <f t="shared" si="1"/>
        <v>1647444.1372729512</v>
      </c>
      <c r="K51" s="18">
        <f t="shared" si="5"/>
        <v>1319093.1072786315</v>
      </c>
      <c r="L51" s="18">
        <f t="shared" si="2"/>
        <v>1647452.5581827513</v>
      </c>
      <c r="M51" s="18">
        <f t="shared" si="3"/>
        <v>328359.45090411976</v>
      </c>
      <c r="N51" s="17">
        <f t="shared" si="6"/>
        <v>8.4209098000160658</v>
      </c>
      <c r="O51" s="22">
        <f>VLOOKUP(A51,'[3]model1&amp;RSI'!$A:$K,11)</f>
        <v>1.7815288838741335E-2</v>
      </c>
      <c r="P51" s="22">
        <f>VLOOKUP(A51,'[3]model1&amp;RSI'!$A:$M,13)</f>
        <v>2.7262595941328873E-2</v>
      </c>
      <c r="Q51" s="22">
        <f>VLOOKUP(A51,'[3]model1&amp;RSI'!$A:$N,14)</f>
        <v>65.34700098655739</v>
      </c>
      <c r="R51" s="1">
        <f t="shared" si="8"/>
        <v>0.2</v>
      </c>
    </row>
    <row r="52" spans="1:18" ht="12.75" x14ac:dyDescent="0.2">
      <c r="A52" s="15">
        <v>45869</v>
      </c>
      <c r="B52" s="31">
        <f>VLOOKUP(A52,[1]HwabaoWP_szse_innovation_100!$A:$E,5)</f>
        <v>0.84500002861022949</v>
      </c>
      <c r="C52" s="16">
        <f>VLOOKUP(A52,[2]myPEPB!$B:$C,2,FALSE)</f>
        <v>25.25</v>
      </c>
      <c r="D52" s="17">
        <f>VLOOKUP(A52,[2]myPEPB!$B:$D,3,FALSE)</f>
        <v>25.459508277435798</v>
      </c>
      <c r="E52" s="17">
        <f>VLOOKUP(A52,[1]HwabaoWP_szse_innovation_100!$A:$F,6)</f>
        <v>2249304</v>
      </c>
      <c r="F52" s="17">
        <f>VLOOKUP(A52,[1]HwabaoWP_szse_innovation_100!$A:$I,9)</f>
        <v>4371430.3934544772</v>
      </c>
      <c r="G52" s="17">
        <f t="shared" si="10"/>
        <v>2.4843892735730333</v>
      </c>
      <c r="H52" s="18">
        <f t="shared" si="0"/>
        <v>2.9401055496519986</v>
      </c>
      <c r="I52" s="18">
        <f t="shared" si="4"/>
        <v>2028875.0887232728</v>
      </c>
      <c r="J52" s="18">
        <f t="shared" si="1"/>
        <v>1714399.5080177474</v>
      </c>
      <c r="K52" s="18">
        <f t="shared" si="5"/>
        <v>1319095.5916679052</v>
      </c>
      <c r="L52" s="18">
        <f t="shared" si="2"/>
        <v>1714407.9289275475</v>
      </c>
      <c r="M52" s="18">
        <f t="shared" si="3"/>
        <v>395312.33725964231</v>
      </c>
      <c r="N52" s="17">
        <f t="shared" si="6"/>
        <v>8.4209098000160658</v>
      </c>
      <c r="O52" s="22">
        <f>VLOOKUP(A52,'[3]model1&amp;RSI'!$A:$K,11)</f>
        <v>2.0346082694826153E-2</v>
      </c>
      <c r="P52" s="22">
        <f>VLOOKUP(A52,'[3]model1&amp;RSI'!$A:$M,13)</f>
        <v>2.82188386136491E-2</v>
      </c>
      <c r="Q52" s="22">
        <f>VLOOKUP(A52,'[3]model1&amp;RSI'!$A:$N,14)</f>
        <v>72.101063312311538</v>
      </c>
      <c r="R52" s="1">
        <f t="shared" si="8"/>
        <v>0.2</v>
      </c>
    </row>
    <row r="53" spans="1:18" ht="12.75" x14ac:dyDescent="0.2">
      <c r="A53" s="15">
        <v>45898</v>
      </c>
      <c r="B53" s="31">
        <f>VLOOKUP(A53,[1]HwabaoWP_szse_innovation_100!$A:$E,5)</f>
        <v>1.0089999437332153</v>
      </c>
      <c r="C53" s="16">
        <f>VLOOKUP(A53,[2]myPEPB!$B:$C,2,FALSE)</f>
        <v>30.020000459999999</v>
      </c>
      <c r="D53" s="17">
        <f>VLOOKUP(A53,[2]myPEPB!$B:$D,3,FALSE)</f>
        <v>25.492415128467428</v>
      </c>
      <c r="E53" s="17">
        <f>VLOOKUP(A53,[1]HwabaoWP_szse_innovation_100!$A:$F,6)</f>
        <v>4079918</v>
      </c>
      <c r="F53" s="17">
        <f>VLOOKUP(A53,[1]HwabaoWP_szse_innovation_100!$A:$I,9)</f>
        <v>4339325.9928879309</v>
      </c>
      <c r="G53" s="17">
        <f t="shared" si="10"/>
        <v>-2120.094065197015</v>
      </c>
      <c r="H53" s="18">
        <f t="shared" si="0"/>
        <v>-2101.1835316391043</v>
      </c>
      <c r="I53" s="18">
        <f t="shared" si="4"/>
        <v>2026773.9051916336</v>
      </c>
      <c r="J53" s="18">
        <f t="shared" si="1"/>
        <v>2045014.7562983073</v>
      </c>
      <c r="K53" s="18">
        <f t="shared" si="5"/>
        <v>1319095.5916679052</v>
      </c>
      <c r="L53" s="18">
        <f t="shared" si="2"/>
        <v>2047143.2712733045</v>
      </c>
      <c r="M53" s="18">
        <f t="shared" si="3"/>
        <v>728047.67960539926</v>
      </c>
      <c r="N53" s="17">
        <f t="shared" si="6"/>
        <v>2128.514974997031</v>
      </c>
      <c r="O53" s="22">
        <f>VLOOKUP(A53,'[3]model1&amp;RSI'!$A:$K,11)</f>
        <v>4.4288388099519432E-2</v>
      </c>
      <c r="P53" s="22">
        <f>VLOOKUP(A53,'[3]model1&amp;RSI'!$A:$M,13)</f>
        <v>5.084901803187189E-2</v>
      </c>
      <c r="Q53" s="22">
        <f>VLOOKUP(A53,'[3]model1&amp;RSI'!$A:$N,14)</f>
        <v>87.097823741177677</v>
      </c>
      <c r="R53" s="1">
        <f t="shared" si="8"/>
        <v>0.2</v>
      </c>
    </row>
    <row r="54" spans="1:18" ht="12.75" x14ac:dyDescent="0.2">
      <c r="A54" s="15">
        <v>45930</v>
      </c>
      <c r="B54" s="31">
        <f>VLOOKUP(A54,[1]HwabaoWP_szse_innovation_100!$A:$E,5)</f>
        <v>1.0880000591278076</v>
      </c>
      <c r="C54" s="16">
        <f>VLOOKUP(A54,[2]myPEPB!$B:$C,2,FALSE)</f>
        <v>32.849998470000003</v>
      </c>
      <c r="D54" s="17">
        <f>VLOOKUP(A54,[2]myPEPB!$B:$D,3,FALSE)</f>
        <v>25.595553284386586</v>
      </c>
      <c r="E54" s="17">
        <f>VLOOKUP(A54,[1]HwabaoWP_szse_innovation_100!$A:$F,6)</f>
        <v>3128893</v>
      </c>
      <c r="F54" s="17">
        <f>VLOOKUP(A54,[1]HwabaoWP_szse_innovation_100!$A:$I,9)</f>
        <v>4342592.1135788327</v>
      </c>
      <c r="G54" s="17">
        <f t="shared" si="10"/>
        <v>-20855.12363949155</v>
      </c>
      <c r="H54" s="18">
        <f t="shared" si="0"/>
        <v>-19168.311126940567</v>
      </c>
      <c r="I54" s="18">
        <f t="shared" si="4"/>
        <v>2007605.594064693</v>
      </c>
      <c r="J54" s="18">
        <f t="shared" si="1"/>
        <v>2184275.0050477032</v>
      </c>
      <c r="K54" s="18">
        <f t="shared" si="5"/>
        <v>1319095.5916679052</v>
      </c>
      <c r="L54" s="18">
        <f t="shared" si="2"/>
        <v>2207258.6436621919</v>
      </c>
      <c r="M54" s="18">
        <f t="shared" si="3"/>
        <v>888163.05199428671</v>
      </c>
      <c r="N54" s="17">
        <f t="shared" si="6"/>
        <v>22983.63861448858</v>
      </c>
      <c r="O54" s="22">
        <f>VLOOKUP(A54,'[3]model1&amp;RSI'!$A:$K,11)</f>
        <v>5.0073675982031572E-2</v>
      </c>
      <c r="P54" s="22">
        <f>VLOOKUP(A54,'[3]model1&amp;RSI'!$A:$M,13)</f>
        <v>5.5540867592325294E-2</v>
      </c>
      <c r="Q54" s="22">
        <f>VLOOKUP(A54,'[3]model1&amp;RSI'!$A:$N,14)</f>
        <v>90.156452631558849</v>
      </c>
      <c r="R54" s="1">
        <f t="shared" si="8"/>
        <v>1</v>
      </c>
    </row>
    <row r="55" spans="1:18" ht="12.75" x14ac:dyDescent="0.2">
      <c r="A55" s="15">
        <v>45961</v>
      </c>
      <c r="B55" s="31">
        <f>VLOOKUP(A55,[1]HwabaoWP_szse_innovation_100!$A:$E,5)</f>
        <v>1.0729999542236328</v>
      </c>
      <c r="C55" s="16">
        <f>VLOOKUP(A55,[2]myPEPB!$B:$C,2,FALSE)</f>
        <v>32.159999849999998</v>
      </c>
      <c r="D55" s="17">
        <f>VLOOKUP(A55,[2]myPEPB!$B:$D,3,FALSE)</f>
        <v>25.690355441740447</v>
      </c>
      <c r="E55" s="17">
        <f>VLOOKUP(A55,[1]HwabaoWP_szse_innovation_100!$A:$F,6)</f>
        <v>2090603.875</v>
      </c>
      <c r="F55" s="17">
        <f>VLOOKUP(A55,[1]HwabaoWP_szse_innovation_100!$A:$I,9)</f>
        <v>4311119.1384309772</v>
      </c>
      <c r="G55" s="17">
        <f t="shared" si="10"/>
        <v>-11163.624960196446</v>
      </c>
      <c r="H55" s="18">
        <f t="shared" si="0"/>
        <v>-10404.124358303321</v>
      </c>
      <c r="I55" s="18">
        <f t="shared" si="4"/>
        <v>1997201.4697063896</v>
      </c>
      <c r="J55" s="18">
        <f t="shared" si="1"/>
        <v>2142997.0855703284</v>
      </c>
      <c r="K55" s="18">
        <f t="shared" si="5"/>
        <v>1319095.5916679052</v>
      </c>
      <c r="L55" s="18">
        <f t="shared" si="2"/>
        <v>2177144.3491450134</v>
      </c>
      <c r="M55" s="18">
        <f t="shared" si="3"/>
        <v>858048.75747710816</v>
      </c>
      <c r="N55" s="17">
        <f t="shared" si="6"/>
        <v>34147.263574685028</v>
      </c>
      <c r="O55" s="22">
        <f>VLOOKUP(A55,'[3]model1&amp;RSI'!$A:$K,11)</f>
        <v>4.1728063318359647E-2</v>
      </c>
      <c r="P55" s="22">
        <f>VLOOKUP(A55,'[3]model1&amp;RSI'!$A:$M,13)</f>
        <v>4.8784073810966881E-2</v>
      </c>
      <c r="Q55" s="22">
        <f>VLOOKUP(A55,'[3]model1&amp;RSI'!$A:$N,14)</f>
        <v>85.53624176621959</v>
      </c>
      <c r="R55" s="1">
        <f t="shared" si="8"/>
        <v>1</v>
      </c>
    </row>
    <row r="56" spans="1:18" ht="12.75" x14ac:dyDescent="0.2">
      <c r="A56" s="15">
        <v>45989</v>
      </c>
      <c r="B56" s="31">
        <f>VLOOKUP(A56,[1]HwabaoWP_szse_innovation_100!$A:$E,5)</f>
        <v>1.0399999618530273</v>
      </c>
      <c r="C56" s="16">
        <f>VLOOKUP(A56,[2]myPEPB!$B:$C,2,FALSE)</f>
        <v>29.780000690000001</v>
      </c>
      <c r="D56" s="17">
        <f>VLOOKUP(A56,[2]myPEPB!$B:$D,3,FALSE)</f>
        <v>25.767886790921306</v>
      </c>
      <c r="E56" s="17">
        <f>VLOOKUP(A56,[1]HwabaoWP_szse_innovation_100!$A:$F,6)</f>
        <v>1227301</v>
      </c>
      <c r="F56" s="17">
        <f>VLOOKUP(A56,[1]HwabaoWP_szse_innovation_100!$A:$I,9)</f>
        <v>4256467.9943261174</v>
      </c>
      <c r="G56" s="17">
        <f t="shared" si="10"/>
        <v>-2552.7654460651065</v>
      </c>
      <c r="H56" s="18">
        <f t="shared" si="0"/>
        <v>-2454.5822497115273</v>
      </c>
      <c r="I56" s="18">
        <f t="shared" si="4"/>
        <v>1994746.8874566781</v>
      </c>
      <c r="J56" s="18">
        <f t="shared" si="1"/>
        <v>2074536.6868613902</v>
      </c>
      <c r="K56" s="18">
        <f t="shared" si="5"/>
        <v>1319095.5916679052</v>
      </c>
      <c r="L56" s="18">
        <f t="shared" si="2"/>
        <v>2111236.7158821402</v>
      </c>
      <c r="M56" s="18">
        <f t="shared" si="3"/>
        <v>792141.12421423499</v>
      </c>
      <c r="N56" s="17">
        <f t="shared" si="6"/>
        <v>36700.029020750138</v>
      </c>
      <c r="O56" s="22">
        <f>VLOOKUP(A56,'[3]model1&amp;RSI'!$A:$K,11)</f>
        <v>3.4773386098633043E-2</v>
      </c>
      <c r="P56" s="22">
        <f>VLOOKUP(A56,'[3]model1&amp;RSI'!$A:$M,13)</f>
        <v>4.6153393570906642E-2</v>
      </c>
      <c r="Q56" s="22">
        <f>VLOOKUP(A56,'[3]model1&amp;RSI'!$A:$N,14)</f>
        <v>75.343075358499476</v>
      </c>
      <c r="R56" s="1">
        <f t="shared" si="8"/>
        <v>1</v>
      </c>
    </row>
    <row r="57" spans="1:18" ht="12.75" x14ac:dyDescent="0.2">
      <c r="A57" s="15">
        <v>46022</v>
      </c>
      <c r="B57" s="31">
        <f>VLOOKUP(A57,[1]HwabaoWP_szse_innovation_100!$A:$E,5)</f>
        <v>1.0640000104904175</v>
      </c>
      <c r="C57" s="16">
        <f>VLOOKUP(A57,[2]myPEPB!$B:$C,2,FALSE)</f>
        <v>31.129999160000001</v>
      </c>
      <c r="D57" s="17">
        <f>VLOOKUP(A57,[2]myPEPB!$B:$D,3,FALSE)</f>
        <v>25.866548769817285</v>
      </c>
      <c r="E57" s="17">
        <f>VLOOKUP(A57,[1]HwabaoWP_szse_innovation_100!$A:$F,6)</f>
        <v>1780809</v>
      </c>
      <c r="F57" s="17">
        <f>VLOOKUP(A57,[1]HwabaoWP_szse_innovation_100!$A:$I,9)</f>
        <v>4200498.0933511853</v>
      </c>
      <c r="G57" s="17">
        <f t="shared" si="10"/>
        <v>-1291.963674375447</v>
      </c>
      <c r="H57" s="18">
        <f t="shared" si="0"/>
        <v>-1214.2515616893245</v>
      </c>
      <c r="I57" s="18">
        <f t="shared" si="4"/>
        <v>1993532.6358949887</v>
      </c>
      <c r="J57" s="18">
        <f t="shared" si="1"/>
        <v>2121118.7455052575</v>
      </c>
      <c r="K57" s="18">
        <f t="shared" si="5"/>
        <v>1319095.5916679052</v>
      </c>
      <c r="L57" s="18">
        <f t="shared" si="2"/>
        <v>2159110.7382003833</v>
      </c>
      <c r="M57" s="18">
        <f t="shared" si="3"/>
        <v>840015.14653247804</v>
      </c>
      <c r="N57" s="17">
        <f t="shared" si="6"/>
        <v>37991.992695125584</v>
      </c>
      <c r="O57" s="22">
        <f>VLOOKUP(A57,'[3]model1&amp;RSI'!$A:$K,11)</f>
        <v>3.2977829855092559E-2</v>
      </c>
      <c r="P57" s="22">
        <f>VLOOKUP(A57,'[3]model1&amp;RSI'!$A:$M,13)</f>
        <v>4.2461169415320556E-2</v>
      </c>
      <c r="Q57" s="22">
        <f>VLOOKUP(A57,'[3]model1&amp;RSI'!$A:$N,14)</f>
        <v>77.665854024250493</v>
      </c>
      <c r="R57" s="1">
        <f t="shared" si="8"/>
        <v>0.2</v>
      </c>
    </row>
    <row r="58" spans="1:18" ht="12.75" x14ac:dyDescent="0.2">
      <c r="A58" s="15">
        <v>46052</v>
      </c>
      <c r="B58" s="31">
        <f>VLOOKUP(A58,[1]HwabaoWP_szse_innovation_100!$A:$E,5)</f>
        <v>1.0720000267028809</v>
      </c>
      <c r="C58" s="16">
        <f>VLOOKUP(A58,[2]myPEPB!$B:$C,2,FALSE)</f>
        <v>31.709999079999999</v>
      </c>
      <c r="D58" s="17">
        <f>VLOOKUP(A58,[2]myPEPB!$B:$D,3,FALSE)</f>
        <v>25.973356806597167</v>
      </c>
      <c r="E58" s="17">
        <f>VLOOKUP(A58,[1]HwabaoWP_szse_innovation_100!$A:$F,6)</f>
        <v>3570901.25</v>
      </c>
      <c r="F58" s="17">
        <f>VLOOKUP(A58,[1]HwabaoWP_szse_innovation_100!$A:$I,9)</f>
        <v>4177049.6174183078</v>
      </c>
      <c r="G58" s="17">
        <f t="shared" si="10"/>
        <v>-3094.6848527484703</v>
      </c>
      <c r="H58" s="18">
        <f t="shared" si="0"/>
        <v>-2886.8328131172739</v>
      </c>
      <c r="I58" s="18">
        <f t="shared" si="4"/>
        <v>1990645.8030818715</v>
      </c>
      <c r="J58" s="18">
        <f t="shared" si="1"/>
        <v>2133972.3540597442</v>
      </c>
      <c r="K58" s="18">
        <f t="shared" si="5"/>
        <v>1319095.5916679052</v>
      </c>
      <c r="L58" s="18">
        <f t="shared" si="2"/>
        <v>2175059.0316076181</v>
      </c>
      <c r="M58" s="18">
        <f t="shared" si="3"/>
        <v>855963.43993971287</v>
      </c>
      <c r="N58" s="17">
        <f t="shared" si="6"/>
        <v>41086.677547874053</v>
      </c>
      <c r="O58" s="22">
        <f>VLOOKUP(A58,'[3]model1&amp;RSI'!$A:$K,11)</f>
        <v>2.8814860914654364E-2</v>
      </c>
      <c r="P58" s="22">
        <f>VLOOKUP(A58,'[3]model1&amp;RSI'!$A:$M,13)</f>
        <v>3.6717643881511025E-2</v>
      </c>
      <c r="Q58" s="22">
        <f>VLOOKUP(A58,'[3]model1&amp;RSI'!$A:$N,14)</f>
        <v>78.476878875019352</v>
      </c>
      <c r="R58" s="1">
        <f t="shared" si="8"/>
        <v>0.2</v>
      </c>
    </row>
    <row r="59" spans="1:18" ht="12.75" x14ac:dyDescent="0.2">
      <c r="A59" s="15">
        <v>46080</v>
      </c>
      <c r="B59" s="31">
        <f>VLOOKUP(A59,[1]HwabaoWP_szse_innovation_100!$A:$E,5)</f>
        <v>1.0750000476837158</v>
      </c>
      <c r="C59" s="16">
        <f>VLOOKUP(A59,[2]myPEPB!$B:$C,2,FALSE)</f>
        <v>31.549999239999998</v>
      </c>
      <c r="D59" s="17">
        <f>VLOOKUP(A59,[2]myPEPB!$B:$D,3,FALSE)</f>
        <v>26.039818023753689</v>
      </c>
      <c r="E59" s="17">
        <f>VLOOKUP(A59,[1]HwabaoWP_szse_innovation_100!$A:$F,6)</f>
        <v>1968100</v>
      </c>
      <c r="F59" s="17">
        <f>VLOOKUP(A59,[1]HwabaoWP_szse_innovation_100!$A:$I,9)</f>
        <v>4145840.7151027853</v>
      </c>
      <c r="G59" s="17">
        <f t="shared" si="10"/>
        <v>-1585.4735386837842</v>
      </c>
      <c r="H59" s="18">
        <f t="shared" si="0"/>
        <v>-1474.8590403321161</v>
      </c>
      <c r="I59" s="18">
        <f t="shared" si="4"/>
        <v>1989170.9440415394</v>
      </c>
      <c r="J59" s="18">
        <f t="shared" si="1"/>
        <v>2138358.8596957168</v>
      </c>
      <c r="K59" s="18">
        <f t="shared" si="5"/>
        <v>1319095.5916679052</v>
      </c>
      <c r="L59" s="18">
        <f t="shared" si="2"/>
        <v>2181031.0107822744</v>
      </c>
      <c r="M59" s="18">
        <f t="shared" si="3"/>
        <v>861935.4191143692</v>
      </c>
      <c r="N59" s="17">
        <f t="shared" si="6"/>
        <v>42672.151086557838</v>
      </c>
      <c r="O59" s="22">
        <f>VLOOKUP(A59,'[3]model1&amp;RSI'!$A:$K,11)</f>
        <v>2.4512387592351127E-2</v>
      </c>
      <c r="P59" s="22">
        <f>VLOOKUP(A59,'[3]model1&amp;RSI'!$A:$M,13)</f>
        <v>3.1098040064731682E-2</v>
      </c>
      <c r="Q59" s="22">
        <f>VLOOKUP(A59,'[3]model1&amp;RSI'!$A:$N,14)</f>
        <v>78.82293398981966</v>
      </c>
      <c r="R59" s="1">
        <f t="shared" si="8"/>
        <v>0.2</v>
      </c>
    </row>
    <row r="60" spans="1:18" ht="12.75" x14ac:dyDescent="0.2">
      <c r="A60" s="15">
        <v>46112</v>
      </c>
      <c r="B60" s="31">
        <f>VLOOKUP(A60,[1]HwabaoWP_szse_innovation_100!$A:$E,5)</f>
        <v>1.0479999780654907</v>
      </c>
      <c r="C60" s="16">
        <f>VLOOKUP(A60,[2]myPEPB!$B:$C,2,FALSE)</f>
        <v>30.549999239999998</v>
      </c>
      <c r="D60" s="17">
        <f>VLOOKUP(A60,[2]myPEPB!$B:$D,3,FALSE)</f>
        <v>26.136981933917117</v>
      </c>
      <c r="E60" s="17">
        <f>VLOOKUP(A60,[1]HwabaoWP_szse_innovation_100!$A:$F,6)</f>
        <v>2017527</v>
      </c>
      <c r="F60" s="17">
        <f>VLOOKUP(A60,[1]HwabaoWP_szse_innovation_100!$A:$I,9)</f>
        <v>4111894.0858900696</v>
      </c>
      <c r="G60" s="17">
        <f t="shared" si="10"/>
        <v>-1051.0935769830185</v>
      </c>
      <c r="H60" s="18">
        <f t="shared" si="0"/>
        <v>-1002.9519074258362</v>
      </c>
      <c r="I60" s="18">
        <f t="shared" si="4"/>
        <v>1988167.9921341136</v>
      </c>
      <c r="J60" s="18">
        <f t="shared" si="1"/>
        <v>2083600.0121470618</v>
      </c>
      <c r="K60" s="18">
        <f t="shared" si="5"/>
        <v>1319095.5916679052</v>
      </c>
      <c r="L60" s="18">
        <f t="shared" si="2"/>
        <v>2127323.2568106027</v>
      </c>
      <c r="M60" s="18">
        <f t="shared" si="3"/>
        <v>808227.66514269751</v>
      </c>
      <c r="N60" s="17">
        <f t="shared" si="6"/>
        <v>43723.244663540856</v>
      </c>
      <c r="O60" s="22">
        <f>VLOOKUP(A60,'[3]model1&amp;RSI'!$A:$K,11)</f>
        <v>2.0426989660292605E-2</v>
      </c>
      <c r="P60" s="22">
        <f>VLOOKUP(A60,'[3]model1&amp;RSI'!$A:$M,13)</f>
        <v>3.0415044990313916E-2</v>
      </c>
      <c r="Q60" s="22">
        <f>VLOOKUP(A60,'[3]model1&amp;RSI'!$A:$N,14)</f>
        <v>67.160806984825626</v>
      </c>
      <c r="R60" s="1">
        <f t="shared" si="8"/>
        <v>0.2</v>
      </c>
    </row>
    <row r="61" spans="1:18" ht="12.75" x14ac:dyDescent="0.2">
      <c r="A61" s="15">
        <v>46142</v>
      </c>
      <c r="B61" s="31">
        <f>VLOOKUP(A61,[1]HwabaoWP_szse_innovation_100!$A:$E,5)</f>
        <v>1.1770000457763672</v>
      </c>
      <c r="C61" s="16">
        <f>VLOOKUP(A61,[2]myPEPB!$B:$C,2,FALSE)</f>
        <v>34.549999239999998</v>
      </c>
      <c r="D61" s="17">
        <f>VLOOKUP(A61,[2]myPEPB!$B:$D,3,FALSE)</f>
        <v>26.252550181051159</v>
      </c>
      <c r="E61" s="17">
        <f>VLOOKUP(A61,[1]HwabaoWP_szse_innovation_100!$A:$F,6)</f>
        <v>1531906</v>
      </c>
      <c r="F61" s="17">
        <f>VLOOKUP(A61,[1]HwabaoWP_szse_innovation_100!$A:$I,9)</f>
        <v>4074387.1456824956</v>
      </c>
      <c r="G61" s="17">
        <f t="shared" si="10"/>
        <v>-2847.4210998735844</v>
      </c>
      <c r="H61" s="18">
        <f t="shared" si="0"/>
        <v>-2419.2191921244844</v>
      </c>
      <c r="I61" s="18">
        <f t="shared" si="4"/>
        <v>1985748.7729419891</v>
      </c>
      <c r="J61" s="18">
        <f t="shared" si="1"/>
        <v>2337226.3966530859</v>
      </c>
      <c r="K61" s="18">
        <f t="shared" si="5"/>
        <v>1319095.5916679052</v>
      </c>
      <c r="L61" s="18">
        <f t="shared" si="2"/>
        <v>2383797.0624165004</v>
      </c>
      <c r="M61" s="18">
        <f t="shared" si="3"/>
        <v>1064701.4707485952</v>
      </c>
      <c r="N61" s="17">
        <f t="shared" si="6"/>
        <v>46570.665763414443</v>
      </c>
      <c r="O61" s="22">
        <f>VLOOKUP(A61,'[3]model1&amp;RSI'!$A:$K,11)</f>
        <v>3.8522502668723251E-2</v>
      </c>
      <c r="P61" s="22">
        <f>VLOOKUP(A61,'[3]model1&amp;RSI'!$A:$M,13)</f>
        <v>4.6845882110407668E-2</v>
      </c>
      <c r="Q61" s="22">
        <f>VLOOKUP(A61,'[3]model1&amp;RSI'!$A:$N,14)</f>
        <v>82.232420296691927</v>
      </c>
      <c r="R61" s="1">
        <f t="shared" si="8"/>
        <v>0.2</v>
      </c>
    </row>
    <row r="62" spans="1:18" ht="12.75" x14ac:dyDescent="0.2">
      <c r="A62" s="15">
        <v>46171</v>
      </c>
      <c r="B62" s="31">
        <f>VLOOKUP(A62,[1]HwabaoWP_szse_innovation_100!$A:$E,5)</f>
        <v>1.2450000047683716</v>
      </c>
      <c r="C62" s="16">
        <f>VLOOKUP(A62,[2]myPEPB!$B:$C,2,FALSE)</f>
        <v>35.509998320000001</v>
      </c>
      <c r="D62" s="17">
        <f>VLOOKUP(A62,[2]myPEPB!$B:$D,3,FALSE)</f>
        <v>26.381551060434539</v>
      </c>
      <c r="E62" s="17">
        <f>VLOOKUP(A62,[1]HwabaoWP_szse_innovation_100!$A:$F,6)</f>
        <v>2806705</v>
      </c>
      <c r="F62" s="17">
        <f>VLOOKUP(A62,[1]HwabaoWP_szse_innovation_100!$A:$I,9)</f>
        <v>4047711.4584993706</v>
      </c>
      <c r="G62" s="17">
        <f t="shared" si="10"/>
        <v>-31779.256552160365</v>
      </c>
      <c r="H62" s="18">
        <f t="shared" si="0"/>
        <v>-25525.507173048401</v>
      </c>
      <c r="I62" s="18">
        <f t="shared" si="4"/>
        <v>1960223.2657689408</v>
      </c>
      <c r="J62" s="18">
        <f t="shared" si="1"/>
        <v>2440477.9752294044</v>
      </c>
      <c r="K62" s="18">
        <f t="shared" si="5"/>
        <v>1319095.5916679052</v>
      </c>
      <c r="L62" s="18">
        <f t="shared" si="2"/>
        <v>2518827.8975449791</v>
      </c>
      <c r="M62" s="18">
        <f t="shared" si="3"/>
        <v>1199732.3058770739</v>
      </c>
      <c r="N62" s="17">
        <f t="shared" si="6"/>
        <v>78349.922315574804</v>
      </c>
      <c r="O62" s="22">
        <f>VLOOKUP(A62,'[3]model1&amp;RSI'!$A:$K,11)</f>
        <v>4.3435412055936783E-2</v>
      </c>
      <c r="P62" s="22">
        <f>VLOOKUP(A62,'[3]model1&amp;RSI'!$A:$M,13)</f>
        <v>5.037156159067379E-2</v>
      </c>
      <c r="Q62" s="22">
        <f>VLOOKUP(A62,'[3]model1&amp;RSI'!$A:$N,14)</f>
        <v>86.230028778736084</v>
      </c>
      <c r="R62" s="1">
        <f t="shared" si="8"/>
        <v>1</v>
      </c>
    </row>
    <row r="63" spans="1:18" ht="12.75" x14ac:dyDescent="0.2">
      <c r="A63" s="15">
        <v>46203</v>
      </c>
      <c r="B63" s="31">
        <f>VLOOKUP(A63,[1]HwabaoWP_szse_innovation_100!$A:$E,5)</f>
        <v>1.2760000228881836</v>
      </c>
      <c r="C63" s="16">
        <f>VLOOKUP(A63,[2]myPEPB!$B:$C,2,FALSE)</f>
        <v>41.799999239999998</v>
      </c>
      <c r="D63" s="17">
        <f>VLOOKUP(A63,[2]myPEPB!$B:$D,3,FALSE)</f>
        <v>26.574869220600849</v>
      </c>
      <c r="E63" s="17">
        <f>VLOOKUP(A63,[1]HwabaoWP_szse_innovation_100!$A:$F,6)</f>
        <v>3094800</v>
      </c>
      <c r="F63" s="17">
        <f>VLOOKUP(A63,[1]HwabaoWP_szse_innovation_100!$A:$I,9)</f>
        <v>4026308.4497372219</v>
      </c>
      <c r="G63" s="17">
        <f t="shared" si="10"/>
        <v>-97996.430158915711</v>
      </c>
      <c r="H63" s="18">
        <f t="shared" si="0"/>
        <v>-76799.708778299275</v>
      </c>
      <c r="I63" s="18">
        <f t="shared" si="4"/>
        <v>1883423.5569906416</v>
      </c>
      <c r="J63" s="18">
        <f t="shared" si="1"/>
        <v>2403248.501828203</v>
      </c>
      <c r="K63" s="18">
        <f t="shared" si="5"/>
        <v>1319095.5916679052</v>
      </c>
      <c r="L63" s="18">
        <f t="shared" si="2"/>
        <v>2579594.8543026936</v>
      </c>
      <c r="M63" s="18">
        <f t="shared" si="3"/>
        <v>1260499.2626347884</v>
      </c>
      <c r="N63" s="17">
        <f t="shared" si="6"/>
        <v>176346.35247449053</v>
      </c>
      <c r="O63" s="22">
        <f>VLOOKUP(A63,'[3]model1&amp;RSI'!$A:$K,11)</f>
        <v>4.1362846399915991E-2</v>
      </c>
      <c r="P63" s="22">
        <f>VLOOKUP(A63,'[3]model1&amp;RSI'!$A:$M,13)</f>
        <v>4.7142971012196826E-2</v>
      </c>
      <c r="Q63" s="22">
        <f>VLOOKUP(A63,'[3]model1&amp;RSI'!$A:$N,14)</f>
        <v>87.739159225273681</v>
      </c>
      <c r="R63" s="1">
        <f t="shared" si="8"/>
        <v>1</v>
      </c>
    </row>
  </sheetData>
  <phoneticPr fontId="2" type="noConversion"/>
  <conditionalFormatting sqref="J2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63"/>
  <sheetViews>
    <sheetView tabSelected="1" workbookViewId="0">
      <pane ySplit="1" topLeftCell="A3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375" style="3" customWidth="1"/>
    <col min="10" max="10" width="12.625" style="1" customWidth="1"/>
    <col min="11" max="11" width="10.75" style="1" customWidth="1"/>
    <col min="12" max="14" width="10.75" style="3" customWidth="1"/>
    <col min="15" max="15" width="9.5" style="1" bestFit="1" customWidth="1"/>
    <col min="16" max="16" width="9" style="2"/>
    <col min="17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M1" s="48" t="s">
        <v>20</v>
      </c>
      <c r="N1" s="48" t="s">
        <v>21</v>
      </c>
      <c r="O1" s="48" t="s">
        <v>22</v>
      </c>
      <c r="P1" s="48" t="s">
        <v>23</v>
      </c>
      <c r="Q1" s="11" t="s">
        <v>24</v>
      </c>
    </row>
    <row r="2" spans="1:36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  <c r="N2" s="20"/>
      <c r="O2" s="7"/>
    </row>
    <row r="3" spans="1:36" ht="14.1" customHeight="1" x14ac:dyDescent="0.2">
      <c r="A3" s="15">
        <v>44377</v>
      </c>
      <c r="B3" s="31">
        <f>VLOOKUP(A3,[1]HwabaoWP_szse_innovation_100!$A:$E,5)</f>
        <v>1.0309999999999999</v>
      </c>
      <c r="C3" s="16">
        <f>VLOOKUP(A3,[2]myPEPB!$B:$C,2,FALSE)</f>
        <v>41.45</v>
      </c>
      <c r="D3" s="17">
        <f>VLOOKUP(A3,[2]myPEPB!$B:$D,3,FALSE)</f>
        <v>41.041896551724122</v>
      </c>
      <c r="E3" s="17">
        <v>0</v>
      </c>
      <c r="F3" s="18">
        <f t="shared" ref="F3:F63" si="0">E3/B3</f>
        <v>0</v>
      </c>
      <c r="G3" s="18">
        <f>G2+F3</f>
        <v>0</v>
      </c>
      <c r="H3" s="18">
        <f t="shared" ref="H3:H63" si="1">G3*B3</f>
        <v>0</v>
      </c>
      <c r="I3" s="18">
        <f>IF(E3&gt;0,I2+E3,I2)</f>
        <v>0</v>
      </c>
      <c r="J3" s="18">
        <f t="shared" ref="J3:J63" si="2">H3+L3</f>
        <v>0</v>
      </c>
      <c r="K3" s="18">
        <f t="shared" ref="K3:K63" si="3">J3-I3</f>
        <v>0</v>
      </c>
      <c r="L3" s="17">
        <f>IF(E3&lt;0,L2-E3,L2)</f>
        <v>0</v>
      </c>
      <c r="M3" s="21">
        <f>VLOOKUP(A3,'[3]model1&amp;KDJ'!$A:$N,14)</f>
        <v>86.363636363635862</v>
      </c>
      <c r="N3" s="21">
        <f>VLOOKUP(A3,'[3]model1&amp;KDJ'!$A:$O,15)</f>
        <v>86.363636363635862</v>
      </c>
      <c r="O3" s="21">
        <f>VLOOKUP(A3,'[3]model1&amp;KDJ'!$A:$P,16)</f>
        <v>86.363636363635862</v>
      </c>
      <c r="P3" s="21">
        <f>VLOOKUP(A3,'[3]model1&amp;KDJ'!$A:$Q,17)</f>
        <v>86.363636363635862</v>
      </c>
      <c r="Q3" s="1">
        <f>IF(OR(P3&lt;0,P3&gt;100),1.2,1)</f>
        <v>1</v>
      </c>
      <c r="S3" s="45" t="s">
        <v>1</v>
      </c>
      <c r="T3" s="46" t="s">
        <v>12</v>
      </c>
      <c r="U3" s="46" t="s">
        <v>8</v>
      </c>
      <c r="V3" s="46" t="s">
        <v>9</v>
      </c>
      <c r="W3" s="46" t="s">
        <v>10</v>
      </c>
      <c r="X3" s="47" t="s">
        <v>11</v>
      </c>
      <c r="Y3" s="46" t="s">
        <v>13</v>
      </c>
      <c r="Z3" s="46" t="s">
        <v>14</v>
      </c>
      <c r="AB3" s="42">
        <v>44561</v>
      </c>
      <c r="AC3" s="1">
        <v>71470.226080923632</v>
      </c>
      <c r="AD3" s="1">
        <f>-AC3</f>
        <v>-71470.226080923632</v>
      </c>
      <c r="AE3" s="42">
        <v>44561</v>
      </c>
      <c r="AF3" s="1">
        <v>71470.218956071636</v>
      </c>
      <c r="AG3" s="1">
        <f>-AF3</f>
        <v>-71470.218956071636</v>
      </c>
      <c r="AH3" s="42">
        <v>44561</v>
      </c>
      <c r="AI3" s="1">
        <v>71470.218956071636</v>
      </c>
      <c r="AJ3" s="1">
        <f>-AI3</f>
        <v>-71470.218956071636</v>
      </c>
    </row>
    <row r="4" spans="1:36" ht="14.1" customHeight="1" x14ac:dyDescent="0.2">
      <c r="A4" s="15">
        <v>44407</v>
      </c>
      <c r="B4" s="31">
        <f>VLOOKUP(A4,[1]HwabaoWP_szse_innovation_100!$A:$E,5)</f>
        <v>1.006</v>
      </c>
      <c r="C4" s="16">
        <f>VLOOKUP(A4,[2]myPEPB!$B:$C,2,FALSE)</f>
        <v>39.930000305175781</v>
      </c>
      <c r="D4" s="17">
        <f>VLOOKUP(A4,[2]myPEPB!$B:$D,3,FALSE)</f>
        <v>40.930499984741189</v>
      </c>
      <c r="E4" s="17">
        <f>IF(C4&lt;D4,$E$2*(D4-C4)*Q4,$E$2*(D4-C4)*Q4)</f>
        <v>3951.9737342833614</v>
      </c>
      <c r="F4" s="18">
        <f t="shared" si="0"/>
        <v>3928.4033143969796</v>
      </c>
      <c r="G4" s="18">
        <f t="shared" ref="G4:G63" si="4">G3+F4</f>
        <v>3928.4033143969796</v>
      </c>
      <c r="H4" s="18">
        <f t="shared" si="1"/>
        <v>3951.9737342833614</v>
      </c>
      <c r="I4" s="18">
        <f t="shared" ref="I4:I63" si="5">IF(E4&gt;0,I3+E4,I3)</f>
        <v>3951.9737342833614</v>
      </c>
      <c r="J4" s="18">
        <f t="shared" si="2"/>
        <v>3951.9737342833614</v>
      </c>
      <c r="K4" s="18">
        <f t="shared" si="3"/>
        <v>0</v>
      </c>
      <c r="L4" s="17">
        <f t="shared" ref="L4:L63" si="6">IF(E4&lt;0,L3-E4,L3)</f>
        <v>0</v>
      </c>
      <c r="M4" s="21">
        <f>VLOOKUP(A4,'[3]model1&amp;KDJ'!$A:$N,14)</f>
        <v>57.89473684210526</v>
      </c>
      <c r="N4" s="21">
        <f>VLOOKUP(A4,'[3]model1&amp;KDJ'!$A:$O,15)</f>
        <v>76.874003189792333</v>
      </c>
      <c r="O4" s="21">
        <f>VLOOKUP(A4,'[3]model1&amp;KDJ'!$A:$P,16)</f>
        <v>83.200425305688029</v>
      </c>
      <c r="P4" s="21">
        <f>VLOOKUP(A4,'[3]model1&amp;KDJ'!$A:$Q,17)</f>
        <v>64.221158958000927</v>
      </c>
      <c r="Q4" s="1">
        <f t="shared" ref="Q4:Q63" si="7">IF(OR(P4&lt;0,P4&gt;100),1.2,1)</f>
        <v>1</v>
      </c>
      <c r="S4" s="42">
        <v>44561</v>
      </c>
      <c r="T4" s="10">
        <f>U4</f>
        <v>71470.218956071636</v>
      </c>
      <c r="U4" s="4">
        <f>VLOOKUP(S4,A:I,9,)</f>
        <v>71470.218956071636</v>
      </c>
      <c r="V4" s="4">
        <f>VLOOKUP(S4,A:J,10,)</f>
        <v>72037.588440626103</v>
      </c>
      <c r="W4" s="4">
        <f>VLOOKUP(S4,A:K,11,)</f>
        <v>567.36948455446691</v>
      </c>
      <c r="X4" s="4">
        <f>VLOOKUP(S4,A:L,12,)</f>
        <v>0</v>
      </c>
      <c r="Y4" s="9">
        <f t="shared" ref="Y4" si="8">(V4-U4)/U4</f>
        <v>7.9385440934943013E-3</v>
      </c>
      <c r="Z4" s="9">
        <f>Y4</f>
        <v>7.9385440934943013E-3</v>
      </c>
      <c r="AB4" s="42">
        <v>44925</v>
      </c>
      <c r="AC4" s="7">
        <v>408826.48157624499</v>
      </c>
      <c r="AD4" s="7">
        <f>-AC4</f>
        <v>-408826.48157624499</v>
      </c>
      <c r="AE4" s="42">
        <v>44925</v>
      </c>
      <c r="AF4" s="7">
        <v>408826.47803933907</v>
      </c>
      <c r="AG4" s="7">
        <f>-AF4</f>
        <v>-408826.47803933907</v>
      </c>
      <c r="AH4" s="42">
        <v>44925</v>
      </c>
      <c r="AI4" s="7">
        <v>408826.47803933907</v>
      </c>
      <c r="AJ4" s="7">
        <f>-AI4</f>
        <v>-408826.47803933907</v>
      </c>
    </row>
    <row r="5" spans="1:36" ht="14.1" customHeight="1" x14ac:dyDescent="0.2">
      <c r="A5" s="15">
        <v>44439</v>
      </c>
      <c r="B5" s="31">
        <f>VLOOKUP(A5,[1]HwabaoWP_szse_innovation_100!$A:$E,5)</f>
        <v>0.96599999999999997</v>
      </c>
      <c r="C5" s="16">
        <f>VLOOKUP(A5,[2]myPEPB!$B:$C,2,FALSE)</f>
        <v>38.069999694824219</v>
      </c>
      <c r="D5" s="17">
        <f>VLOOKUP(A5,[2]myPEPB!$B:$D,3,FALSE)</f>
        <v>40.654705834482208</v>
      </c>
      <c r="E5" s="17">
        <f t="shared" ref="E5:E63" si="9">IF(C5&lt;D5,$E$2*(D5-C5)*Q5,$E$2*(D5-C5)*Q5)</f>
        <v>10209.589251649057</v>
      </c>
      <c r="F5" s="18">
        <f t="shared" si="0"/>
        <v>10568.932972721592</v>
      </c>
      <c r="G5" s="18">
        <f t="shared" si="4"/>
        <v>14497.336287118571</v>
      </c>
      <c r="H5" s="18">
        <f t="shared" si="1"/>
        <v>14004.426853356539</v>
      </c>
      <c r="I5" s="18">
        <f t="shared" si="5"/>
        <v>14161.562985932418</v>
      </c>
      <c r="J5" s="18">
        <f t="shared" si="2"/>
        <v>14004.426853356539</v>
      </c>
      <c r="K5" s="18">
        <f t="shared" si="3"/>
        <v>-157.13613257587895</v>
      </c>
      <c r="L5" s="17">
        <f t="shared" si="6"/>
        <v>0</v>
      </c>
      <c r="M5" s="21">
        <f>VLOOKUP(A5,'[3]model1&amp;KDJ'!$A:$N,14)</f>
        <v>22.807017543859651</v>
      </c>
      <c r="N5" s="21">
        <f>VLOOKUP(A5,'[3]model1&amp;KDJ'!$A:$O,15)</f>
        <v>58.851674641148101</v>
      </c>
      <c r="O5" s="21">
        <f>VLOOKUP(A5,'[3]model1&amp;KDJ'!$A:$P,16)</f>
        <v>75.084175084174717</v>
      </c>
      <c r="P5" s="21">
        <f>VLOOKUP(A5,'[3]model1&amp;KDJ'!$A:$Q,17)</f>
        <v>26.386673755094876</v>
      </c>
      <c r="Q5" s="1">
        <f t="shared" si="7"/>
        <v>1</v>
      </c>
      <c r="S5" s="42">
        <v>44925</v>
      </c>
      <c r="T5" s="10">
        <f>U5-U4</f>
        <v>408826.47803933907</v>
      </c>
      <c r="U5" s="4">
        <f>VLOOKUP(S5,A:I,9,)</f>
        <v>480296.69699541072</v>
      </c>
      <c r="V5" s="4">
        <f>VLOOKUP(S5,A:J,10,)</f>
        <v>442807.11376621987</v>
      </c>
      <c r="W5" s="4">
        <f>VLOOKUP(S5,A:K,11,)</f>
        <v>-37489.583229190845</v>
      </c>
      <c r="X5" s="4">
        <f>VLOOKUP(S5,A:L,12,)</f>
        <v>0</v>
      </c>
      <c r="Y5" s="9">
        <f t="shared" ref="Y5:Y7" si="10">(V5-U5)/U5</f>
        <v>-7.8055051104274117E-2</v>
      </c>
      <c r="Z5" s="9">
        <f>AD6</f>
        <v>-6.8553336011149546E-2</v>
      </c>
      <c r="AB5" s="42">
        <v>44925</v>
      </c>
      <c r="AC5" s="7"/>
      <c r="AD5" s="7">
        <v>442807.12225575943</v>
      </c>
      <c r="AE5" s="42">
        <v>45289</v>
      </c>
      <c r="AF5" s="7">
        <v>377214.1657703988</v>
      </c>
      <c r="AG5" s="7">
        <f>-AF5</f>
        <v>-377214.1657703988</v>
      </c>
      <c r="AH5" s="42">
        <v>45289</v>
      </c>
      <c r="AI5" s="7">
        <v>377214.1657703988</v>
      </c>
      <c r="AJ5" s="7">
        <f>-AI5</f>
        <v>-377214.1657703988</v>
      </c>
    </row>
    <row r="6" spans="1:36" ht="14.1" customHeight="1" x14ac:dyDescent="0.2">
      <c r="A6" s="15">
        <v>44469</v>
      </c>
      <c r="B6" s="31">
        <f>VLOOKUP(A6,[1]HwabaoWP_szse_innovation_100!$A:$E,5)</f>
        <v>0.96099999999999997</v>
      </c>
      <c r="C6" s="16">
        <f>VLOOKUP(A6,[2]myPEPB!$B:$C,2,FALSE)</f>
        <v>35.020000457763672</v>
      </c>
      <c r="D6" s="17">
        <f>VLOOKUP(A6,[2]myPEPB!$B:$D,3,FALSE)</f>
        <v>39.730819672131133</v>
      </c>
      <c r="E6" s="17">
        <f t="shared" si="9"/>
        <v>18607.735896751474</v>
      </c>
      <c r="F6" s="18">
        <f t="shared" si="0"/>
        <v>19362.888550209649</v>
      </c>
      <c r="G6" s="18">
        <f t="shared" si="4"/>
        <v>33860.22483732822</v>
      </c>
      <c r="H6" s="18">
        <f t="shared" si="1"/>
        <v>32539.676068672419</v>
      </c>
      <c r="I6" s="18">
        <f t="shared" si="5"/>
        <v>32769.298882683892</v>
      </c>
      <c r="J6" s="18">
        <f t="shared" si="2"/>
        <v>32539.676068672419</v>
      </c>
      <c r="K6" s="18">
        <f t="shared" si="3"/>
        <v>-229.62281401147266</v>
      </c>
      <c r="L6" s="17">
        <f t="shared" si="6"/>
        <v>0</v>
      </c>
      <c r="M6" s="21">
        <f>VLOOKUP(A6,'[3]model1&amp;KDJ'!$A:$N,14)</f>
        <v>20.512820512820436</v>
      </c>
      <c r="N6" s="21">
        <f>VLOOKUP(A6,'[3]model1&amp;KDJ'!$A:$O,15)</f>
        <v>46.072056598372207</v>
      </c>
      <c r="O6" s="21">
        <f>VLOOKUP(A6,'[3]model1&amp;KDJ'!$A:$P,16)</f>
        <v>65.41346892224054</v>
      </c>
      <c r="P6" s="21">
        <f>VLOOKUP(A6,'[3]model1&amp;KDJ'!$A:$Q,17)</f>
        <v>7.3892319506355477</v>
      </c>
      <c r="Q6" s="1">
        <f t="shared" si="7"/>
        <v>1</v>
      </c>
      <c r="S6" s="42">
        <v>45289</v>
      </c>
      <c r="T6" s="10">
        <f>U6-U5</f>
        <v>377214.1657703988</v>
      </c>
      <c r="U6" s="4">
        <f>VLOOKUP(S6,A:I,9,)</f>
        <v>857510.86276580952</v>
      </c>
      <c r="V6" s="4">
        <f>VLOOKUP(S6,A:J,10,)</f>
        <v>737546.09345506981</v>
      </c>
      <c r="W6" s="4">
        <f>VLOOKUP(S6,A:K,11,)</f>
        <v>-119964.76931073971</v>
      </c>
      <c r="X6" s="4">
        <f>VLOOKUP(S6,A:L,12,)</f>
        <v>0</v>
      </c>
      <c r="Y6" s="9">
        <f t="shared" si="10"/>
        <v>-0.1398988333789804</v>
      </c>
      <c r="Z6" s="9">
        <v>-8.8558045934028273E-2</v>
      </c>
      <c r="AB6" s="7"/>
      <c r="AC6" s="7"/>
      <c r="AD6" s="8">
        <f>IRR(AD3:AD5)</f>
        <v>-6.8553336011149546E-2</v>
      </c>
      <c r="AE6" s="42">
        <v>45289</v>
      </c>
      <c r="AF6" s="7"/>
      <c r="AG6" s="8">
        <v>737546.09345506981</v>
      </c>
      <c r="AH6" s="42">
        <v>45657</v>
      </c>
      <c r="AI6" s="1">
        <v>292593.62778329407</v>
      </c>
      <c r="AJ6" s="1">
        <f>-AI6</f>
        <v>-292593.62778329407</v>
      </c>
    </row>
    <row r="7" spans="1:36" ht="14.1" customHeight="1" x14ac:dyDescent="0.2">
      <c r="A7" s="15">
        <v>44498</v>
      </c>
      <c r="B7" s="31">
        <f>VLOOKUP(A7,[1]HwabaoWP_szse_innovation_100!$A:$E,5)</f>
        <v>0.99299997091293335</v>
      </c>
      <c r="C7" s="16">
        <f>VLOOKUP(A7,[2]myPEPB!$B:$C,2,FALSE)</f>
        <v>36.299999237060547</v>
      </c>
      <c r="D7" s="17">
        <f>VLOOKUP(A7,[2]myPEPB!$B:$D,3,FALSE)</f>
        <v>39.253623134226025</v>
      </c>
      <c r="E7" s="17">
        <f t="shared" si="9"/>
        <v>11666.814393803639</v>
      </c>
      <c r="F7" s="18">
        <f t="shared" si="0"/>
        <v>11749.058142547106</v>
      </c>
      <c r="G7" s="18">
        <f t="shared" si="4"/>
        <v>45609.282979875323</v>
      </c>
      <c r="H7" s="18">
        <f t="shared" si="1"/>
        <v>45290.016672375939</v>
      </c>
      <c r="I7" s="18">
        <f t="shared" si="5"/>
        <v>44436.113276487529</v>
      </c>
      <c r="J7" s="18">
        <f t="shared" si="2"/>
        <v>45290.016672375939</v>
      </c>
      <c r="K7" s="18">
        <f t="shared" si="3"/>
        <v>853.90339588841016</v>
      </c>
      <c r="L7" s="17">
        <f t="shared" si="6"/>
        <v>0</v>
      </c>
      <c r="M7" s="21">
        <f>VLOOKUP(A7,'[3]model1&amp;KDJ'!$A:$N,14)</f>
        <v>47.863223002507091</v>
      </c>
      <c r="N7" s="21">
        <f>VLOOKUP(A7,'[3]model1&amp;KDJ'!$A:$O,15)</f>
        <v>46.669112066417171</v>
      </c>
      <c r="O7" s="21">
        <f>VLOOKUP(A7,'[3]model1&amp;KDJ'!$A:$P,16)</f>
        <v>59.165349970299417</v>
      </c>
      <c r="P7" s="21">
        <f>VLOOKUP(A7,'[3]model1&amp;KDJ'!$A:$Q,17)</f>
        <v>21.676636258652678</v>
      </c>
      <c r="Q7" s="1">
        <f t="shared" si="7"/>
        <v>1</v>
      </c>
      <c r="S7" s="42">
        <v>45657</v>
      </c>
      <c r="T7" s="10">
        <f>U7-U6</f>
        <v>292593.62778546126</v>
      </c>
      <c r="U7" s="4">
        <f>VLOOKUP(S7,A:I,9,)</f>
        <v>1150104.4905512708</v>
      </c>
      <c r="V7" s="4">
        <f>VLOOKUP(S7,A:J,10,)</f>
        <v>1269982.2250177334</v>
      </c>
      <c r="W7" s="4">
        <f>VLOOKUP(S7,A:K,11,)</f>
        <v>119877.73446646263</v>
      </c>
      <c r="X7" s="4">
        <f>VLOOKUP(S7,A:L,12,)</f>
        <v>0</v>
      </c>
      <c r="Y7" s="9">
        <f t="shared" si="10"/>
        <v>0.10423203756817136</v>
      </c>
      <c r="Z7" s="9">
        <v>4.5191517497272793E-2</v>
      </c>
      <c r="AB7" s="7"/>
      <c r="AC7" s="7"/>
      <c r="AD7" s="7"/>
      <c r="AG7" s="2">
        <f>IRR(AG3:AG6)</f>
        <v>-8.8558045934028273E-2</v>
      </c>
      <c r="AH7" s="42">
        <v>45657</v>
      </c>
      <c r="AJ7" s="2">
        <v>1269982.2250152139</v>
      </c>
    </row>
    <row r="8" spans="1:36" ht="14.1" customHeight="1" x14ac:dyDescent="0.2">
      <c r="A8" s="15">
        <v>44530</v>
      </c>
      <c r="B8" s="31">
        <f>VLOOKUP(A8,[1]HwabaoWP_szse_innovation_100!$A:$E,5)</f>
        <v>1.0110000371932983</v>
      </c>
      <c r="C8" s="16">
        <f>VLOOKUP(A8,[2]myPEPB!$B:$C,2,FALSE)</f>
        <v>35.450000762939453</v>
      </c>
      <c r="D8" s="17">
        <f>VLOOKUP(A8,[2]myPEPB!$B:$D,3,FALSE)</f>
        <v>38.695499993324269</v>
      </c>
      <c r="E8" s="17">
        <f t="shared" si="9"/>
        <v>12819.721960020022</v>
      </c>
      <c r="F8" s="18">
        <f t="shared" si="0"/>
        <v>12680.238860929887</v>
      </c>
      <c r="G8" s="18">
        <f t="shared" si="4"/>
        <v>58289.52184080521</v>
      </c>
      <c r="H8" s="18">
        <f t="shared" si="1"/>
        <v>58930.708749033642</v>
      </c>
      <c r="I8" s="18">
        <f t="shared" si="5"/>
        <v>57255.835236507555</v>
      </c>
      <c r="J8" s="18">
        <f t="shared" si="2"/>
        <v>58930.708749033642</v>
      </c>
      <c r="K8" s="18">
        <f t="shared" si="3"/>
        <v>1674.8735125260864</v>
      </c>
      <c r="L8" s="17">
        <f t="shared" si="6"/>
        <v>0</v>
      </c>
      <c r="M8" s="21">
        <f>VLOOKUP(A8,'[3]model1&amp;KDJ'!$A:$N,14)</f>
        <v>63.247895037007083</v>
      </c>
      <c r="N8" s="21">
        <f>VLOOKUP(A8,'[3]model1&amp;KDJ'!$A:$O,15)</f>
        <v>52.195373056613811</v>
      </c>
      <c r="O8" s="21">
        <f>VLOOKUP(A8,'[3]model1&amp;KDJ'!$A:$P,16)</f>
        <v>56.842024332404215</v>
      </c>
      <c r="P8" s="21">
        <f>VLOOKUP(A8,'[3]model1&amp;KDJ'!$A:$Q,17)</f>
        <v>42.902070505032995</v>
      </c>
      <c r="Q8" s="1">
        <f t="shared" si="7"/>
        <v>1</v>
      </c>
      <c r="AJ8" s="2">
        <f>IRR(AJ3:AJ7)</f>
        <v>4.5191517497272793E-2</v>
      </c>
    </row>
    <row r="9" spans="1:36" ht="14.1" customHeight="1" x14ac:dyDescent="0.2">
      <c r="A9" s="15">
        <v>44561</v>
      </c>
      <c r="B9" s="31">
        <f>VLOOKUP(A9,[1]HwabaoWP_szse_innovation_100!$A:$E,5)</f>
        <v>0.99199998378753662</v>
      </c>
      <c r="C9" s="16">
        <f>VLOOKUP(A9,[2]myPEPB!$B:$C,2,FALSE)</f>
        <v>34.630001068115234</v>
      </c>
      <c r="D9" s="17">
        <f>VLOOKUP(A9,[2]myPEPB!$B:$D,3,FALSE)</f>
        <v>38.2285792249669</v>
      </c>
      <c r="E9" s="17">
        <f t="shared" si="9"/>
        <v>14214.383719564079</v>
      </c>
      <c r="F9" s="18">
        <f t="shared" si="0"/>
        <v>14329.016080516862</v>
      </c>
      <c r="G9" s="18">
        <f t="shared" si="4"/>
        <v>72618.537921322073</v>
      </c>
      <c r="H9" s="18">
        <f t="shared" si="1"/>
        <v>72037.588440626103</v>
      </c>
      <c r="I9" s="18">
        <f t="shared" si="5"/>
        <v>71470.218956071636</v>
      </c>
      <c r="J9" s="18">
        <f t="shared" si="2"/>
        <v>72037.588440626103</v>
      </c>
      <c r="K9" s="18">
        <f t="shared" si="3"/>
        <v>567.36948455446691</v>
      </c>
      <c r="L9" s="17">
        <f t="shared" si="6"/>
        <v>0</v>
      </c>
      <c r="M9" s="21">
        <f>VLOOKUP(A9,'[3]model1&amp;KDJ'!$A:$N,14)</f>
        <v>47.008533151740657</v>
      </c>
      <c r="N9" s="21">
        <f>VLOOKUP(A9,'[3]model1&amp;KDJ'!$A:$O,15)</f>
        <v>50.466426421656088</v>
      </c>
      <c r="O9" s="21">
        <f>VLOOKUP(A9,'[3]model1&amp;KDJ'!$A:$P,16)</f>
        <v>54.716825028821511</v>
      </c>
      <c r="P9" s="21">
        <f>VLOOKUP(A9,'[3]model1&amp;KDJ'!$A:$Q,17)</f>
        <v>41.96562920732525</v>
      </c>
      <c r="Q9" s="1">
        <f t="shared" si="7"/>
        <v>1</v>
      </c>
      <c r="AB9" s="6"/>
      <c r="AC9" s="7"/>
      <c r="AD9" s="7"/>
    </row>
    <row r="10" spans="1:36" ht="14.1" customHeight="1" x14ac:dyDescent="0.2">
      <c r="A10" s="15">
        <v>44589</v>
      </c>
      <c r="B10" s="31">
        <f>VLOOKUP(A10,[1]HwabaoWP_szse_innovation_100!$A:$E,5)</f>
        <v>0.89099997282028198</v>
      </c>
      <c r="C10" s="16">
        <f>VLOOKUP(A10,[2]myPEPB!$B:$C,2,FALSE)</f>
        <v>31.020000457763672</v>
      </c>
      <c r="D10" s="17">
        <f>VLOOKUP(A10,[2]myPEPB!$B:$D,3,FALSE)</f>
        <v>37.709801948471814</v>
      </c>
      <c r="E10" s="17">
        <f t="shared" si="9"/>
        <v>26424.71588829716</v>
      </c>
      <c r="F10" s="18">
        <f t="shared" si="0"/>
        <v>29657.370027358153</v>
      </c>
      <c r="G10" s="18">
        <f t="shared" si="4"/>
        <v>102275.90794868022</v>
      </c>
      <c r="H10" s="18">
        <f t="shared" si="1"/>
        <v>91127.831202443733</v>
      </c>
      <c r="I10" s="18">
        <f t="shared" si="5"/>
        <v>97894.934844368792</v>
      </c>
      <c r="J10" s="18">
        <f t="shared" si="2"/>
        <v>91127.831202443733</v>
      </c>
      <c r="K10" s="18">
        <f t="shared" si="3"/>
        <v>-6767.1036419250595</v>
      </c>
      <c r="L10" s="17">
        <f t="shared" si="6"/>
        <v>0</v>
      </c>
      <c r="M10" s="21">
        <f>VLOOKUP(A10,'[3]model1&amp;KDJ'!$A:$N,14)</f>
        <v>3.5502852180139421</v>
      </c>
      <c r="N10" s="21">
        <f>VLOOKUP(A10,'[3]model1&amp;KDJ'!$A:$O,15)</f>
        <v>34.827712687108708</v>
      </c>
      <c r="O10" s="21">
        <f>VLOOKUP(A10,'[3]model1&amp;KDJ'!$A:$P,16)</f>
        <v>48.087120914917243</v>
      </c>
      <c r="P10" s="21">
        <f>VLOOKUP(A10,'[3]model1&amp;KDJ'!$A:$Q,17)</f>
        <v>8.3088962314916301</v>
      </c>
      <c r="Q10" s="1">
        <f t="shared" si="7"/>
        <v>1</v>
      </c>
      <c r="AB10" s="19"/>
      <c r="AC10" s="7"/>
      <c r="AD10" s="7"/>
    </row>
    <row r="11" spans="1:36" ht="14.1" customHeight="1" x14ac:dyDescent="0.2">
      <c r="A11" s="15">
        <v>44620</v>
      </c>
      <c r="B11" s="31">
        <f>VLOOKUP(A11,[1]HwabaoWP_szse_innovation_100!$A:$E,5)</f>
        <v>0.88200002908706665</v>
      </c>
      <c r="C11" s="16">
        <f>VLOOKUP(A11,[2]myPEPB!$B:$C,2,FALSE)</f>
        <v>30.969999313354492</v>
      </c>
      <c r="D11" s="17">
        <f>VLOOKUP(A11,[2]myPEPB!$B:$D,3,FALSE)</f>
        <v>37.189128403969853</v>
      </c>
      <c r="E11" s="17">
        <f t="shared" si="9"/>
        <v>24565.559907930678</v>
      </c>
      <c r="F11" s="18">
        <f t="shared" si="0"/>
        <v>27852.107820628753</v>
      </c>
      <c r="G11" s="18">
        <f t="shared" si="4"/>
        <v>130128.01576930897</v>
      </c>
      <c r="H11" s="18">
        <f t="shared" si="1"/>
        <v>114772.91369357279</v>
      </c>
      <c r="I11" s="18">
        <f t="shared" si="5"/>
        <v>122460.49475229948</v>
      </c>
      <c r="J11" s="18">
        <f t="shared" si="2"/>
        <v>114772.91369357279</v>
      </c>
      <c r="K11" s="18">
        <f t="shared" si="3"/>
        <v>-7687.5810587266897</v>
      </c>
      <c r="L11" s="17">
        <f t="shared" si="6"/>
        <v>0</v>
      </c>
      <c r="M11" s="21">
        <f>VLOOKUP(A11,'[3]model1&amp;KDJ'!$A:$N,14)</f>
        <v>15.686278914269149</v>
      </c>
      <c r="N11" s="21">
        <f>VLOOKUP(A11,'[3]model1&amp;KDJ'!$A:$O,15)</f>
        <v>28.447234762828856</v>
      </c>
      <c r="O11" s="21">
        <f>VLOOKUP(A11,'[3]model1&amp;KDJ'!$A:$P,16)</f>
        <v>41.54049219755445</v>
      </c>
      <c r="P11" s="21">
        <f>VLOOKUP(A11,'[3]model1&amp;KDJ'!$A:$Q,17)</f>
        <v>2.2607198933776687</v>
      </c>
      <c r="Q11" s="1">
        <f t="shared" si="7"/>
        <v>1</v>
      </c>
      <c r="AB11" s="19"/>
      <c r="AC11" s="7"/>
      <c r="AD11" s="7"/>
    </row>
    <row r="12" spans="1:36" ht="14.1" customHeight="1" x14ac:dyDescent="0.2">
      <c r="A12" s="15">
        <v>44651</v>
      </c>
      <c r="B12" s="31">
        <f>VLOOKUP(A12,[1]HwabaoWP_szse_innovation_100!$A:$E,5)</f>
        <v>0.79199999570846558</v>
      </c>
      <c r="C12" s="16">
        <f>VLOOKUP(A12,[2]myPEPB!$B:$C,2,FALSE)</f>
        <v>27.639999389648438</v>
      </c>
      <c r="D12" s="17">
        <f>VLOOKUP(A12,[2]myPEPB!$B:$D,3,FALSE)</f>
        <v>36.340041473831867</v>
      </c>
      <c r="E12" s="17">
        <f t="shared" si="9"/>
        <v>41238.199479029456</v>
      </c>
      <c r="F12" s="18">
        <f t="shared" si="0"/>
        <v>52068.433967781479</v>
      </c>
      <c r="G12" s="18">
        <f t="shared" si="4"/>
        <v>182196.44973709044</v>
      </c>
      <c r="H12" s="18">
        <f t="shared" si="1"/>
        <v>144299.58740987329</v>
      </c>
      <c r="I12" s="18">
        <f t="shared" si="5"/>
        <v>163698.69423132893</v>
      </c>
      <c r="J12" s="18">
        <f t="shared" si="2"/>
        <v>144299.58740987329</v>
      </c>
      <c r="K12" s="18">
        <f t="shared" si="3"/>
        <v>-19399.106821455644</v>
      </c>
      <c r="L12" s="17">
        <f t="shared" si="6"/>
        <v>0</v>
      </c>
      <c r="M12" s="21">
        <f>VLOOKUP(A12,'[3]model1&amp;KDJ'!$A:$N,14)</f>
        <v>13.815788061995253</v>
      </c>
      <c r="N12" s="21">
        <f>VLOOKUP(A12,'[3]model1&amp;KDJ'!$A:$O,15)</f>
        <v>23.570085862550986</v>
      </c>
      <c r="O12" s="21">
        <f>VLOOKUP(A12,'[3]model1&amp;KDJ'!$A:$P,16)</f>
        <v>35.550356752553292</v>
      </c>
      <c r="P12" s="21">
        <f>VLOOKUP(A12,'[3]model1&amp;KDJ'!$A:$Q,17)</f>
        <v>-0.39045591745362174</v>
      </c>
      <c r="Q12" s="1">
        <f t="shared" si="7"/>
        <v>1.2</v>
      </c>
      <c r="AB12" s="19"/>
    </row>
    <row r="13" spans="1:36" ht="14.1" customHeight="1" x14ac:dyDescent="0.2">
      <c r="A13" s="15">
        <v>44680</v>
      </c>
      <c r="B13" s="31">
        <f>VLOOKUP(A13,[1]HwabaoWP_szse_innovation_100!$A:$E,5)</f>
        <v>0.71899998188018799</v>
      </c>
      <c r="C13" s="16">
        <f>VLOOKUP(A13,[2]myPEPB!$B:$C,2,FALSE)</f>
        <v>25.129999160766602</v>
      </c>
      <c r="D13" s="17">
        <f>VLOOKUP(A13,[2]myPEPB!$B:$D,3,FALSE)</f>
        <v>35.566115372584406</v>
      </c>
      <c r="E13" s="17">
        <f t="shared" si="9"/>
        <v>41222.659036680328</v>
      </c>
      <c r="F13" s="18">
        <f t="shared" si="0"/>
        <v>57333.324166271741</v>
      </c>
      <c r="G13" s="18">
        <f t="shared" si="4"/>
        <v>239529.77390336219</v>
      </c>
      <c r="H13" s="18">
        <f t="shared" si="1"/>
        <v>172221.90309628294</v>
      </c>
      <c r="I13" s="18">
        <f t="shared" si="5"/>
        <v>204921.35326800926</v>
      </c>
      <c r="J13" s="18">
        <f t="shared" si="2"/>
        <v>172221.90309628294</v>
      </c>
      <c r="K13" s="18">
        <f t="shared" si="3"/>
        <v>-32699.450171726319</v>
      </c>
      <c r="L13" s="17">
        <f t="shared" si="6"/>
        <v>0</v>
      </c>
      <c r="M13" s="21">
        <f>VLOOKUP(A13,'[3]model1&amp;KDJ'!$A:$N,14)</f>
        <v>16.539438934664105</v>
      </c>
      <c r="N13" s="21">
        <f>VLOOKUP(A13,'[3]model1&amp;KDJ'!$A:$O,15)</f>
        <v>21.226536886588693</v>
      </c>
      <c r="O13" s="21">
        <f>VLOOKUP(A13,'[3]model1&amp;KDJ'!$A:$P,16)</f>
        <v>30.77575013056509</v>
      </c>
      <c r="P13" s="21">
        <f>VLOOKUP(A13,'[3]model1&amp;KDJ'!$A:$Q,17)</f>
        <v>2.1281103986359042</v>
      </c>
      <c r="Q13" s="1">
        <f t="shared" si="7"/>
        <v>1</v>
      </c>
      <c r="AD13" s="2"/>
    </row>
    <row r="14" spans="1:36" ht="14.1" customHeight="1" x14ac:dyDescent="0.2">
      <c r="A14" s="15">
        <v>44712</v>
      </c>
      <c r="B14" s="31">
        <f>VLOOKUP(A14,[1]HwabaoWP_szse_innovation_100!$A:$E,5)</f>
        <v>0.74699997901916504</v>
      </c>
      <c r="C14" s="16">
        <f>VLOOKUP(A14,[2]myPEPB!$B:$C,2,FALSE)</f>
        <v>24.129999160766602</v>
      </c>
      <c r="D14" s="17">
        <f>VLOOKUP(A14,[2]myPEPB!$B:$D,3,FALSE)</f>
        <v>34.740071662711408</v>
      </c>
      <c r="E14" s="17">
        <f t="shared" si="9"/>
        <v>41909.786382681988</v>
      </c>
      <c r="F14" s="18">
        <f t="shared" si="0"/>
        <v>56104.133279509435</v>
      </c>
      <c r="G14" s="18">
        <f t="shared" si="4"/>
        <v>295633.9071828716</v>
      </c>
      <c r="H14" s="18">
        <f t="shared" si="1"/>
        <v>220838.52246295888</v>
      </c>
      <c r="I14" s="18">
        <f t="shared" si="5"/>
        <v>246831.13965069124</v>
      </c>
      <c r="J14" s="18">
        <f t="shared" si="2"/>
        <v>220838.52246295888</v>
      </c>
      <c r="K14" s="18">
        <f t="shared" si="3"/>
        <v>-25992.617187732365</v>
      </c>
      <c r="L14" s="17">
        <f t="shared" si="6"/>
        <v>0</v>
      </c>
      <c r="M14" s="21">
        <f>VLOOKUP(A14,'[3]model1&amp;KDJ'!$A:$N,14)</f>
        <v>24.4736792985099</v>
      </c>
      <c r="N14" s="21">
        <f>VLOOKUP(A14,'[3]model1&amp;KDJ'!$A:$O,15)</f>
        <v>22.308917690562428</v>
      </c>
      <c r="O14" s="21">
        <f>VLOOKUP(A14,'[3]model1&amp;KDJ'!$A:$P,16)</f>
        <v>27.953472650564205</v>
      </c>
      <c r="P14" s="21">
        <f>VLOOKUP(A14,'[3]model1&amp;KDJ'!$A:$Q,17)</f>
        <v>11.019807770558877</v>
      </c>
      <c r="Q14" s="1">
        <f t="shared" si="7"/>
        <v>1</v>
      </c>
    </row>
    <row r="15" spans="1:36" ht="14.1" customHeight="1" x14ac:dyDescent="0.2">
      <c r="A15" s="15">
        <v>44742</v>
      </c>
      <c r="B15" s="31">
        <f>VLOOKUP(A15,[1]HwabaoWP_szse_innovation_100!$A:$E,5)</f>
        <v>0.84500002861022949</v>
      </c>
      <c r="C15" s="16">
        <f>VLOOKUP(A15,[2]myPEPB!$B:$C,2,FALSE)</f>
        <v>27.809999465942383</v>
      </c>
      <c r="D15" s="17">
        <f>VLOOKUP(A15,[2]myPEPB!$B:$D,3,FALSE)</f>
        <v>34.118899975077305</v>
      </c>
      <c r="E15" s="17">
        <f t="shared" si="9"/>
        <v>24920.157011082942</v>
      </c>
      <c r="F15" s="18">
        <f t="shared" si="0"/>
        <v>29491.309073763103</v>
      </c>
      <c r="G15" s="18">
        <f t="shared" si="4"/>
        <v>325125.21625663468</v>
      </c>
      <c r="H15" s="18">
        <f t="shared" si="1"/>
        <v>274730.81703876337</v>
      </c>
      <c r="I15" s="18">
        <f t="shared" si="5"/>
        <v>271751.29666177416</v>
      </c>
      <c r="J15" s="18">
        <f t="shared" si="2"/>
        <v>274730.81703876337</v>
      </c>
      <c r="K15" s="18">
        <f t="shared" si="3"/>
        <v>2979.5203769892105</v>
      </c>
      <c r="L15" s="17">
        <f t="shared" si="6"/>
        <v>0</v>
      </c>
      <c r="M15" s="21">
        <f>VLOOKUP(A15,'[3]model1&amp;KDJ'!$A:$N,14)</f>
        <v>50.263162311423869</v>
      </c>
      <c r="N15" s="21">
        <f>VLOOKUP(A15,'[3]model1&amp;KDJ'!$A:$O,15)</f>
        <v>31.626999230849577</v>
      </c>
      <c r="O15" s="21">
        <f>VLOOKUP(A15,'[3]model1&amp;KDJ'!$A:$P,16)</f>
        <v>29.177981510659333</v>
      </c>
      <c r="P15" s="21">
        <f>VLOOKUP(A15,'[3]model1&amp;KDJ'!$A:$Q,17)</f>
        <v>36.525034671230067</v>
      </c>
      <c r="Q15" s="1">
        <f t="shared" si="7"/>
        <v>1</v>
      </c>
    </row>
    <row r="16" spans="1:36" ht="14.1" customHeight="1" x14ac:dyDescent="0.2">
      <c r="A16" s="15">
        <v>44771</v>
      </c>
      <c r="B16" s="31">
        <f>VLOOKUP(A16,[1]HwabaoWP_szse_innovation_100!$A:$E,5)</f>
        <v>0.80099999904632568</v>
      </c>
      <c r="C16" s="16">
        <f>VLOOKUP(A16,[2]myPEPB!$B:$C,2,FALSE)</f>
        <v>26.329999923706055</v>
      </c>
      <c r="D16" s="17">
        <f>VLOOKUP(A16,[2]myPEPB!$B:$D,3,FALSE)</f>
        <v>33.665700900829464</v>
      </c>
      <c r="E16" s="17">
        <f t="shared" si="9"/>
        <v>28976.018859637465</v>
      </c>
      <c r="F16" s="18">
        <f t="shared" si="0"/>
        <v>36174.805111281457</v>
      </c>
      <c r="G16" s="18">
        <f t="shared" si="4"/>
        <v>361300.02136791614</v>
      </c>
      <c r="H16" s="18">
        <f t="shared" si="1"/>
        <v>289401.31677113828</v>
      </c>
      <c r="I16" s="18">
        <f t="shared" si="5"/>
        <v>300727.3155214116</v>
      </c>
      <c r="J16" s="18">
        <f t="shared" si="2"/>
        <v>289401.31677113828</v>
      </c>
      <c r="K16" s="18">
        <f t="shared" si="3"/>
        <v>-11325.998750273313</v>
      </c>
      <c r="L16" s="17">
        <f t="shared" si="6"/>
        <v>0</v>
      </c>
      <c r="M16" s="21">
        <f>VLOOKUP(A16,'[3]model1&amp;KDJ'!$A:$N,14)</f>
        <v>38.684208833940389</v>
      </c>
      <c r="N16" s="21">
        <f>VLOOKUP(A16,'[3]model1&amp;KDJ'!$A:$O,15)</f>
        <v>33.979402431879848</v>
      </c>
      <c r="O16" s="21">
        <f>VLOOKUP(A16,'[3]model1&amp;KDJ'!$A:$P,16)</f>
        <v>30.778455151066169</v>
      </c>
      <c r="P16" s="21">
        <f>VLOOKUP(A16,'[3]model1&amp;KDJ'!$A:$Q,17)</f>
        <v>40.381296993507206</v>
      </c>
      <c r="Q16" s="1">
        <f t="shared" si="7"/>
        <v>1</v>
      </c>
    </row>
    <row r="17" spans="1:17" ht="14.1" customHeight="1" x14ac:dyDescent="0.2">
      <c r="A17" s="15">
        <v>44804</v>
      </c>
      <c r="B17" s="31">
        <f>VLOOKUP(A17,[1]HwabaoWP_szse_innovation_100!$A:$E,5)</f>
        <v>0.76499998569488525</v>
      </c>
      <c r="C17" s="16">
        <f>VLOOKUP(A17,[2]myPEPB!$B:$C,2,FALSE)</f>
        <v>25.180000305175781</v>
      </c>
      <c r="D17" s="17">
        <f>VLOOKUP(A17,[2]myPEPB!$B:$D,3,FALSE)</f>
        <v>33.177209276154976</v>
      </c>
      <c r="E17" s="17">
        <f t="shared" si="9"/>
        <v>31588.975435367818</v>
      </c>
      <c r="F17" s="18">
        <f t="shared" si="0"/>
        <v>41292.779119040213</v>
      </c>
      <c r="G17" s="18">
        <f t="shared" si="4"/>
        <v>402592.80048695637</v>
      </c>
      <c r="H17" s="18">
        <f t="shared" si="1"/>
        <v>307983.48661338544</v>
      </c>
      <c r="I17" s="18">
        <f t="shared" si="5"/>
        <v>332316.29095677944</v>
      </c>
      <c r="J17" s="18">
        <f t="shared" si="2"/>
        <v>307983.48661338544</v>
      </c>
      <c r="K17" s="18">
        <f t="shared" si="3"/>
        <v>-24332.804343394004</v>
      </c>
      <c r="L17" s="17">
        <f t="shared" si="6"/>
        <v>0</v>
      </c>
      <c r="M17" s="21">
        <f>VLOOKUP(A17,'[3]model1&amp;KDJ'!$A:$N,14)</f>
        <v>29.210522476986728</v>
      </c>
      <c r="N17" s="21">
        <f>VLOOKUP(A17,'[3]model1&amp;KDJ'!$A:$O,15)</f>
        <v>32.389775780248804</v>
      </c>
      <c r="O17" s="21">
        <f>VLOOKUP(A17,'[3]model1&amp;KDJ'!$A:$P,16)</f>
        <v>31.315562027460384</v>
      </c>
      <c r="P17" s="21">
        <f>VLOOKUP(A17,'[3]model1&amp;KDJ'!$A:$Q,17)</f>
        <v>34.538203285825638</v>
      </c>
      <c r="Q17" s="1">
        <f t="shared" si="7"/>
        <v>1</v>
      </c>
    </row>
    <row r="18" spans="1:17" ht="14.1" customHeight="1" x14ac:dyDescent="0.2">
      <c r="A18" s="15">
        <v>44834</v>
      </c>
      <c r="B18" s="31">
        <f>VLOOKUP(A18,[1]HwabaoWP_szse_innovation_100!$A:$E,5)</f>
        <v>0.69599997997283936</v>
      </c>
      <c r="C18" s="16">
        <f>VLOOKUP(A18,[2]myPEPB!$B:$C,2,FALSE)</f>
        <v>22.610000610351563</v>
      </c>
      <c r="D18" s="17">
        <f>VLOOKUP(A18,[2]myPEPB!$B:$D,3,FALSE)</f>
        <v>32.639682721540886</v>
      </c>
      <c r="E18" s="17">
        <f t="shared" si="9"/>
        <v>39617.24433919783</v>
      </c>
      <c r="F18" s="18">
        <f t="shared" si="0"/>
        <v>56921.329711451792</v>
      </c>
      <c r="G18" s="18">
        <f t="shared" si="4"/>
        <v>459514.13019840815</v>
      </c>
      <c r="H18" s="18">
        <f t="shared" si="1"/>
        <v>319821.82541532879</v>
      </c>
      <c r="I18" s="18">
        <f t="shared" si="5"/>
        <v>371933.53529597726</v>
      </c>
      <c r="J18" s="18">
        <f t="shared" si="2"/>
        <v>319821.82541532879</v>
      </c>
      <c r="K18" s="18">
        <f t="shared" si="3"/>
        <v>-52111.709880648472</v>
      </c>
      <c r="L18" s="17">
        <f t="shared" si="6"/>
        <v>0</v>
      </c>
      <c r="M18" s="21">
        <f>VLOOKUP(A18,'[3]model1&amp;KDJ'!$A:$N,14)</f>
        <v>12.280700225591376</v>
      </c>
      <c r="N18" s="21">
        <f>VLOOKUP(A18,'[3]model1&amp;KDJ'!$A:$O,15)</f>
        <v>25.686750595362994</v>
      </c>
      <c r="O18" s="21">
        <f>VLOOKUP(A18,'[3]model1&amp;KDJ'!$A:$P,16)</f>
        <v>29.439291550094584</v>
      </c>
      <c r="P18" s="21">
        <f>VLOOKUP(A18,'[3]model1&amp;KDJ'!$A:$Q,17)</f>
        <v>18.181668685899815</v>
      </c>
      <c r="Q18" s="1">
        <f t="shared" si="7"/>
        <v>1</v>
      </c>
    </row>
    <row r="19" spans="1:17" ht="12.75" x14ac:dyDescent="0.2">
      <c r="A19" s="15">
        <v>44865</v>
      </c>
      <c r="B19" s="31">
        <f>VLOOKUP(A19,[1]HwabaoWP_szse_innovation_100!$A:$E,5)</f>
        <v>0.68699997663497925</v>
      </c>
      <c r="C19" s="16">
        <f>VLOOKUP(A19,[2]myPEPB!$B:$C,2,FALSE)</f>
        <v>22.239999771118164</v>
      </c>
      <c r="D19" s="17">
        <f>VLOOKUP(A19,[2]myPEPB!$B:$D,3,FALSE)</f>
        <v>32.234052997346801</v>
      </c>
      <c r="E19" s="17">
        <f t="shared" si="9"/>
        <v>39476.510243603116</v>
      </c>
      <c r="F19" s="18">
        <f t="shared" si="0"/>
        <v>57462.171158963516</v>
      </c>
      <c r="G19" s="18">
        <f t="shared" si="4"/>
        <v>516976.30135737167</v>
      </c>
      <c r="H19" s="18">
        <f t="shared" si="1"/>
        <v>355162.70695335232</v>
      </c>
      <c r="I19" s="18">
        <f t="shared" si="5"/>
        <v>411410.0455395804</v>
      </c>
      <c r="J19" s="18">
        <f t="shared" si="2"/>
        <v>355162.70695335232</v>
      </c>
      <c r="K19" s="18">
        <f t="shared" si="3"/>
        <v>-56247.338586228085</v>
      </c>
      <c r="L19" s="17">
        <f t="shared" si="6"/>
        <v>0</v>
      </c>
      <c r="M19" s="21">
        <f>VLOOKUP(A19,'[3]model1&amp;KDJ'!$A:$N,14)</f>
        <v>12.840462504160149</v>
      </c>
      <c r="N19" s="21">
        <f>VLOOKUP(A19,'[3]model1&amp;KDJ'!$A:$O,15)</f>
        <v>21.404654564962044</v>
      </c>
      <c r="O19" s="21">
        <f>VLOOKUP(A19,'[3]model1&amp;KDJ'!$A:$P,16)</f>
        <v>26.761079221717068</v>
      </c>
      <c r="P19" s="21">
        <f>VLOOKUP(A19,'[3]model1&amp;KDJ'!$A:$Q,17)</f>
        <v>10.691805251451996</v>
      </c>
      <c r="Q19" s="1">
        <f t="shared" si="7"/>
        <v>1</v>
      </c>
    </row>
    <row r="20" spans="1:17" ht="12.75" x14ac:dyDescent="0.2">
      <c r="A20" s="15">
        <v>44895</v>
      </c>
      <c r="B20" s="31">
        <f>VLOOKUP(A20,[1]HwabaoWP_szse_innovation_100!$A:$E,5)</f>
        <v>0.72000002861022949</v>
      </c>
      <c r="C20" s="16">
        <f>VLOOKUP(A20,[2]myPEPB!$B:$C,2,FALSE)</f>
        <v>22.809999465942383</v>
      </c>
      <c r="D20" s="17">
        <f>VLOOKUP(A20,[2]myPEPB!$B:$D,3,FALSE)</f>
        <v>31.717553840474388</v>
      </c>
      <c r="E20" s="17">
        <f t="shared" si="9"/>
        <v>35184.839779401416</v>
      </c>
      <c r="F20" s="18">
        <f t="shared" si="0"/>
        <v>48867.83108511327</v>
      </c>
      <c r="G20" s="18">
        <f t="shared" si="4"/>
        <v>565844.13244248496</v>
      </c>
      <c r="H20" s="18">
        <f t="shared" si="1"/>
        <v>407407.79154751968</v>
      </c>
      <c r="I20" s="18">
        <f t="shared" si="5"/>
        <v>446594.88531898183</v>
      </c>
      <c r="J20" s="18">
        <f t="shared" si="2"/>
        <v>407407.79154751968</v>
      </c>
      <c r="K20" s="18">
        <f t="shared" si="3"/>
        <v>-39187.093771462154</v>
      </c>
      <c r="L20" s="17">
        <f t="shared" si="6"/>
        <v>0</v>
      </c>
      <c r="M20" s="21">
        <f>VLOOKUP(A20,'[3]model1&amp;KDJ'!$A:$N,14)</f>
        <v>28.448295795251873</v>
      </c>
      <c r="N20" s="21">
        <f>VLOOKUP(A20,'[3]model1&amp;KDJ'!$A:$O,15)</f>
        <v>23.752534975058655</v>
      </c>
      <c r="O20" s="21">
        <f>VLOOKUP(A20,'[3]model1&amp;KDJ'!$A:$P,16)</f>
        <v>25.758231139497596</v>
      </c>
      <c r="P20" s="21">
        <f>VLOOKUP(A20,'[3]model1&amp;KDJ'!$A:$Q,17)</f>
        <v>19.741142646180776</v>
      </c>
      <c r="Q20" s="1">
        <f t="shared" si="7"/>
        <v>1</v>
      </c>
    </row>
    <row r="21" spans="1:17" ht="12.75" x14ac:dyDescent="0.2">
      <c r="A21" s="15">
        <v>44925</v>
      </c>
      <c r="B21" s="31">
        <f>VLOOKUP(A21,[1]HwabaoWP_szse_innovation_100!$A:$E,5)</f>
        <v>0.72299998998641968</v>
      </c>
      <c r="C21" s="16">
        <f>VLOOKUP(A21,[2]myPEPB!$B:$C,2,FALSE)</f>
        <v>22.739999771118164</v>
      </c>
      <c r="D21" s="17">
        <f>VLOOKUP(A21,[2]myPEPB!$B:$D,3,FALSE)</f>
        <v>31.2721039929989</v>
      </c>
      <c r="E21" s="17">
        <f t="shared" si="9"/>
        <v>33701.811676428908</v>
      </c>
      <c r="F21" s="18">
        <f t="shared" si="0"/>
        <v>46613.848054219117</v>
      </c>
      <c r="G21" s="18">
        <f t="shared" si="4"/>
        <v>612457.98049670411</v>
      </c>
      <c r="H21" s="18">
        <f t="shared" si="1"/>
        <v>442807.11376621987</v>
      </c>
      <c r="I21" s="18">
        <f t="shared" si="5"/>
        <v>480296.69699541072</v>
      </c>
      <c r="J21" s="18">
        <f t="shared" si="2"/>
        <v>442807.11376621987</v>
      </c>
      <c r="K21" s="18">
        <f t="shared" si="3"/>
        <v>-37489.583229190845</v>
      </c>
      <c r="L21" s="17">
        <f t="shared" si="6"/>
        <v>0</v>
      </c>
      <c r="M21" s="21">
        <f>VLOOKUP(A21,'[3]model1&amp;KDJ'!$A:$N,14)</f>
        <v>33.495143524202234</v>
      </c>
      <c r="N21" s="21">
        <f>VLOOKUP(A21,'[3]model1&amp;KDJ'!$A:$O,15)</f>
        <v>27.000071158106511</v>
      </c>
      <c r="O21" s="21">
        <f>VLOOKUP(A21,'[3]model1&amp;KDJ'!$A:$P,16)</f>
        <v>26.172177812367234</v>
      </c>
      <c r="P21" s="21">
        <f>VLOOKUP(A21,'[3]model1&amp;KDJ'!$A:$Q,17)</f>
        <v>28.655857849585068</v>
      </c>
      <c r="Q21" s="1">
        <f t="shared" si="7"/>
        <v>1</v>
      </c>
    </row>
    <row r="22" spans="1:17" ht="12.75" x14ac:dyDescent="0.2">
      <c r="A22" s="15">
        <v>44957</v>
      </c>
      <c r="B22" s="31">
        <f>VLOOKUP(A22,[1]HwabaoWP_szse_innovation_100!$A:$E,5)</f>
        <v>0.78899997472763062</v>
      </c>
      <c r="C22" s="16">
        <f>VLOOKUP(A22,[2]myPEPB!$B:$C,2,FALSE)</f>
        <v>24.899999618530273</v>
      </c>
      <c r="D22" s="17">
        <f>VLOOKUP(A22,[2]myPEPB!$B:$D,3,FALSE)</f>
        <v>31.009964169913562</v>
      </c>
      <c r="E22" s="17">
        <f t="shared" si="9"/>
        <v>24134.359977963992</v>
      </c>
      <c r="F22" s="18">
        <f t="shared" si="0"/>
        <v>30588.543410657745</v>
      </c>
      <c r="G22" s="18">
        <f t="shared" si="4"/>
        <v>643046.5239073619</v>
      </c>
      <c r="H22" s="18">
        <f t="shared" si="1"/>
        <v>507363.69111159927</v>
      </c>
      <c r="I22" s="18">
        <f t="shared" si="5"/>
        <v>504431.05697337468</v>
      </c>
      <c r="J22" s="18">
        <f t="shared" si="2"/>
        <v>507363.69111159927</v>
      </c>
      <c r="K22" s="18">
        <f t="shared" si="3"/>
        <v>2932.6341382245882</v>
      </c>
      <c r="L22" s="17">
        <f t="shared" si="6"/>
        <v>0</v>
      </c>
      <c r="M22" s="21">
        <f>VLOOKUP(A22,'[3]model1&amp;KDJ'!$A:$N,14)</f>
        <v>60.988998033047167</v>
      </c>
      <c r="N22" s="21">
        <f>VLOOKUP(A22,'[3]model1&amp;KDJ'!$A:$O,15)</f>
        <v>38.329713449753399</v>
      </c>
      <c r="O22" s="21">
        <f>VLOOKUP(A22,'[3]model1&amp;KDJ'!$A:$P,16)</f>
        <v>30.224689691495957</v>
      </c>
      <c r="P22" s="21">
        <f>VLOOKUP(A22,'[3]model1&amp;KDJ'!$A:$Q,17)</f>
        <v>54.539760966268283</v>
      </c>
      <c r="Q22" s="1">
        <f t="shared" si="7"/>
        <v>1</v>
      </c>
    </row>
    <row r="23" spans="1:17" ht="12.75" x14ac:dyDescent="0.2">
      <c r="A23" s="15">
        <v>44985</v>
      </c>
      <c r="B23" s="31">
        <f>VLOOKUP(A23,[1]HwabaoWP_szse_innovation_100!$A:$E,5)</f>
        <v>0.7630000114440918</v>
      </c>
      <c r="C23" s="16">
        <f>VLOOKUP(A23,[2]myPEPB!$B:$C,2,FALSE)</f>
        <v>23.979999542236328</v>
      </c>
      <c r="D23" s="17">
        <f>VLOOKUP(A23,[2]myPEPB!$B:$D,3,FALSE)</f>
        <v>30.72842559388133</v>
      </c>
      <c r="E23" s="17">
        <f t="shared" si="9"/>
        <v>26656.282903997755</v>
      </c>
      <c r="F23" s="18">
        <f t="shared" si="0"/>
        <v>34936.150071016047</v>
      </c>
      <c r="G23" s="18">
        <f t="shared" si="4"/>
        <v>677982.67397837795</v>
      </c>
      <c r="H23" s="18">
        <f t="shared" si="1"/>
        <v>517300.78800439835</v>
      </c>
      <c r="I23" s="18">
        <f t="shared" si="5"/>
        <v>531087.33987737249</v>
      </c>
      <c r="J23" s="18">
        <f t="shared" si="2"/>
        <v>517300.78800439835</v>
      </c>
      <c r="K23" s="18">
        <f t="shared" si="3"/>
        <v>-13786.551872974145</v>
      </c>
      <c r="L23" s="17">
        <f t="shared" si="6"/>
        <v>0</v>
      </c>
      <c r="M23" s="21">
        <f>VLOOKUP(A23,'[3]model1&amp;KDJ'!$A:$N,14)</f>
        <v>46.703307140045339</v>
      </c>
      <c r="N23" s="21">
        <f>VLOOKUP(A23,'[3]model1&amp;KDJ'!$A:$O,15)</f>
        <v>41.120911346517381</v>
      </c>
      <c r="O23" s="21">
        <f>VLOOKUP(A23,'[3]model1&amp;KDJ'!$A:$P,16)</f>
        <v>33.856763576503099</v>
      </c>
      <c r="P23" s="21">
        <f>VLOOKUP(A23,'[3]model1&amp;KDJ'!$A:$Q,17)</f>
        <v>55.649206886545954</v>
      </c>
      <c r="Q23" s="1">
        <f t="shared" si="7"/>
        <v>1</v>
      </c>
    </row>
    <row r="24" spans="1:17" ht="12.75" x14ac:dyDescent="0.2">
      <c r="A24" s="15">
        <v>45016</v>
      </c>
      <c r="B24" s="31">
        <f>VLOOKUP(A24,[1]HwabaoWP_szse_innovation_100!$A:$E,5)</f>
        <v>0.77100002765655518</v>
      </c>
      <c r="C24" s="16">
        <f>VLOOKUP(A24,[2]myPEPB!$B:$C,2,FALSE)</f>
        <v>24.159999847412109</v>
      </c>
      <c r="D24" s="17">
        <f>VLOOKUP(A24,[2]myPEPB!$B:$D,3,FALSE)</f>
        <v>30.393087189136843</v>
      </c>
      <c r="E24" s="17">
        <f t="shared" si="9"/>
        <v>24620.694999812695</v>
      </c>
      <c r="F24" s="18">
        <f t="shared" si="0"/>
        <v>31933.455404206645</v>
      </c>
      <c r="G24" s="18">
        <f t="shared" si="4"/>
        <v>709916.12938258459</v>
      </c>
      <c r="H24" s="18">
        <f t="shared" si="1"/>
        <v>547345.35538780736</v>
      </c>
      <c r="I24" s="18">
        <f t="shared" si="5"/>
        <v>555708.03487718524</v>
      </c>
      <c r="J24" s="18">
        <f t="shared" si="2"/>
        <v>547345.35538780736</v>
      </c>
      <c r="K24" s="18">
        <f t="shared" si="3"/>
        <v>-8362.6794893778861</v>
      </c>
      <c r="L24" s="17">
        <f t="shared" si="6"/>
        <v>0</v>
      </c>
      <c r="M24" s="21">
        <f>VLOOKUP(A24,'[3]model1&amp;KDJ'!$A:$N,14)</f>
        <v>51.666694813303359</v>
      </c>
      <c r="N24" s="21">
        <f>VLOOKUP(A24,'[3]model1&amp;KDJ'!$A:$O,15)</f>
        <v>44.636172502112707</v>
      </c>
      <c r="O24" s="21">
        <f>VLOOKUP(A24,'[3]model1&amp;KDJ'!$A:$P,16)</f>
        <v>37.449899885039635</v>
      </c>
      <c r="P24" s="21">
        <f>VLOOKUP(A24,'[3]model1&amp;KDJ'!$A:$Q,17)</f>
        <v>59.008717736258845</v>
      </c>
      <c r="Q24" s="1">
        <f t="shared" si="7"/>
        <v>1</v>
      </c>
    </row>
    <row r="25" spans="1:17" ht="12.75" x14ac:dyDescent="0.2">
      <c r="A25" s="15">
        <v>45044</v>
      </c>
      <c r="B25" s="31">
        <f>VLOOKUP(A25,[1]HwabaoWP_szse_innovation_100!$A:$E,5)</f>
        <v>0.75099998712539673</v>
      </c>
      <c r="C25" s="16">
        <f>VLOOKUP(A25,[2]myPEPB!$B:$C,2,FALSE)</f>
        <v>23.579999923706055</v>
      </c>
      <c r="D25" s="17">
        <f>VLOOKUP(A25,[2]myPEPB!$B:$D,3,FALSE)</f>
        <v>30.1543821056874</v>
      </c>
      <c r="E25" s="17">
        <f t="shared" si="9"/>
        <v>25968.809618826315</v>
      </c>
      <c r="F25" s="18">
        <f t="shared" si="0"/>
        <v>34578.974785641672</v>
      </c>
      <c r="G25" s="18">
        <f t="shared" si="4"/>
        <v>744495.10416822624</v>
      </c>
      <c r="H25" s="18">
        <f t="shared" si="1"/>
        <v>559115.81364525878</v>
      </c>
      <c r="I25" s="18">
        <f t="shared" si="5"/>
        <v>581676.8444960115</v>
      </c>
      <c r="J25" s="18">
        <f t="shared" si="2"/>
        <v>559115.81364525878</v>
      </c>
      <c r="K25" s="18">
        <f t="shared" si="3"/>
        <v>-22561.030850752722</v>
      </c>
      <c r="L25" s="17">
        <f t="shared" si="6"/>
        <v>0</v>
      </c>
      <c r="M25" s="21">
        <f>VLOOKUP(A25,'[3]model1&amp;KDJ'!$A:$N,14)</f>
        <v>48.993281878673784</v>
      </c>
      <c r="N25" s="21">
        <f>VLOOKUP(A25,'[3]model1&amp;KDJ'!$A:$O,15)</f>
        <v>46.088542294299735</v>
      </c>
      <c r="O25" s="21">
        <f>VLOOKUP(A25,'[3]model1&amp;KDJ'!$A:$P,16)</f>
        <v>40.329447354792997</v>
      </c>
      <c r="P25" s="21">
        <f>VLOOKUP(A25,'[3]model1&amp;KDJ'!$A:$Q,17)</f>
        <v>57.606732173313205</v>
      </c>
      <c r="Q25" s="1">
        <f t="shared" si="7"/>
        <v>1</v>
      </c>
    </row>
    <row r="26" spans="1:17" ht="12.75" x14ac:dyDescent="0.2">
      <c r="A26" s="15">
        <v>45077</v>
      </c>
      <c r="B26" s="31">
        <f>VLOOKUP(A26,[1]HwabaoWP_szse_innovation_100!$A:$E,5)</f>
        <v>0.72000002861022949</v>
      </c>
      <c r="C26" s="16">
        <f>VLOOKUP(A26,[2]myPEPB!$B:$C,2,FALSE)</f>
        <v>21.329999923706055</v>
      </c>
      <c r="D26" s="17">
        <f>VLOOKUP(A26,[2]myPEPB!$B:$D,3,FALSE)</f>
        <v>29.834329254302094</v>
      </c>
      <c r="E26" s="17">
        <f t="shared" si="9"/>
        <v>33592.100855854354</v>
      </c>
      <c r="F26" s="18">
        <f t="shared" si="0"/>
        <v>46655.693779200345</v>
      </c>
      <c r="G26" s="18">
        <f t="shared" si="4"/>
        <v>791150.79794742656</v>
      </c>
      <c r="H26" s="18">
        <f t="shared" si="1"/>
        <v>569628.59715715307</v>
      </c>
      <c r="I26" s="18">
        <f t="shared" si="5"/>
        <v>615268.94535186584</v>
      </c>
      <c r="J26" s="18">
        <f t="shared" si="2"/>
        <v>569628.59715715307</v>
      </c>
      <c r="K26" s="18">
        <f t="shared" si="3"/>
        <v>-45640.348194712773</v>
      </c>
      <c r="L26" s="17">
        <f t="shared" si="6"/>
        <v>0</v>
      </c>
      <c r="M26" s="21">
        <f>VLOOKUP(A26,'[3]model1&amp;KDJ'!$A:$N,14)</f>
        <v>31.818216710700341</v>
      </c>
      <c r="N26" s="21">
        <f>VLOOKUP(A26,'[3]model1&amp;KDJ'!$A:$O,15)</f>
        <v>41.331767099766601</v>
      </c>
      <c r="O26" s="21">
        <f>VLOOKUP(A26,'[3]model1&amp;KDJ'!$A:$P,16)</f>
        <v>40.66355393645086</v>
      </c>
      <c r="P26" s="21">
        <f>VLOOKUP(A26,'[3]model1&amp;KDJ'!$A:$Q,17)</f>
        <v>42.668193426398076</v>
      </c>
      <c r="Q26" s="1">
        <f t="shared" si="7"/>
        <v>1</v>
      </c>
    </row>
    <row r="27" spans="1:17" ht="12.75" x14ac:dyDescent="0.2">
      <c r="A27" s="15">
        <v>45107</v>
      </c>
      <c r="B27" s="31">
        <f>VLOOKUP(A27,[1]HwabaoWP_szse_innovation_100!$A:$E,5)</f>
        <v>0.75499999523162842</v>
      </c>
      <c r="C27" s="16">
        <f>VLOOKUP(A27,[2]myPEPB!$B:$C,2,FALSE)</f>
        <v>22.200000762939453</v>
      </c>
      <c r="D27" s="17">
        <f>VLOOKUP(A27,[2]myPEPB!$B:$D,3,FALSE)</f>
        <v>29.540486551111261</v>
      </c>
      <c r="E27" s="17">
        <f t="shared" si="9"/>
        <v>28994.918863278643</v>
      </c>
      <c r="F27" s="18">
        <f t="shared" si="0"/>
        <v>38403.866286625889</v>
      </c>
      <c r="G27" s="18">
        <f t="shared" si="4"/>
        <v>829554.66423405241</v>
      </c>
      <c r="H27" s="18">
        <f t="shared" si="1"/>
        <v>626313.76754108467</v>
      </c>
      <c r="I27" s="18">
        <f t="shared" si="5"/>
        <v>644263.86421514454</v>
      </c>
      <c r="J27" s="18">
        <f t="shared" si="2"/>
        <v>626313.76754108467</v>
      </c>
      <c r="K27" s="18">
        <f t="shared" si="3"/>
        <v>-17950.096674059867</v>
      </c>
      <c r="L27" s="17">
        <f t="shared" si="6"/>
        <v>0</v>
      </c>
      <c r="M27" s="21">
        <f>VLOOKUP(A27,'[3]model1&amp;KDJ'!$A:$N,14)</f>
        <v>58.333337096251995</v>
      </c>
      <c r="N27" s="21">
        <f>VLOOKUP(A27,'[3]model1&amp;KDJ'!$A:$O,15)</f>
        <v>46.998957098595064</v>
      </c>
      <c r="O27" s="21">
        <f>VLOOKUP(A27,'[3]model1&amp;KDJ'!$A:$P,16)</f>
        <v>42.775354990498926</v>
      </c>
      <c r="P27" s="21">
        <f>VLOOKUP(A27,'[3]model1&amp;KDJ'!$A:$Q,17)</f>
        <v>55.446161314787332</v>
      </c>
      <c r="Q27" s="1">
        <f t="shared" si="7"/>
        <v>1</v>
      </c>
    </row>
    <row r="28" spans="1:17" ht="12.75" x14ac:dyDescent="0.2">
      <c r="A28" s="15">
        <v>45138</v>
      </c>
      <c r="B28" s="31">
        <f>VLOOKUP(A28,[1]HwabaoWP_szse_innovation_100!$A:$E,5)</f>
        <v>0.76099997758865356</v>
      </c>
      <c r="C28" s="16">
        <f>VLOOKUP(A28,[2]myPEPB!$B:$C,2,FALSE)</f>
        <v>22.409999847412109</v>
      </c>
      <c r="D28" s="17">
        <f>VLOOKUP(A28,[2]myPEPB!$B:$D,3,FALSE)</f>
        <v>29.26302162741802</v>
      </c>
      <c r="E28" s="17">
        <f t="shared" si="9"/>
        <v>27069.436031023346</v>
      </c>
      <c r="F28" s="18">
        <f t="shared" si="0"/>
        <v>35570.876252581569</v>
      </c>
      <c r="G28" s="18">
        <f t="shared" si="4"/>
        <v>865125.54048663401</v>
      </c>
      <c r="H28" s="18">
        <f t="shared" si="1"/>
        <v>658360.51692170033</v>
      </c>
      <c r="I28" s="18">
        <f t="shared" si="5"/>
        <v>671333.30024616793</v>
      </c>
      <c r="J28" s="18">
        <f t="shared" si="2"/>
        <v>658360.51692170033</v>
      </c>
      <c r="K28" s="18">
        <f t="shared" si="3"/>
        <v>-12972.7833244676</v>
      </c>
      <c r="L28" s="17">
        <f t="shared" si="6"/>
        <v>0</v>
      </c>
      <c r="M28" s="21">
        <f>VLOOKUP(A28,'[3]model1&amp;KDJ'!$A:$N,14)</f>
        <v>61.111087458471879</v>
      </c>
      <c r="N28" s="21">
        <f>VLOOKUP(A28,'[3]model1&amp;KDJ'!$A:$O,15)</f>
        <v>51.703000551887335</v>
      </c>
      <c r="O28" s="21">
        <f>VLOOKUP(A28,'[3]model1&amp;KDJ'!$A:$P,16)</f>
        <v>45.751236844295057</v>
      </c>
      <c r="P28" s="21">
        <f>VLOOKUP(A28,'[3]model1&amp;KDJ'!$A:$Q,17)</f>
        <v>63.606527967071898</v>
      </c>
      <c r="Q28" s="1">
        <f t="shared" si="7"/>
        <v>1</v>
      </c>
    </row>
    <row r="29" spans="1:17" ht="12.75" x14ac:dyDescent="0.2">
      <c r="A29" s="15">
        <v>45169</v>
      </c>
      <c r="B29" s="31">
        <f>VLOOKUP(A29,[1]HwabaoWP_szse_innovation_100!$A:$E,5)</f>
        <v>0.71399998664855957</v>
      </c>
      <c r="C29" s="16">
        <f>VLOOKUP(A29,[2]myPEPB!$B:$C,2,FALSE)</f>
        <v>20.899999618530273</v>
      </c>
      <c r="D29" s="17">
        <f>VLOOKUP(A29,[2]myPEPB!$B:$D,3,FALSE)</f>
        <v>28.951898116056832</v>
      </c>
      <c r="E29" s="17">
        <f t="shared" si="9"/>
        <v>31804.999065229906</v>
      </c>
      <c r="F29" s="18">
        <f t="shared" si="0"/>
        <v>44544.817450934708</v>
      </c>
      <c r="G29" s="18">
        <f t="shared" si="4"/>
        <v>909670.35793756868</v>
      </c>
      <c r="H29" s="18">
        <f t="shared" si="1"/>
        <v>649504.62342201441</v>
      </c>
      <c r="I29" s="18">
        <f t="shared" si="5"/>
        <v>703138.29931139783</v>
      </c>
      <c r="J29" s="18">
        <f t="shared" si="2"/>
        <v>649504.62342201441</v>
      </c>
      <c r="K29" s="18">
        <f t="shared" si="3"/>
        <v>-53633.675889383419</v>
      </c>
      <c r="L29" s="17">
        <f t="shared" si="6"/>
        <v>0</v>
      </c>
      <c r="M29" s="21">
        <f>VLOOKUP(A29,'[3]model1&amp;KDJ'!$A:$N,14)</f>
        <v>21.951223057979316</v>
      </c>
      <c r="N29" s="21">
        <f>VLOOKUP(A29,'[3]model1&amp;KDJ'!$A:$O,15)</f>
        <v>41.785741387251328</v>
      </c>
      <c r="O29" s="21">
        <f>VLOOKUP(A29,'[3]model1&amp;KDJ'!$A:$P,16)</f>
        <v>44.429405025280481</v>
      </c>
      <c r="P29" s="21">
        <f>VLOOKUP(A29,'[3]model1&amp;KDJ'!$A:$Q,17)</f>
        <v>36.498414111193014</v>
      </c>
      <c r="Q29" s="1">
        <f t="shared" si="7"/>
        <v>1</v>
      </c>
    </row>
    <row r="30" spans="1:17" ht="12.75" x14ac:dyDescent="0.2">
      <c r="A30" s="15">
        <v>45197</v>
      </c>
      <c r="B30" s="31">
        <f>VLOOKUP(A30,[1]HwabaoWP_szse_innovation_100!$A:$E,5)</f>
        <v>0.68500000238418579</v>
      </c>
      <c r="C30" s="16">
        <f>VLOOKUP(A30,[2]myPEPB!$B:$C,2,FALSE)</f>
        <v>19.25</v>
      </c>
      <c r="D30" s="17">
        <f>VLOOKUP(A30,[2]myPEPB!$B:$D,3,FALSE)</f>
        <v>28.642033273139454</v>
      </c>
      <c r="E30" s="17">
        <f t="shared" si="9"/>
        <v>37098.531428900846</v>
      </c>
      <c r="F30" s="18">
        <f t="shared" si="0"/>
        <v>54158.439853689146</v>
      </c>
      <c r="G30" s="18">
        <f t="shared" si="4"/>
        <v>963828.79779125785</v>
      </c>
      <c r="H30" s="18">
        <f t="shared" si="1"/>
        <v>660222.7287849586</v>
      </c>
      <c r="I30" s="18">
        <f t="shared" si="5"/>
        <v>740236.83074029873</v>
      </c>
      <c r="J30" s="18">
        <f t="shared" si="2"/>
        <v>660222.7287849586</v>
      </c>
      <c r="K30" s="18">
        <f t="shared" si="3"/>
        <v>-80014.101955340127</v>
      </c>
      <c r="L30" s="17">
        <f t="shared" si="6"/>
        <v>0</v>
      </c>
      <c r="M30" s="21">
        <f>VLOOKUP(A30,'[3]model1&amp;KDJ'!$A:$N,14)</f>
        <v>7.4074008664308382</v>
      </c>
      <c r="N30" s="21">
        <f>VLOOKUP(A30,'[3]model1&amp;KDJ'!$A:$O,15)</f>
        <v>30.326294546977831</v>
      </c>
      <c r="O30" s="21">
        <f>VLOOKUP(A30,'[3]model1&amp;KDJ'!$A:$P,16)</f>
        <v>39.728368199179599</v>
      </c>
      <c r="P30" s="21">
        <f>VLOOKUP(A30,'[3]model1&amp;KDJ'!$A:$Q,17)</f>
        <v>11.522147242574292</v>
      </c>
      <c r="Q30" s="1">
        <f t="shared" si="7"/>
        <v>1</v>
      </c>
    </row>
    <row r="31" spans="1:17" ht="12.75" x14ac:dyDescent="0.2">
      <c r="A31" s="15">
        <v>45230</v>
      </c>
      <c r="B31" s="31">
        <f>VLOOKUP(A31,[1]HwabaoWP_szse_innovation_100!$A:$E,5)</f>
        <v>0.66299998760223389</v>
      </c>
      <c r="C31" s="16">
        <f>VLOOKUP(A31,[2]myPEPB!$B:$C,2,FALSE)</f>
        <v>18.770000457763672</v>
      </c>
      <c r="D31" s="17">
        <f>VLOOKUP(A31,[2]myPEPB!$B:$D,3,FALSE)</f>
        <v>28.372122112939287</v>
      </c>
      <c r="E31" s="17">
        <f t="shared" si="9"/>
        <v>37928.380537943682</v>
      </c>
      <c r="F31" s="18">
        <f t="shared" si="0"/>
        <v>57207.211534216156</v>
      </c>
      <c r="G31" s="18">
        <f t="shared" si="4"/>
        <v>1021036.009325474</v>
      </c>
      <c r="H31" s="18">
        <f t="shared" si="1"/>
        <v>676946.8615242237</v>
      </c>
      <c r="I31" s="18">
        <f t="shared" si="5"/>
        <v>778165.21127824241</v>
      </c>
      <c r="J31" s="18">
        <f t="shared" si="2"/>
        <v>676946.8615242237</v>
      </c>
      <c r="K31" s="18">
        <f t="shared" si="3"/>
        <v>-101218.34975401871</v>
      </c>
      <c r="L31" s="17">
        <f t="shared" si="6"/>
        <v>0</v>
      </c>
      <c r="M31" s="21">
        <f>VLOOKUP(A31,'[3]model1&amp;KDJ'!$A:$N,14)</f>
        <v>16.766465783542337</v>
      </c>
      <c r="N31" s="21">
        <f>VLOOKUP(A31,'[3]model1&amp;KDJ'!$A:$O,15)</f>
        <v>25.806351625832665</v>
      </c>
      <c r="O31" s="21">
        <f>VLOOKUP(A31,'[3]model1&amp;KDJ'!$A:$P,16)</f>
        <v>35.087696008063951</v>
      </c>
      <c r="P31" s="21">
        <f>VLOOKUP(A31,'[3]model1&amp;KDJ'!$A:$Q,17)</f>
        <v>7.2436628613700975</v>
      </c>
      <c r="Q31" s="1">
        <f t="shared" si="7"/>
        <v>1</v>
      </c>
    </row>
    <row r="32" spans="1:17" ht="12.75" x14ac:dyDescent="0.2">
      <c r="A32" s="15">
        <v>45260</v>
      </c>
      <c r="B32" s="31">
        <f>VLOOKUP(A32,[1]HwabaoWP_szse_innovation_100!$A:$E,5)</f>
        <v>0.65100002288818359</v>
      </c>
      <c r="C32" s="16">
        <f>VLOOKUP(A32,[2]myPEPB!$B:$C,2,FALSE)</f>
        <v>17.930000305175781</v>
      </c>
      <c r="D32" s="17">
        <f>VLOOKUP(A32,[2]myPEPB!$B:$D,3,FALSE)</f>
        <v>28.031817642334733</v>
      </c>
      <c r="E32" s="17">
        <f t="shared" si="9"/>
        <v>39902.178481777861</v>
      </c>
      <c r="F32" s="18">
        <f t="shared" si="0"/>
        <v>61293.666787829745</v>
      </c>
      <c r="G32" s="18">
        <f t="shared" si="4"/>
        <v>1082329.6761133038</v>
      </c>
      <c r="H32" s="18">
        <f t="shared" si="1"/>
        <v>704596.64392232103</v>
      </c>
      <c r="I32" s="18">
        <f t="shared" si="5"/>
        <v>818067.38976002031</v>
      </c>
      <c r="J32" s="18">
        <f t="shared" si="2"/>
        <v>704596.64392232103</v>
      </c>
      <c r="K32" s="18">
        <f t="shared" si="3"/>
        <v>-113470.74583769927</v>
      </c>
      <c r="L32" s="17">
        <f t="shared" si="6"/>
        <v>0</v>
      </c>
      <c r="M32" s="21">
        <f>VLOOKUP(A32,'[3]model1&amp;KDJ'!$A:$N,14)</f>
        <v>10.457536880796289</v>
      </c>
      <c r="N32" s="21">
        <f>VLOOKUP(A32,'[3]model1&amp;KDJ'!$A:$O,15)</f>
        <v>20.690080044153873</v>
      </c>
      <c r="O32" s="21">
        <f>VLOOKUP(A32,'[3]model1&amp;KDJ'!$A:$P,16)</f>
        <v>30.288490686760593</v>
      </c>
      <c r="P32" s="21">
        <f>VLOOKUP(A32,'[3]model1&amp;KDJ'!$A:$Q,17)</f>
        <v>1.4932587589404349</v>
      </c>
      <c r="Q32" s="1">
        <f t="shared" si="7"/>
        <v>1</v>
      </c>
    </row>
    <row r="33" spans="1:17" ht="12.75" x14ac:dyDescent="0.2">
      <c r="A33" s="15">
        <v>45289</v>
      </c>
      <c r="B33" s="31">
        <f>VLOOKUP(A33,[1]HwabaoWP_szse_innovation_100!$A:$E,5)</f>
        <v>0.64499998092651367</v>
      </c>
      <c r="C33" s="16">
        <f>VLOOKUP(A33,[2]myPEPB!$B:$C,2,FALSE)</f>
        <v>17.709999084472656</v>
      </c>
      <c r="D33" s="17">
        <f>VLOOKUP(A33,[2]myPEPB!$B:$D,3,FALSE)</f>
        <v>27.695688453026897</v>
      </c>
      <c r="E33" s="17">
        <f t="shared" si="9"/>
        <v>39443.473005789252</v>
      </c>
      <c r="F33" s="18">
        <f t="shared" si="0"/>
        <v>61152.67313516888</v>
      </c>
      <c r="G33" s="18">
        <f t="shared" si="4"/>
        <v>1143482.3492484726</v>
      </c>
      <c r="H33" s="18">
        <f t="shared" si="1"/>
        <v>737546.09345506981</v>
      </c>
      <c r="I33" s="18">
        <f t="shared" si="5"/>
        <v>857510.86276580952</v>
      </c>
      <c r="J33" s="18">
        <f t="shared" si="2"/>
        <v>737546.09345506981</v>
      </c>
      <c r="K33" s="18">
        <f t="shared" si="3"/>
        <v>-119964.76931073971</v>
      </c>
      <c r="L33" s="17">
        <f t="shared" si="6"/>
        <v>0</v>
      </c>
      <c r="M33" s="21">
        <f>VLOOKUP(A33,'[3]model1&amp;KDJ'!$A:$N,14)</f>
        <v>18.749994445931186</v>
      </c>
      <c r="N33" s="21">
        <f>VLOOKUP(A33,'[3]model1&amp;KDJ'!$A:$O,15)</f>
        <v>20.04338484474631</v>
      </c>
      <c r="O33" s="21">
        <f>VLOOKUP(A33,'[3]model1&amp;KDJ'!$A:$P,16)</f>
        <v>26.873455406089164</v>
      </c>
      <c r="P33" s="21">
        <f>VLOOKUP(A33,'[3]model1&amp;KDJ'!$A:$Q,17)</f>
        <v>6.3832437220605982</v>
      </c>
      <c r="Q33" s="1">
        <f t="shared" si="7"/>
        <v>1</v>
      </c>
    </row>
    <row r="34" spans="1:17" ht="12.75" x14ac:dyDescent="0.2">
      <c r="A34" s="15">
        <v>45322</v>
      </c>
      <c r="B34" s="31">
        <f>VLOOKUP(A34,[1]HwabaoWP_szse_innovation_100!$A:$E,5)</f>
        <v>0.56099998950958252</v>
      </c>
      <c r="C34" s="16">
        <f>VLOOKUP(A34,[2]myPEPB!$B:$C,2,FALSE)</f>
        <v>15.380000114440918</v>
      </c>
      <c r="D34" s="17">
        <f>VLOOKUP(A34,[2]myPEPB!$B:$D,3,FALSE)</f>
        <v>27.336624376243282</v>
      </c>
      <c r="E34" s="17">
        <f t="shared" si="9"/>
        <v>56674.399000943209</v>
      </c>
      <c r="F34" s="18">
        <f t="shared" si="0"/>
        <v>101023.88602624946</v>
      </c>
      <c r="G34" s="18">
        <f t="shared" si="4"/>
        <v>1244506.2352747221</v>
      </c>
      <c r="H34" s="18">
        <f t="shared" si="1"/>
        <v>698167.98493372917</v>
      </c>
      <c r="I34" s="18">
        <f t="shared" si="5"/>
        <v>914185.26176675269</v>
      </c>
      <c r="J34" s="18">
        <f t="shared" si="2"/>
        <v>698167.98493372917</v>
      </c>
      <c r="K34" s="18">
        <f t="shared" si="3"/>
        <v>-216017.27683302353</v>
      </c>
      <c r="L34" s="17">
        <f t="shared" si="6"/>
        <v>0</v>
      </c>
      <c r="M34" s="21">
        <f>VLOOKUP(A34,'[3]model1&amp;KDJ'!$A:$N,14)</f>
        <v>0.93022069523420603</v>
      </c>
      <c r="N34" s="21">
        <f>VLOOKUP(A34,'[3]model1&amp;KDJ'!$A:$O,15)</f>
        <v>13.672330128242274</v>
      </c>
      <c r="O34" s="21">
        <f>VLOOKUP(A34,'[3]model1&amp;KDJ'!$A:$P,16)</f>
        <v>22.473080313473535</v>
      </c>
      <c r="P34" s="21">
        <f>VLOOKUP(A34,'[3]model1&amp;KDJ'!$A:$Q,17)</f>
        <v>-3.9291702422202448</v>
      </c>
      <c r="Q34" s="1">
        <f t="shared" si="7"/>
        <v>1.2</v>
      </c>
    </row>
    <row r="35" spans="1:17" ht="12.75" x14ac:dyDescent="0.2">
      <c r="A35" s="15">
        <v>45351</v>
      </c>
      <c r="B35" s="31">
        <f>VLOOKUP(A35,[1]HwabaoWP_szse_innovation_100!$A:$E,5)</f>
        <v>0.6380000114440918</v>
      </c>
      <c r="C35" s="16">
        <f>VLOOKUP(A35,[2]myPEPB!$B:$C,2,FALSE)</f>
        <v>17.479999542236328</v>
      </c>
      <c r="D35" s="17">
        <f>VLOOKUP(A35,[2]myPEPB!$B:$D,3,FALSE)</f>
        <v>27.106454818762419</v>
      </c>
      <c r="E35" s="17">
        <f t="shared" si="9"/>
        <v>38024.498342278057</v>
      </c>
      <c r="F35" s="18">
        <f t="shared" si="0"/>
        <v>59599.526113190608</v>
      </c>
      <c r="G35" s="18">
        <f t="shared" si="4"/>
        <v>1304105.7613879128</v>
      </c>
      <c r="H35" s="18">
        <f t="shared" si="1"/>
        <v>832019.49068979442</v>
      </c>
      <c r="I35" s="18">
        <f t="shared" si="5"/>
        <v>952209.76010903076</v>
      </c>
      <c r="J35" s="18">
        <f t="shared" si="2"/>
        <v>832019.49068979442</v>
      </c>
      <c r="K35" s="18">
        <f t="shared" si="3"/>
        <v>-120190.26941923634</v>
      </c>
      <c r="L35" s="17">
        <f t="shared" si="6"/>
        <v>0</v>
      </c>
      <c r="M35" s="21">
        <f>VLOOKUP(A35,'[3]model1&amp;KDJ'!$A:$N,14)</f>
        <v>42.857146434852993</v>
      </c>
      <c r="N35" s="21">
        <f>VLOOKUP(A35,'[3]model1&amp;KDJ'!$A:$O,15)</f>
        <v>23.400602230445845</v>
      </c>
      <c r="O35" s="21">
        <f>VLOOKUP(A35,'[3]model1&amp;KDJ'!$A:$P,16)</f>
        <v>22.782254285797638</v>
      </c>
      <c r="P35" s="21">
        <f>VLOOKUP(A35,'[3]model1&amp;KDJ'!$A:$Q,17)</f>
        <v>24.637298119742262</v>
      </c>
      <c r="Q35" s="1">
        <f t="shared" si="7"/>
        <v>1</v>
      </c>
    </row>
    <row r="36" spans="1:17" ht="12.75" x14ac:dyDescent="0.2">
      <c r="A36" s="15">
        <v>45380</v>
      </c>
      <c r="B36" s="31">
        <f>VLOOKUP(A36,[1]HwabaoWP_szse_innovation_100!$A:$E,5)</f>
        <v>0.64600002765655518</v>
      </c>
      <c r="C36" s="16">
        <f>VLOOKUP(A36,[2]myPEPB!$B:$C,2,FALSE)</f>
        <v>17.700000762939453</v>
      </c>
      <c r="D36" s="17">
        <f>VLOOKUP(A36,[2]myPEPB!$B:$D,3,FALSE)</f>
        <v>26.839674750359887</v>
      </c>
      <c r="E36" s="17">
        <f t="shared" si="9"/>
        <v>36101.712250310709</v>
      </c>
      <c r="F36" s="18">
        <f t="shared" si="0"/>
        <v>55885.001090904167</v>
      </c>
      <c r="G36" s="18">
        <f t="shared" si="4"/>
        <v>1359990.762478817</v>
      </c>
      <c r="H36" s="18">
        <f t="shared" si="1"/>
        <v>878554.07017397531</v>
      </c>
      <c r="I36" s="18">
        <f t="shared" si="5"/>
        <v>988311.47235934145</v>
      </c>
      <c r="J36" s="18">
        <f t="shared" si="2"/>
        <v>878554.07017397531</v>
      </c>
      <c r="K36" s="18">
        <f t="shared" si="3"/>
        <v>-109757.40218536614</v>
      </c>
      <c r="L36" s="17">
        <f t="shared" si="6"/>
        <v>0</v>
      </c>
      <c r="M36" s="21">
        <f>VLOOKUP(A36,'[3]model1&amp;KDJ'!$A:$N,14)</f>
        <v>46.808513876214093</v>
      </c>
      <c r="N36" s="21">
        <f>VLOOKUP(A36,'[3]model1&amp;KDJ'!$A:$O,15)</f>
        <v>31.203239445701929</v>
      </c>
      <c r="O36" s="21">
        <f>VLOOKUP(A36,'[3]model1&amp;KDJ'!$A:$P,16)</f>
        <v>25.589249339099069</v>
      </c>
      <c r="P36" s="21">
        <f>VLOOKUP(A36,'[3]model1&amp;KDJ'!$A:$Q,17)</f>
        <v>42.431219658907651</v>
      </c>
      <c r="Q36" s="1">
        <f t="shared" si="7"/>
        <v>1</v>
      </c>
    </row>
    <row r="37" spans="1:17" ht="12.75" x14ac:dyDescent="0.2">
      <c r="A37" s="15">
        <v>45412</v>
      </c>
      <c r="B37" s="31">
        <f>VLOOKUP(A37,[1]HwabaoWP_szse_innovation_100!$A:$E,5)</f>
        <v>0.66399997472763062</v>
      </c>
      <c r="C37" s="16">
        <f>VLOOKUP(A37,[2]myPEPB!$B:$C,2,FALSE)</f>
        <v>18.110000610351563</v>
      </c>
      <c r="D37" s="17">
        <f>VLOOKUP(A37,[2]myPEPB!$B:$D,3,FALSE)</f>
        <v>26.594314356937268</v>
      </c>
      <c r="E37" s="17">
        <f t="shared" si="9"/>
        <v>33513.039299013537</v>
      </c>
      <c r="F37" s="18">
        <f t="shared" si="0"/>
        <v>50471.446648413526</v>
      </c>
      <c r="G37" s="18">
        <f t="shared" si="4"/>
        <v>1410462.2091272306</v>
      </c>
      <c r="H37" s="18">
        <f t="shared" si="1"/>
        <v>936546.87121475919</v>
      </c>
      <c r="I37" s="18">
        <f t="shared" si="5"/>
        <v>1021824.511658355</v>
      </c>
      <c r="J37" s="18">
        <f t="shared" si="2"/>
        <v>936546.87121475919</v>
      </c>
      <c r="K37" s="18">
        <f t="shared" si="3"/>
        <v>-85277.640443595825</v>
      </c>
      <c r="L37" s="17">
        <f t="shared" si="6"/>
        <v>0</v>
      </c>
      <c r="M37" s="21">
        <f>VLOOKUP(A37,'[3]model1&amp;KDJ'!$A:$N,14)</f>
        <v>54.700845774743321</v>
      </c>
      <c r="N37" s="21">
        <f>VLOOKUP(A37,'[3]model1&amp;KDJ'!$A:$O,15)</f>
        <v>39.035774888715729</v>
      </c>
      <c r="O37" s="21">
        <f>VLOOKUP(A37,'[3]model1&amp;KDJ'!$A:$P,16)</f>
        <v>30.071424522304625</v>
      </c>
      <c r="P37" s="21">
        <f>VLOOKUP(A37,'[3]model1&amp;KDJ'!$A:$Q,17)</f>
        <v>56.964475621537929</v>
      </c>
      <c r="Q37" s="1">
        <f t="shared" si="7"/>
        <v>1</v>
      </c>
    </row>
    <row r="38" spans="1:17" ht="12.75" x14ac:dyDescent="0.2">
      <c r="A38" s="15">
        <v>45443</v>
      </c>
      <c r="B38" s="31">
        <f>VLOOKUP(A38,[1]HwabaoWP_szse_innovation_100!$A:$E,5)</f>
        <v>0.64999997615814209</v>
      </c>
      <c r="C38" s="16">
        <f>VLOOKUP(A38,[2]myPEPB!$B:$C,2,FALSE)</f>
        <v>18.329999919999999</v>
      </c>
      <c r="D38" s="17">
        <f>VLOOKUP(A38,[2]myPEPB!$B:$D,3,FALSE)</f>
        <v>26.389717901760058</v>
      </c>
      <c r="E38" s="17">
        <f t="shared" si="9"/>
        <v>31835.886027952234</v>
      </c>
      <c r="F38" s="18">
        <f t="shared" si="0"/>
        <v>48978.287993362486</v>
      </c>
      <c r="G38" s="18">
        <f t="shared" si="4"/>
        <v>1459440.497120593</v>
      </c>
      <c r="H38" s="18">
        <f t="shared" si="1"/>
        <v>948636.28833261249</v>
      </c>
      <c r="I38" s="18">
        <f t="shared" si="5"/>
        <v>1053660.3976863073</v>
      </c>
      <c r="J38" s="18">
        <f t="shared" si="2"/>
        <v>948636.28833261249</v>
      </c>
      <c r="K38" s="18">
        <f t="shared" si="3"/>
        <v>-105024.10935369483</v>
      </c>
      <c r="L38" s="17">
        <f t="shared" si="6"/>
        <v>0</v>
      </c>
      <c r="M38" s="21">
        <f>VLOOKUP(A38,'[3]model1&amp;KDJ'!$A:$N,14)</f>
        <v>59.999981177480358</v>
      </c>
      <c r="N38" s="21">
        <f>VLOOKUP(A38,'[3]model1&amp;KDJ'!$A:$O,15)</f>
        <v>46.023843651637272</v>
      </c>
      <c r="O38" s="21">
        <f>VLOOKUP(A38,'[3]model1&amp;KDJ'!$A:$P,16)</f>
        <v>35.388897565415505</v>
      </c>
      <c r="P38" s="21">
        <f>VLOOKUP(A38,'[3]model1&amp;KDJ'!$A:$Q,17)</f>
        <v>67.293735824080812</v>
      </c>
      <c r="Q38" s="1">
        <f t="shared" si="7"/>
        <v>1</v>
      </c>
    </row>
    <row r="39" spans="1:17" ht="12.75" x14ac:dyDescent="0.2">
      <c r="A39" s="15">
        <v>45471</v>
      </c>
      <c r="B39" s="31">
        <f>VLOOKUP(A39,[1]HwabaoWP_szse_innovation_100!$A:$E,5)</f>
        <v>0.63599997758865356</v>
      </c>
      <c r="C39" s="16">
        <f>VLOOKUP(A39,[2]myPEPB!$B:$C,2,FALSE)</f>
        <v>17.86000061</v>
      </c>
      <c r="D39" s="17">
        <f>VLOOKUP(A39,[2]myPEPB!$B:$D,3,FALSE)</f>
        <v>26.193870144829649</v>
      </c>
      <c r="E39" s="17">
        <f t="shared" si="9"/>
        <v>32918.784662577113</v>
      </c>
      <c r="F39" s="18">
        <f t="shared" si="0"/>
        <v>51759.097205295868</v>
      </c>
      <c r="G39" s="18">
        <f t="shared" si="4"/>
        <v>1511199.5943258889</v>
      </c>
      <c r="H39" s="18">
        <f t="shared" si="1"/>
        <v>961122.90812324767</v>
      </c>
      <c r="I39" s="18">
        <f t="shared" si="5"/>
        <v>1086579.1823488844</v>
      </c>
      <c r="J39" s="18">
        <f t="shared" si="2"/>
        <v>961122.90812324767</v>
      </c>
      <c r="K39" s="18">
        <f t="shared" si="3"/>
        <v>-125456.27422563673</v>
      </c>
      <c r="L39" s="17">
        <f t="shared" si="6"/>
        <v>0</v>
      </c>
      <c r="M39" s="21">
        <f>VLOOKUP(A39,'[3]model1&amp;KDJ'!$A:$N,14)</f>
        <v>62.893067379123451</v>
      </c>
      <c r="N39" s="21">
        <f>VLOOKUP(A39,'[3]model1&amp;KDJ'!$A:$O,15)</f>
        <v>51.646918227465996</v>
      </c>
      <c r="O39" s="21">
        <f>VLOOKUP(A39,'[3]model1&amp;KDJ'!$A:$P,16)</f>
        <v>40.808237786098999</v>
      </c>
      <c r="P39" s="21">
        <f>VLOOKUP(A39,'[3]model1&amp;KDJ'!$A:$Q,17)</f>
        <v>73.324279110199996</v>
      </c>
      <c r="Q39" s="1">
        <f t="shared" si="7"/>
        <v>1</v>
      </c>
    </row>
    <row r="40" spans="1:17" ht="12.75" x14ac:dyDescent="0.2">
      <c r="A40" s="15">
        <v>45504</v>
      </c>
      <c r="B40" s="31">
        <f>VLOOKUP(A40,[1]HwabaoWP_szse_innovation_100!$A:$E,5)</f>
        <v>0.63300001621246338</v>
      </c>
      <c r="C40" s="16">
        <f>VLOOKUP(A40,[2]myPEPB!$B:$C,2,FALSE)</f>
        <v>17.709999079999999</v>
      </c>
      <c r="D40" s="17">
        <f>VLOOKUP(A40,[2]myPEPB!$B:$D,3,FALSE)</f>
        <v>25.951256745485065</v>
      </c>
      <c r="E40" s="17">
        <f t="shared" si="9"/>
        <v>32552.967778666007</v>
      </c>
      <c r="F40" s="18">
        <f t="shared" si="0"/>
        <v>51426.488064638157</v>
      </c>
      <c r="G40" s="18">
        <f t="shared" si="4"/>
        <v>1562626.082390527</v>
      </c>
      <c r="H40" s="18">
        <f t="shared" si="1"/>
        <v>989142.33548722172</v>
      </c>
      <c r="I40" s="18">
        <f t="shared" si="5"/>
        <v>1119132.1501275504</v>
      </c>
      <c r="J40" s="18">
        <f t="shared" si="2"/>
        <v>989142.33548722172</v>
      </c>
      <c r="K40" s="18">
        <f t="shared" si="3"/>
        <v>-129989.81464032864</v>
      </c>
      <c r="L40" s="17">
        <f t="shared" si="6"/>
        <v>0</v>
      </c>
      <c r="M40" s="21">
        <f>VLOOKUP(A40,'[3]model1&amp;KDJ'!$A:$N,14)</f>
        <v>65.986389868671111</v>
      </c>
      <c r="N40" s="21">
        <f>VLOOKUP(A40,'[3]model1&amp;KDJ'!$A:$O,15)</f>
        <v>56.426742107867703</v>
      </c>
      <c r="O40" s="21">
        <f>VLOOKUP(A40,'[3]model1&amp;KDJ'!$A:$P,16)</f>
        <v>46.014405893355239</v>
      </c>
      <c r="P40" s="21">
        <f>VLOOKUP(A40,'[3]model1&amp;KDJ'!$A:$Q,17)</f>
        <v>77.251414536892625</v>
      </c>
      <c r="Q40" s="1">
        <f t="shared" si="7"/>
        <v>1</v>
      </c>
    </row>
    <row r="41" spans="1:17" ht="12.75" x14ac:dyDescent="0.2">
      <c r="A41" s="15">
        <v>45534</v>
      </c>
      <c r="B41" s="31">
        <f>VLOOKUP(A41,[1]HwabaoWP_szse_innovation_100!$A:$E,5)</f>
        <v>0.61000001430511475</v>
      </c>
      <c r="C41" s="16">
        <f>VLOOKUP(A41,[2]myPEPB!$B:$C,2,FALSE)</f>
        <v>20.56999969</v>
      </c>
      <c r="D41" s="17">
        <f>VLOOKUP(A41,[2]myPEPB!$B:$D,3,FALSE)</f>
        <v>25.729715551720684</v>
      </c>
      <c r="E41" s="17">
        <f t="shared" si="9"/>
        <v>20380.877653796702</v>
      </c>
      <c r="F41" s="18">
        <f t="shared" si="0"/>
        <v>33411.274058761628</v>
      </c>
      <c r="G41" s="18">
        <f t="shared" si="4"/>
        <v>1596037.3564492885</v>
      </c>
      <c r="H41" s="18">
        <f t="shared" si="1"/>
        <v>973582.81026556354</v>
      </c>
      <c r="I41" s="18">
        <f t="shared" si="5"/>
        <v>1139513.027781347</v>
      </c>
      <c r="J41" s="18">
        <f t="shared" si="2"/>
        <v>973582.81026556354</v>
      </c>
      <c r="K41" s="18">
        <f t="shared" si="3"/>
        <v>-165930.2175157835</v>
      </c>
      <c r="L41" s="17">
        <f t="shared" si="6"/>
        <v>0</v>
      </c>
      <c r="M41" s="21">
        <f>VLOOKUP(A41,'[3]model1&amp;KDJ'!$A:$N,14)</f>
        <v>50.340131641102225</v>
      </c>
      <c r="N41" s="21">
        <f>VLOOKUP(A41,'[3]model1&amp;KDJ'!$A:$O,15)</f>
        <v>54.39787195227921</v>
      </c>
      <c r="O41" s="21">
        <f>VLOOKUP(A41,'[3]model1&amp;KDJ'!$A:$P,16)</f>
        <v>48.808894579663225</v>
      </c>
      <c r="P41" s="21">
        <f>VLOOKUP(A41,'[3]model1&amp;KDJ'!$A:$Q,17)</f>
        <v>65.575826697511175</v>
      </c>
      <c r="Q41" s="1">
        <f t="shared" si="7"/>
        <v>1</v>
      </c>
    </row>
    <row r="42" spans="1:17" ht="12.75" x14ac:dyDescent="0.2">
      <c r="A42" s="15">
        <v>45565</v>
      </c>
      <c r="B42" s="31">
        <f>VLOOKUP(A42,[1]HwabaoWP_szse_innovation_100!$A:$E,5)</f>
        <v>0.76700001955032349</v>
      </c>
      <c r="C42" s="16">
        <f>VLOOKUP(A42,[2]myPEPB!$B:$C,2,FALSE)</f>
        <v>25.239999770000001</v>
      </c>
      <c r="D42" s="17">
        <f>VLOOKUP(A42,[2]myPEPB!$B:$D,3,FALSE)</f>
        <v>25.607882301446285</v>
      </c>
      <c r="E42" s="17">
        <f t="shared" si="9"/>
        <v>1453.1359992128223</v>
      </c>
      <c r="F42" s="18">
        <f t="shared" si="0"/>
        <v>1894.5710067449104</v>
      </c>
      <c r="G42" s="18">
        <f t="shared" si="4"/>
        <v>1597931.9274560334</v>
      </c>
      <c r="H42" s="18">
        <f t="shared" si="1"/>
        <v>1225613.8195988638</v>
      </c>
      <c r="I42" s="18">
        <f t="shared" si="5"/>
        <v>1140966.1637805598</v>
      </c>
      <c r="J42" s="18">
        <f t="shared" si="2"/>
        <v>1225613.8195988638</v>
      </c>
      <c r="K42" s="18">
        <f t="shared" si="3"/>
        <v>84647.655818304047</v>
      </c>
      <c r="L42" s="17">
        <f t="shared" si="6"/>
        <v>0</v>
      </c>
      <c r="M42" s="21">
        <f>VLOOKUP(A42,'[3]model1&amp;KDJ'!$A:$N,14)</f>
        <v>100</v>
      </c>
      <c r="N42" s="21">
        <f>VLOOKUP(A42,'[3]model1&amp;KDJ'!$A:$O,15)</f>
        <v>69.598581301519474</v>
      </c>
      <c r="O42" s="21">
        <f>VLOOKUP(A42,'[3]model1&amp;KDJ'!$A:$P,16)</f>
        <v>55.738790153615305</v>
      </c>
      <c r="P42" s="21">
        <f>VLOOKUP(A42,'[3]model1&amp;KDJ'!$A:$Q,17)</f>
        <v>97.318163597327825</v>
      </c>
      <c r="Q42" s="1">
        <f t="shared" si="7"/>
        <v>1</v>
      </c>
    </row>
    <row r="43" spans="1:17" ht="12.75" x14ac:dyDescent="0.2">
      <c r="A43" s="15">
        <v>45596</v>
      </c>
      <c r="B43" s="31">
        <f>VLOOKUP(A43,[1]HwabaoWP_szse_innovation_100!$A:$E,5)</f>
        <v>0.77700001001358032</v>
      </c>
      <c r="C43" s="16">
        <f>VLOOKUP(A43,[2]myPEPB!$B:$C,2,FALSE)</f>
        <v>24.940000529999999</v>
      </c>
      <c r="D43" s="17">
        <f>VLOOKUP(A43,[2]myPEPB!$B:$D,3,FALSE)</f>
        <v>25.600824703771881</v>
      </c>
      <c r="E43" s="17">
        <f t="shared" si="9"/>
        <v>2610.2554863989344</v>
      </c>
      <c r="F43" s="18">
        <f t="shared" si="0"/>
        <v>3359.4021271033353</v>
      </c>
      <c r="G43" s="18">
        <f t="shared" si="4"/>
        <v>1601291.3295831368</v>
      </c>
      <c r="H43" s="18">
        <f t="shared" si="1"/>
        <v>1244203.3791207566</v>
      </c>
      <c r="I43" s="18">
        <f t="shared" si="5"/>
        <v>1143576.4192669587</v>
      </c>
      <c r="J43" s="18">
        <f t="shared" si="2"/>
        <v>1244203.3791207566</v>
      </c>
      <c r="K43" s="18">
        <f t="shared" si="3"/>
        <v>100626.95985379792</v>
      </c>
      <c r="L43" s="17">
        <f t="shared" si="6"/>
        <v>0</v>
      </c>
      <c r="M43" s="21">
        <f>VLOOKUP(A43,'[3]model1&amp;KDJ'!$A:$N,14)</f>
        <v>71.301774260986164</v>
      </c>
      <c r="N43" s="21">
        <f>VLOOKUP(A43,'[3]model1&amp;KDJ'!$A:$O,15)</f>
        <v>70.166312288008371</v>
      </c>
      <c r="O43" s="21">
        <f>VLOOKUP(A43,'[3]model1&amp;KDJ'!$A:$P,16)</f>
        <v>60.547964198412991</v>
      </c>
      <c r="P43" s="21">
        <f>VLOOKUP(A43,'[3]model1&amp;KDJ'!$A:$Q,17)</f>
        <v>89.403008467199115</v>
      </c>
      <c r="Q43" s="1">
        <f t="shared" si="7"/>
        <v>1</v>
      </c>
    </row>
    <row r="44" spans="1:17" ht="12.75" x14ac:dyDescent="0.2">
      <c r="A44" s="15">
        <v>45625</v>
      </c>
      <c r="B44" s="31">
        <f>VLOOKUP(A44,[1]HwabaoWP_szse_innovation_100!$A:$E,5)</f>
        <v>0.78100001811981201</v>
      </c>
      <c r="C44" s="16">
        <f>VLOOKUP(A44,[2]myPEPB!$B:$C,2,FALSE)</f>
        <v>24.719999309999999</v>
      </c>
      <c r="D44" s="17">
        <f>VLOOKUP(A44,[2]myPEPB!$B:$D,3,FALSE)</f>
        <v>25.593319274370291</v>
      </c>
      <c r="E44" s="17">
        <f t="shared" si="9"/>
        <v>3449.6138592626553</v>
      </c>
      <c r="F44" s="18">
        <f t="shared" si="0"/>
        <v>4416.9190515094906</v>
      </c>
      <c r="G44" s="18">
        <f t="shared" si="4"/>
        <v>1605708.2486346464</v>
      </c>
      <c r="H44" s="18">
        <f t="shared" si="1"/>
        <v>1254058.1712787906</v>
      </c>
      <c r="I44" s="18">
        <f t="shared" si="5"/>
        <v>1147026.0331262213</v>
      </c>
      <c r="J44" s="18">
        <f t="shared" si="2"/>
        <v>1254058.1712787906</v>
      </c>
      <c r="K44" s="18">
        <f t="shared" si="3"/>
        <v>107032.1381525693</v>
      </c>
      <c r="L44" s="17">
        <f t="shared" si="6"/>
        <v>0</v>
      </c>
      <c r="M44" s="21">
        <f>VLOOKUP(A44,'[3]model1&amp;KDJ'!$A:$N,14)</f>
        <v>67.931038664297006</v>
      </c>
      <c r="N44" s="21">
        <f>VLOOKUP(A44,'[3]model1&amp;KDJ'!$A:$O,15)</f>
        <v>69.421221080104587</v>
      </c>
      <c r="O44" s="21">
        <f>VLOOKUP(A44,'[3]model1&amp;KDJ'!$A:$P,16)</f>
        <v>63.505716492310192</v>
      </c>
      <c r="P44" s="21">
        <f>VLOOKUP(A44,'[3]model1&amp;KDJ'!$A:$Q,17)</f>
        <v>81.252230255693362</v>
      </c>
      <c r="Q44" s="1">
        <f t="shared" si="7"/>
        <v>1</v>
      </c>
    </row>
    <row r="45" spans="1:17" ht="12.75" x14ac:dyDescent="0.2">
      <c r="A45" s="15">
        <v>45657</v>
      </c>
      <c r="B45" s="31">
        <f>VLOOKUP(A45,[1]HwabaoWP_szse_innovation_100!$A:$E,5)</f>
        <v>0.78899997472763062</v>
      </c>
      <c r="C45" s="16">
        <f>VLOOKUP(A45,[2]myPEPB!$B:$C,2,FALSE)</f>
        <v>24.799999239999998</v>
      </c>
      <c r="D45" s="17">
        <f>VLOOKUP(A45,[2]myPEPB!$B:$D,3,FALSE)</f>
        <v>25.579355550139105</v>
      </c>
      <c r="E45" s="17">
        <f t="shared" si="9"/>
        <v>3078.4574250494734</v>
      </c>
      <c r="F45" s="18">
        <f t="shared" si="0"/>
        <v>3901.7205623006294</v>
      </c>
      <c r="G45" s="18">
        <f t="shared" si="4"/>
        <v>1609609.9691969471</v>
      </c>
      <c r="H45" s="18">
        <f t="shared" si="1"/>
        <v>1269982.2250177334</v>
      </c>
      <c r="I45" s="18">
        <f t="shared" si="5"/>
        <v>1150104.4905512708</v>
      </c>
      <c r="J45" s="18">
        <f t="shared" si="2"/>
        <v>1269982.2250177334</v>
      </c>
      <c r="K45" s="18">
        <f t="shared" si="3"/>
        <v>119877.73446646263</v>
      </c>
      <c r="L45" s="17">
        <f t="shared" si="6"/>
        <v>0</v>
      </c>
      <c r="M45" s="21">
        <f>VLOOKUP(A45,'[3]model1&amp;KDJ'!$A:$N,14)</f>
        <v>70.689644187016341</v>
      </c>
      <c r="N45" s="21">
        <f>VLOOKUP(A45,'[3]model1&amp;KDJ'!$A:$O,15)</f>
        <v>69.8440287824085</v>
      </c>
      <c r="O45" s="21">
        <f>VLOOKUP(A45,'[3]model1&amp;KDJ'!$A:$P,16)</f>
        <v>65.6184872556763</v>
      </c>
      <c r="P45" s="21">
        <f>VLOOKUP(A45,'[3]model1&amp;KDJ'!$A:$Q,17)</f>
        <v>78.295111835872916</v>
      </c>
      <c r="Q45" s="1">
        <f t="shared" si="7"/>
        <v>1</v>
      </c>
    </row>
    <row r="46" spans="1:17" ht="12.75" x14ac:dyDescent="0.2">
      <c r="A46" s="15">
        <v>45684</v>
      </c>
      <c r="B46" s="31">
        <f>VLOOKUP(A46,[1]HwabaoWP_szse_innovation_100!$A:$E,5)</f>
        <v>0.78100001811981201</v>
      </c>
      <c r="C46" s="16">
        <f>VLOOKUP(A46,[2]myPEPB!$B:$C,2,FALSE)</f>
        <v>24.409999849999998</v>
      </c>
      <c r="D46" s="17">
        <f>VLOOKUP(A46,[2]myPEPB!$B:$D,3,FALSE)</f>
        <v>25.550295783221614</v>
      </c>
      <c r="E46" s="17">
        <f t="shared" si="9"/>
        <v>4504.1689362253819</v>
      </c>
      <c r="F46" s="18">
        <f t="shared" si="0"/>
        <v>5767.1816027210443</v>
      </c>
      <c r="G46" s="18">
        <f t="shared" si="4"/>
        <v>1615377.1507996682</v>
      </c>
      <c r="H46" s="18">
        <f t="shared" si="1"/>
        <v>1261609.5840448712</v>
      </c>
      <c r="I46" s="18">
        <f t="shared" si="5"/>
        <v>1154608.6594874961</v>
      </c>
      <c r="J46" s="18">
        <f t="shared" si="2"/>
        <v>1261609.5840448712</v>
      </c>
      <c r="K46" s="18">
        <f t="shared" si="3"/>
        <v>107000.92455737502</v>
      </c>
      <c r="L46" s="17">
        <f t="shared" si="6"/>
        <v>0</v>
      </c>
      <c r="M46" s="21">
        <f>VLOOKUP(A46,'[3]model1&amp;KDJ'!$A:$N,14)</f>
        <v>67.931038664297006</v>
      </c>
      <c r="N46" s="21">
        <f>VLOOKUP(A46,'[3]model1&amp;KDJ'!$A:$O,15)</f>
        <v>69.206365409704674</v>
      </c>
      <c r="O46" s="21">
        <f>VLOOKUP(A46,'[3]model1&amp;KDJ'!$A:$P,16)</f>
        <v>66.814446640352415</v>
      </c>
      <c r="P46" s="21">
        <f>VLOOKUP(A46,'[3]model1&amp;KDJ'!$A:$Q,17)</f>
        <v>73.990202948409177</v>
      </c>
      <c r="Q46" s="1">
        <f t="shared" si="7"/>
        <v>1</v>
      </c>
    </row>
    <row r="47" spans="1:17" ht="12.75" x14ac:dyDescent="0.2">
      <c r="A47" s="15">
        <v>45716</v>
      </c>
      <c r="B47" s="31">
        <f>VLOOKUP(A47,[1]HwabaoWP_szse_innovation_100!$A:$E,5)</f>
        <v>0.82700002193450928</v>
      </c>
      <c r="C47" s="16">
        <f>VLOOKUP(A47,[2]myPEPB!$B:$C,2,FALSE)</f>
        <v>26.079999923706055</v>
      </c>
      <c r="D47" s="17">
        <f>VLOOKUP(A47,[2]myPEPB!$B:$D,3,FALSE)</f>
        <v>25.563306017026612</v>
      </c>
      <c r="E47" s="17">
        <f t="shared" si="9"/>
        <v>-2040.9409313837987</v>
      </c>
      <c r="F47" s="18">
        <f t="shared" si="0"/>
        <v>-2467.8849785392413</v>
      </c>
      <c r="G47" s="18">
        <f t="shared" si="4"/>
        <v>1612909.2658211289</v>
      </c>
      <c r="H47" s="18">
        <f t="shared" si="1"/>
        <v>1333875.9982124469</v>
      </c>
      <c r="I47" s="18">
        <f t="shared" si="5"/>
        <v>1154608.6594874961</v>
      </c>
      <c r="J47" s="18">
        <f t="shared" si="2"/>
        <v>1335916.9391438307</v>
      </c>
      <c r="K47" s="18">
        <f t="shared" si="3"/>
        <v>181308.27965633455</v>
      </c>
      <c r="L47" s="17">
        <f t="shared" si="6"/>
        <v>2040.9409313837987</v>
      </c>
      <c r="M47" s="21">
        <f>VLOOKUP(A47,'[3]model1&amp;KDJ'!$A:$N,14)</f>
        <v>83.79310777156131</v>
      </c>
      <c r="N47" s="21">
        <f>VLOOKUP(A47,'[3]model1&amp;KDJ'!$A:$O,15)</f>
        <v>74.068612863656881</v>
      </c>
      <c r="O47" s="21">
        <f>VLOOKUP(A47,'[3]model1&amp;KDJ'!$A:$P,16)</f>
        <v>69.232502048120566</v>
      </c>
      <c r="P47" s="21">
        <f>VLOOKUP(A47,'[3]model1&amp;KDJ'!$A:$Q,17)</f>
        <v>83.740834494729512</v>
      </c>
      <c r="Q47" s="1">
        <f t="shared" si="7"/>
        <v>1</v>
      </c>
    </row>
    <row r="48" spans="1:17" ht="12.75" x14ac:dyDescent="0.2">
      <c r="A48" s="15">
        <v>45747</v>
      </c>
      <c r="B48" s="31">
        <f>VLOOKUP(A48,[1]HwabaoWP_szse_innovation_100!$A:$E,5)</f>
        <v>0.81400001049041748</v>
      </c>
      <c r="C48" s="16">
        <f>VLOOKUP(A48,[2]myPEPB!$B:$C,2,FALSE)</f>
        <v>25.629999160000001</v>
      </c>
      <c r="D48" s="17">
        <f>VLOOKUP(A48,[2]myPEPB!$B:$D,3,FALSE)</f>
        <v>25.577105780548813</v>
      </c>
      <c r="E48" s="17">
        <f t="shared" si="9"/>
        <v>-208.92884883219213</v>
      </c>
      <c r="F48" s="18">
        <f t="shared" si="0"/>
        <v>-256.66934415187171</v>
      </c>
      <c r="G48" s="18">
        <f t="shared" si="4"/>
        <v>1612652.596476977</v>
      </c>
      <c r="H48" s="18">
        <f t="shared" si="1"/>
        <v>1312699.2304496584</v>
      </c>
      <c r="I48" s="18">
        <f t="shared" si="5"/>
        <v>1154608.6594874961</v>
      </c>
      <c r="J48" s="18">
        <f t="shared" si="2"/>
        <v>1314949.1002298743</v>
      </c>
      <c r="K48" s="18">
        <f t="shared" si="3"/>
        <v>160340.44074237812</v>
      </c>
      <c r="L48" s="17">
        <f t="shared" si="6"/>
        <v>2249.8697802159909</v>
      </c>
      <c r="M48" s="21">
        <f>VLOOKUP(A48,'[3]model1&amp;KDJ'!$A:$N,14)</f>
        <v>79.31034553632152</v>
      </c>
      <c r="N48" s="21">
        <f>VLOOKUP(A48,'[3]model1&amp;KDJ'!$A:$O,15)</f>
        <v>75.815857087878427</v>
      </c>
      <c r="O48" s="21">
        <f>VLOOKUP(A48,'[3]model1&amp;KDJ'!$A:$P,16)</f>
        <v>71.426953728039848</v>
      </c>
      <c r="P48" s="21">
        <f>VLOOKUP(A48,'[3]model1&amp;KDJ'!$A:$Q,17)</f>
        <v>84.593663807555572</v>
      </c>
      <c r="Q48" s="1">
        <f t="shared" si="7"/>
        <v>1</v>
      </c>
    </row>
    <row r="49" spans="1:17" ht="12.75" x14ac:dyDescent="0.2">
      <c r="A49" s="15">
        <v>45777</v>
      </c>
      <c r="B49" s="31">
        <f>VLOOKUP(A49,[1]HwabaoWP_szse_innovation_100!$A:$E,5)</f>
        <v>0.76899999380111694</v>
      </c>
      <c r="C49" s="16">
        <f>VLOOKUP(A49,[2]myPEPB!$B:$C,2,FALSE)</f>
        <v>24.010000229999999</v>
      </c>
      <c r="D49" s="17">
        <f>VLOOKUP(A49,[2]myPEPB!$B:$D,3,FALSE)</f>
        <v>25.539386200172402</v>
      </c>
      <c r="E49" s="17">
        <f t="shared" si="9"/>
        <v>6041.0745821809896</v>
      </c>
      <c r="F49" s="18">
        <f t="shared" si="0"/>
        <v>7855.7537462651344</v>
      </c>
      <c r="G49" s="18">
        <f t="shared" si="4"/>
        <v>1620508.3502232421</v>
      </c>
      <c r="H49" s="18">
        <f t="shared" si="1"/>
        <v>1246170.9112763314</v>
      </c>
      <c r="I49" s="18">
        <f t="shared" si="5"/>
        <v>1160649.7340696771</v>
      </c>
      <c r="J49" s="18">
        <f t="shared" si="2"/>
        <v>1248420.7810565473</v>
      </c>
      <c r="K49" s="18">
        <f t="shared" si="3"/>
        <v>87771.046986870235</v>
      </c>
      <c r="L49" s="17">
        <f t="shared" si="6"/>
        <v>2249.8697802159909</v>
      </c>
      <c r="M49" s="21">
        <f>VLOOKUP(A49,'[3]model1&amp;KDJ'!$A:$N,14)</f>
        <v>63.793099550231602</v>
      </c>
      <c r="N49" s="21">
        <f>VLOOKUP(A49,'[3]model1&amp;KDJ'!$A:$O,15)</f>
        <v>71.808271241996152</v>
      </c>
      <c r="O49" s="21">
        <f>VLOOKUP(A49,'[3]model1&amp;KDJ'!$A:$P,16)</f>
        <v>71.554059566025288</v>
      </c>
      <c r="P49" s="21">
        <f>VLOOKUP(A49,'[3]model1&amp;KDJ'!$A:$Q,17)</f>
        <v>72.316694593937882</v>
      </c>
      <c r="Q49" s="1">
        <f t="shared" si="7"/>
        <v>1</v>
      </c>
    </row>
    <row r="50" spans="1:17" ht="12.75" x14ac:dyDescent="0.2">
      <c r="A50" s="15">
        <v>45807</v>
      </c>
      <c r="B50" s="31">
        <f>VLOOKUP(A50,[1]HwabaoWP_szse_innovation_100!$A:$E,5)</f>
        <v>0.78200000524520874</v>
      </c>
      <c r="C50" s="16">
        <f>VLOOKUP(A50,[2]myPEPB!$B:$C,2,FALSE)</f>
        <v>23.299999239999998</v>
      </c>
      <c r="D50" s="17">
        <f>VLOOKUP(A50,[2]myPEPB!$B:$D,3,FALSE)</f>
        <v>25.506266578519043</v>
      </c>
      <c r="E50" s="17">
        <f t="shared" si="9"/>
        <v>8714.7559871502253</v>
      </c>
      <c r="F50" s="18">
        <f t="shared" si="0"/>
        <v>11144.189167131237</v>
      </c>
      <c r="G50" s="18">
        <f t="shared" si="4"/>
        <v>1631652.5393903733</v>
      </c>
      <c r="H50" s="18">
        <f t="shared" si="1"/>
        <v>1275952.29436163</v>
      </c>
      <c r="I50" s="18">
        <f t="shared" si="5"/>
        <v>1169364.4900568272</v>
      </c>
      <c r="J50" s="18">
        <f t="shared" si="2"/>
        <v>1278202.1641418459</v>
      </c>
      <c r="K50" s="18">
        <f t="shared" si="3"/>
        <v>108837.67408501869</v>
      </c>
      <c r="L50" s="17">
        <f t="shared" si="6"/>
        <v>2249.8697802159909</v>
      </c>
      <c r="M50" s="21">
        <f>VLOOKUP(A50,'[3]model1&amp;KDJ'!$A:$N,14)</f>
        <v>67.719298539142571</v>
      </c>
      <c r="N50" s="21">
        <f>VLOOKUP(A50,'[3]model1&amp;KDJ'!$A:$O,15)</f>
        <v>70.445280341044963</v>
      </c>
      <c r="O50" s="21">
        <f>VLOOKUP(A50,'[3]model1&amp;KDJ'!$A:$P,16)</f>
        <v>71.184466491031841</v>
      </c>
      <c r="P50" s="21">
        <f>VLOOKUP(A50,'[3]model1&amp;KDJ'!$A:$Q,17)</f>
        <v>68.966908041071207</v>
      </c>
      <c r="Q50" s="1">
        <f t="shared" si="7"/>
        <v>1</v>
      </c>
    </row>
    <row r="51" spans="1:17" ht="12.75" x14ac:dyDescent="0.2">
      <c r="A51" s="15">
        <v>45838</v>
      </c>
      <c r="B51" s="31">
        <f>VLOOKUP(A51,[1]HwabaoWP_szse_innovation_100!$A:$E,5)</f>
        <v>0.81199997663497925</v>
      </c>
      <c r="C51" s="16">
        <f>VLOOKUP(A51,[2]myPEPB!$B:$C,2,FALSE)</f>
        <v>24.299999239999998</v>
      </c>
      <c r="D51" s="17">
        <f>VLOOKUP(A51,[2]myPEPB!$B:$D,3,FALSE)</f>
        <v>25.46955573186175</v>
      </c>
      <c r="E51" s="17">
        <f t="shared" si="9"/>
        <v>4619.7481428539177</v>
      </c>
      <c r="F51" s="18">
        <f t="shared" si="0"/>
        <v>5689.3451672236279</v>
      </c>
      <c r="G51" s="18">
        <f t="shared" si="4"/>
        <v>1637341.8845575969</v>
      </c>
      <c r="H51" s="18">
        <f t="shared" si="1"/>
        <v>1329521.5720042416</v>
      </c>
      <c r="I51" s="18">
        <f t="shared" si="5"/>
        <v>1173984.238199681</v>
      </c>
      <c r="J51" s="18">
        <f t="shared" si="2"/>
        <v>1331771.4417844575</v>
      </c>
      <c r="K51" s="18">
        <f t="shared" si="3"/>
        <v>157787.20358477649</v>
      </c>
      <c r="L51" s="17">
        <f t="shared" si="6"/>
        <v>2249.8697802159909</v>
      </c>
      <c r="M51" s="21">
        <f>VLOOKUP(A51,'[3]model1&amp;KDJ'!$A:$N,14)</f>
        <v>71.162778318994029</v>
      </c>
      <c r="N51" s="21">
        <f>VLOOKUP(A51,'[3]model1&amp;KDJ'!$A:$O,15)</f>
        <v>70.684446333694652</v>
      </c>
      <c r="O51" s="21">
        <f>VLOOKUP(A51,'[3]model1&amp;KDJ'!$A:$P,16)</f>
        <v>71.017793105252778</v>
      </c>
      <c r="P51" s="21">
        <f>VLOOKUP(A51,'[3]model1&amp;KDJ'!$A:$Q,17)</f>
        <v>70.017752790578385</v>
      </c>
      <c r="Q51" s="1">
        <f t="shared" si="7"/>
        <v>1</v>
      </c>
    </row>
    <row r="52" spans="1:17" ht="12.75" x14ac:dyDescent="0.2">
      <c r="A52" s="15">
        <v>45869</v>
      </c>
      <c r="B52" s="31">
        <f>VLOOKUP(A52,[1]HwabaoWP_szse_innovation_100!$A:$E,5)</f>
        <v>0.84500002861022949</v>
      </c>
      <c r="C52" s="16">
        <f>VLOOKUP(A52,[2]myPEPB!$B:$C,2,FALSE)</f>
        <v>25.25</v>
      </c>
      <c r="D52" s="17">
        <f>VLOOKUP(A52,[2]myPEPB!$B:$D,3,FALSE)</f>
        <v>25.459508277435798</v>
      </c>
      <c r="E52" s="17">
        <f t="shared" si="9"/>
        <v>827.55769587140355</v>
      </c>
      <c r="F52" s="18">
        <f t="shared" si="0"/>
        <v>979.35818680679415</v>
      </c>
      <c r="G52" s="18">
        <f t="shared" si="4"/>
        <v>1638321.2427444037</v>
      </c>
      <c r="H52" s="18">
        <f t="shared" si="1"/>
        <v>1384381.4969917678</v>
      </c>
      <c r="I52" s="18">
        <f t="shared" si="5"/>
        <v>1174811.7958955525</v>
      </c>
      <c r="J52" s="18">
        <f t="shared" si="2"/>
        <v>1386631.3667719837</v>
      </c>
      <c r="K52" s="18">
        <f t="shared" si="3"/>
        <v>211819.57087643119</v>
      </c>
      <c r="L52" s="17">
        <f t="shared" si="6"/>
        <v>2249.8697802159909</v>
      </c>
      <c r="M52" s="21">
        <f>VLOOKUP(A52,'[3]model1&amp;KDJ'!$A:$N,14)</f>
        <v>86.915892015346799</v>
      </c>
      <c r="N52" s="21">
        <f>VLOOKUP(A52,'[3]model1&amp;KDJ'!$A:$O,15)</f>
        <v>76.094928227578706</v>
      </c>
      <c r="O52" s="21">
        <f>VLOOKUP(A52,'[3]model1&amp;KDJ'!$A:$P,16)</f>
        <v>72.710171479361421</v>
      </c>
      <c r="P52" s="21">
        <f>VLOOKUP(A52,'[3]model1&amp;KDJ'!$A:$Q,17)</f>
        <v>82.86444172401329</v>
      </c>
      <c r="Q52" s="1">
        <f t="shared" si="7"/>
        <v>1</v>
      </c>
    </row>
    <row r="53" spans="1:17" ht="12.75" x14ac:dyDescent="0.2">
      <c r="A53" s="15">
        <v>45898</v>
      </c>
      <c r="B53" s="31">
        <f>VLOOKUP(A53,[1]HwabaoWP_szse_innovation_100!$A:$E,5)</f>
        <v>1.0089999437332153</v>
      </c>
      <c r="C53" s="16">
        <f>VLOOKUP(A53,[2]myPEPB!$B:$C,2,FALSE)</f>
        <v>30.020000459999999</v>
      </c>
      <c r="D53" s="17">
        <f>VLOOKUP(A53,[2]myPEPB!$B:$D,3,FALSE)</f>
        <v>25.492415128467428</v>
      </c>
      <c r="E53" s="17">
        <f t="shared" si="9"/>
        <v>-17883.962059553654</v>
      </c>
      <c r="F53" s="18">
        <f t="shared" si="0"/>
        <v>-17724.443069228022</v>
      </c>
      <c r="G53" s="18">
        <f t="shared" si="4"/>
        <v>1620596.7996751757</v>
      </c>
      <c r="H53" s="18">
        <f t="shared" si="1"/>
        <v>1635182.079686481</v>
      </c>
      <c r="I53" s="18">
        <f t="shared" si="5"/>
        <v>1174811.7958955525</v>
      </c>
      <c r="J53" s="18">
        <f t="shared" si="2"/>
        <v>1655315.9115262507</v>
      </c>
      <c r="K53" s="18">
        <f t="shared" si="3"/>
        <v>480504.11563069816</v>
      </c>
      <c r="L53" s="17">
        <f t="shared" si="6"/>
        <v>20133.831839769646</v>
      </c>
      <c r="M53" s="21">
        <f>VLOOKUP(A53,'[3]model1&amp;KDJ'!$A:$N,14)</f>
        <v>96.952898296479447</v>
      </c>
      <c r="N53" s="21">
        <f>VLOOKUP(A53,'[3]model1&amp;KDJ'!$A:$O,15)</f>
        <v>83.047584917212291</v>
      </c>
      <c r="O53" s="21">
        <f>VLOOKUP(A53,'[3]model1&amp;KDJ'!$A:$P,16)</f>
        <v>76.155975958645044</v>
      </c>
      <c r="P53" s="21">
        <f>VLOOKUP(A53,'[3]model1&amp;KDJ'!$A:$Q,17)</f>
        <v>96.83080283434677</v>
      </c>
      <c r="Q53" s="1">
        <f t="shared" si="7"/>
        <v>1</v>
      </c>
    </row>
    <row r="54" spans="1:17" ht="12.75" x14ac:dyDescent="0.2">
      <c r="A54" s="15">
        <v>45930</v>
      </c>
      <c r="B54" s="31">
        <f>VLOOKUP(A54,[1]HwabaoWP_szse_innovation_100!$A:$E,5)</f>
        <v>1.0880000591278076</v>
      </c>
      <c r="C54" s="16">
        <f>VLOOKUP(A54,[2]myPEPB!$B:$C,2,FALSE)</f>
        <v>32.849998470000003</v>
      </c>
      <c r="D54" s="17">
        <f>VLOOKUP(A54,[2]myPEPB!$B:$D,3,FALSE)</f>
        <v>25.595553284386586</v>
      </c>
      <c r="E54" s="17">
        <f t="shared" si="9"/>
        <v>-28655.058483172998</v>
      </c>
      <c r="F54" s="18">
        <f t="shared" si="0"/>
        <v>-26337.368498071821</v>
      </c>
      <c r="G54" s="18">
        <f t="shared" si="4"/>
        <v>1594259.4311771039</v>
      </c>
      <c r="H54" s="18">
        <f t="shared" si="1"/>
        <v>1734554.355385754</v>
      </c>
      <c r="I54" s="18">
        <f t="shared" si="5"/>
        <v>1174811.7958955525</v>
      </c>
      <c r="J54" s="18">
        <f t="shared" si="2"/>
        <v>1783343.2457086968</v>
      </c>
      <c r="K54" s="18">
        <f t="shared" si="3"/>
        <v>608531.44981314428</v>
      </c>
      <c r="L54" s="17">
        <f t="shared" si="6"/>
        <v>48788.890322942643</v>
      </c>
      <c r="M54" s="21">
        <f>VLOOKUP(A54,'[3]model1&amp;KDJ'!$A:$N,14)</f>
        <v>87.195130446328506</v>
      </c>
      <c r="N54" s="21">
        <f>VLOOKUP(A54,'[3]model1&amp;KDJ'!$A:$O,15)</f>
        <v>84.430100093584358</v>
      </c>
      <c r="O54" s="21">
        <f>VLOOKUP(A54,'[3]model1&amp;KDJ'!$A:$P,16)</f>
        <v>78.914017336958139</v>
      </c>
      <c r="P54" s="21">
        <f>VLOOKUP(A54,'[3]model1&amp;KDJ'!$A:$Q,17)</f>
        <v>95.46226560683678</v>
      </c>
      <c r="Q54" s="1">
        <f t="shared" si="7"/>
        <v>1</v>
      </c>
    </row>
    <row r="55" spans="1:17" ht="12.75" x14ac:dyDescent="0.2">
      <c r="A55" s="15">
        <v>45961</v>
      </c>
      <c r="B55" s="31">
        <f>VLOOKUP(A55,[1]HwabaoWP_szse_innovation_100!$A:$E,5)</f>
        <v>1.0729999542236328</v>
      </c>
      <c r="C55" s="16">
        <f>VLOOKUP(A55,[2]myPEPB!$B:$C,2,FALSE)</f>
        <v>32.159999849999998</v>
      </c>
      <c r="D55" s="17">
        <f>VLOOKUP(A55,[2]myPEPB!$B:$D,3,FALSE)</f>
        <v>25.690355441740447</v>
      </c>
      <c r="E55" s="17">
        <f t="shared" si="9"/>
        <v>-25555.095412625229</v>
      </c>
      <c r="F55" s="18">
        <f t="shared" si="0"/>
        <v>-23816.49254693172</v>
      </c>
      <c r="G55" s="18">
        <f t="shared" si="4"/>
        <v>1570442.9386301723</v>
      </c>
      <c r="H55" s="18">
        <f t="shared" si="1"/>
        <v>1685085.2012610023</v>
      </c>
      <c r="I55" s="18">
        <f t="shared" si="5"/>
        <v>1174811.7958955525</v>
      </c>
      <c r="J55" s="18">
        <f t="shared" si="2"/>
        <v>1759429.1869965703</v>
      </c>
      <c r="K55" s="18">
        <f t="shared" si="3"/>
        <v>584617.39110101783</v>
      </c>
      <c r="L55" s="17">
        <f t="shared" si="6"/>
        <v>74343.985735567869</v>
      </c>
      <c r="M55" s="21">
        <f>VLOOKUP(A55,'[3]model1&amp;KDJ'!$A:$N,14)</f>
        <v>84.146328905427424</v>
      </c>
      <c r="N55" s="21">
        <f>VLOOKUP(A55,'[3]model1&amp;KDJ'!$A:$O,15)</f>
        <v>84.335509697532046</v>
      </c>
      <c r="O55" s="21">
        <f>VLOOKUP(A55,'[3]model1&amp;KDJ'!$A:$P,16)</f>
        <v>80.721181457149441</v>
      </c>
      <c r="P55" s="21">
        <f>VLOOKUP(A55,'[3]model1&amp;KDJ'!$A:$Q,17)</f>
        <v>91.564166178297256</v>
      </c>
      <c r="Q55" s="1">
        <f t="shared" si="7"/>
        <v>1</v>
      </c>
    </row>
    <row r="56" spans="1:17" ht="12.75" x14ac:dyDescent="0.2">
      <c r="A56" s="15">
        <v>45989</v>
      </c>
      <c r="B56" s="31">
        <f>VLOOKUP(A56,[1]HwabaoWP_szse_innovation_100!$A:$E,5)</f>
        <v>1.0399999618530273</v>
      </c>
      <c r="C56" s="16">
        <f>VLOOKUP(A56,[2]myPEPB!$B:$C,2,FALSE)</f>
        <v>29.780000690000001</v>
      </c>
      <c r="D56" s="17">
        <f>VLOOKUP(A56,[2]myPEPB!$B:$D,3,FALSE)</f>
        <v>25.767886790921306</v>
      </c>
      <c r="E56" s="17">
        <f t="shared" si="9"/>
        <v>-15847.849901360847</v>
      </c>
      <c r="F56" s="18">
        <f t="shared" si="0"/>
        <v>-15238.317771785132</v>
      </c>
      <c r="G56" s="18">
        <f t="shared" si="4"/>
        <v>1555204.6208583871</v>
      </c>
      <c r="H56" s="18">
        <f t="shared" si="1"/>
        <v>1617412.7463663744</v>
      </c>
      <c r="I56" s="18">
        <f t="shared" si="5"/>
        <v>1174811.7958955525</v>
      </c>
      <c r="J56" s="18">
        <f t="shared" si="2"/>
        <v>1707604.5820033031</v>
      </c>
      <c r="K56" s="18">
        <f t="shared" si="3"/>
        <v>532792.78610775061</v>
      </c>
      <c r="L56" s="17">
        <f t="shared" si="6"/>
        <v>90191.835636928721</v>
      </c>
      <c r="M56" s="21">
        <f>VLOOKUP(A56,'[3]model1&amp;KDJ'!$A:$N,14)</f>
        <v>77.439013974501577</v>
      </c>
      <c r="N56" s="21">
        <f>VLOOKUP(A56,'[3]model1&amp;KDJ'!$A:$O,15)</f>
        <v>82.036677789855219</v>
      </c>
      <c r="O56" s="21">
        <f>VLOOKUP(A56,'[3]model1&amp;KDJ'!$A:$P,16)</f>
        <v>81.159680234718039</v>
      </c>
      <c r="P56" s="21">
        <f>VLOOKUP(A56,'[3]model1&amp;KDJ'!$A:$Q,17)</f>
        <v>83.790672900129579</v>
      </c>
      <c r="Q56" s="1">
        <f t="shared" si="7"/>
        <v>1</v>
      </c>
    </row>
    <row r="57" spans="1:17" ht="12.75" x14ac:dyDescent="0.2">
      <c r="A57" s="15">
        <v>46022</v>
      </c>
      <c r="B57" s="31">
        <f>VLOOKUP(A57,[1]HwabaoWP_szse_innovation_100!$A:$E,5)</f>
        <v>1.0640000104904175</v>
      </c>
      <c r="C57" s="16">
        <f>VLOOKUP(A57,[2]myPEPB!$B:$C,2,FALSE)</f>
        <v>31.129999160000001</v>
      </c>
      <c r="D57" s="17">
        <f>VLOOKUP(A57,[2]myPEPB!$B:$D,3,FALSE)</f>
        <v>25.866548769817285</v>
      </c>
      <c r="E57" s="17">
        <f t="shared" si="9"/>
        <v>-20790.629041221724</v>
      </c>
      <c r="F57" s="18">
        <f t="shared" si="0"/>
        <v>-19540.064695712677</v>
      </c>
      <c r="G57" s="18">
        <f t="shared" si="4"/>
        <v>1535664.5561626744</v>
      </c>
      <c r="H57" s="18">
        <f t="shared" si="1"/>
        <v>1633947.1038668479</v>
      </c>
      <c r="I57" s="18">
        <f t="shared" si="5"/>
        <v>1174811.7958955525</v>
      </c>
      <c r="J57" s="18">
        <f t="shared" si="2"/>
        <v>1744929.5685449983</v>
      </c>
      <c r="K57" s="18">
        <f t="shared" si="3"/>
        <v>570117.7726494458</v>
      </c>
      <c r="L57" s="17">
        <f t="shared" si="6"/>
        <v>110982.46467815044</v>
      </c>
      <c r="M57" s="21">
        <f>VLOOKUP(A57,'[3]model1&amp;KDJ'!$A:$N,14)</f>
        <v>82.317072210415034</v>
      </c>
      <c r="N57" s="21">
        <f>VLOOKUP(A57,'[3]model1&amp;KDJ'!$A:$O,15)</f>
        <v>82.130142596708495</v>
      </c>
      <c r="O57" s="21">
        <f>VLOOKUP(A57,'[3]model1&amp;KDJ'!$A:$P,16)</f>
        <v>81.483167688714857</v>
      </c>
      <c r="P57" s="21">
        <f>VLOOKUP(A57,'[3]model1&amp;KDJ'!$A:$Q,17)</f>
        <v>83.424092412695785</v>
      </c>
      <c r="Q57" s="1">
        <f t="shared" si="7"/>
        <v>1</v>
      </c>
    </row>
    <row r="58" spans="1:17" ht="12.75" x14ac:dyDescent="0.2">
      <c r="A58" s="15">
        <v>46052</v>
      </c>
      <c r="B58" s="31">
        <f>VLOOKUP(A58,[1]HwabaoWP_szse_innovation_100!$A:$E,5)</f>
        <v>1.0720000267028809</v>
      </c>
      <c r="C58" s="16">
        <f>VLOOKUP(A58,[2]myPEPB!$B:$C,2,FALSE)</f>
        <v>31.709999079999999</v>
      </c>
      <c r="D58" s="17">
        <f>VLOOKUP(A58,[2]myPEPB!$B:$D,3,FALSE)</f>
        <v>25.973356806597167</v>
      </c>
      <c r="E58" s="17">
        <f t="shared" si="9"/>
        <v>-22659.73697994119</v>
      </c>
      <c r="F58" s="18">
        <f t="shared" si="0"/>
        <v>-21137.813820429725</v>
      </c>
      <c r="G58" s="18">
        <f t="shared" si="4"/>
        <v>1514526.7423422448</v>
      </c>
      <c r="H58" s="18">
        <f t="shared" si="1"/>
        <v>1623572.7082331136</v>
      </c>
      <c r="I58" s="18">
        <f t="shared" si="5"/>
        <v>1174811.7958955525</v>
      </c>
      <c r="J58" s="18">
        <f t="shared" si="2"/>
        <v>1757214.9098912054</v>
      </c>
      <c r="K58" s="18">
        <f t="shared" si="3"/>
        <v>582403.11399565288</v>
      </c>
      <c r="L58" s="17">
        <f t="shared" si="6"/>
        <v>133642.20165809162</v>
      </c>
      <c r="M58" s="21">
        <f>VLOOKUP(A58,'[3]model1&amp;KDJ'!$A:$N,14)</f>
        <v>79.155674275563754</v>
      </c>
      <c r="N58" s="21">
        <f>VLOOKUP(A58,'[3]model1&amp;KDJ'!$A:$O,15)</f>
        <v>81.138653156326924</v>
      </c>
      <c r="O58" s="21">
        <f>VLOOKUP(A58,'[3]model1&amp;KDJ'!$A:$P,16)</f>
        <v>81.368329511252213</v>
      </c>
      <c r="P58" s="21">
        <f>VLOOKUP(A58,'[3]model1&amp;KDJ'!$A:$Q,17)</f>
        <v>80.679300446476333</v>
      </c>
      <c r="Q58" s="1">
        <f t="shared" si="7"/>
        <v>1</v>
      </c>
    </row>
    <row r="59" spans="1:17" ht="12.75" x14ac:dyDescent="0.2">
      <c r="A59" s="15">
        <v>46080</v>
      </c>
      <c r="B59" s="31">
        <f>VLOOKUP(A59,[1]HwabaoWP_szse_innovation_100!$A:$E,5)</f>
        <v>1.0750000476837158</v>
      </c>
      <c r="C59" s="16">
        <f>VLOOKUP(A59,[2]myPEPB!$B:$C,2,FALSE)</f>
        <v>31.549999239999998</v>
      </c>
      <c r="D59" s="17">
        <f>VLOOKUP(A59,[2]myPEPB!$B:$D,3,FALSE)</f>
        <v>26.039818023753689</v>
      </c>
      <c r="E59" s="17">
        <f t="shared" si="9"/>
        <v>-21765.21580417292</v>
      </c>
      <c r="F59" s="18">
        <f t="shared" si="0"/>
        <v>-20246.711477892542</v>
      </c>
      <c r="G59" s="18">
        <f t="shared" si="4"/>
        <v>1494280.0308643524</v>
      </c>
      <c r="H59" s="18">
        <f t="shared" si="1"/>
        <v>1606351.1044320031</v>
      </c>
      <c r="I59" s="18">
        <f t="shared" si="5"/>
        <v>1174811.7958955525</v>
      </c>
      <c r="J59" s="18">
        <f t="shared" si="2"/>
        <v>1761758.5218942678</v>
      </c>
      <c r="K59" s="18">
        <f t="shared" si="3"/>
        <v>586946.72599871526</v>
      </c>
      <c r="L59" s="17">
        <f t="shared" si="6"/>
        <v>155407.41746226454</v>
      </c>
      <c r="M59" s="21">
        <f>VLOOKUP(A59,'[3]model1&amp;KDJ'!$A:$N,14)</f>
        <v>79.947236522705992</v>
      </c>
      <c r="N59" s="21">
        <f>VLOOKUP(A59,'[3]model1&amp;KDJ'!$A:$O,15)</f>
        <v>80.74151427845328</v>
      </c>
      <c r="O59" s="21">
        <f>VLOOKUP(A59,'[3]model1&amp;KDJ'!$A:$P,16)</f>
        <v>81.15939110031924</v>
      </c>
      <c r="P59" s="21">
        <f>VLOOKUP(A59,'[3]model1&amp;KDJ'!$A:$Q,17)</f>
        <v>79.905760634721361</v>
      </c>
      <c r="Q59" s="1">
        <f t="shared" si="7"/>
        <v>1</v>
      </c>
    </row>
    <row r="60" spans="1:17" ht="12.75" x14ac:dyDescent="0.2">
      <c r="A60" s="15">
        <v>46112</v>
      </c>
      <c r="B60" s="31">
        <f>VLOOKUP(A60,[1]HwabaoWP_szse_innovation_100!$A:$E,5)</f>
        <v>1.0479999780654907</v>
      </c>
      <c r="C60" s="16">
        <f>VLOOKUP(A60,[2]myPEPB!$B:$C,2,FALSE)</f>
        <v>30.549999239999998</v>
      </c>
      <c r="D60" s="17">
        <f>VLOOKUP(A60,[2]myPEPB!$B:$D,3,FALSE)</f>
        <v>26.136981933917117</v>
      </c>
      <c r="E60" s="17">
        <f t="shared" si="9"/>
        <v>-17431.418359027382</v>
      </c>
      <c r="F60" s="18">
        <f t="shared" si="0"/>
        <v>-16633.033133458779</v>
      </c>
      <c r="G60" s="18">
        <f t="shared" si="4"/>
        <v>1477646.9977308935</v>
      </c>
      <c r="H60" s="18">
        <f t="shared" si="1"/>
        <v>1548574.0212105147</v>
      </c>
      <c r="I60" s="18">
        <f t="shared" si="5"/>
        <v>1174811.7958955525</v>
      </c>
      <c r="J60" s="18">
        <f t="shared" si="2"/>
        <v>1721412.8570318066</v>
      </c>
      <c r="K60" s="18">
        <f t="shared" si="3"/>
        <v>546601.06113625411</v>
      </c>
      <c r="L60" s="17">
        <f t="shared" si="6"/>
        <v>172838.83582129193</v>
      </c>
      <c r="M60" s="21">
        <f>VLOOKUP(A60,'[3]model1&amp;KDJ'!$A:$N,14)</f>
        <v>70.655258802170835</v>
      </c>
      <c r="N60" s="21">
        <f>VLOOKUP(A60,'[3]model1&amp;KDJ'!$A:$O,15)</f>
        <v>77.37942911969246</v>
      </c>
      <c r="O60" s="21">
        <f>VLOOKUP(A60,'[3]model1&amp;KDJ'!$A:$P,16)</f>
        <v>79.899403773443638</v>
      </c>
      <c r="P60" s="21">
        <f>VLOOKUP(A60,'[3]model1&amp;KDJ'!$A:$Q,17)</f>
        <v>72.339479812190092</v>
      </c>
      <c r="Q60" s="1">
        <f t="shared" si="7"/>
        <v>1</v>
      </c>
    </row>
    <row r="61" spans="1:17" ht="12.75" x14ac:dyDescent="0.2">
      <c r="A61" s="15">
        <v>46142</v>
      </c>
      <c r="B61" s="31">
        <f>VLOOKUP(A61,[1]HwabaoWP_szse_innovation_100!$A:$E,5)</f>
        <v>1.1770000457763672</v>
      </c>
      <c r="C61" s="16">
        <f>VLOOKUP(A61,[2]myPEPB!$B:$C,2,FALSE)</f>
        <v>34.549999239999998</v>
      </c>
      <c r="D61" s="17">
        <f>VLOOKUP(A61,[2]myPEPB!$B:$D,3,FALSE)</f>
        <v>26.252550181051159</v>
      </c>
      <c r="E61" s="17">
        <f t="shared" si="9"/>
        <v>-32774.923782847916</v>
      </c>
      <c r="F61" s="18">
        <f t="shared" si="0"/>
        <v>-27846.153362916037</v>
      </c>
      <c r="G61" s="18">
        <f t="shared" si="4"/>
        <v>1449800.8443679775</v>
      </c>
      <c r="H61" s="18">
        <f t="shared" si="1"/>
        <v>1706415.6601877252</v>
      </c>
      <c r="I61" s="18">
        <f t="shared" si="5"/>
        <v>1174811.7958955525</v>
      </c>
      <c r="J61" s="18">
        <f t="shared" si="2"/>
        <v>1912029.4197918652</v>
      </c>
      <c r="K61" s="18">
        <f t="shared" si="3"/>
        <v>737217.62389631267</v>
      </c>
      <c r="L61" s="17">
        <f t="shared" si="6"/>
        <v>205613.75960413984</v>
      </c>
      <c r="M61" s="21">
        <f>VLOOKUP(A61,'[3]model1&amp;KDJ'!$A:$N,14)</f>
        <v>96.011413524955756</v>
      </c>
      <c r="N61" s="21">
        <f>VLOOKUP(A61,'[3]model1&amp;KDJ'!$A:$O,15)</f>
        <v>83.590090588113569</v>
      </c>
      <c r="O61" s="21">
        <f>VLOOKUP(A61,'[3]model1&amp;KDJ'!$A:$P,16)</f>
        <v>81.129632711666943</v>
      </c>
      <c r="P61" s="21">
        <f>VLOOKUP(A61,'[3]model1&amp;KDJ'!$A:$Q,17)</f>
        <v>88.511006341006805</v>
      </c>
      <c r="Q61" s="1">
        <f t="shared" si="7"/>
        <v>1</v>
      </c>
    </row>
    <row r="62" spans="1:17" ht="12.75" x14ac:dyDescent="0.2">
      <c r="A62" s="15">
        <v>46171</v>
      </c>
      <c r="B62" s="31">
        <f>VLOOKUP(A62,[1]HwabaoWP_szse_innovation_100!$A:$E,5)</f>
        <v>1.2450000047683716</v>
      </c>
      <c r="C62" s="16">
        <f>VLOOKUP(A62,[2]myPEPB!$B:$C,2,FALSE)</f>
        <v>35.509998320000001</v>
      </c>
      <c r="D62" s="17">
        <f>VLOOKUP(A62,[2]myPEPB!$B:$D,3,FALSE)</f>
        <v>26.381551060434539</v>
      </c>
      <c r="E62" s="17">
        <f t="shared" si="9"/>
        <v>-36057.366675283578</v>
      </c>
      <c r="F62" s="18">
        <f t="shared" si="0"/>
        <v>-28961.740190508626</v>
      </c>
      <c r="G62" s="18">
        <f t="shared" si="4"/>
        <v>1420839.1041774689</v>
      </c>
      <c r="H62" s="18">
        <f t="shared" si="1"/>
        <v>1768944.6914760377</v>
      </c>
      <c r="I62" s="18">
        <f t="shared" si="5"/>
        <v>1174811.7958955525</v>
      </c>
      <c r="J62" s="18">
        <f t="shared" si="2"/>
        <v>2010615.8177554612</v>
      </c>
      <c r="K62" s="18">
        <f t="shared" si="3"/>
        <v>835804.02185990871</v>
      </c>
      <c r="L62" s="17">
        <f t="shared" si="6"/>
        <v>241671.12627942342</v>
      </c>
      <c r="M62" s="21">
        <f>VLOOKUP(A62,'[3]model1&amp;KDJ'!$A:$N,14)</f>
        <v>93.931398043426469</v>
      </c>
      <c r="N62" s="21">
        <f>VLOOKUP(A62,'[3]model1&amp;KDJ'!$A:$O,15)</f>
        <v>87.037193073217864</v>
      </c>
      <c r="O62" s="21">
        <f>VLOOKUP(A62,'[3]model1&amp;KDJ'!$A:$P,16)</f>
        <v>83.098819498850574</v>
      </c>
      <c r="P62" s="21">
        <f>VLOOKUP(A62,'[3]model1&amp;KDJ'!$A:$Q,17)</f>
        <v>94.913940221952458</v>
      </c>
      <c r="Q62" s="1">
        <f t="shared" si="7"/>
        <v>1</v>
      </c>
    </row>
    <row r="63" spans="1:17" ht="12.75" x14ac:dyDescent="0.2">
      <c r="A63" s="15">
        <v>46203</v>
      </c>
      <c r="B63" s="31">
        <f>VLOOKUP(A63,[1]HwabaoWP_szse_innovation_100!$A:$E,5)</f>
        <v>1.2760000228881836</v>
      </c>
      <c r="C63" s="16">
        <f>VLOOKUP(A63,[2]myPEPB!$B:$C,2,FALSE)</f>
        <v>41.799999239999998</v>
      </c>
      <c r="D63" s="17">
        <f>VLOOKUP(A63,[2]myPEPB!$B:$D,3,FALSE)</f>
        <v>26.574869220600849</v>
      </c>
      <c r="E63" s="17">
        <f t="shared" si="9"/>
        <v>-60139.263576626639</v>
      </c>
      <c r="F63" s="18">
        <f t="shared" si="0"/>
        <v>-47131.083462289775</v>
      </c>
      <c r="G63" s="18">
        <f t="shared" si="4"/>
        <v>1373708.0207151792</v>
      </c>
      <c r="H63" s="18">
        <f t="shared" si="1"/>
        <v>1752851.46587425</v>
      </c>
      <c r="I63" s="18">
        <f t="shared" si="5"/>
        <v>1174811.7958955525</v>
      </c>
      <c r="J63" s="18">
        <f t="shared" si="2"/>
        <v>2054661.8557303001</v>
      </c>
      <c r="K63" s="18">
        <f t="shared" si="3"/>
        <v>879850.05983474758</v>
      </c>
      <c r="L63" s="17">
        <f t="shared" si="6"/>
        <v>301810.38985605008</v>
      </c>
      <c r="M63" s="21">
        <f>VLOOKUP(A63,'[3]model1&amp;KDJ'!$A:$N,14)</f>
        <v>92.929284820646245</v>
      </c>
      <c r="N63" s="21">
        <f>VLOOKUP(A63,'[3]model1&amp;KDJ'!$A:$O,15)</f>
        <v>89.001223655693991</v>
      </c>
      <c r="O63" s="21">
        <f>VLOOKUP(A63,'[3]model1&amp;KDJ'!$A:$P,16)</f>
        <v>85.066287551131708</v>
      </c>
      <c r="P63" s="21">
        <f>VLOOKUP(A63,'[3]model1&amp;KDJ'!$A:$Q,17)</f>
        <v>96.871095864818557</v>
      </c>
      <c r="Q63" s="1">
        <f t="shared" si="7"/>
        <v>1</v>
      </c>
    </row>
  </sheetData>
  <phoneticPr fontId="2" type="noConversion"/>
  <conditionalFormatting sqref="H2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6" width="6.875" style="3" customWidth="1"/>
    <col min="7" max="7" width="9.375" style="3" customWidth="1"/>
    <col min="8" max="8" width="9.25" style="3" customWidth="1"/>
    <col min="9" max="9" width="10.75" style="3" customWidth="1"/>
    <col min="10" max="10" width="11.5" style="3" customWidth="1"/>
    <col min="11" max="11" width="13.375" style="3" customWidth="1"/>
    <col min="12" max="12" width="12.625" style="1" customWidth="1"/>
    <col min="13" max="13" width="10.75" style="1" customWidth="1"/>
    <col min="14" max="14" width="10.75" style="3" customWidth="1"/>
    <col min="15" max="15" width="9.5" style="1" bestFit="1" customWidth="1"/>
    <col min="16" max="17" width="9" style="2"/>
    <col min="18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14" t="s">
        <v>25</v>
      </c>
      <c r="F1" s="14" t="s">
        <v>26</v>
      </c>
      <c r="G1" s="40" t="s">
        <v>4</v>
      </c>
      <c r="H1" s="40" t="s">
        <v>5</v>
      </c>
      <c r="I1" s="40" t="s">
        <v>6</v>
      </c>
      <c r="J1" s="40" t="s">
        <v>7</v>
      </c>
      <c r="K1" s="41" t="s">
        <v>8</v>
      </c>
      <c r="L1" s="39" t="s">
        <v>9</v>
      </c>
      <c r="M1" s="43" t="s">
        <v>10</v>
      </c>
      <c r="N1" s="44" t="s">
        <v>11</v>
      </c>
      <c r="P1" s="12"/>
      <c r="Q1" s="12"/>
    </row>
    <row r="2" spans="1:36" ht="14.1" customHeight="1" x14ac:dyDescent="0.2">
      <c r="A2" s="5"/>
      <c r="B2" s="5"/>
      <c r="C2" s="5"/>
      <c r="D2" s="4"/>
      <c r="E2" s="4"/>
      <c r="F2" s="4"/>
      <c r="G2" s="4">
        <v>3950</v>
      </c>
      <c r="H2" s="4"/>
      <c r="I2" s="4"/>
      <c r="J2" s="4">
        <f>MIN(I:I)</f>
        <v>0</v>
      </c>
      <c r="K2" s="4"/>
      <c r="L2" s="5"/>
      <c r="M2" s="5"/>
      <c r="N2" s="4"/>
      <c r="O2" s="7"/>
    </row>
    <row r="3" spans="1:36" ht="14.1" customHeight="1" x14ac:dyDescent="0.2">
      <c r="A3" s="15">
        <v>44377</v>
      </c>
      <c r="B3" s="31">
        <f>VLOOKUP(A3,[1]HwabaoWP_szse_innovation_100!$A:$E,5)</f>
        <v>1.0309999999999999</v>
      </c>
      <c r="C3" s="16">
        <f>VLOOKUP(A3,[2]myPEPB!$B:$C,2,FALSE)</f>
        <v>41.45</v>
      </c>
      <c r="D3" s="17">
        <f>VLOOKUP(A3,[2]myPEPB!$B:$D,3,FALSE)</f>
        <v>41.041896551724122</v>
      </c>
      <c r="E3" s="17">
        <f>VLOOKUP(A3,[1]HwabaoWP_szse_innovation_100!$A:$F,6)</f>
        <v>54671327</v>
      </c>
      <c r="F3" s="17">
        <f>VLOOKUP(A3,[1]HwabaoWP_szse_innovation_100!$A:$I,9)</f>
        <v>147407244.66666666</v>
      </c>
      <c r="G3" s="17">
        <v>0</v>
      </c>
      <c r="H3" s="18">
        <f t="shared" ref="H3:H63" si="0">G3/B3</f>
        <v>0</v>
      </c>
      <c r="I3" s="18">
        <f>I2+H3</f>
        <v>0</v>
      </c>
      <c r="J3" s="18">
        <f t="shared" ref="J3:J63" si="1">I3*B3</f>
        <v>0</v>
      </c>
      <c r="K3" s="18">
        <f>IF(G3&gt;0,K2+G3,K2)</f>
        <v>0</v>
      </c>
      <c r="L3" s="18">
        <f t="shared" ref="L3:L63" si="2">J3+N3</f>
        <v>0</v>
      </c>
      <c r="M3" s="18">
        <f t="shared" ref="M3:M63" si="3">L3-K3</f>
        <v>0</v>
      </c>
      <c r="N3" s="17">
        <f>IF(G3&lt;0,N2-G3,N2)</f>
        <v>0</v>
      </c>
      <c r="O3" s="7"/>
      <c r="S3" s="45" t="s">
        <v>1</v>
      </c>
      <c r="T3" s="46" t="s">
        <v>12</v>
      </c>
      <c r="U3" s="46" t="s">
        <v>8</v>
      </c>
      <c r="V3" s="46" t="s">
        <v>9</v>
      </c>
      <c r="W3" s="46" t="s">
        <v>10</v>
      </c>
      <c r="X3" s="47" t="s">
        <v>11</v>
      </c>
      <c r="Y3" s="46" t="s">
        <v>13</v>
      </c>
      <c r="Z3" s="46" t="s">
        <v>14</v>
      </c>
      <c r="AB3" s="42">
        <v>44561</v>
      </c>
      <c r="AC3" s="1">
        <v>50321.468377949655</v>
      </c>
      <c r="AD3" s="1">
        <f>-AC3</f>
        <v>-50321.468377949655</v>
      </c>
      <c r="AE3" s="42">
        <v>44561</v>
      </c>
      <c r="AF3" s="1">
        <v>50321.457799113727</v>
      </c>
      <c r="AG3" s="1">
        <f>-AF3</f>
        <v>-50321.457799113727</v>
      </c>
      <c r="AH3" s="42">
        <v>44561</v>
      </c>
      <c r="AI3" s="1">
        <v>50321.457799113727</v>
      </c>
      <c r="AJ3" s="1">
        <f>-AI3</f>
        <v>-50321.457799113727</v>
      </c>
    </row>
    <row r="4" spans="1:36" ht="14.1" customHeight="1" x14ac:dyDescent="0.2">
      <c r="A4" s="15">
        <v>44407</v>
      </c>
      <c r="B4" s="31">
        <f>VLOOKUP(A4,[1]HwabaoWP_szse_innovation_100!$A:$E,5)</f>
        <v>1.006</v>
      </c>
      <c r="C4" s="16">
        <f>VLOOKUP(A4,[2]myPEPB!$B:$C,2,FALSE)</f>
        <v>39.930000305175781</v>
      </c>
      <c r="D4" s="17">
        <f>VLOOKUP(A4,[2]myPEPB!$B:$D,3,FALSE)</f>
        <v>40.930499984741189</v>
      </c>
      <c r="E4" s="17">
        <f>VLOOKUP(A4,[1]HwabaoWP_szse_innovation_100!$A:$F,6)</f>
        <v>9153472</v>
      </c>
      <c r="F4" s="17">
        <f>VLOOKUP(A4,[1]HwabaoWP_szse_innovation_100!$A:$I,9)</f>
        <v>34298297.880000003</v>
      </c>
      <c r="G4" s="17">
        <f>IF(C4&lt;D4,$G$2*(D4-C4)^2*E4/F4,-$G$2*(D4-C4)^2*E4/F4)</f>
        <v>1055.2231074875715</v>
      </c>
      <c r="H4" s="18">
        <f t="shared" si="0"/>
        <v>1048.929530305737</v>
      </c>
      <c r="I4" s="18">
        <f t="shared" ref="I4:I63" si="4">I3+H4</f>
        <v>1048.929530305737</v>
      </c>
      <c r="J4" s="18">
        <f t="shared" si="1"/>
        <v>1055.2231074875715</v>
      </c>
      <c r="K4" s="18">
        <f t="shared" ref="K4:K63" si="5">IF(G4&gt;0,K3+G4,K3)</f>
        <v>1055.2231074875715</v>
      </c>
      <c r="L4" s="18">
        <f t="shared" si="2"/>
        <v>1055.2231074875715</v>
      </c>
      <c r="M4" s="18">
        <f t="shared" si="3"/>
        <v>0</v>
      </c>
      <c r="N4" s="17">
        <f t="shared" ref="N4:N63" si="6">IF(G4&lt;0,N3-G4,N3)</f>
        <v>0</v>
      </c>
      <c r="O4" s="7"/>
      <c r="S4" s="42">
        <v>44561</v>
      </c>
      <c r="T4" s="10">
        <f>U4</f>
        <v>50321.457799113727</v>
      </c>
      <c r="U4" s="4">
        <f>VLOOKUP(S4,A:K,11,)</f>
        <v>50321.457799113727</v>
      </c>
      <c r="V4" s="4">
        <f>VLOOKUP(S4,A:L,12,)</f>
        <v>50700.723204851936</v>
      </c>
      <c r="W4" s="4">
        <f>VLOOKUP(S4,A:M,13,)</f>
        <v>379.26540573820967</v>
      </c>
      <c r="X4" s="4">
        <f>VLOOKUP(S4,A:N,14,)</f>
        <v>0</v>
      </c>
      <c r="Y4" s="9">
        <f t="shared" ref="Y4" si="7">(V4-U4)/U4</f>
        <v>7.5368525143341414E-3</v>
      </c>
      <c r="Z4" s="9">
        <f>Y4</f>
        <v>7.5368525143341414E-3</v>
      </c>
      <c r="AB4" s="42">
        <v>44925</v>
      </c>
      <c r="AC4" s="7">
        <v>1176285.4859441661</v>
      </c>
      <c r="AD4" s="7">
        <f>-AC4</f>
        <v>-1176285.4859441661</v>
      </c>
      <c r="AE4" s="42">
        <v>44925</v>
      </c>
      <c r="AF4" s="7">
        <v>1176285.4650423238</v>
      </c>
      <c r="AG4" s="7">
        <f>-AF4</f>
        <v>-1176285.4650423238</v>
      </c>
      <c r="AH4" s="42">
        <v>44925</v>
      </c>
      <c r="AI4" s="7">
        <v>1176285.4650423238</v>
      </c>
      <c r="AJ4" s="7">
        <f>-AI4</f>
        <v>-1176285.4650423238</v>
      </c>
    </row>
    <row r="5" spans="1:36" ht="14.1" customHeight="1" x14ac:dyDescent="0.2">
      <c r="A5" s="15">
        <v>44439</v>
      </c>
      <c r="B5" s="31">
        <f>VLOOKUP(A5,[1]HwabaoWP_szse_innovation_100!$A:$E,5)</f>
        <v>0.96599999999999997</v>
      </c>
      <c r="C5" s="16">
        <f>VLOOKUP(A5,[2]myPEPB!$B:$C,2,FALSE)</f>
        <v>38.069999694824219</v>
      </c>
      <c r="D5" s="17">
        <f>VLOOKUP(A5,[2]myPEPB!$B:$D,3,FALSE)</f>
        <v>40.654705834482208</v>
      </c>
      <c r="E5" s="17">
        <f>VLOOKUP(A5,[1]HwabaoWP_szse_innovation_100!$A:$F,6)</f>
        <v>4459339</v>
      </c>
      <c r="F5" s="17">
        <f>VLOOKUP(A5,[1]HwabaoWP_szse_innovation_100!$A:$I,9)</f>
        <v>21490456.638297871</v>
      </c>
      <c r="G5" s="17">
        <f t="shared" ref="G5:G63" si="8">IF(C5&lt;D5,$G$2*(D5-C5)^2*E5/F5,-$G$2*(D5-C5)^2*E5/F5)</f>
        <v>5475.7585457760078</v>
      </c>
      <c r="H5" s="18">
        <f t="shared" si="0"/>
        <v>5668.4871074285793</v>
      </c>
      <c r="I5" s="18">
        <f t="shared" si="4"/>
        <v>6717.4166377343163</v>
      </c>
      <c r="J5" s="18">
        <f t="shared" si="1"/>
        <v>6489.0244720513492</v>
      </c>
      <c r="K5" s="18">
        <f t="shared" si="5"/>
        <v>6530.9816532635796</v>
      </c>
      <c r="L5" s="18">
        <f t="shared" si="2"/>
        <v>6489.0244720513492</v>
      </c>
      <c r="M5" s="18">
        <f t="shared" si="3"/>
        <v>-41.957181212230353</v>
      </c>
      <c r="N5" s="17">
        <f t="shared" si="6"/>
        <v>0</v>
      </c>
      <c r="O5" s="7"/>
      <c r="S5" s="42">
        <v>44925</v>
      </c>
      <c r="T5" s="10">
        <f>U5-U4</f>
        <v>1176285.4650423238</v>
      </c>
      <c r="U5" s="4">
        <f>VLOOKUP(S5,A:K,11,)</f>
        <v>1226606.9228414376</v>
      </c>
      <c r="V5" s="4">
        <f>VLOOKUP(S5,A:L,12,)</f>
        <v>1196905.1465873122</v>
      </c>
      <c r="W5" s="4">
        <f>VLOOKUP(S5,A:M,13,)</f>
        <v>-29701.776254125405</v>
      </c>
      <c r="X5" s="4">
        <f>VLOOKUP(S5,A:N,14,)</f>
        <v>0</v>
      </c>
      <c r="Y5" s="9">
        <f t="shared" ref="Y5:Y7" si="9">(V5-U5)/U5</f>
        <v>-2.4214583907060605E-2</v>
      </c>
      <c r="Z5" s="9">
        <f>AD6</f>
        <v>-2.3281693018024185E-2</v>
      </c>
      <c r="AB5" s="42">
        <v>44925</v>
      </c>
      <c r="AC5" s="7"/>
      <c r="AD5" s="7">
        <v>1196905.1748881412</v>
      </c>
      <c r="AE5" s="42">
        <v>45289</v>
      </c>
      <c r="AF5" s="7">
        <v>2010570.7877592836</v>
      </c>
      <c r="AG5" s="7">
        <f>-AF5</f>
        <v>-2010570.7877592836</v>
      </c>
      <c r="AH5" s="42">
        <v>45289</v>
      </c>
      <c r="AI5" s="7">
        <v>2010570.7877592836</v>
      </c>
      <c r="AJ5" s="7">
        <f>-AI5</f>
        <v>-2010570.7877592836</v>
      </c>
    </row>
    <row r="6" spans="1:36" ht="14.1" customHeight="1" x14ac:dyDescent="0.2">
      <c r="A6" s="15">
        <v>44469</v>
      </c>
      <c r="B6" s="31">
        <f>VLOOKUP(A6,[1]HwabaoWP_szse_innovation_100!$A:$E,5)</f>
        <v>0.96099999999999997</v>
      </c>
      <c r="C6" s="16">
        <f>VLOOKUP(A6,[2]myPEPB!$B:$C,2,FALSE)</f>
        <v>35.020000457763672</v>
      </c>
      <c r="D6" s="17">
        <f>VLOOKUP(A6,[2]myPEPB!$B:$D,3,FALSE)</f>
        <v>39.730819672131133</v>
      </c>
      <c r="E6" s="17">
        <f>VLOOKUP(A6,[1]HwabaoWP_szse_innovation_100!$A:$F,6)</f>
        <v>2614711</v>
      </c>
      <c r="F6" s="17">
        <f>VLOOKUP(A6,[1]HwabaoWP_szse_innovation_100!$A:$I,9)</f>
        <v>16286261.656716418</v>
      </c>
      <c r="G6" s="17">
        <f t="shared" si="8"/>
        <v>14073.180477764858</v>
      </c>
      <c r="H6" s="18">
        <f t="shared" si="0"/>
        <v>14644.308509640852</v>
      </c>
      <c r="I6" s="18">
        <f t="shared" si="4"/>
        <v>21361.725147375168</v>
      </c>
      <c r="J6" s="18">
        <f t="shared" si="1"/>
        <v>20528.617866627534</v>
      </c>
      <c r="K6" s="18">
        <f t="shared" si="5"/>
        <v>20604.162131028439</v>
      </c>
      <c r="L6" s="18">
        <f t="shared" si="2"/>
        <v>20528.617866627534</v>
      </c>
      <c r="M6" s="18">
        <f t="shared" si="3"/>
        <v>-75.544264400905377</v>
      </c>
      <c r="N6" s="17">
        <f t="shared" si="6"/>
        <v>0</v>
      </c>
      <c r="O6" s="7"/>
      <c r="S6" s="42">
        <v>45289</v>
      </c>
      <c r="T6" s="10">
        <f>U6-U5</f>
        <v>2010570.7877592836</v>
      </c>
      <c r="U6" s="4">
        <f>VLOOKUP(S6,A:K,11,)</f>
        <v>3237177.7106007212</v>
      </c>
      <c r="V6" s="4">
        <f>VLOOKUP(S6,A:L,12,)</f>
        <v>2964830.4750532256</v>
      </c>
      <c r="W6" s="4">
        <f>VLOOKUP(S6,A:M,13,)</f>
        <v>-272347.23554749554</v>
      </c>
      <c r="X6" s="4">
        <f>VLOOKUP(S6,A:N,14,)</f>
        <v>0</v>
      </c>
      <c r="Y6" s="9">
        <f t="shared" si="9"/>
        <v>-8.4131073390146444E-2</v>
      </c>
      <c r="Z6" s="9">
        <v>-6.1439790124808824E-2</v>
      </c>
      <c r="AB6" s="7"/>
      <c r="AC6" s="7"/>
      <c r="AD6" s="8">
        <f>IRR(AD3:AD5)</f>
        <v>-2.3281693018024185E-2</v>
      </c>
      <c r="AE6" s="42">
        <v>45289</v>
      </c>
      <c r="AF6" s="7"/>
      <c r="AG6" s="8">
        <v>2964830.4750532256</v>
      </c>
      <c r="AH6" s="42">
        <v>45657</v>
      </c>
      <c r="AI6" s="1">
        <v>5023476.263881946</v>
      </c>
      <c r="AJ6" s="1">
        <f>-AI6</f>
        <v>-5023476.263881946</v>
      </c>
    </row>
    <row r="7" spans="1:36" ht="14.1" customHeight="1" x14ac:dyDescent="0.2">
      <c r="A7" s="15">
        <v>44498</v>
      </c>
      <c r="B7" s="31">
        <f>VLOOKUP(A7,[1]HwabaoWP_szse_innovation_100!$A:$E,5)</f>
        <v>0.99299997091293335</v>
      </c>
      <c r="C7" s="16">
        <f>VLOOKUP(A7,[2]myPEPB!$B:$C,2,FALSE)</f>
        <v>36.299999237060547</v>
      </c>
      <c r="D7" s="17">
        <f>VLOOKUP(A7,[2]myPEPB!$B:$D,3,FALSE)</f>
        <v>39.253623134226025</v>
      </c>
      <c r="E7" s="17">
        <f>VLOOKUP(A7,[1]HwabaoWP_szse_innovation_100!$A:$F,6)</f>
        <v>3805620</v>
      </c>
      <c r="F7" s="17">
        <f>VLOOKUP(A7,[1]HwabaoWP_szse_innovation_100!$A:$I,9)</f>
        <v>13885339.653614458</v>
      </c>
      <c r="G7" s="17">
        <f t="shared" si="8"/>
        <v>9444.4439838695889</v>
      </c>
      <c r="H7" s="18">
        <f t="shared" si="0"/>
        <v>9511.0214103900325</v>
      </c>
      <c r="I7" s="18">
        <f t="shared" si="4"/>
        <v>30872.7465577652</v>
      </c>
      <c r="J7" s="18">
        <f t="shared" si="1"/>
        <v>30656.636433863208</v>
      </c>
      <c r="K7" s="18">
        <f t="shared" si="5"/>
        <v>30048.60611489803</v>
      </c>
      <c r="L7" s="18">
        <f t="shared" si="2"/>
        <v>30656.636433863208</v>
      </c>
      <c r="M7" s="18">
        <f t="shared" si="3"/>
        <v>608.03031896517859</v>
      </c>
      <c r="N7" s="17">
        <f t="shared" si="6"/>
        <v>0</v>
      </c>
      <c r="O7" s="7"/>
      <c r="S7" s="42">
        <v>45657</v>
      </c>
      <c r="T7" s="10">
        <f>U7-U6</f>
        <v>5023476.263881946</v>
      </c>
      <c r="U7" s="4">
        <f>VLOOKUP(S7,A:K,11,)</f>
        <v>8260653.9744826676</v>
      </c>
      <c r="V7" s="4">
        <f>VLOOKUP(S7,A:L,12,)</f>
        <v>10065800.366882509</v>
      </c>
      <c r="W7" s="4">
        <f>VLOOKUP(S7,A:M,13,)</f>
        <v>1805146.392399841</v>
      </c>
      <c r="X7" s="4">
        <f>VLOOKUP(S7,A:N,14,)</f>
        <v>0</v>
      </c>
      <c r="Y7" s="9">
        <f t="shared" si="9"/>
        <v>0.21852342417149731</v>
      </c>
      <c r="Z7" s="9">
        <v>0.13296659389418197</v>
      </c>
      <c r="AB7" s="7"/>
      <c r="AC7" s="7"/>
      <c r="AD7" s="7"/>
      <c r="AG7" s="2">
        <f>IRR(AG3:AG6)</f>
        <v>-6.1439790124808824E-2</v>
      </c>
      <c r="AH7" s="42">
        <v>45657</v>
      </c>
      <c r="AJ7" s="2">
        <v>10065800.366882509</v>
      </c>
    </row>
    <row r="8" spans="1:36" ht="14.1" customHeight="1" x14ac:dyDescent="0.2">
      <c r="A8" s="15">
        <v>44530</v>
      </c>
      <c r="B8" s="31">
        <f>VLOOKUP(A8,[1]HwabaoWP_szse_innovation_100!$A:$E,5)</f>
        <v>1.0110000371932983</v>
      </c>
      <c r="C8" s="16">
        <f>VLOOKUP(A8,[2]myPEPB!$B:$C,2,FALSE)</f>
        <v>35.450000762939453</v>
      </c>
      <c r="D8" s="17">
        <f>VLOOKUP(A8,[2]myPEPB!$B:$D,3,FALSE)</f>
        <v>38.695499993324269</v>
      </c>
      <c r="E8" s="17">
        <f>VLOOKUP(A8,[1]HwabaoWP_szse_innovation_100!$A:$F,6)</f>
        <v>3040778</v>
      </c>
      <c r="F8" s="17">
        <f>VLOOKUP(A8,[1]HwabaoWP_szse_innovation_100!$A:$I,9)</f>
        <v>12014868.042857142</v>
      </c>
      <c r="G8" s="17">
        <f t="shared" si="8"/>
        <v>10529.938281581366</v>
      </c>
      <c r="H8" s="18">
        <f t="shared" si="0"/>
        <v>10415.368836992528</v>
      </c>
      <c r="I8" s="18">
        <f t="shared" si="4"/>
        <v>41288.115394757726</v>
      </c>
      <c r="J8" s="18">
        <f t="shared" si="1"/>
        <v>41742.286199741255</v>
      </c>
      <c r="K8" s="18">
        <f t="shared" si="5"/>
        <v>40578.544396479396</v>
      </c>
      <c r="L8" s="18">
        <f t="shared" si="2"/>
        <v>41742.286199741255</v>
      </c>
      <c r="M8" s="18">
        <f t="shared" si="3"/>
        <v>1163.7418032618589</v>
      </c>
      <c r="N8" s="17">
        <f t="shared" si="6"/>
        <v>0</v>
      </c>
      <c r="O8" s="7"/>
      <c r="AJ8" s="2">
        <f>IRR(AJ3:AJ7)</f>
        <v>0.13296659389418197</v>
      </c>
    </row>
    <row r="9" spans="1:36" ht="14.1" customHeight="1" x14ac:dyDescent="0.2">
      <c r="A9" s="15">
        <v>44561</v>
      </c>
      <c r="B9" s="31">
        <f>VLOOKUP(A9,[1]HwabaoWP_szse_innovation_100!$A:$E,5)</f>
        <v>0.99199998378753662</v>
      </c>
      <c r="C9" s="16">
        <f>VLOOKUP(A9,[2]myPEPB!$B:$C,2,FALSE)</f>
        <v>34.630001068115234</v>
      </c>
      <c r="D9" s="17">
        <f>VLOOKUP(A9,[2]myPEPB!$B:$D,3,FALSE)</f>
        <v>38.2285792249669</v>
      </c>
      <c r="E9" s="17">
        <f>VLOOKUP(A9,[1]HwabaoWP_szse_innovation_100!$A:$F,6)</f>
        <v>1988017</v>
      </c>
      <c r="F9" s="17">
        <f>VLOOKUP(A9,[1]HwabaoWP_szse_innovation_100!$A:$I,9)</f>
        <v>10437349.492675781</v>
      </c>
      <c r="G9" s="17">
        <f t="shared" si="8"/>
        <v>9742.9134026343309</v>
      </c>
      <c r="H9" s="18">
        <f t="shared" si="0"/>
        <v>9821.4854454282304</v>
      </c>
      <c r="I9" s="18">
        <f t="shared" si="4"/>
        <v>51109.600840185958</v>
      </c>
      <c r="J9" s="18">
        <f t="shared" si="1"/>
        <v>50700.723204851936</v>
      </c>
      <c r="K9" s="18">
        <f t="shared" si="5"/>
        <v>50321.457799113727</v>
      </c>
      <c r="L9" s="18">
        <f t="shared" si="2"/>
        <v>50700.723204851936</v>
      </c>
      <c r="M9" s="18">
        <f t="shared" si="3"/>
        <v>379.26540573820967</v>
      </c>
      <c r="N9" s="17">
        <f t="shared" si="6"/>
        <v>0</v>
      </c>
      <c r="O9" s="7"/>
      <c r="AB9" s="6"/>
      <c r="AC9" s="7"/>
      <c r="AD9" s="7"/>
    </row>
    <row r="10" spans="1:36" ht="14.1" customHeight="1" x14ac:dyDescent="0.2">
      <c r="A10" s="15">
        <v>44589</v>
      </c>
      <c r="B10" s="31">
        <f>VLOOKUP(A10,[1]HwabaoWP_szse_innovation_100!$A:$E,5)</f>
        <v>0.89099997282028198</v>
      </c>
      <c r="C10" s="16">
        <f>VLOOKUP(A10,[2]myPEPB!$B:$C,2,FALSE)</f>
        <v>31.020000457763672</v>
      </c>
      <c r="D10" s="17">
        <f>VLOOKUP(A10,[2]myPEPB!$B:$D,3,FALSE)</f>
        <v>37.709801948471814</v>
      </c>
      <c r="E10" s="17">
        <f>VLOOKUP(A10,[1]HwabaoWP_szse_innovation_100!$A:$F,6)</f>
        <v>2257005</v>
      </c>
      <c r="F10" s="17">
        <f>VLOOKUP(A10,[1]HwabaoWP_szse_innovation_100!$A:$I,9)</f>
        <v>9461572.5990646258</v>
      </c>
      <c r="G10" s="17">
        <f t="shared" si="8"/>
        <v>42168.946636160275</v>
      </c>
      <c r="H10" s="18">
        <f t="shared" si="0"/>
        <v>47327.66321269676</v>
      </c>
      <c r="I10" s="18">
        <f t="shared" si="4"/>
        <v>98437.264052882718</v>
      </c>
      <c r="J10" s="18">
        <f t="shared" si="1"/>
        <v>87707.599595621417</v>
      </c>
      <c r="K10" s="18">
        <f t="shared" si="5"/>
        <v>92490.404435274002</v>
      </c>
      <c r="L10" s="18">
        <f t="shared" si="2"/>
        <v>87707.599595621417</v>
      </c>
      <c r="M10" s="18">
        <f t="shared" si="3"/>
        <v>-4782.8048396525846</v>
      </c>
      <c r="N10" s="17">
        <f t="shared" si="6"/>
        <v>0</v>
      </c>
      <c r="O10" s="7"/>
      <c r="AB10" s="19"/>
      <c r="AC10" s="7"/>
      <c r="AD10" s="7"/>
    </row>
    <row r="11" spans="1:36" ht="14.1" customHeight="1" x14ac:dyDescent="0.2">
      <c r="A11" s="15">
        <v>44620</v>
      </c>
      <c r="B11" s="31">
        <f>VLOOKUP(A11,[1]HwabaoWP_szse_innovation_100!$A:$E,5)</f>
        <v>0.88200002908706665</v>
      </c>
      <c r="C11" s="16">
        <f>VLOOKUP(A11,[2]myPEPB!$B:$C,2,FALSE)</f>
        <v>30.969999313354492</v>
      </c>
      <c r="D11" s="17">
        <f>VLOOKUP(A11,[2]myPEPB!$B:$D,3,FALSE)</f>
        <v>37.189128403969853</v>
      </c>
      <c r="E11" s="17">
        <f>VLOOKUP(A11,[1]HwabaoWP_szse_innovation_100!$A:$F,6)</f>
        <v>906904</v>
      </c>
      <c r="F11" s="17">
        <f>VLOOKUP(A11,[1]HwabaoWP_szse_innovation_100!$A:$I,9)</f>
        <v>8699501.0544478521</v>
      </c>
      <c r="G11" s="17">
        <f t="shared" si="8"/>
        <v>15926.605071131393</v>
      </c>
      <c r="H11" s="18">
        <f t="shared" si="0"/>
        <v>18057.374768588808</v>
      </c>
      <c r="I11" s="18">
        <f t="shared" si="4"/>
        <v>116494.63882147153</v>
      </c>
      <c r="J11" s="18">
        <f t="shared" si="1"/>
        <v>102748.27482902521</v>
      </c>
      <c r="K11" s="18">
        <f t="shared" si="5"/>
        <v>108417.00950640539</v>
      </c>
      <c r="L11" s="18">
        <f t="shared" si="2"/>
        <v>102748.27482902521</v>
      </c>
      <c r="M11" s="18">
        <f t="shared" si="3"/>
        <v>-5668.7346773801837</v>
      </c>
      <c r="N11" s="17">
        <f t="shared" si="6"/>
        <v>0</v>
      </c>
      <c r="O11" s="7"/>
      <c r="AB11" s="19"/>
      <c r="AC11" s="7"/>
      <c r="AD11" s="7"/>
    </row>
    <row r="12" spans="1:36" ht="14.1" customHeight="1" x14ac:dyDescent="0.2">
      <c r="A12" s="15">
        <v>44651</v>
      </c>
      <c r="B12" s="31">
        <f>VLOOKUP(A12,[1]HwabaoWP_szse_innovation_100!$A:$E,5)</f>
        <v>0.79199999570846558</v>
      </c>
      <c r="C12" s="16">
        <f>VLOOKUP(A12,[2]myPEPB!$B:$C,2,FALSE)</f>
        <v>27.639999389648438</v>
      </c>
      <c r="D12" s="17">
        <f>VLOOKUP(A12,[2]myPEPB!$B:$D,3,FALSE)</f>
        <v>36.340041473831867</v>
      </c>
      <c r="E12" s="17">
        <f>VLOOKUP(A12,[1]HwabaoWP_szse_innovation_100!$A:$F,6)</f>
        <v>1401901</v>
      </c>
      <c r="F12" s="17">
        <f>VLOOKUP(A12,[1]HwabaoWP_szse_innovation_100!$A:$I,9)</f>
        <v>7836928.591733871</v>
      </c>
      <c r="G12" s="17">
        <f t="shared" si="8"/>
        <v>53482.445635684089</v>
      </c>
      <c r="H12" s="18">
        <f t="shared" si="0"/>
        <v>67528.340815005417</v>
      </c>
      <c r="I12" s="18">
        <f t="shared" si="4"/>
        <v>184022.97963647696</v>
      </c>
      <c r="J12" s="18">
        <f t="shared" si="1"/>
        <v>145746.19908234879</v>
      </c>
      <c r="K12" s="18">
        <f t="shared" si="5"/>
        <v>161899.45514208949</v>
      </c>
      <c r="L12" s="18">
        <f t="shared" si="2"/>
        <v>145746.19908234879</v>
      </c>
      <c r="M12" s="18">
        <f t="shared" si="3"/>
        <v>-16153.256059740699</v>
      </c>
      <c r="N12" s="17">
        <f t="shared" si="6"/>
        <v>0</v>
      </c>
      <c r="O12" s="7"/>
      <c r="AB12" s="19"/>
    </row>
    <row r="13" spans="1:36" ht="14.1" customHeight="1" x14ac:dyDescent="0.2">
      <c r="A13" s="15">
        <v>44680</v>
      </c>
      <c r="B13" s="31">
        <f>VLOOKUP(A13,[1]HwabaoWP_szse_innovation_100!$A:$E,5)</f>
        <v>0.71899998188018799</v>
      </c>
      <c r="C13" s="16">
        <f>VLOOKUP(A13,[2]myPEPB!$B:$C,2,FALSE)</f>
        <v>25.129999160766602</v>
      </c>
      <c r="D13" s="17">
        <f>VLOOKUP(A13,[2]myPEPB!$B:$D,3,FALSE)</f>
        <v>35.566115372584406</v>
      </c>
      <c r="E13" s="17">
        <f>VLOOKUP(A13,[1]HwabaoWP_szse_innovation_100!$A:$F,6)</f>
        <v>2631500</v>
      </c>
      <c r="F13" s="17">
        <f>VLOOKUP(A13,[1]HwabaoWP_szse_innovation_100!$A:$I,9)</f>
        <v>7310293.186280488</v>
      </c>
      <c r="G13" s="17">
        <f t="shared" si="8"/>
        <v>154861.50942852328</v>
      </c>
      <c r="H13" s="18">
        <f t="shared" si="0"/>
        <v>215384.58043289484</v>
      </c>
      <c r="I13" s="18">
        <f t="shared" si="4"/>
        <v>399407.56006937183</v>
      </c>
      <c r="J13" s="18">
        <f t="shared" si="1"/>
        <v>287174.02845268842</v>
      </c>
      <c r="K13" s="18">
        <f t="shared" si="5"/>
        <v>316760.96457061276</v>
      </c>
      <c r="L13" s="18">
        <f t="shared" si="2"/>
        <v>287174.02845268842</v>
      </c>
      <c r="M13" s="18">
        <f t="shared" si="3"/>
        <v>-29586.936117924342</v>
      </c>
      <c r="N13" s="17">
        <f t="shared" si="6"/>
        <v>0</v>
      </c>
      <c r="O13" s="7"/>
      <c r="AD13" s="2"/>
    </row>
    <row r="14" spans="1:36" ht="14.1" customHeight="1" x14ac:dyDescent="0.2">
      <c r="A14" s="15">
        <v>44712</v>
      </c>
      <c r="B14" s="31">
        <f>VLOOKUP(A14,[1]HwabaoWP_szse_innovation_100!$A:$E,5)</f>
        <v>0.74699997901916504</v>
      </c>
      <c r="C14" s="16">
        <f>VLOOKUP(A14,[2]myPEPB!$B:$C,2,FALSE)</f>
        <v>24.129999160766602</v>
      </c>
      <c r="D14" s="17">
        <f>VLOOKUP(A14,[2]myPEPB!$B:$D,3,FALSE)</f>
        <v>34.740071662711408</v>
      </c>
      <c r="E14" s="17">
        <f>VLOOKUP(A14,[1]HwabaoWP_szse_innovation_100!$A:$F,6)</f>
        <v>1147010</v>
      </c>
      <c r="F14" s="17">
        <f>VLOOKUP(A14,[1]HwabaoWP_szse_innovation_100!$A:$I,9)</f>
        <v>6847440.4204799104</v>
      </c>
      <c r="G14" s="17">
        <f t="shared" si="8"/>
        <v>74485.672104213299</v>
      </c>
      <c r="H14" s="18">
        <f t="shared" si="0"/>
        <v>99713.084600103175</v>
      </c>
      <c r="I14" s="18">
        <f t="shared" si="4"/>
        <v>499120.64466947503</v>
      </c>
      <c r="J14" s="18">
        <f t="shared" si="1"/>
        <v>372843.11109612999</v>
      </c>
      <c r="K14" s="18">
        <f t="shared" si="5"/>
        <v>391246.63667482603</v>
      </c>
      <c r="L14" s="18">
        <f t="shared" si="2"/>
        <v>372843.11109612999</v>
      </c>
      <c r="M14" s="18">
        <f t="shared" si="3"/>
        <v>-18403.525578696048</v>
      </c>
      <c r="N14" s="17">
        <f t="shared" si="6"/>
        <v>0</v>
      </c>
      <c r="O14" s="7"/>
    </row>
    <row r="15" spans="1:36" ht="14.1" customHeight="1" x14ac:dyDescent="0.2">
      <c r="A15" s="15">
        <v>44742</v>
      </c>
      <c r="B15" s="31">
        <f>VLOOKUP(A15,[1]HwabaoWP_szse_innovation_100!$A:$E,5)</f>
        <v>0.84500002861022949</v>
      </c>
      <c r="C15" s="16">
        <f>VLOOKUP(A15,[2]myPEPB!$B:$C,2,FALSE)</f>
        <v>27.809999465942383</v>
      </c>
      <c r="D15" s="17">
        <f>VLOOKUP(A15,[2]myPEPB!$B:$D,3,FALSE)</f>
        <v>34.118899975077305</v>
      </c>
      <c r="E15" s="17">
        <f>VLOOKUP(A15,[1]HwabaoWP_szse_innovation_100!$A:$F,6)</f>
        <v>2764909</v>
      </c>
      <c r="F15" s="17">
        <f>VLOOKUP(A15,[1]HwabaoWP_szse_innovation_100!$A:$I,9)</f>
        <v>6486059.213010204</v>
      </c>
      <c r="G15" s="17">
        <f t="shared" si="8"/>
        <v>67019.994211272453</v>
      </c>
      <c r="H15" s="18">
        <f t="shared" si="0"/>
        <v>79313.599931470002</v>
      </c>
      <c r="I15" s="18">
        <f t="shared" si="4"/>
        <v>578434.24460094504</v>
      </c>
      <c r="J15" s="18">
        <f t="shared" si="1"/>
        <v>488776.95323693502</v>
      </c>
      <c r="K15" s="18">
        <f t="shared" si="5"/>
        <v>458266.63088609849</v>
      </c>
      <c r="L15" s="18">
        <f t="shared" si="2"/>
        <v>488776.95323693502</v>
      </c>
      <c r="M15" s="18">
        <f t="shared" si="3"/>
        <v>30510.322350836534</v>
      </c>
      <c r="N15" s="17">
        <f t="shared" si="6"/>
        <v>0</v>
      </c>
      <c r="O15" s="7"/>
    </row>
    <row r="16" spans="1:36" ht="14.1" customHeight="1" x14ac:dyDescent="0.2">
      <c r="A16" s="15">
        <v>44771</v>
      </c>
      <c r="B16" s="31">
        <f>VLOOKUP(A16,[1]HwabaoWP_szse_innovation_100!$A:$E,5)</f>
        <v>0.80099999904632568</v>
      </c>
      <c r="C16" s="16">
        <f>VLOOKUP(A16,[2]myPEPB!$B:$C,2,FALSE)</f>
        <v>26.329999923706055</v>
      </c>
      <c r="D16" s="17">
        <f>VLOOKUP(A16,[2]myPEPB!$B:$D,3,FALSE)</f>
        <v>33.665700900829464</v>
      </c>
      <c r="E16" s="17">
        <f>VLOOKUP(A16,[1]HwabaoWP_szse_innovation_100!$A:$F,6)</f>
        <v>2184000</v>
      </c>
      <c r="F16" s="17">
        <f>VLOOKUP(A16,[1]HwabaoWP_szse_innovation_100!$A:$I,9)</f>
        <v>6139372.2173402254</v>
      </c>
      <c r="G16" s="17">
        <f t="shared" si="8"/>
        <v>75615.182579574277</v>
      </c>
      <c r="H16" s="18">
        <f t="shared" si="0"/>
        <v>94400.977115608068</v>
      </c>
      <c r="I16" s="18">
        <f t="shared" si="4"/>
        <v>672835.22171655309</v>
      </c>
      <c r="J16" s="18">
        <f t="shared" si="1"/>
        <v>538941.01195329335</v>
      </c>
      <c r="K16" s="18">
        <f t="shared" si="5"/>
        <v>533881.81346567278</v>
      </c>
      <c r="L16" s="18">
        <f t="shared" si="2"/>
        <v>538941.01195329335</v>
      </c>
      <c r="M16" s="18">
        <f t="shared" si="3"/>
        <v>5059.1984876205679</v>
      </c>
      <c r="N16" s="17">
        <f t="shared" si="6"/>
        <v>0</v>
      </c>
      <c r="O16" s="7"/>
    </row>
    <row r="17" spans="1:15" ht="14.1" customHeight="1" x14ac:dyDescent="0.2">
      <c r="A17" s="15">
        <v>44804</v>
      </c>
      <c r="B17" s="31">
        <f>VLOOKUP(A17,[1]HwabaoWP_szse_innovation_100!$A:$E,5)</f>
        <v>0.76499998569488525</v>
      </c>
      <c r="C17" s="16">
        <f>VLOOKUP(A17,[2]myPEPB!$B:$C,2,FALSE)</f>
        <v>25.180000305175781</v>
      </c>
      <c r="D17" s="17">
        <f>VLOOKUP(A17,[2]myPEPB!$B:$D,3,FALSE)</f>
        <v>33.177209276154976</v>
      </c>
      <c r="E17" s="17">
        <f>VLOOKUP(A17,[1]HwabaoWP_szse_innovation_100!$A:$F,6)</f>
        <v>719700</v>
      </c>
      <c r="F17" s="17">
        <f>VLOOKUP(A17,[1]HwabaoWP_szse_innovation_100!$A:$I,9)</f>
        <v>5816280.4526384082</v>
      </c>
      <c r="G17" s="17">
        <f t="shared" si="8"/>
        <v>31259.364736436506</v>
      </c>
      <c r="H17" s="18">
        <f t="shared" si="0"/>
        <v>40861.915452249537</v>
      </c>
      <c r="I17" s="18">
        <f t="shared" si="4"/>
        <v>713697.13716880267</v>
      </c>
      <c r="J17" s="18">
        <f t="shared" si="1"/>
        <v>545978.2997246146</v>
      </c>
      <c r="K17" s="18">
        <f t="shared" si="5"/>
        <v>565141.17820210929</v>
      </c>
      <c r="L17" s="18">
        <f t="shared" si="2"/>
        <v>545978.2997246146</v>
      </c>
      <c r="M17" s="18">
        <f t="shared" si="3"/>
        <v>-19162.878477494698</v>
      </c>
      <c r="N17" s="17">
        <f t="shared" si="6"/>
        <v>0</v>
      </c>
      <c r="O17" s="7"/>
    </row>
    <row r="18" spans="1:15" ht="14.1" customHeight="1" x14ac:dyDescent="0.2">
      <c r="A18" s="15">
        <v>44834</v>
      </c>
      <c r="B18" s="31">
        <f>VLOOKUP(A18,[1]HwabaoWP_szse_innovation_100!$A:$E,5)</f>
        <v>0.69599997997283936</v>
      </c>
      <c r="C18" s="16">
        <f>VLOOKUP(A18,[2]myPEPB!$B:$C,2,FALSE)</f>
        <v>22.610000610351563</v>
      </c>
      <c r="D18" s="17">
        <f>VLOOKUP(A18,[2]myPEPB!$B:$D,3,FALSE)</f>
        <v>32.639682721540886</v>
      </c>
      <c r="E18" s="17">
        <f>VLOOKUP(A18,[1]HwabaoWP_szse_innovation_100!$A:$F,6)</f>
        <v>2128200</v>
      </c>
      <c r="F18" s="17">
        <f>VLOOKUP(A18,[1]HwabaoWP_szse_innovation_100!$A:$I,9)</f>
        <v>5555987.6610887097</v>
      </c>
      <c r="G18" s="17">
        <f t="shared" si="8"/>
        <v>152202.78479714369</v>
      </c>
      <c r="H18" s="18">
        <f t="shared" si="0"/>
        <v>218682.16835736579</v>
      </c>
      <c r="I18" s="18">
        <f t="shared" si="4"/>
        <v>932379.30552616843</v>
      </c>
      <c r="J18" s="18">
        <f t="shared" si="1"/>
        <v>648935.97797330306</v>
      </c>
      <c r="K18" s="18">
        <f t="shared" si="5"/>
        <v>717343.96299925295</v>
      </c>
      <c r="L18" s="18">
        <f t="shared" si="2"/>
        <v>648935.97797330306</v>
      </c>
      <c r="M18" s="18">
        <f t="shared" si="3"/>
        <v>-68407.985025949893</v>
      </c>
      <c r="N18" s="17">
        <f t="shared" si="6"/>
        <v>0</v>
      </c>
      <c r="O18" s="7"/>
    </row>
    <row r="19" spans="1:15" ht="12.75" x14ac:dyDescent="0.2">
      <c r="A19" s="15">
        <v>44865</v>
      </c>
      <c r="B19" s="31">
        <f>VLOOKUP(A19,[1]HwabaoWP_szse_innovation_100!$A:$E,5)</f>
        <v>0.68699997663497925</v>
      </c>
      <c r="C19" s="16">
        <f>VLOOKUP(A19,[2]myPEPB!$B:$C,2,FALSE)</f>
        <v>22.239999771118164</v>
      </c>
      <c r="D19" s="17">
        <f>VLOOKUP(A19,[2]myPEPB!$B:$D,3,FALSE)</f>
        <v>32.234052997346801</v>
      </c>
      <c r="E19" s="17">
        <f>VLOOKUP(A19,[1]HwabaoWP_szse_innovation_100!$A:$F,6)</f>
        <v>3400007.75</v>
      </c>
      <c r="F19" s="17">
        <f>VLOOKUP(A19,[1]HwabaoWP_szse_innovation_100!$A:$I,9)</f>
        <v>5444602.8119248468</v>
      </c>
      <c r="G19" s="17">
        <f t="shared" si="8"/>
        <v>246373.56946907562</v>
      </c>
      <c r="H19" s="18">
        <f t="shared" si="0"/>
        <v>358622.38405865367</v>
      </c>
      <c r="I19" s="18">
        <f t="shared" si="4"/>
        <v>1291001.6895848222</v>
      </c>
      <c r="J19" s="18">
        <f t="shared" si="1"/>
        <v>886918.1305804915</v>
      </c>
      <c r="K19" s="18">
        <f t="shared" si="5"/>
        <v>963717.5324683286</v>
      </c>
      <c r="L19" s="18">
        <f t="shared" si="2"/>
        <v>886918.1305804915</v>
      </c>
      <c r="M19" s="18">
        <f t="shared" si="3"/>
        <v>-76799.401887837099</v>
      </c>
      <c r="N19" s="17">
        <f t="shared" si="6"/>
        <v>0</v>
      </c>
    </row>
    <row r="20" spans="1:15" ht="12.75" x14ac:dyDescent="0.2">
      <c r="A20" s="15">
        <v>44895</v>
      </c>
      <c r="B20" s="31">
        <f>VLOOKUP(A20,[1]HwabaoWP_szse_innovation_100!$A:$E,5)</f>
        <v>0.72000002861022949</v>
      </c>
      <c r="C20" s="16">
        <f>VLOOKUP(A20,[2]myPEPB!$B:$C,2,FALSE)</f>
        <v>22.809999465942383</v>
      </c>
      <c r="D20" s="17">
        <f>VLOOKUP(A20,[2]myPEPB!$B:$D,3,FALSE)</f>
        <v>31.717553840474388</v>
      </c>
      <c r="E20" s="17">
        <f>VLOOKUP(A20,[1]HwabaoWP_szse_innovation_100!$A:$F,6)</f>
        <v>2516800</v>
      </c>
      <c r="F20" s="17">
        <f>VLOOKUP(A20,[1]HwabaoWP_szse_innovation_100!$A:$I,9)</f>
        <v>5287757.6291307472</v>
      </c>
      <c r="G20" s="17">
        <f t="shared" si="8"/>
        <v>149173.34373737345</v>
      </c>
      <c r="H20" s="18">
        <f t="shared" si="0"/>
        <v>207185.19140244107</v>
      </c>
      <c r="I20" s="18">
        <f t="shared" si="4"/>
        <v>1498186.8809872633</v>
      </c>
      <c r="J20" s="18">
        <f t="shared" si="1"/>
        <v>1078694.5971743001</v>
      </c>
      <c r="K20" s="18">
        <f t="shared" si="5"/>
        <v>1112890.8762057021</v>
      </c>
      <c r="L20" s="18">
        <f t="shared" si="2"/>
        <v>1078694.5971743001</v>
      </c>
      <c r="M20" s="18">
        <f t="shared" si="3"/>
        <v>-34196.279031401966</v>
      </c>
      <c r="N20" s="17">
        <f t="shared" si="6"/>
        <v>0</v>
      </c>
    </row>
    <row r="21" spans="1:15" ht="12.75" x14ac:dyDescent="0.2">
      <c r="A21" s="15">
        <v>44925</v>
      </c>
      <c r="B21" s="31">
        <f>VLOOKUP(A21,[1]HwabaoWP_szse_innovation_100!$A:$E,5)</f>
        <v>0.72299998998641968</v>
      </c>
      <c r="C21" s="16">
        <f>VLOOKUP(A21,[2]myPEPB!$B:$C,2,FALSE)</f>
        <v>22.739999771118164</v>
      </c>
      <c r="D21" s="17">
        <f>VLOOKUP(A21,[2]myPEPB!$B:$D,3,FALSE)</f>
        <v>31.2721039929989</v>
      </c>
      <c r="E21" s="17">
        <f>VLOOKUP(A21,[1]HwabaoWP_szse_innovation_100!$A:$F,6)</f>
        <v>2041800</v>
      </c>
      <c r="F21" s="17">
        <f>VLOOKUP(A21,[1]HwabaoWP_szse_innovation_100!$A:$I,9)</f>
        <v>5162984.7923986483</v>
      </c>
      <c r="G21" s="17">
        <f t="shared" si="8"/>
        <v>113716.04663573549</v>
      </c>
      <c r="H21" s="18">
        <f t="shared" si="0"/>
        <v>157283.60748368953</v>
      </c>
      <c r="I21" s="18">
        <f t="shared" si="4"/>
        <v>1655470.4884709527</v>
      </c>
      <c r="J21" s="18">
        <f t="shared" si="1"/>
        <v>1196905.1465873122</v>
      </c>
      <c r="K21" s="18">
        <f t="shared" si="5"/>
        <v>1226606.9228414376</v>
      </c>
      <c r="L21" s="18">
        <f t="shared" si="2"/>
        <v>1196905.1465873122</v>
      </c>
      <c r="M21" s="18">
        <f t="shared" si="3"/>
        <v>-29701.776254125405</v>
      </c>
      <c r="N21" s="17">
        <f t="shared" si="6"/>
        <v>0</v>
      </c>
    </row>
    <row r="22" spans="1:15" ht="12.75" x14ac:dyDescent="0.2">
      <c r="A22" s="15">
        <v>44957</v>
      </c>
      <c r="B22" s="31">
        <f>VLOOKUP(A22,[1]HwabaoWP_szse_innovation_100!$A:$E,5)</f>
        <v>0.78899997472763062</v>
      </c>
      <c r="C22" s="16">
        <f>VLOOKUP(A22,[2]myPEPB!$B:$C,2,FALSE)</f>
        <v>24.899999618530273</v>
      </c>
      <c r="D22" s="17">
        <f>VLOOKUP(A22,[2]myPEPB!$B:$D,3,FALSE)</f>
        <v>31.009964169913562</v>
      </c>
      <c r="E22" s="17">
        <f>VLOOKUP(A22,[1]HwabaoWP_szse_innovation_100!$A:$F,6)</f>
        <v>2396100</v>
      </c>
      <c r="F22" s="17">
        <f>VLOOKUP(A22,[1]HwabaoWP_szse_innovation_100!$A:$I,9)</f>
        <v>5058906.2336463733</v>
      </c>
      <c r="G22" s="17">
        <f t="shared" si="8"/>
        <v>69842.98399688222</v>
      </c>
      <c r="H22" s="18">
        <f t="shared" si="0"/>
        <v>88520.895100145732</v>
      </c>
      <c r="I22" s="18">
        <f t="shared" si="4"/>
        <v>1743991.3835710986</v>
      </c>
      <c r="J22" s="18">
        <f t="shared" si="1"/>
        <v>1376009.1575628023</v>
      </c>
      <c r="K22" s="18">
        <f t="shared" si="5"/>
        <v>1296449.9068383197</v>
      </c>
      <c r="L22" s="18">
        <f t="shared" si="2"/>
        <v>1376009.1575628023</v>
      </c>
      <c r="M22" s="18">
        <f t="shared" si="3"/>
        <v>79559.250724482583</v>
      </c>
      <c r="N22" s="17">
        <f t="shared" si="6"/>
        <v>0</v>
      </c>
    </row>
    <row r="23" spans="1:15" ht="12.75" x14ac:dyDescent="0.2">
      <c r="A23" s="15">
        <v>44985</v>
      </c>
      <c r="B23" s="31">
        <f>VLOOKUP(A23,[1]HwabaoWP_szse_innovation_100!$A:$E,5)</f>
        <v>0.7630000114440918</v>
      </c>
      <c r="C23" s="16">
        <f>VLOOKUP(A23,[2]myPEPB!$B:$C,2,FALSE)</f>
        <v>23.979999542236328</v>
      </c>
      <c r="D23" s="17">
        <f>VLOOKUP(A23,[2]myPEPB!$B:$D,3,FALSE)</f>
        <v>30.72842559388133</v>
      </c>
      <c r="E23" s="17">
        <f>VLOOKUP(A23,[1]HwabaoWP_szse_innovation_100!$A:$F,6)</f>
        <v>699600</v>
      </c>
      <c r="F23" s="17">
        <f>VLOOKUP(A23,[1]HwabaoWP_szse_innovation_100!$A:$I,9)</f>
        <v>4885493.1924261088</v>
      </c>
      <c r="G23" s="17">
        <f t="shared" si="8"/>
        <v>25759.858350853305</v>
      </c>
      <c r="H23" s="18">
        <f t="shared" si="0"/>
        <v>33761.281735892655</v>
      </c>
      <c r="I23" s="18">
        <f t="shared" si="4"/>
        <v>1777752.6653069912</v>
      </c>
      <c r="J23" s="18">
        <f t="shared" si="1"/>
        <v>1356425.3039739989</v>
      </c>
      <c r="K23" s="18">
        <f t="shared" si="5"/>
        <v>1322209.7651891729</v>
      </c>
      <c r="L23" s="18">
        <f t="shared" si="2"/>
        <v>1356425.3039739989</v>
      </c>
      <c r="M23" s="18">
        <f t="shared" si="3"/>
        <v>34215.538784825942</v>
      </c>
      <c r="N23" s="17">
        <f t="shared" si="6"/>
        <v>0</v>
      </c>
    </row>
    <row r="24" spans="1:15" ht="12.75" x14ac:dyDescent="0.2">
      <c r="A24" s="15">
        <v>45016</v>
      </c>
      <c r="B24" s="31">
        <f>VLOOKUP(A24,[1]HwabaoWP_szse_innovation_100!$A:$E,5)</f>
        <v>0.77100002765655518</v>
      </c>
      <c r="C24" s="16">
        <f>VLOOKUP(A24,[2]myPEPB!$B:$C,2,FALSE)</f>
        <v>24.159999847412109</v>
      </c>
      <c r="D24" s="17">
        <f>VLOOKUP(A24,[2]myPEPB!$B:$D,3,FALSE)</f>
        <v>30.393087189136843</v>
      </c>
      <c r="E24" s="17">
        <f>VLOOKUP(A24,[1]HwabaoWP_szse_innovation_100!$A:$F,6)</f>
        <v>1673001</v>
      </c>
      <c r="F24" s="17">
        <f>VLOOKUP(A24,[1]HwabaoWP_szse_innovation_100!$A:$I,9)</f>
        <v>4738143.9705710951</v>
      </c>
      <c r="G24" s="17">
        <f t="shared" si="8"/>
        <v>54186.545956699294</v>
      </c>
      <c r="H24" s="18">
        <f t="shared" si="0"/>
        <v>70280.861236021767</v>
      </c>
      <c r="I24" s="18">
        <f t="shared" si="4"/>
        <v>1848033.5265430131</v>
      </c>
      <c r="J24" s="18">
        <f t="shared" si="1"/>
        <v>1424833.9000749043</v>
      </c>
      <c r="K24" s="18">
        <f t="shared" si="5"/>
        <v>1376396.3111458723</v>
      </c>
      <c r="L24" s="18">
        <f t="shared" si="2"/>
        <v>1424833.9000749043</v>
      </c>
      <c r="M24" s="18">
        <f t="shared" si="3"/>
        <v>48437.588929031976</v>
      </c>
      <c r="N24" s="17">
        <f t="shared" si="6"/>
        <v>0</v>
      </c>
    </row>
    <row r="25" spans="1:15" ht="12.75" x14ac:dyDescent="0.2">
      <c r="A25" s="15">
        <v>45044</v>
      </c>
      <c r="B25" s="31">
        <f>VLOOKUP(A25,[1]HwabaoWP_szse_innovation_100!$A:$E,5)</f>
        <v>0.75099998712539673</v>
      </c>
      <c r="C25" s="16">
        <f>VLOOKUP(A25,[2]myPEPB!$B:$C,2,FALSE)</f>
        <v>23.579999923706055</v>
      </c>
      <c r="D25" s="17">
        <f>VLOOKUP(A25,[2]myPEPB!$B:$D,3,FALSE)</f>
        <v>30.1543821056874</v>
      </c>
      <c r="E25" s="17">
        <f>VLOOKUP(A25,[1]HwabaoWP_szse_innovation_100!$A:$F,6)</f>
        <v>1925900</v>
      </c>
      <c r="F25" s="17">
        <f>VLOOKUP(A25,[1]HwabaoWP_szse_innovation_100!$A:$I,9)</f>
        <v>4625994.8803013396</v>
      </c>
      <c r="G25" s="17">
        <f t="shared" si="8"/>
        <v>71078.061486540464</v>
      </c>
      <c r="H25" s="18">
        <f t="shared" si="0"/>
        <v>94644.55753002876</v>
      </c>
      <c r="I25" s="18">
        <f t="shared" si="4"/>
        <v>1942678.0840730418</v>
      </c>
      <c r="J25" s="18">
        <f t="shared" si="1"/>
        <v>1458951.2161276448</v>
      </c>
      <c r="K25" s="18">
        <f t="shared" si="5"/>
        <v>1447474.3726324127</v>
      </c>
      <c r="L25" s="18">
        <f t="shared" si="2"/>
        <v>1458951.2161276448</v>
      </c>
      <c r="M25" s="18">
        <f t="shared" si="3"/>
        <v>11476.843495232053</v>
      </c>
      <c r="N25" s="17">
        <f t="shared" si="6"/>
        <v>0</v>
      </c>
    </row>
    <row r="26" spans="1:15" ht="12.75" x14ac:dyDescent="0.2">
      <c r="A26" s="15">
        <v>45077</v>
      </c>
      <c r="B26" s="31">
        <f>VLOOKUP(A26,[1]HwabaoWP_szse_innovation_100!$A:$E,5)</f>
        <v>0.72000002861022949</v>
      </c>
      <c r="C26" s="16">
        <f>VLOOKUP(A26,[2]myPEPB!$B:$C,2,FALSE)</f>
        <v>21.329999923706055</v>
      </c>
      <c r="D26" s="17">
        <f>VLOOKUP(A26,[2]myPEPB!$B:$D,3,FALSE)</f>
        <v>29.834329254302094</v>
      </c>
      <c r="E26" s="17">
        <f>VLOOKUP(A26,[1]HwabaoWP_szse_innovation_100!$A:$F,6)</f>
        <v>1602700</v>
      </c>
      <c r="F26" s="17">
        <f>VLOOKUP(A26,[1]HwabaoWP_szse_innovation_100!$A:$I,9)</f>
        <v>4484713.805488782</v>
      </c>
      <c r="G26" s="17">
        <f t="shared" si="8"/>
        <v>102092.71159164411</v>
      </c>
      <c r="H26" s="18">
        <f t="shared" si="0"/>
        <v>141795.42713172833</v>
      </c>
      <c r="I26" s="18">
        <f t="shared" si="4"/>
        <v>2084473.5112047701</v>
      </c>
      <c r="J26" s="18">
        <f t="shared" si="1"/>
        <v>1500820.9877046999</v>
      </c>
      <c r="K26" s="18">
        <f t="shared" si="5"/>
        <v>1549567.0842240569</v>
      </c>
      <c r="L26" s="18">
        <f t="shared" si="2"/>
        <v>1500820.9877046999</v>
      </c>
      <c r="M26" s="18">
        <f t="shared" si="3"/>
        <v>-48746.096519357059</v>
      </c>
      <c r="N26" s="17">
        <f t="shared" si="6"/>
        <v>0</v>
      </c>
    </row>
    <row r="27" spans="1:15" ht="12.75" x14ac:dyDescent="0.2">
      <c r="A27" s="15">
        <v>45107</v>
      </c>
      <c r="B27" s="31">
        <f>VLOOKUP(A27,[1]HwabaoWP_szse_innovation_100!$A:$E,5)</f>
        <v>0.75499999523162842</v>
      </c>
      <c r="C27" s="16">
        <f>VLOOKUP(A27,[2]myPEPB!$B:$C,2,FALSE)</f>
        <v>22.200000762939453</v>
      </c>
      <c r="D27" s="17">
        <f>VLOOKUP(A27,[2]myPEPB!$B:$D,3,FALSE)</f>
        <v>29.540486551111261</v>
      </c>
      <c r="E27" s="17">
        <f>VLOOKUP(A27,[1]HwabaoWP_szse_innovation_100!$A:$F,6)</f>
        <v>2280700</v>
      </c>
      <c r="F27" s="17">
        <f>VLOOKUP(A27,[1]HwabaoWP_szse_innovation_100!$A:$I,9)</f>
        <v>4412683.3111552252</v>
      </c>
      <c r="G27" s="17">
        <f t="shared" si="8"/>
        <v>110004.91818041205</v>
      </c>
      <c r="H27" s="18">
        <f t="shared" si="0"/>
        <v>145701.87930486456</v>
      </c>
      <c r="I27" s="18">
        <f t="shared" si="4"/>
        <v>2230175.3905096347</v>
      </c>
      <c r="J27" s="18">
        <f t="shared" si="1"/>
        <v>1683782.4092004693</v>
      </c>
      <c r="K27" s="18">
        <f t="shared" si="5"/>
        <v>1659572.0024044691</v>
      </c>
      <c r="L27" s="18">
        <f t="shared" si="2"/>
        <v>1683782.4092004693</v>
      </c>
      <c r="M27" s="18">
        <f t="shared" si="3"/>
        <v>24210.406796000199</v>
      </c>
      <c r="N27" s="17">
        <f t="shared" si="6"/>
        <v>0</v>
      </c>
    </row>
    <row r="28" spans="1:15" ht="12.75" x14ac:dyDescent="0.2">
      <c r="A28" s="15">
        <v>45138</v>
      </c>
      <c r="B28" s="31">
        <f>VLOOKUP(A28,[1]HwabaoWP_szse_innovation_100!$A:$E,5)</f>
        <v>0.76099997758865356</v>
      </c>
      <c r="C28" s="16">
        <f>VLOOKUP(A28,[2]myPEPB!$B:$C,2,FALSE)</f>
        <v>22.409999847412109</v>
      </c>
      <c r="D28" s="17">
        <f>VLOOKUP(A28,[2]myPEPB!$B:$D,3,FALSE)</f>
        <v>29.26302162741802</v>
      </c>
      <c r="E28" s="17">
        <f>VLOOKUP(A28,[1]HwabaoWP_szse_innovation_100!$A:$F,6)</f>
        <v>2111506</v>
      </c>
      <c r="F28" s="17">
        <f>VLOOKUP(A28,[1]HwabaoWP_szse_innovation_100!$A:$I,9)</f>
        <v>4325606.2786714146</v>
      </c>
      <c r="G28" s="17">
        <f t="shared" si="8"/>
        <v>90553.794350269542</v>
      </c>
      <c r="H28" s="18">
        <f t="shared" si="0"/>
        <v>118993.16296592186</v>
      </c>
      <c r="I28" s="18">
        <f t="shared" si="4"/>
        <v>2349168.5534755564</v>
      </c>
      <c r="J28" s="18">
        <f t="shared" si="1"/>
        <v>1787717.2165468682</v>
      </c>
      <c r="K28" s="18">
        <f t="shared" si="5"/>
        <v>1750125.7967547385</v>
      </c>
      <c r="L28" s="18">
        <f t="shared" si="2"/>
        <v>1787717.2165468682</v>
      </c>
      <c r="M28" s="18">
        <f t="shared" si="3"/>
        <v>37591.419792129658</v>
      </c>
      <c r="N28" s="17">
        <f t="shared" si="6"/>
        <v>0</v>
      </c>
    </row>
    <row r="29" spans="1:15" ht="12.75" x14ac:dyDescent="0.2">
      <c r="A29" s="15">
        <v>45169</v>
      </c>
      <c r="B29" s="31">
        <f>VLOOKUP(A29,[1]HwabaoWP_szse_innovation_100!$A:$E,5)</f>
        <v>0.71399998664855957</v>
      </c>
      <c r="C29" s="16">
        <f>VLOOKUP(A29,[2]myPEPB!$B:$C,2,FALSE)</f>
        <v>20.899999618530273</v>
      </c>
      <c r="D29" s="17">
        <f>VLOOKUP(A29,[2]myPEPB!$B:$D,3,FALSE)</f>
        <v>28.951898116056832</v>
      </c>
      <c r="E29" s="17">
        <f>VLOOKUP(A29,[1]HwabaoWP_szse_innovation_100!$A:$F,6)</f>
        <v>3152600</v>
      </c>
      <c r="F29" s="17">
        <f>VLOOKUP(A29,[1]HwabaoWP_szse_innovation_100!$A:$I,9)</f>
        <v>4215152.2814262221</v>
      </c>
      <c r="G29" s="17">
        <f t="shared" si="8"/>
        <v>191535.50047763943</v>
      </c>
      <c r="H29" s="18">
        <f t="shared" si="0"/>
        <v>268257.0084863542</v>
      </c>
      <c r="I29" s="18">
        <f t="shared" si="4"/>
        <v>2617425.5619619107</v>
      </c>
      <c r="J29" s="18">
        <f t="shared" si="1"/>
        <v>1868841.8162944028</v>
      </c>
      <c r="K29" s="18">
        <f t="shared" si="5"/>
        <v>1941661.297232378</v>
      </c>
      <c r="L29" s="18">
        <f t="shared" si="2"/>
        <v>1868841.8162944028</v>
      </c>
      <c r="M29" s="18">
        <f t="shared" si="3"/>
        <v>-72819.480937975226</v>
      </c>
      <c r="N29" s="17">
        <f t="shared" si="6"/>
        <v>0</v>
      </c>
    </row>
    <row r="30" spans="1:15" ht="12.75" x14ac:dyDescent="0.2">
      <c r="A30" s="15">
        <v>45197</v>
      </c>
      <c r="B30" s="31">
        <f>VLOOKUP(A30,[1]HwabaoWP_szse_innovation_100!$A:$E,5)</f>
        <v>0.68500000238418579</v>
      </c>
      <c r="C30" s="16">
        <f>VLOOKUP(A30,[2]myPEPB!$B:$C,2,FALSE)</f>
        <v>19.25</v>
      </c>
      <c r="D30" s="17">
        <f>VLOOKUP(A30,[2]myPEPB!$B:$D,3,FALSE)</f>
        <v>28.642033273139454</v>
      </c>
      <c r="E30" s="17">
        <f>VLOOKUP(A30,[1]HwabaoWP_szse_innovation_100!$A:$F,6)</f>
        <v>1644900</v>
      </c>
      <c r="F30" s="17">
        <f>VLOOKUP(A30,[1]HwabaoWP_szse_innovation_100!$A:$I,9)</f>
        <v>4176288.16796875</v>
      </c>
      <c r="G30" s="17">
        <f t="shared" si="8"/>
        <v>137235.15697643414</v>
      </c>
      <c r="H30" s="18">
        <f t="shared" si="0"/>
        <v>200343.29415880074</v>
      </c>
      <c r="I30" s="18">
        <f t="shared" si="4"/>
        <v>2817768.8561207112</v>
      </c>
      <c r="J30" s="18">
        <f t="shared" si="1"/>
        <v>1930171.6731607716</v>
      </c>
      <c r="K30" s="18">
        <f t="shared" si="5"/>
        <v>2078896.4542088122</v>
      </c>
      <c r="L30" s="18">
        <f t="shared" si="2"/>
        <v>1930171.6731607716</v>
      </c>
      <c r="M30" s="18">
        <f t="shared" si="3"/>
        <v>-148724.7810480406</v>
      </c>
      <c r="N30" s="17">
        <f t="shared" si="6"/>
        <v>0</v>
      </c>
    </row>
    <row r="31" spans="1:15" ht="12.75" x14ac:dyDescent="0.2">
      <c r="A31" s="15">
        <v>45230</v>
      </c>
      <c r="B31" s="31">
        <f>VLOOKUP(A31,[1]HwabaoWP_szse_innovation_100!$A:$E,5)</f>
        <v>0.66299998760223389</v>
      </c>
      <c r="C31" s="16">
        <f>VLOOKUP(A31,[2]myPEPB!$B:$C,2,FALSE)</f>
        <v>18.770000457763672</v>
      </c>
      <c r="D31" s="17">
        <f>VLOOKUP(A31,[2]myPEPB!$B:$D,3,FALSE)</f>
        <v>28.372122112939287</v>
      </c>
      <c r="E31" s="17">
        <f>VLOOKUP(A31,[1]HwabaoWP_szse_innovation_100!$A:$F,6)</f>
        <v>3279702</v>
      </c>
      <c r="F31" s="17">
        <f>VLOOKUP(A31,[1]HwabaoWP_szse_innovation_100!$A:$I,9)</f>
        <v>4151158.042563708</v>
      </c>
      <c r="G31" s="17">
        <f t="shared" si="8"/>
        <v>287737.60221590794</v>
      </c>
      <c r="H31" s="18">
        <f t="shared" si="0"/>
        <v>433993.37495694769</v>
      </c>
      <c r="I31" s="18">
        <f t="shared" si="4"/>
        <v>3251762.2310776589</v>
      </c>
      <c r="J31" s="18">
        <f t="shared" si="1"/>
        <v>2155918.3188899001</v>
      </c>
      <c r="K31" s="18">
        <f t="shared" si="5"/>
        <v>2366634.0564247202</v>
      </c>
      <c r="L31" s="18">
        <f t="shared" si="2"/>
        <v>2155918.3188899001</v>
      </c>
      <c r="M31" s="18">
        <f t="shared" si="3"/>
        <v>-210715.7375348201</v>
      </c>
      <c r="N31" s="17">
        <f t="shared" si="6"/>
        <v>0</v>
      </c>
    </row>
    <row r="32" spans="1:15" ht="12.75" x14ac:dyDescent="0.2">
      <c r="A32" s="15">
        <v>45260</v>
      </c>
      <c r="B32" s="31">
        <f>VLOOKUP(A32,[1]HwabaoWP_szse_innovation_100!$A:$E,5)</f>
        <v>0.65100002288818359</v>
      </c>
      <c r="C32" s="16">
        <f>VLOOKUP(A32,[2]myPEPB!$B:$C,2,FALSE)</f>
        <v>17.930000305175781</v>
      </c>
      <c r="D32" s="17">
        <f>VLOOKUP(A32,[2]myPEPB!$B:$D,3,FALSE)</f>
        <v>28.031817642334733</v>
      </c>
      <c r="E32" s="17">
        <f>VLOOKUP(A32,[1]HwabaoWP_szse_innovation_100!$A:$F,6)</f>
        <v>3444800</v>
      </c>
      <c r="F32" s="17">
        <f>VLOOKUP(A32,[1]HwabaoWP_szse_innovation_100!$A:$I,9)</f>
        <v>4128629.2469860404</v>
      </c>
      <c r="G32" s="17">
        <f t="shared" si="8"/>
        <v>336321.20150312199</v>
      </c>
      <c r="H32" s="18">
        <f t="shared" si="0"/>
        <v>516622.41118060431</v>
      </c>
      <c r="I32" s="18">
        <f t="shared" si="4"/>
        <v>3768384.6422582632</v>
      </c>
      <c r="J32" s="18">
        <f t="shared" si="1"/>
        <v>2453218.4883616087</v>
      </c>
      <c r="K32" s="18">
        <f t="shared" si="5"/>
        <v>2702955.2579278424</v>
      </c>
      <c r="L32" s="18">
        <f t="shared" si="2"/>
        <v>2453218.4883616087</v>
      </c>
      <c r="M32" s="18">
        <f t="shared" si="3"/>
        <v>-249736.76956623374</v>
      </c>
      <c r="N32" s="17">
        <f t="shared" si="6"/>
        <v>0</v>
      </c>
    </row>
    <row r="33" spans="1:14" ht="12.75" x14ac:dyDescent="0.2">
      <c r="A33" s="15">
        <v>45289</v>
      </c>
      <c r="B33" s="31">
        <f>VLOOKUP(A33,[1]HwabaoWP_szse_innovation_100!$A:$E,5)</f>
        <v>0.64499998092651367</v>
      </c>
      <c r="C33" s="16">
        <f>VLOOKUP(A33,[2]myPEPB!$B:$C,2,FALSE)</f>
        <v>17.709999084472656</v>
      </c>
      <c r="D33" s="17">
        <f>VLOOKUP(A33,[2]myPEPB!$B:$D,3,FALSE)</f>
        <v>27.695688453026897</v>
      </c>
      <c r="E33" s="17">
        <f>VLOOKUP(A33,[1]HwabaoWP_szse_innovation_100!$A:$F,6)</f>
        <v>5609700</v>
      </c>
      <c r="F33" s="17">
        <f>VLOOKUP(A33,[1]HwabaoWP_szse_innovation_100!$A:$I,9)</f>
        <v>4135906.376174428</v>
      </c>
      <c r="G33" s="17">
        <f t="shared" si="8"/>
        <v>534222.45267287875</v>
      </c>
      <c r="H33" s="18">
        <f t="shared" si="0"/>
        <v>828251.88910159667</v>
      </c>
      <c r="I33" s="18">
        <f t="shared" si="4"/>
        <v>4596636.5313598597</v>
      </c>
      <c r="J33" s="18">
        <f t="shared" si="1"/>
        <v>2964830.4750532256</v>
      </c>
      <c r="K33" s="18">
        <f t="shared" si="5"/>
        <v>3237177.7106007212</v>
      </c>
      <c r="L33" s="18">
        <f t="shared" si="2"/>
        <v>2964830.4750532256</v>
      </c>
      <c r="M33" s="18">
        <f t="shared" si="3"/>
        <v>-272347.23554749554</v>
      </c>
      <c r="N33" s="17">
        <f t="shared" si="6"/>
        <v>0</v>
      </c>
    </row>
    <row r="34" spans="1:14" ht="12.75" x14ac:dyDescent="0.2">
      <c r="A34" s="15">
        <v>45322</v>
      </c>
      <c r="B34" s="31">
        <f>VLOOKUP(A34,[1]HwabaoWP_szse_innovation_100!$A:$E,5)</f>
        <v>0.56099998950958252</v>
      </c>
      <c r="C34" s="16">
        <f>VLOOKUP(A34,[2]myPEPB!$B:$C,2,FALSE)</f>
        <v>15.380000114440918</v>
      </c>
      <c r="D34" s="17">
        <f>VLOOKUP(A34,[2]myPEPB!$B:$D,3,FALSE)</f>
        <v>27.336624376243282</v>
      </c>
      <c r="E34" s="17">
        <f>VLOOKUP(A34,[1]HwabaoWP_szse_innovation_100!$A:$F,6)</f>
        <v>10787006</v>
      </c>
      <c r="F34" s="17">
        <f>VLOOKUP(A34,[1]HwabaoWP_szse_innovation_100!$A:$I,9)</f>
        <v>4203114.608389196</v>
      </c>
      <c r="G34" s="17">
        <f t="shared" si="8"/>
        <v>1449252.1290571459</v>
      </c>
      <c r="H34" s="18">
        <f t="shared" si="0"/>
        <v>2583337.1767512145</v>
      </c>
      <c r="I34" s="18">
        <f t="shared" si="4"/>
        <v>7179973.7081110738</v>
      </c>
      <c r="J34" s="18">
        <f t="shared" si="1"/>
        <v>4027965.1749293907</v>
      </c>
      <c r="K34" s="18">
        <f t="shared" si="5"/>
        <v>4686429.8396578673</v>
      </c>
      <c r="L34" s="18">
        <f t="shared" si="2"/>
        <v>4027965.1749293907</v>
      </c>
      <c r="M34" s="18">
        <f t="shared" si="3"/>
        <v>-658464.66472847667</v>
      </c>
      <c r="N34" s="17">
        <f t="shared" si="6"/>
        <v>0</v>
      </c>
    </row>
    <row r="35" spans="1:14" ht="12.75" x14ac:dyDescent="0.2">
      <c r="A35" s="15">
        <v>45351</v>
      </c>
      <c r="B35" s="31">
        <f>VLOOKUP(A35,[1]HwabaoWP_szse_innovation_100!$A:$E,5)</f>
        <v>0.6380000114440918</v>
      </c>
      <c r="C35" s="16">
        <f>VLOOKUP(A35,[2]myPEPB!$B:$C,2,FALSE)</f>
        <v>17.479999542236328</v>
      </c>
      <c r="D35" s="17">
        <f>VLOOKUP(A35,[2]myPEPB!$B:$D,3,FALSE)</f>
        <v>27.106454818762419</v>
      </c>
      <c r="E35" s="17">
        <f>VLOOKUP(A35,[1]HwabaoWP_szse_innovation_100!$A:$F,6)</f>
        <v>12736000</v>
      </c>
      <c r="F35" s="17">
        <f>VLOOKUP(A35,[1]HwabaoWP_szse_innovation_100!$A:$I,9)</f>
        <v>4305005.2464849772</v>
      </c>
      <c r="G35" s="17">
        <f t="shared" si="8"/>
        <v>1082902.2496379393</v>
      </c>
      <c r="H35" s="18">
        <f t="shared" si="0"/>
        <v>1697338.9188298383</v>
      </c>
      <c r="I35" s="18">
        <f t="shared" si="4"/>
        <v>8877312.6269409116</v>
      </c>
      <c r="J35" s="18">
        <f t="shared" si="1"/>
        <v>5663725.557581082</v>
      </c>
      <c r="K35" s="18">
        <f t="shared" si="5"/>
        <v>5769332.0892958064</v>
      </c>
      <c r="L35" s="18">
        <f t="shared" si="2"/>
        <v>5663725.557581082</v>
      </c>
      <c r="M35" s="18">
        <f t="shared" si="3"/>
        <v>-105606.53171472438</v>
      </c>
      <c r="N35" s="17">
        <f t="shared" si="6"/>
        <v>0</v>
      </c>
    </row>
    <row r="36" spans="1:14" ht="12.75" x14ac:dyDescent="0.2">
      <c r="A36" s="15">
        <v>45380</v>
      </c>
      <c r="B36" s="31">
        <f>VLOOKUP(A36,[1]HwabaoWP_szse_innovation_100!$A:$E,5)</f>
        <v>0.64600002765655518</v>
      </c>
      <c r="C36" s="16">
        <f>VLOOKUP(A36,[2]myPEPB!$B:$C,2,FALSE)</f>
        <v>17.700000762939453</v>
      </c>
      <c r="D36" s="17">
        <f>VLOOKUP(A36,[2]myPEPB!$B:$D,3,FALSE)</f>
        <v>26.839674750359887</v>
      </c>
      <c r="E36" s="17">
        <f>VLOOKUP(A36,[1]HwabaoWP_szse_innovation_100!$A:$F,6)</f>
        <v>8545319</v>
      </c>
      <c r="F36" s="17">
        <f>VLOOKUP(A36,[1]HwabaoWP_szse_innovation_100!$A:$I,9)</f>
        <v>4423306.3268190296</v>
      </c>
      <c r="G36" s="17">
        <f t="shared" si="8"/>
        <v>637440.66900952836</v>
      </c>
      <c r="H36" s="18">
        <f t="shared" si="0"/>
        <v>986750.21937990165</v>
      </c>
      <c r="I36" s="18">
        <f t="shared" si="4"/>
        <v>9864062.8463208135</v>
      </c>
      <c r="J36" s="18">
        <f t="shared" si="1"/>
        <v>6372184.8715292439</v>
      </c>
      <c r="K36" s="18">
        <f t="shared" si="5"/>
        <v>6406772.7583053345</v>
      </c>
      <c r="L36" s="18">
        <f t="shared" si="2"/>
        <v>6372184.8715292439</v>
      </c>
      <c r="M36" s="18">
        <f t="shared" si="3"/>
        <v>-34587.8867760906</v>
      </c>
      <c r="N36" s="17">
        <f t="shared" si="6"/>
        <v>0</v>
      </c>
    </row>
    <row r="37" spans="1:14" ht="12.75" x14ac:dyDescent="0.2">
      <c r="A37" s="15">
        <v>45412</v>
      </c>
      <c r="B37" s="31">
        <f>VLOOKUP(A37,[1]HwabaoWP_szse_innovation_100!$A:$E,5)</f>
        <v>0.66399997472763062</v>
      </c>
      <c r="C37" s="16">
        <f>VLOOKUP(A37,[2]myPEPB!$B:$C,2,FALSE)</f>
        <v>18.110000610351563</v>
      </c>
      <c r="D37" s="17">
        <f>VLOOKUP(A37,[2]myPEPB!$B:$D,3,FALSE)</f>
        <v>26.594314356937268</v>
      </c>
      <c r="E37" s="17">
        <f>VLOOKUP(A37,[1]HwabaoWP_szse_innovation_100!$A:$F,6)</f>
        <v>5195700</v>
      </c>
      <c r="F37" s="17">
        <f>VLOOKUP(A37,[1]HwabaoWP_szse_innovation_100!$A:$I,9)</f>
        <v>4505504.5858242754</v>
      </c>
      <c r="G37" s="17">
        <f t="shared" si="8"/>
        <v>327892.26130662102</v>
      </c>
      <c r="H37" s="18">
        <f t="shared" si="0"/>
        <v>493813.66534105781</v>
      </c>
      <c r="I37" s="18">
        <f t="shared" si="4"/>
        <v>10357876.511661872</v>
      </c>
      <c r="J37" s="18">
        <f t="shared" si="1"/>
        <v>6877629.7419754015</v>
      </c>
      <c r="K37" s="18">
        <f t="shared" si="5"/>
        <v>6734665.0196119556</v>
      </c>
      <c r="L37" s="18">
        <f t="shared" si="2"/>
        <v>6877629.7419754015</v>
      </c>
      <c r="M37" s="18">
        <f t="shared" si="3"/>
        <v>142964.72236344591</v>
      </c>
      <c r="N37" s="17">
        <f t="shared" si="6"/>
        <v>0</v>
      </c>
    </row>
    <row r="38" spans="1:14" ht="12.75" x14ac:dyDescent="0.2">
      <c r="A38" s="15">
        <v>45443</v>
      </c>
      <c r="B38" s="31">
        <f>VLOOKUP(A38,[1]HwabaoWP_szse_innovation_100!$A:$E,5)</f>
        <v>0.64999997615814209</v>
      </c>
      <c r="C38" s="16">
        <f>VLOOKUP(A38,[2]myPEPB!$B:$C,2,FALSE)</f>
        <v>18.329999919999999</v>
      </c>
      <c r="D38" s="17">
        <f>VLOOKUP(A38,[2]myPEPB!$B:$D,3,FALSE)</f>
        <v>26.389717901760058</v>
      </c>
      <c r="E38" s="17">
        <f>VLOOKUP(A38,[1]HwabaoWP_szse_innovation_100!$A:$F,6)</f>
        <v>6567000</v>
      </c>
      <c r="F38" s="17">
        <f>VLOOKUP(A38,[1]HwabaoWP_szse_innovation_100!$A:$I,9)</f>
        <v>4606710.9436179576</v>
      </c>
      <c r="G38" s="17">
        <f t="shared" si="8"/>
        <v>365774.00759471167</v>
      </c>
      <c r="H38" s="18">
        <f t="shared" si="0"/>
        <v>562729.26309418888</v>
      </c>
      <c r="I38" s="18">
        <f t="shared" si="4"/>
        <v>10920605.774756061</v>
      </c>
      <c r="J38" s="18">
        <f t="shared" si="1"/>
        <v>7098393.4932239084</v>
      </c>
      <c r="K38" s="18">
        <f t="shared" si="5"/>
        <v>7100439.0272066677</v>
      </c>
      <c r="L38" s="18">
        <f t="shared" si="2"/>
        <v>7098393.4932239084</v>
      </c>
      <c r="M38" s="18">
        <f t="shared" si="3"/>
        <v>-2045.5339827593416</v>
      </c>
      <c r="N38" s="17">
        <f t="shared" si="6"/>
        <v>0</v>
      </c>
    </row>
    <row r="39" spans="1:14" ht="12.75" x14ac:dyDescent="0.2">
      <c r="A39" s="15">
        <v>45471</v>
      </c>
      <c r="B39" s="31">
        <f>VLOOKUP(A39,[1]HwabaoWP_szse_innovation_100!$A:$E,5)</f>
        <v>0.63599997758865356</v>
      </c>
      <c r="C39" s="16">
        <f>VLOOKUP(A39,[2]myPEPB!$B:$C,2,FALSE)</f>
        <v>17.86000061</v>
      </c>
      <c r="D39" s="17">
        <f>VLOOKUP(A39,[2]myPEPB!$B:$D,3,FALSE)</f>
        <v>26.193870144829649</v>
      </c>
      <c r="E39" s="17">
        <f>VLOOKUP(A39,[1]HwabaoWP_szse_innovation_100!$A:$F,6)</f>
        <v>8456200</v>
      </c>
      <c r="F39" s="17">
        <f>VLOOKUP(A39,[1]HwabaoWP_szse_innovation_100!$A:$I,9)</f>
        <v>4684454.1679955423</v>
      </c>
      <c r="G39" s="17">
        <f t="shared" si="8"/>
        <v>495229.76820342394</v>
      </c>
      <c r="H39" s="18">
        <f t="shared" si="0"/>
        <v>778663.18499106029</v>
      </c>
      <c r="I39" s="18">
        <f t="shared" si="4"/>
        <v>11699268.959747121</v>
      </c>
      <c r="J39" s="18">
        <f t="shared" si="1"/>
        <v>7440734.7962027993</v>
      </c>
      <c r="K39" s="18">
        <f t="shared" si="5"/>
        <v>7595668.795410092</v>
      </c>
      <c r="L39" s="18">
        <f t="shared" si="2"/>
        <v>7440734.7962027993</v>
      </c>
      <c r="M39" s="18">
        <f t="shared" si="3"/>
        <v>-154933.99920729268</v>
      </c>
      <c r="N39" s="17">
        <f t="shared" si="6"/>
        <v>0</v>
      </c>
    </row>
    <row r="40" spans="1:14" ht="12.75" x14ac:dyDescent="0.2">
      <c r="A40" s="15">
        <v>45504</v>
      </c>
      <c r="B40" s="31">
        <f>VLOOKUP(A40,[1]HwabaoWP_szse_innovation_100!$A:$E,5)</f>
        <v>0.63300001621246338</v>
      </c>
      <c r="C40" s="16">
        <f>VLOOKUP(A40,[2]myPEPB!$B:$C,2,FALSE)</f>
        <v>17.709999079999999</v>
      </c>
      <c r="D40" s="17">
        <f>VLOOKUP(A40,[2]myPEPB!$B:$D,3,FALSE)</f>
        <v>25.951256745485065</v>
      </c>
      <c r="E40" s="17">
        <f>VLOOKUP(A40,[1]HwabaoWP_szse_innovation_100!$A:$F,6)</f>
        <v>9012202</v>
      </c>
      <c r="F40" s="17">
        <f>VLOOKUP(A40,[1]HwabaoWP_szse_innovation_100!$A:$I,9)</f>
        <v>4764694.1608626992</v>
      </c>
      <c r="G40" s="17">
        <f t="shared" si="8"/>
        <v>507434.47455627128</v>
      </c>
      <c r="H40" s="18">
        <f t="shared" si="0"/>
        <v>801634.22047362686</v>
      </c>
      <c r="I40" s="18">
        <f t="shared" si="4"/>
        <v>12500903.180220747</v>
      </c>
      <c r="J40" s="18">
        <f t="shared" si="1"/>
        <v>7913071.9157501683</v>
      </c>
      <c r="K40" s="18">
        <f t="shared" si="5"/>
        <v>8103103.269966363</v>
      </c>
      <c r="L40" s="18">
        <f t="shared" si="2"/>
        <v>7913071.9157501683</v>
      </c>
      <c r="M40" s="18">
        <f t="shared" si="3"/>
        <v>-190031.35421619471</v>
      </c>
      <c r="N40" s="17">
        <f t="shared" si="6"/>
        <v>0</v>
      </c>
    </row>
    <row r="41" spans="1:14" ht="12.75" x14ac:dyDescent="0.2">
      <c r="A41" s="15">
        <v>45534</v>
      </c>
      <c r="B41" s="31">
        <f>VLOOKUP(A41,[1]HwabaoWP_szse_innovation_100!$A:$E,5)</f>
        <v>0.61000001430511475</v>
      </c>
      <c r="C41" s="16">
        <f>VLOOKUP(A41,[2]myPEPB!$B:$C,2,FALSE)</f>
        <v>20.56999969</v>
      </c>
      <c r="D41" s="17">
        <f>VLOOKUP(A41,[2]myPEPB!$B:$D,3,FALSE)</f>
        <v>25.729715551720684</v>
      </c>
      <c r="E41" s="17">
        <f>VLOOKUP(A41,[1]HwabaoWP_szse_innovation_100!$A:$F,6)</f>
        <v>6956200</v>
      </c>
      <c r="F41" s="17">
        <f>VLOOKUP(A41,[1]HwabaoWP_szse_innovation_100!$A:$I,9)</f>
        <v>4772486.4689518735</v>
      </c>
      <c r="G41" s="17">
        <f t="shared" si="8"/>
        <v>153276.65797483371</v>
      </c>
      <c r="H41" s="18">
        <f t="shared" si="0"/>
        <v>251273.20390219952</v>
      </c>
      <c r="I41" s="18">
        <f t="shared" si="4"/>
        <v>12752176.384122947</v>
      </c>
      <c r="J41" s="18">
        <f t="shared" si="1"/>
        <v>7778827.7767363442</v>
      </c>
      <c r="K41" s="18">
        <f t="shared" si="5"/>
        <v>8256379.9279411966</v>
      </c>
      <c r="L41" s="18">
        <f t="shared" si="2"/>
        <v>7778827.7767363442</v>
      </c>
      <c r="M41" s="18">
        <f t="shared" si="3"/>
        <v>-477552.15120485239</v>
      </c>
      <c r="N41" s="17">
        <f t="shared" si="6"/>
        <v>0</v>
      </c>
    </row>
    <row r="42" spans="1:14" ht="12.75" x14ac:dyDescent="0.2">
      <c r="A42" s="15">
        <v>45565</v>
      </c>
      <c r="B42" s="31">
        <f>VLOOKUP(A42,[1]HwabaoWP_szse_innovation_100!$A:$E,5)</f>
        <v>0.76700001955032349</v>
      </c>
      <c r="C42" s="16">
        <f>VLOOKUP(A42,[2]myPEPB!$B:$C,2,FALSE)</f>
        <v>25.239999770000001</v>
      </c>
      <c r="D42" s="17">
        <f>VLOOKUP(A42,[2]myPEPB!$B:$D,3,FALSE)</f>
        <v>25.607882301446285</v>
      </c>
      <c r="E42" s="17">
        <f>VLOOKUP(A42,[1]HwabaoWP_szse_innovation_100!$A:$F,6)</f>
        <v>12479809</v>
      </c>
      <c r="F42" s="17">
        <f>VLOOKUP(A42,[1]HwabaoWP_szse_innovation_100!$A:$I,9)</f>
        <v>4825138.2799101509</v>
      </c>
      <c r="G42" s="17">
        <f t="shared" si="8"/>
        <v>1382.6542815230166</v>
      </c>
      <c r="H42" s="18">
        <f t="shared" si="0"/>
        <v>1802.678287196966</v>
      </c>
      <c r="I42" s="18">
        <f t="shared" si="4"/>
        <v>12753979.062410144</v>
      </c>
      <c r="J42" s="18">
        <f t="shared" si="1"/>
        <v>9782302.1902129967</v>
      </c>
      <c r="K42" s="18">
        <f t="shared" si="5"/>
        <v>8257762.5822227197</v>
      </c>
      <c r="L42" s="18">
        <f t="shared" si="2"/>
        <v>9782302.1902129967</v>
      </c>
      <c r="M42" s="18">
        <f t="shared" si="3"/>
        <v>1524539.607990277</v>
      </c>
      <c r="N42" s="17">
        <f t="shared" si="6"/>
        <v>0</v>
      </c>
    </row>
    <row r="43" spans="1:14" ht="12.75" x14ac:dyDescent="0.2">
      <c r="A43" s="15">
        <v>45596</v>
      </c>
      <c r="B43" s="31">
        <f>VLOOKUP(A43,[1]HwabaoWP_szse_innovation_100!$A:$E,5)</f>
        <v>0.77700001001358032</v>
      </c>
      <c r="C43" s="16">
        <f>VLOOKUP(A43,[2]myPEPB!$B:$C,2,FALSE)</f>
        <v>24.940000529999999</v>
      </c>
      <c r="D43" s="17">
        <f>VLOOKUP(A43,[2]myPEPB!$B:$D,3,FALSE)</f>
        <v>25.600824703771881</v>
      </c>
      <c r="E43" s="17">
        <f>VLOOKUP(A43,[1]HwabaoWP_szse_innovation_100!$A:$F,6)</f>
        <v>1578400</v>
      </c>
      <c r="F43" s="17">
        <f>VLOOKUP(A43,[1]HwabaoWP_szse_innovation_100!$A:$I,9)</f>
        <v>4778839.6069281753</v>
      </c>
      <c r="G43" s="17">
        <f t="shared" si="8"/>
        <v>569.72274312846628</v>
      </c>
      <c r="H43" s="18">
        <f t="shared" si="0"/>
        <v>733.23389419069474</v>
      </c>
      <c r="I43" s="18">
        <f t="shared" si="4"/>
        <v>12754712.296304334</v>
      </c>
      <c r="J43" s="18">
        <f t="shared" si="1"/>
        <v>9910411.5819488037</v>
      </c>
      <c r="K43" s="18">
        <f t="shared" si="5"/>
        <v>8258332.3049658481</v>
      </c>
      <c r="L43" s="18">
        <f t="shared" si="2"/>
        <v>9910411.5819488037</v>
      </c>
      <c r="M43" s="18">
        <f t="shared" si="3"/>
        <v>1652079.2769829556</v>
      </c>
      <c r="N43" s="17">
        <f t="shared" si="6"/>
        <v>0</v>
      </c>
    </row>
    <row r="44" spans="1:14" ht="12.75" x14ac:dyDescent="0.2">
      <c r="A44" s="15">
        <v>45625</v>
      </c>
      <c r="B44" s="31">
        <f>VLOOKUP(A44,[1]HwabaoWP_szse_innovation_100!$A:$E,5)</f>
        <v>0.78100001811981201</v>
      </c>
      <c r="C44" s="16">
        <f>VLOOKUP(A44,[2]myPEPB!$B:$C,2,FALSE)</f>
        <v>24.719999309999999</v>
      </c>
      <c r="D44" s="17">
        <f>VLOOKUP(A44,[2]myPEPB!$B:$D,3,FALSE)</f>
        <v>25.593319274370291</v>
      </c>
      <c r="E44" s="17">
        <f>VLOOKUP(A44,[1]HwabaoWP_szse_innovation_100!$A:$F,6)</f>
        <v>1693501</v>
      </c>
      <c r="F44" s="17">
        <f>VLOOKUP(A44,[1]HwabaoWP_szse_innovation_100!$A:$I,9)</f>
        <v>4743142.4693134017</v>
      </c>
      <c r="G44" s="17">
        <f t="shared" si="8"/>
        <v>1075.6306281980965</v>
      </c>
      <c r="H44" s="18">
        <f t="shared" si="0"/>
        <v>1377.2478914758306</v>
      </c>
      <c r="I44" s="18">
        <f t="shared" si="4"/>
        <v>12756089.54419581</v>
      </c>
      <c r="J44" s="18">
        <f t="shared" si="1"/>
        <v>9962506.1651548725</v>
      </c>
      <c r="K44" s="18">
        <f t="shared" si="5"/>
        <v>8259407.9355940465</v>
      </c>
      <c r="L44" s="18">
        <f t="shared" si="2"/>
        <v>9962506.1651548725</v>
      </c>
      <c r="M44" s="18">
        <f t="shared" si="3"/>
        <v>1703098.229560826</v>
      </c>
      <c r="N44" s="17">
        <f t="shared" si="6"/>
        <v>0</v>
      </c>
    </row>
    <row r="45" spans="1:14" ht="12.75" x14ac:dyDescent="0.2">
      <c r="A45" s="15">
        <v>45657</v>
      </c>
      <c r="B45" s="31">
        <f>VLOOKUP(A45,[1]HwabaoWP_szse_innovation_100!$A:$E,5)</f>
        <v>0.78899997472763062</v>
      </c>
      <c r="C45" s="16">
        <f>VLOOKUP(A45,[2]myPEPB!$B:$C,2,FALSE)</f>
        <v>24.799999239999998</v>
      </c>
      <c r="D45" s="17">
        <f>VLOOKUP(A45,[2]myPEPB!$B:$D,3,FALSE)</f>
        <v>25.579355550139105</v>
      </c>
      <c r="E45" s="17">
        <f>VLOOKUP(A45,[1]HwabaoWP_szse_innovation_100!$A:$F,6)</f>
        <v>2431000</v>
      </c>
      <c r="F45" s="17">
        <f>VLOOKUP(A45,[1]HwabaoWP_szse_innovation_100!$A:$I,9)</f>
        <v>4680826.7802620027</v>
      </c>
      <c r="G45" s="17">
        <f t="shared" si="8"/>
        <v>1246.0388886215089</v>
      </c>
      <c r="H45" s="18">
        <f t="shared" si="0"/>
        <v>1579.263534262662</v>
      </c>
      <c r="I45" s="18">
        <f t="shared" si="4"/>
        <v>12757668.807730073</v>
      </c>
      <c r="J45" s="18">
        <f t="shared" si="1"/>
        <v>10065800.366882509</v>
      </c>
      <c r="K45" s="18">
        <f t="shared" si="5"/>
        <v>8260653.9744826676</v>
      </c>
      <c r="L45" s="18">
        <f t="shared" si="2"/>
        <v>10065800.366882509</v>
      </c>
      <c r="M45" s="18">
        <f t="shared" si="3"/>
        <v>1805146.392399841</v>
      </c>
      <c r="N45" s="17">
        <f t="shared" si="6"/>
        <v>0</v>
      </c>
    </row>
    <row r="46" spans="1:14" ht="12.75" x14ac:dyDescent="0.2">
      <c r="A46" s="15">
        <v>45684</v>
      </c>
      <c r="B46" s="31">
        <f>VLOOKUP(A46,[1]HwabaoWP_szse_innovation_100!$A:$E,5)</f>
        <v>0.78100001811981201</v>
      </c>
      <c r="C46" s="16">
        <f>VLOOKUP(A46,[2]myPEPB!$B:$C,2,FALSE)</f>
        <v>24.409999849999998</v>
      </c>
      <c r="D46" s="17">
        <f>VLOOKUP(A46,[2]myPEPB!$B:$D,3,FALSE)</f>
        <v>25.550295783221614</v>
      </c>
      <c r="E46" s="17">
        <f>VLOOKUP(A46,[1]HwabaoWP_szse_innovation_100!$A:$F,6)</f>
        <v>851700</v>
      </c>
      <c r="F46" s="17">
        <f>VLOOKUP(A46,[1]HwabaoWP_szse_innovation_100!$A:$I,9)</f>
        <v>4623625.5848982222</v>
      </c>
      <c r="G46" s="17">
        <f t="shared" si="8"/>
        <v>946.09824206255894</v>
      </c>
      <c r="H46" s="18">
        <f t="shared" si="0"/>
        <v>1211.3933676214326</v>
      </c>
      <c r="I46" s="18">
        <f t="shared" si="4"/>
        <v>12758880.201097695</v>
      </c>
      <c r="J46" s="18">
        <f t="shared" si="1"/>
        <v>9964685.668245811</v>
      </c>
      <c r="K46" s="18">
        <f t="shared" si="5"/>
        <v>8261600.0727247298</v>
      </c>
      <c r="L46" s="18">
        <f t="shared" si="2"/>
        <v>9964685.668245811</v>
      </c>
      <c r="M46" s="18">
        <f t="shared" si="3"/>
        <v>1703085.5955210812</v>
      </c>
      <c r="N46" s="17">
        <f t="shared" si="6"/>
        <v>0</v>
      </c>
    </row>
    <row r="47" spans="1:14" ht="12.75" x14ac:dyDescent="0.2">
      <c r="A47" s="15">
        <v>45716</v>
      </c>
      <c r="B47" s="31">
        <f>VLOOKUP(A47,[1]HwabaoWP_szse_innovation_100!$A:$E,5)</f>
        <v>0.82700002193450928</v>
      </c>
      <c r="C47" s="16">
        <f>VLOOKUP(A47,[2]myPEPB!$B:$C,2,FALSE)</f>
        <v>26.079999923706055</v>
      </c>
      <c r="D47" s="17">
        <f>VLOOKUP(A47,[2]myPEPB!$B:$D,3,FALSE)</f>
        <v>25.563306017026612</v>
      </c>
      <c r="E47" s="17">
        <f>VLOOKUP(A47,[1]HwabaoWP_szse_innovation_100!$A:$F,6)</f>
        <v>1283704</v>
      </c>
      <c r="F47" s="17">
        <f>VLOOKUP(A47,[1]HwabaoWP_szse_innovation_100!$A:$I,9)</f>
        <v>4583555.4425912919</v>
      </c>
      <c r="G47" s="17">
        <f t="shared" si="8"/>
        <v>-295.3426593807647</v>
      </c>
      <c r="H47" s="18">
        <f t="shared" si="0"/>
        <v>-357.12533439830196</v>
      </c>
      <c r="I47" s="18">
        <f t="shared" si="4"/>
        <v>12758523.075763296</v>
      </c>
      <c r="J47" s="18">
        <f t="shared" si="1"/>
        <v>10551298.863508189</v>
      </c>
      <c r="K47" s="18">
        <f t="shared" si="5"/>
        <v>8261600.0727247298</v>
      </c>
      <c r="L47" s="18">
        <f t="shared" si="2"/>
        <v>10551594.206167569</v>
      </c>
      <c r="M47" s="18">
        <f t="shared" si="3"/>
        <v>2289994.1334428396</v>
      </c>
      <c r="N47" s="17">
        <f t="shared" si="6"/>
        <v>295.3426593807647</v>
      </c>
    </row>
    <row r="48" spans="1:14" ht="12.75" x14ac:dyDescent="0.2">
      <c r="A48" s="15">
        <v>45747</v>
      </c>
      <c r="B48" s="31">
        <f>VLOOKUP(A48,[1]HwabaoWP_szse_innovation_100!$A:$E,5)</f>
        <v>0.81400001049041748</v>
      </c>
      <c r="C48" s="16">
        <f>VLOOKUP(A48,[2]myPEPB!$B:$C,2,FALSE)</f>
        <v>25.629999160000001</v>
      </c>
      <c r="D48" s="17">
        <f>VLOOKUP(A48,[2]myPEPB!$B:$D,3,FALSE)</f>
        <v>25.577105780548813</v>
      </c>
      <c r="E48" s="17">
        <f>VLOOKUP(A48,[1]HwabaoWP_szse_innovation_100!$A:$F,6)</f>
        <v>2900300</v>
      </c>
      <c r="F48" s="17">
        <f>VLOOKUP(A48,[1]HwabaoWP_szse_innovation_100!$A:$I,9)</f>
        <v>4549765.5046995059</v>
      </c>
      <c r="G48" s="17">
        <f t="shared" si="8"/>
        <v>-7.0445561652667319</v>
      </c>
      <c r="H48" s="18">
        <f t="shared" si="0"/>
        <v>-8.6542457917445699</v>
      </c>
      <c r="I48" s="18">
        <f t="shared" si="4"/>
        <v>12758514.421517504</v>
      </c>
      <c r="J48" s="18">
        <f t="shared" si="1"/>
        <v>10385430.872957392</v>
      </c>
      <c r="K48" s="18">
        <f t="shared" si="5"/>
        <v>8261600.0727247298</v>
      </c>
      <c r="L48" s="18">
        <f t="shared" si="2"/>
        <v>10385733.260172937</v>
      </c>
      <c r="M48" s="18">
        <f t="shared" si="3"/>
        <v>2124133.1874482073</v>
      </c>
      <c r="N48" s="17">
        <f t="shared" si="6"/>
        <v>302.38721554603143</v>
      </c>
    </row>
    <row r="49" spans="1:14" ht="12.75" x14ac:dyDescent="0.2">
      <c r="A49" s="15">
        <v>45777</v>
      </c>
      <c r="B49" s="31">
        <f>VLOOKUP(A49,[1]HwabaoWP_szse_innovation_100!$A:$E,5)</f>
        <v>0.76899999380111694</v>
      </c>
      <c r="C49" s="16">
        <f>VLOOKUP(A49,[2]myPEPB!$B:$C,2,FALSE)</f>
        <v>24.010000229999999</v>
      </c>
      <c r="D49" s="17">
        <f>VLOOKUP(A49,[2]myPEPB!$B:$D,3,FALSE)</f>
        <v>25.539386200172402</v>
      </c>
      <c r="E49" s="17">
        <f>VLOOKUP(A49,[1]HwabaoWP_szse_innovation_100!$A:$F,6)</f>
        <v>1839402</v>
      </c>
      <c r="F49" s="17">
        <f>VLOOKUP(A49,[1]HwabaoWP_szse_innovation_100!$A:$I,9)</f>
        <v>4515206.3014686154</v>
      </c>
      <c r="G49" s="17">
        <f t="shared" si="8"/>
        <v>3763.8330854783617</v>
      </c>
      <c r="H49" s="18">
        <f t="shared" si="0"/>
        <v>4894.4513859798353</v>
      </c>
      <c r="I49" s="18">
        <f t="shared" si="4"/>
        <v>12763408.872903485</v>
      </c>
      <c r="J49" s="18">
        <f t="shared" si="1"/>
        <v>9815061.344143901</v>
      </c>
      <c r="K49" s="18">
        <f t="shared" si="5"/>
        <v>8265363.9058102081</v>
      </c>
      <c r="L49" s="18">
        <f t="shared" si="2"/>
        <v>9815363.7313594464</v>
      </c>
      <c r="M49" s="18">
        <f t="shared" si="3"/>
        <v>1549999.8255492384</v>
      </c>
      <c r="N49" s="17">
        <f t="shared" si="6"/>
        <v>302.38721554603143</v>
      </c>
    </row>
    <row r="50" spans="1:14" ht="12.75" x14ac:dyDescent="0.2">
      <c r="A50" s="15">
        <v>45807</v>
      </c>
      <c r="B50" s="31">
        <f>VLOOKUP(A50,[1]HwabaoWP_szse_innovation_100!$A:$E,5)</f>
        <v>0.78200000524520874</v>
      </c>
      <c r="C50" s="16">
        <f>VLOOKUP(A50,[2]myPEPB!$B:$C,2,FALSE)</f>
        <v>23.299999239999998</v>
      </c>
      <c r="D50" s="17">
        <f>VLOOKUP(A50,[2]myPEPB!$B:$D,3,FALSE)</f>
        <v>25.506266578519043</v>
      </c>
      <c r="E50" s="17">
        <f>VLOOKUP(A50,[1]HwabaoWP_szse_innovation_100!$A:$F,6)</f>
        <v>2171902</v>
      </c>
      <c r="F50" s="17">
        <f>VLOOKUP(A50,[1]HwabaoWP_szse_innovation_100!$A:$I,9)</f>
        <v>4456684.012585436</v>
      </c>
      <c r="G50" s="17">
        <f t="shared" si="8"/>
        <v>9370.0465729457555</v>
      </c>
      <c r="H50" s="18">
        <f t="shared" si="0"/>
        <v>11982.156662527932</v>
      </c>
      <c r="I50" s="18">
        <f t="shared" si="4"/>
        <v>12775391.029566012</v>
      </c>
      <c r="J50" s="18">
        <f t="shared" si="1"/>
        <v>9990355.8521302138</v>
      </c>
      <c r="K50" s="18">
        <f t="shared" si="5"/>
        <v>8274733.9523831541</v>
      </c>
      <c r="L50" s="18">
        <f t="shared" si="2"/>
        <v>9990658.2393457592</v>
      </c>
      <c r="M50" s="18">
        <f t="shared" si="3"/>
        <v>1715924.2869626051</v>
      </c>
      <c r="N50" s="17">
        <f t="shared" si="6"/>
        <v>302.38721554603143</v>
      </c>
    </row>
    <row r="51" spans="1:14" ht="12.75" x14ac:dyDescent="0.2">
      <c r="A51" s="15">
        <v>45838</v>
      </c>
      <c r="B51" s="31">
        <f>VLOOKUP(A51,[1]HwabaoWP_szse_innovation_100!$A:$E,5)</f>
        <v>0.81199997663497925</v>
      </c>
      <c r="C51" s="16">
        <f>VLOOKUP(A51,[2]myPEPB!$B:$C,2,FALSE)</f>
        <v>24.299999239999998</v>
      </c>
      <c r="D51" s="17">
        <f>VLOOKUP(A51,[2]myPEPB!$B:$D,3,FALSE)</f>
        <v>25.46955573186175</v>
      </c>
      <c r="E51" s="17">
        <f>VLOOKUP(A51,[1]HwabaoWP_szse_innovation_100!$A:$F,6)</f>
        <v>667200</v>
      </c>
      <c r="F51" s="17">
        <f>VLOOKUP(A51,[1]HwabaoWP_szse_innovation_100!$A:$I,9)</f>
        <v>4413310.9153900621</v>
      </c>
      <c r="G51" s="17">
        <f t="shared" si="8"/>
        <v>816.82875284245119</v>
      </c>
      <c r="H51" s="18">
        <f t="shared" si="0"/>
        <v>1005.94676889953</v>
      </c>
      <c r="I51" s="18">
        <f t="shared" si="4"/>
        <v>12776396.976334913</v>
      </c>
      <c r="J51" s="18">
        <f t="shared" si="1"/>
        <v>10374434.046263169</v>
      </c>
      <c r="K51" s="18">
        <f t="shared" si="5"/>
        <v>8275550.7811359968</v>
      </c>
      <c r="L51" s="18">
        <f t="shared" si="2"/>
        <v>10374736.433478715</v>
      </c>
      <c r="M51" s="18">
        <f t="shared" si="3"/>
        <v>2099185.6523427181</v>
      </c>
      <c r="N51" s="17">
        <f t="shared" si="6"/>
        <v>302.38721554603143</v>
      </c>
    </row>
    <row r="52" spans="1:14" ht="12.75" x14ac:dyDescent="0.2">
      <c r="A52" s="15">
        <v>45869</v>
      </c>
      <c r="B52" s="31">
        <f>VLOOKUP(A52,[1]HwabaoWP_szse_innovation_100!$A:$E,5)</f>
        <v>0.84500002861022949</v>
      </c>
      <c r="C52" s="16">
        <f>VLOOKUP(A52,[2]myPEPB!$B:$C,2,FALSE)</f>
        <v>25.25</v>
      </c>
      <c r="D52" s="17">
        <f>VLOOKUP(A52,[2]myPEPB!$B:$D,3,FALSE)</f>
        <v>25.459508277435798</v>
      </c>
      <c r="E52" s="17">
        <f>VLOOKUP(A52,[1]HwabaoWP_szse_innovation_100!$A:$F,6)</f>
        <v>2249304</v>
      </c>
      <c r="F52" s="17">
        <f>VLOOKUP(A52,[1]HwabaoWP_szse_innovation_100!$A:$I,9)</f>
        <v>4371430.3934544772</v>
      </c>
      <c r="G52" s="17">
        <f t="shared" si="8"/>
        <v>89.212160278304367</v>
      </c>
      <c r="H52" s="18">
        <f t="shared" si="0"/>
        <v>105.5765174647763</v>
      </c>
      <c r="I52" s="18">
        <f t="shared" si="4"/>
        <v>12776502.552852377</v>
      </c>
      <c r="J52" s="18">
        <f t="shared" si="1"/>
        <v>10796145.02269893</v>
      </c>
      <c r="K52" s="18">
        <f t="shared" si="5"/>
        <v>8275639.9932962749</v>
      </c>
      <c r="L52" s="18">
        <f t="shared" si="2"/>
        <v>10796447.409914475</v>
      </c>
      <c r="M52" s="18">
        <f t="shared" si="3"/>
        <v>2520807.4166182</v>
      </c>
      <c r="N52" s="17">
        <f t="shared" si="6"/>
        <v>302.38721554603143</v>
      </c>
    </row>
    <row r="53" spans="1:14" ht="12.75" x14ac:dyDescent="0.2">
      <c r="A53" s="15">
        <v>45898</v>
      </c>
      <c r="B53" s="31">
        <f>VLOOKUP(A53,[1]HwabaoWP_szse_innovation_100!$A:$E,5)</f>
        <v>1.0089999437332153</v>
      </c>
      <c r="C53" s="16">
        <f>VLOOKUP(A53,[2]myPEPB!$B:$C,2,FALSE)</f>
        <v>30.020000459999999</v>
      </c>
      <c r="D53" s="17">
        <f>VLOOKUP(A53,[2]myPEPB!$B:$D,3,FALSE)</f>
        <v>25.492415128467428</v>
      </c>
      <c r="E53" s="17">
        <f>VLOOKUP(A53,[1]HwabaoWP_szse_innovation_100!$A:$F,6)</f>
        <v>4079918</v>
      </c>
      <c r="F53" s="17">
        <f>VLOOKUP(A53,[1]HwabaoWP_szse_innovation_100!$A:$I,9)</f>
        <v>4339325.9928879309</v>
      </c>
      <c r="G53" s="17">
        <f t="shared" si="8"/>
        <v>-76130.650522983706</v>
      </c>
      <c r="H53" s="18">
        <f t="shared" si="0"/>
        <v>-75451.590454313278</v>
      </c>
      <c r="I53" s="18">
        <f t="shared" si="4"/>
        <v>12701050.962398063</v>
      </c>
      <c r="J53" s="18">
        <f t="shared" si="1"/>
        <v>12815359.706412347</v>
      </c>
      <c r="K53" s="18">
        <f t="shared" si="5"/>
        <v>8275639.9932962749</v>
      </c>
      <c r="L53" s="18">
        <f t="shared" si="2"/>
        <v>12891792.744150877</v>
      </c>
      <c r="M53" s="18">
        <f t="shared" si="3"/>
        <v>4616152.7508546021</v>
      </c>
      <c r="N53" s="17">
        <f t="shared" si="6"/>
        <v>76433.037738529732</v>
      </c>
    </row>
    <row r="54" spans="1:14" ht="12.75" x14ac:dyDescent="0.2">
      <c r="A54" s="15">
        <v>45930</v>
      </c>
      <c r="B54" s="31">
        <f>VLOOKUP(A54,[1]HwabaoWP_szse_innovation_100!$A:$E,5)</f>
        <v>1.0880000591278076</v>
      </c>
      <c r="C54" s="16">
        <f>VLOOKUP(A54,[2]myPEPB!$B:$C,2,FALSE)</f>
        <v>32.849998470000003</v>
      </c>
      <c r="D54" s="17">
        <f>VLOOKUP(A54,[2]myPEPB!$B:$D,3,FALSE)</f>
        <v>25.595553284386586</v>
      </c>
      <c r="E54" s="17">
        <f>VLOOKUP(A54,[1]HwabaoWP_szse_innovation_100!$A:$F,6)</f>
        <v>3128893</v>
      </c>
      <c r="F54" s="17">
        <f>VLOOKUP(A54,[1]HwabaoWP_szse_innovation_100!$A:$I,9)</f>
        <v>4342592.1135788327</v>
      </c>
      <c r="G54" s="17">
        <f t="shared" si="8"/>
        <v>-149777.7061381666</v>
      </c>
      <c r="H54" s="18">
        <f t="shared" si="0"/>
        <v>-137663.32536620955</v>
      </c>
      <c r="I54" s="18">
        <f t="shared" si="4"/>
        <v>12563387.637031853</v>
      </c>
      <c r="J54" s="18">
        <f t="shared" si="1"/>
        <v>13668966.491936224</v>
      </c>
      <c r="K54" s="18">
        <f t="shared" si="5"/>
        <v>8275639.9932962749</v>
      </c>
      <c r="L54" s="18">
        <f t="shared" si="2"/>
        <v>13895177.235812919</v>
      </c>
      <c r="M54" s="18">
        <f t="shared" si="3"/>
        <v>5619537.2425166443</v>
      </c>
      <c r="N54" s="17">
        <f t="shared" si="6"/>
        <v>226210.74387669633</v>
      </c>
    </row>
    <row r="55" spans="1:14" ht="12.75" x14ac:dyDescent="0.2">
      <c r="A55" s="15">
        <v>45961</v>
      </c>
      <c r="B55" s="31">
        <f>VLOOKUP(A55,[1]HwabaoWP_szse_innovation_100!$A:$E,5)</f>
        <v>1.0729999542236328</v>
      </c>
      <c r="C55" s="16">
        <f>VLOOKUP(A55,[2]myPEPB!$B:$C,2,FALSE)</f>
        <v>32.159999849999998</v>
      </c>
      <c r="D55" s="17">
        <f>VLOOKUP(A55,[2]myPEPB!$B:$D,3,FALSE)</f>
        <v>25.690355441740447</v>
      </c>
      <c r="E55" s="17">
        <f>VLOOKUP(A55,[1]HwabaoWP_szse_innovation_100!$A:$F,6)</f>
        <v>2090603.875</v>
      </c>
      <c r="F55" s="17">
        <f>VLOOKUP(A55,[1]HwabaoWP_szse_innovation_100!$A:$I,9)</f>
        <v>4311119.1384309772</v>
      </c>
      <c r="G55" s="17">
        <f t="shared" si="8"/>
        <v>-80175.124714138117</v>
      </c>
      <c r="H55" s="18">
        <f t="shared" si="0"/>
        <v>-74720.529482360216</v>
      </c>
      <c r="I55" s="18">
        <f t="shared" si="4"/>
        <v>12488667.107549492</v>
      </c>
      <c r="J55" s="18">
        <f t="shared" si="1"/>
        <v>13400339.234714795</v>
      </c>
      <c r="K55" s="18">
        <f t="shared" si="5"/>
        <v>8275639.9932962749</v>
      </c>
      <c r="L55" s="18">
        <f t="shared" si="2"/>
        <v>13706725.103305629</v>
      </c>
      <c r="M55" s="18">
        <f t="shared" si="3"/>
        <v>5431085.1100093536</v>
      </c>
      <c r="N55" s="17">
        <f t="shared" si="6"/>
        <v>306385.86859083443</v>
      </c>
    </row>
    <row r="56" spans="1:14" ht="12.75" x14ac:dyDescent="0.2">
      <c r="A56" s="15">
        <v>45989</v>
      </c>
      <c r="B56" s="31">
        <f>VLOOKUP(A56,[1]HwabaoWP_szse_innovation_100!$A:$E,5)</f>
        <v>1.0399999618530273</v>
      </c>
      <c r="C56" s="16">
        <f>VLOOKUP(A56,[2]myPEPB!$B:$C,2,FALSE)</f>
        <v>29.780000690000001</v>
      </c>
      <c r="D56" s="17">
        <f>VLOOKUP(A56,[2]myPEPB!$B:$D,3,FALSE)</f>
        <v>25.767886790921306</v>
      </c>
      <c r="E56" s="17">
        <f>VLOOKUP(A56,[1]HwabaoWP_szse_innovation_100!$A:$F,6)</f>
        <v>1227301</v>
      </c>
      <c r="F56" s="17">
        <f>VLOOKUP(A56,[1]HwabaoWP_szse_innovation_100!$A:$I,9)</f>
        <v>4256467.9943261174</v>
      </c>
      <c r="G56" s="17">
        <f t="shared" si="8"/>
        <v>-18333.497294467583</v>
      </c>
      <c r="H56" s="18">
        <f t="shared" si="0"/>
        <v>-17628.363429746423</v>
      </c>
      <c r="I56" s="18">
        <f t="shared" si="4"/>
        <v>12471038.744119747</v>
      </c>
      <c r="J56" s="18">
        <f t="shared" si="1"/>
        <v>12969879.818152163</v>
      </c>
      <c r="K56" s="18">
        <f t="shared" si="5"/>
        <v>8275639.9932962749</v>
      </c>
      <c r="L56" s="18">
        <f t="shared" si="2"/>
        <v>13294599.184037466</v>
      </c>
      <c r="M56" s="18">
        <f t="shared" si="3"/>
        <v>5018959.1907411907</v>
      </c>
      <c r="N56" s="17">
        <f t="shared" si="6"/>
        <v>324719.36588530202</v>
      </c>
    </row>
    <row r="57" spans="1:14" ht="12.75" x14ac:dyDescent="0.2">
      <c r="A57" s="15">
        <v>46022</v>
      </c>
      <c r="B57" s="31">
        <f>VLOOKUP(A57,[1]HwabaoWP_szse_innovation_100!$A:$E,5)</f>
        <v>1.0640000104904175</v>
      </c>
      <c r="C57" s="16">
        <f>VLOOKUP(A57,[2]myPEPB!$B:$C,2,FALSE)</f>
        <v>31.129999160000001</v>
      </c>
      <c r="D57" s="17">
        <f>VLOOKUP(A57,[2]myPEPB!$B:$D,3,FALSE)</f>
        <v>25.866548769817285</v>
      </c>
      <c r="E57" s="17">
        <f>VLOOKUP(A57,[1]HwabaoWP_szse_innovation_100!$A:$F,6)</f>
        <v>1780809</v>
      </c>
      <c r="F57" s="17">
        <f>VLOOKUP(A57,[1]HwabaoWP_szse_innovation_100!$A:$I,9)</f>
        <v>4200498.0933511853</v>
      </c>
      <c r="G57" s="17">
        <f t="shared" si="8"/>
        <v>-46393.241034391052</v>
      </c>
      <c r="H57" s="18">
        <f t="shared" si="0"/>
        <v>-43602.669715207558</v>
      </c>
      <c r="I57" s="18">
        <f t="shared" si="4"/>
        <v>12427436.07440454</v>
      </c>
      <c r="J57" s="18">
        <f t="shared" si="1"/>
        <v>13222792.113535423</v>
      </c>
      <c r="K57" s="18">
        <f t="shared" si="5"/>
        <v>8275639.9932962749</v>
      </c>
      <c r="L57" s="18">
        <f t="shared" si="2"/>
        <v>13593904.720455116</v>
      </c>
      <c r="M57" s="18">
        <f t="shared" si="3"/>
        <v>5318264.7271588407</v>
      </c>
      <c r="N57" s="17">
        <f t="shared" si="6"/>
        <v>371112.60691969306</v>
      </c>
    </row>
    <row r="58" spans="1:14" ht="12.75" x14ac:dyDescent="0.2">
      <c r="A58" s="15">
        <v>46052</v>
      </c>
      <c r="B58" s="31">
        <f>VLOOKUP(A58,[1]HwabaoWP_szse_innovation_100!$A:$E,5)</f>
        <v>1.0720000267028809</v>
      </c>
      <c r="C58" s="16">
        <f>VLOOKUP(A58,[2]myPEPB!$B:$C,2,FALSE)</f>
        <v>31.709999079999999</v>
      </c>
      <c r="D58" s="17">
        <f>VLOOKUP(A58,[2]myPEPB!$B:$D,3,FALSE)</f>
        <v>25.973356806597167</v>
      </c>
      <c r="E58" s="17">
        <f>VLOOKUP(A58,[1]HwabaoWP_szse_innovation_100!$A:$F,6)</f>
        <v>3570901.25</v>
      </c>
      <c r="F58" s="17">
        <f>VLOOKUP(A58,[1]HwabaoWP_szse_innovation_100!$A:$I,9)</f>
        <v>4177049.6174183078</v>
      </c>
      <c r="G58" s="17">
        <f t="shared" si="8"/>
        <v>-111127.31971233143</v>
      </c>
      <c r="H58" s="18">
        <f t="shared" si="0"/>
        <v>-103663.54192557483</v>
      </c>
      <c r="I58" s="18">
        <f t="shared" si="4"/>
        <v>12323772.532478964</v>
      </c>
      <c r="J58" s="18">
        <f t="shared" si="1"/>
        <v>13211084.483897679</v>
      </c>
      <c r="K58" s="18">
        <f t="shared" si="5"/>
        <v>8275639.9932962749</v>
      </c>
      <c r="L58" s="18">
        <f t="shared" si="2"/>
        <v>13693324.410529703</v>
      </c>
      <c r="M58" s="18">
        <f t="shared" si="3"/>
        <v>5417684.417233428</v>
      </c>
      <c r="N58" s="17">
        <f t="shared" si="6"/>
        <v>482239.92663202446</v>
      </c>
    </row>
    <row r="59" spans="1:14" ht="12.75" x14ac:dyDescent="0.2">
      <c r="A59" s="15">
        <v>46080</v>
      </c>
      <c r="B59" s="31">
        <f>VLOOKUP(A59,[1]HwabaoWP_szse_innovation_100!$A:$E,5)</f>
        <v>1.0750000476837158</v>
      </c>
      <c r="C59" s="16">
        <f>VLOOKUP(A59,[2]myPEPB!$B:$C,2,FALSE)</f>
        <v>31.549999239999998</v>
      </c>
      <c r="D59" s="17">
        <f>VLOOKUP(A59,[2]myPEPB!$B:$D,3,FALSE)</f>
        <v>26.039818023753689</v>
      </c>
      <c r="E59" s="17">
        <f>VLOOKUP(A59,[1]HwabaoWP_szse_innovation_100!$A:$F,6)</f>
        <v>1968100</v>
      </c>
      <c r="F59" s="17">
        <f>VLOOKUP(A59,[1]HwabaoWP_szse_innovation_100!$A:$I,9)</f>
        <v>4145840.7151027853</v>
      </c>
      <c r="G59" s="17">
        <f t="shared" si="8"/>
        <v>-56932.913434554059</v>
      </c>
      <c r="H59" s="18">
        <f t="shared" si="0"/>
        <v>-52960.847357380524</v>
      </c>
      <c r="I59" s="18">
        <f t="shared" si="4"/>
        <v>12270811.685121583</v>
      </c>
      <c r="J59" s="18">
        <f t="shared" si="1"/>
        <v>13191123.146623598</v>
      </c>
      <c r="K59" s="18">
        <f t="shared" si="5"/>
        <v>8275639.9932962749</v>
      </c>
      <c r="L59" s="18">
        <f t="shared" si="2"/>
        <v>13730295.986690177</v>
      </c>
      <c r="M59" s="18">
        <f t="shared" si="3"/>
        <v>5454655.9933939017</v>
      </c>
      <c r="N59" s="17">
        <f t="shared" si="6"/>
        <v>539172.84006657847</v>
      </c>
    </row>
    <row r="60" spans="1:14" ht="12.75" x14ac:dyDescent="0.2">
      <c r="A60" s="15">
        <v>46112</v>
      </c>
      <c r="B60" s="31">
        <f>VLOOKUP(A60,[1]HwabaoWP_szse_innovation_100!$A:$E,5)</f>
        <v>1.0479999780654907</v>
      </c>
      <c r="C60" s="16">
        <f>VLOOKUP(A60,[2]myPEPB!$B:$C,2,FALSE)</f>
        <v>30.549999239999998</v>
      </c>
      <c r="D60" s="17">
        <f>VLOOKUP(A60,[2]myPEPB!$B:$D,3,FALSE)</f>
        <v>26.136981933917117</v>
      </c>
      <c r="E60" s="17">
        <f>VLOOKUP(A60,[1]HwabaoWP_szse_innovation_100!$A:$F,6)</f>
        <v>2017527</v>
      </c>
      <c r="F60" s="17">
        <f>VLOOKUP(A60,[1]HwabaoWP_szse_innovation_100!$A:$I,9)</f>
        <v>4111894.0858900696</v>
      </c>
      <c r="G60" s="17">
        <f t="shared" si="8"/>
        <v>-37743.814809844756</v>
      </c>
      <c r="H60" s="18">
        <f t="shared" si="0"/>
        <v>-36015.091221200484</v>
      </c>
      <c r="I60" s="18">
        <f t="shared" si="4"/>
        <v>12234796.593900383</v>
      </c>
      <c r="J60" s="18">
        <f t="shared" si="1"/>
        <v>12822066.562043341</v>
      </c>
      <c r="K60" s="18">
        <f t="shared" si="5"/>
        <v>8275639.9932962749</v>
      </c>
      <c r="L60" s="18">
        <f t="shared" si="2"/>
        <v>13398983.216919765</v>
      </c>
      <c r="M60" s="18">
        <f t="shared" si="3"/>
        <v>5123343.22362349</v>
      </c>
      <c r="N60" s="17">
        <f t="shared" si="6"/>
        <v>576916.65487642318</v>
      </c>
    </row>
    <row r="61" spans="1:14" ht="12.75" x14ac:dyDescent="0.2">
      <c r="A61" s="15">
        <v>46142</v>
      </c>
      <c r="B61" s="31">
        <f>VLOOKUP(A61,[1]HwabaoWP_szse_innovation_100!$A:$E,5)</f>
        <v>1.1770000457763672</v>
      </c>
      <c r="C61" s="16">
        <f>VLOOKUP(A61,[2]myPEPB!$B:$C,2,FALSE)</f>
        <v>34.549999239999998</v>
      </c>
      <c r="D61" s="17">
        <f>VLOOKUP(A61,[2]myPEPB!$B:$D,3,FALSE)</f>
        <v>26.252550181051159</v>
      </c>
      <c r="E61" s="17">
        <f>VLOOKUP(A61,[1]HwabaoWP_szse_innovation_100!$A:$F,6)</f>
        <v>1531906</v>
      </c>
      <c r="F61" s="17">
        <f>VLOOKUP(A61,[1]HwabaoWP_szse_innovation_100!$A:$I,9)</f>
        <v>4074387.1456824956</v>
      </c>
      <c r="G61" s="17">
        <f t="shared" si="8"/>
        <v>-102248.30313182416</v>
      </c>
      <c r="H61" s="18">
        <f t="shared" si="0"/>
        <v>-86871.961899015572</v>
      </c>
      <c r="I61" s="18">
        <f t="shared" si="4"/>
        <v>12147924.632001366</v>
      </c>
      <c r="J61" s="18">
        <f t="shared" si="1"/>
        <v>14298107.847953467</v>
      </c>
      <c r="K61" s="18">
        <f t="shared" si="5"/>
        <v>8275639.9932962749</v>
      </c>
      <c r="L61" s="18">
        <f t="shared" si="2"/>
        <v>14977272.805961713</v>
      </c>
      <c r="M61" s="18">
        <f t="shared" si="3"/>
        <v>6701632.8126654383</v>
      </c>
      <c r="N61" s="17">
        <f t="shared" si="6"/>
        <v>679164.95800824731</v>
      </c>
    </row>
    <row r="62" spans="1:14" ht="12.75" x14ac:dyDescent="0.2">
      <c r="A62" s="15">
        <v>46171</v>
      </c>
      <c r="B62" s="31">
        <f>VLOOKUP(A62,[1]HwabaoWP_szse_innovation_100!$A:$E,5)</f>
        <v>1.2450000047683716</v>
      </c>
      <c r="C62" s="16">
        <f>VLOOKUP(A62,[2]myPEPB!$B:$C,2,FALSE)</f>
        <v>35.509998320000001</v>
      </c>
      <c r="D62" s="17">
        <f>VLOOKUP(A62,[2]myPEPB!$B:$D,3,FALSE)</f>
        <v>26.381551060434539</v>
      </c>
      <c r="E62" s="17">
        <f>VLOOKUP(A62,[1]HwabaoWP_szse_innovation_100!$A:$F,6)</f>
        <v>2806705</v>
      </c>
      <c r="F62" s="17">
        <f>VLOOKUP(A62,[1]HwabaoWP_szse_innovation_100!$A:$I,9)</f>
        <v>4047711.4584993706</v>
      </c>
      <c r="G62" s="17">
        <f t="shared" si="8"/>
        <v>-228232.84251096987</v>
      </c>
      <c r="H62" s="18">
        <f t="shared" si="0"/>
        <v>-183319.55151552943</v>
      </c>
      <c r="I62" s="18">
        <f t="shared" si="4"/>
        <v>11964605.080485838</v>
      </c>
      <c r="J62" s="18">
        <f t="shared" si="1"/>
        <v>14895933.382256551</v>
      </c>
      <c r="K62" s="18">
        <f t="shared" si="5"/>
        <v>8275639.9932962749</v>
      </c>
      <c r="L62" s="18">
        <f t="shared" si="2"/>
        <v>15803331.182775768</v>
      </c>
      <c r="M62" s="18">
        <f t="shared" si="3"/>
        <v>7527691.1894794926</v>
      </c>
      <c r="N62" s="17">
        <f t="shared" si="6"/>
        <v>907397.80051921715</v>
      </c>
    </row>
    <row r="63" spans="1:14" ht="12.75" x14ac:dyDescent="0.2">
      <c r="A63" s="15">
        <v>46203</v>
      </c>
      <c r="B63" s="31">
        <f>VLOOKUP(A63,[1]HwabaoWP_szse_innovation_100!$A:$E,5)</f>
        <v>1.2760000228881836</v>
      </c>
      <c r="C63" s="16">
        <f>VLOOKUP(A63,[2]myPEPB!$B:$C,2,FALSE)</f>
        <v>41.799999239999998</v>
      </c>
      <c r="D63" s="17">
        <f>VLOOKUP(A63,[2]myPEPB!$B:$D,3,FALSE)</f>
        <v>26.574869220600849</v>
      </c>
      <c r="E63" s="17">
        <f>VLOOKUP(A63,[1]HwabaoWP_szse_innovation_100!$A:$F,6)</f>
        <v>3094800</v>
      </c>
      <c r="F63" s="17">
        <f>VLOOKUP(A63,[1]HwabaoWP_szse_innovation_100!$A:$I,9)</f>
        <v>4026308.4497372219</v>
      </c>
      <c r="G63" s="17">
        <f t="shared" si="8"/>
        <v>-703792.54386857653</v>
      </c>
      <c r="H63" s="18">
        <f t="shared" si="0"/>
        <v>-551561.54486233124</v>
      </c>
      <c r="I63" s="18">
        <f t="shared" si="4"/>
        <v>11413043.535623506</v>
      </c>
      <c r="J63" s="18">
        <f t="shared" si="1"/>
        <v>14563043.812679429</v>
      </c>
      <c r="K63" s="18">
        <f t="shared" si="5"/>
        <v>8275639.9932962749</v>
      </c>
      <c r="L63" s="18">
        <f t="shared" si="2"/>
        <v>16174234.157067223</v>
      </c>
      <c r="M63" s="18">
        <f t="shared" si="3"/>
        <v>7898594.1637709476</v>
      </c>
      <c r="N63" s="17">
        <f t="shared" si="6"/>
        <v>1611190.3443877937</v>
      </c>
    </row>
  </sheetData>
  <phoneticPr fontId="2" type="noConversion"/>
  <conditionalFormatting sqref="J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5" style="3" customWidth="1"/>
    <col min="10" max="10" width="12.625" style="1" customWidth="1"/>
    <col min="11" max="11" width="10.75" style="1" customWidth="1"/>
    <col min="12" max="12" width="10.75" style="3" customWidth="1"/>
    <col min="13" max="13" width="9.5" style="1" bestFit="1" customWidth="1"/>
    <col min="14" max="14" width="9" style="2"/>
    <col min="15" max="15" width="9" style="1"/>
    <col min="16" max="16" width="9.75" style="1" bestFit="1" customWidth="1"/>
    <col min="17" max="18" width="11.375" style="1" customWidth="1"/>
    <col min="19" max="20" width="11.125" style="1" customWidth="1"/>
    <col min="21" max="21" width="10.375" style="1" customWidth="1"/>
    <col min="22" max="22" width="10.25" style="1" customWidth="1"/>
    <col min="23" max="23" width="10.125" style="1" customWidth="1"/>
    <col min="24" max="24" width="9" style="1"/>
    <col min="25" max="25" width="9.75" style="1" bestFit="1" customWidth="1"/>
    <col min="26" max="27" width="9" style="1"/>
    <col min="28" max="28" width="9.75" style="1" bestFit="1" customWidth="1"/>
    <col min="29" max="30" width="9" style="1"/>
    <col min="31" max="31" width="9.75" style="1" bestFit="1" customWidth="1"/>
    <col min="32" max="16384" width="9" style="1"/>
  </cols>
  <sheetData>
    <row r="1" spans="1:33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N1" s="12"/>
    </row>
    <row r="2" spans="1:33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7"/>
    </row>
    <row r="3" spans="1:33" ht="14.1" customHeight="1" x14ac:dyDescent="0.2">
      <c r="A3" s="15">
        <v>44377</v>
      </c>
      <c r="B3" s="31">
        <f>VLOOKUP(A3,[1]HwabaoWP_szse_innovation_100!$A:$E,5)</f>
        <v>1.0309999999999999</v>
      </c>
      <c r="C3" s="16">
        <f>VLOOKUP(A3,[2]myPEPB!$B:$C,2,FALSE)</f>
        <v>41.45</v>
      </c>
      <c r="D3" s="17">
        <f>VLOOKUP(A3,[2]myPEPB!$B:$D,3,FALSE)</f>
        <v>41.041896551724122</v>
      </c>
      <c r="E3" s="17">
        <v>0</v>
      </c>
      <c r="F3" s="18">
        <f t="shared" ref="F3:F63" si="0">E3/B3</f>
        <v>0</v>
      </c>
      <c r="G3" s="18">
        <f>G2+F3</f>
        <v>0</v>
      </c>
      <c r="H3" s="18">
        <f t="shared" ref="H3:H63" si="1">G3*B3</f>
        <v>0</v>
      </c>
      <c r="I3" s="18">
        <f>IF(E3&gt;0,I2+E3,I2)</f>
        <v>0</v>
      </c>
      <c r="J3" s="18">
        <f t="shared" ref="J3:J63" si="2">H3+L3</f>
        <v>0</v>
      </c>
      <c r="K3" s="18">
        <f t="shared" ref="K3:K63" si="3">J3-I3</f>
        <v>0</v>
      </c>
      <c r="L3" s="17">
        <f>IF(E3&lt;0,L2-E3,L2)</f>
        <v>0</v>
      </c>
      <c r="M3" s="7"/>
      <c r="P3" s="45" t="s">
        <v>1</v>
      </c>
      <c r="Q3" s="46" t="s">
        <v>12</v>
      </c>
      <c r="R3" s="46" t="s">
        <v>8</v>
      </c>
      <c r="S3" s="46" t="s">
        <v>9</v>
      </c>
      <c r="T3" s="46" t="s">
        <v>10</v>
      </c>
      <c r="U3" s="47" t="s">
        <v>11</v>
      </c>
      <c r="V3" s="46" t="s">
        <v>13</v>
      </c>
      <c r="W3" s="46" t="s">
        <v>14</v>
      </c>
      <c r="Y3" s="42">
        <v>44561</v>
      </c>
      <c r="Z3" s="1">
        <v>245217.81577195294</v>
      </c>
      <c r="AA3" s="1">
        <f>-Z3</f>
        <v>-245217.81577195294</v>
      </c>
      <c r="AB3" s="42">
        <v>44561</v>
      </c>
      <c r="AC3" s="1">
        <v>245217.76659387304</v>
      </c>
      <c r="AD3" s="1">
        <f>-AC3</f>
        <v>-245217.76659387304</v>
      </c>
      <c r="AE3" s="42">
        <v>44561</v>
      </c>
      <c r="AF3" s="1">
        <v>245217.76659387304</v>
      </c>
      <c r="AG3" s="1">
        <f>-AF3</f>
        <v>-245217.76659387304</v>
      </c>
    </row>
    <row r="4" spans="1:33" ht="14.1" customHeight="1" x14ac:dyDescent="0.2">
      <c r="A4" s="15">
        <v>44407</v>
      </c>
      <c r="B4" s="31">
        <f>VLOOKUP(A4,[1]HwabaoWP_szse_innovation_100!$A:$E,5)</f>
        <v>1.006</v>
      </c>
      <c r="C4" s="16">
        <f>VLOOKUP(A4,[2]myPEPB!$B:$C,2,FALSE)</f>
        <v>39.930000305175781</v>
      </c>
      <c r="D4" s="17">
        <f>VLOOKUP(A4,[2]myPEPB!$B:$D,3,FALSE)</f>
        <v>40.930499984741189</v>
      </c>
      <c r="E4" s="17">
        <f>IF(C4&lt;D4,$E$2*(D4-C4)^2,-$E$2*(D4-C4)^2)</f>
        <v>3953.9484548014116</v>
      </c>
      <c r="F4" s="18">
        <f t="shared" si="0"/>
        <v>3930.3662572578642</v>
      </c>
      <c r="G4" s="18">
        <f t="shared" ref="G4:G63" si="4">G3+F4</f>
        <v>3930.3662572578642</v>
      </c>
      <c r="H4" s="18">
        <f t="shared" si="1"/>
        <v>3953.9484548014116</v>
      </c>
      <c r="I4" s="18">
        <f t="shared" ref="I4:I63" si="5">IF(E4&gt;0,I3+E4,I3)</f>
        <v>3953.9484548014116</v>
      </c>
      <c r="J4" s="18">
        <f t="shared" si="2"/>
        <v>3953.9484548014116</v>
      </c>
      <c r="K4" s="18">
        <f t="shared" si="3"/>
        <v>0</v>
      </c>
      <c r="L4" s="17">
        <f t="shared" ref="L4:L63" si="6">IF(E4&lt;0,L3-E4,L3)</f>
        <v>0</v>
      </c>
      <c r="M4" s="7"/>
      <c r="P4" s="42">
        <v>44561</v>
      </c>
      <c r="Q4" s="10">
        <f>R4</f>
        <v>245217.76659387304</v>
      </c>
      <c r="R4" s="4">
        <f>VLOOKUP(P4,A:I,9,)</f>
        <v>245217.76659387304</v>
      </c>
      <c r="S4" s="4">
        <f>VLOOKUP(P4,A:J,10,)</f>
        <v>247884.03935187534</v>
      </c>
      <c r="T4" s="4">
        <f>VLOOKUP(P4,A:K,11,)</f>
        <v>2666.2727580023056</v>
      </c>
      <c r="U4" s="4">
        <f>VLOOKUP(P4,A:L,12,)</f>
        <v>0</v>
      </c>
      <c r="V4" s="9">
        <f t="shared" ref="V4" si="7">(S4-R4)/R4</f>
        <v>1.0873081486049733E-2</v>
      </c>
      <c r="W4" s="9">
        <f>V4</f>
        <v>1.0873081486049733E-2</v>
      </c>
      <c r="Y4" s="42">
        <v>44925</v>
      </c>
      <c r="Z4" s="7">
        <v>3518640.0716485097</v>
      </c>
      <c r="AA4" s="7">
        <f>-Z4</f>
        <v>-3518640.0716485097</v>
      </c>
      <c r="AB4" s="42">
        <v>44925</v>
      </c>
      <c r="AC4" s="7">
        <v>3518640.0102128703</v>
      </c>
      <c r="AD4" s="7">
        <f>-AC4</f>
        <v>-3518640.0102128703</v>
      </c>
      <c r="AE4" s="42">
        <v>44925</v>
      </c>
      <c r="AF4" s="7">
        <v>3518640.0102128703</v>
      </c>
      <c r="AG4" s="7">
        <f>-AF4</f>
        <v>-3518640.0102128703</v>
      </c>
    </row>
    <row r="5" spans="1:33" ht="14.1" customHeight="1" x14ac:dyDescent="0.2">
      <c r="A5" s="15">
        <v>44439</v>
      </c>
      <c r="B5" s="31">
        <f>VLOOKUP(A5,[1]HwabaoWP_szse_innovation_100!$A:$E,5)</f>
        <v>0.96599999999999997</v>
      </c>
      <c r="C5" s="16">
        <f>VLOOKUP(A5,[2]myPEPB!$B:$C,2,FALSE)</f>
        <v>38.069999694824219</v>
      </c>
      <c r="D5" s="17">
        <f>VLOOKUP(A5,[2]myPEPB!$B:$D,3,FALSE)</f>
        <v>40.654705834482208</v>
      </c>
      <c r="E5" s="17">
        <f t="shared" ref="E5:E63" si="8">IF(C5&lt;D5,$E$2*(D5-C5)^2,-$E$2*(D5-C5)^2)</f>
        <v>26388.788022123525</v>
      </c>
      <c r="F5" s="18">
        <f t="shared" si="0"/>
        <v>27317.585944227252</v>
      </c>
      <c r="G5" s="18">
        <f t="shared" si="4"/>
        <v>31247.952201485117</v>
      </c>
      <c r="H5" s="18">
        <f t="shared" si="1"/>
        <v>30185.521826634624</v>
      </c>
      <c r="I5" s="18">
        <f t="shared" si="5"/>
        <v>30342.736476924936</v>
      </c>
      <c r="J5" s="18">
        <f t="shared" si="2"/>
        <v>30185.521826634624</v>
      </c>
      <c r="K5" s="18">
        <f t="shared" si="3"/>
        <v>-157.21465029031242</v>
      </c>
      <c r="L5" s="17">
        <f t="shared" si="6"/>
        <v>0</v>
      </c>
      <c r="M5" s="7"/>
      <c r="P5" s="42">
        <v>44925</v>
      </c>
      <c r="Q5" s="10">
        <f>R5-R4</f>
        <v>3518640.0102128703</v>
      </c>
      <c r="R5" s="4">
        <f>VLOOKUP(P5,A:I,9,)</f>
        <v>3763857.7768067433</v>
      </c>
      <c r="S5" s="4">
        <f>VLOOKUP(P5,A:J,10,)</f>
        <v>3580619.270033245</v>
      </c>
      <c r="T5" s="4">
        <f>VLOOKUP(P5,A:K,11,)</f>
        <v>-183238.50677349837</v>
      </c>
      <c r="U5" s="4">
        <f>VLOOKUP(P5,A:L,12,)</f>
        <v>0</v>
      </c>
      <c r="V5" s="9">
        <f t="shared" ref="V5:V7" si="9">(S5-R5)/R5</f>
        <v>-4.8683695729055391E-2</v>
      </c>
      <c r="W5" s="9">
        <f>AA6</f>
        <v>-4.5834423753382425E-2</v>
      </c>
      <c r="Y5" s="42">
        <v>44925</v>
      </c>
      <c r="Z5" s="7"/>
      <c r="AA5" s="7">
        <v>3580619.3649953026</v>
      </c>
      <c r="AB5" s="42">
        <v>45289</v>
      </c>
      <c r="AC5" s="7">
        <v>3101231.3499326059</v>
      </c>
      <c r="AD5" s="7">
        <f>-AC5</f>
        <v>-3101231.3499326059</v>
      </c>
      <c r="AE5" s="42">
        <v>45289</v>
      </c>
      <c r="AF5" s="7">
        <v>3101231.3499326059</v>
      </c>
      <c r="AG5" s="7">
        <f>-AF5</f>
        <v>-3101231.3499326059</v>
      </c>
    </row>
    <row r="6" spans="1:33" ht="14.1" customHeight="1" x14ac:dyDescent="0.2">
      <c r="A6" s="15">
        <v>44469</v>
      </c>
      <c r="B6" s="31">
        <f>VLOOKUP(A6,[1]HwabaoWP_szse_innovation_100!$A:$E,5)</f>
        <v>0.96099999999999997</v>
      </c>
      <c r="C6" s="16">
        <f>VLOOKUP(A6,[2]myPEPB!$B:$C,2,FALSE)</f>
        <v>35.020000457763672</v>
      </c>
      <c r="D6" s="17">
        <f>VLOOKUP(A6,[2]myPEPB!$B:$D,3,FALSE)</f>
        <v>39.730819672131133</v>
      </c>
      <c r="E6" s="17">
        <f t="shared" si="8"/>
        <v>87657.679798291982</v>
      </c>
      <c r="F6" s="18">
        <f t="shared" si="0"/>
        <v>91215.067427983333</v>
      </c>
      <c r="G6" s="18">
        <f t="shared" si="4"/>
        <v>122463.01962946844</v>
      </c>
      <c r="H6" s="18">
        <f t="shared" si="1"/>
        <v>117686.96186391918</v>
      </c>
      <c r="I6" s="18">
        <f t="shared" si="5"/>
        <v>118000.41627521692</v>
      </c>
      <c r="J6" s="18">
        <f t="shared" si="2"/>
        <v>117686.96186391918</v>
      </c>
      <c r="K6" s="18">
        <f t="shared" si="3"/>
        <v>-313.45441129774554</v>
      </c>
      <c r="L6" s="17">
        <f t="shared" si="6"/>
        <v>0</v>
      </c>
      <c r="M6" s="7"/>
      <c r="P6" s="42">
        <v>45289</v>
      </c>
      <c r="Q6" s="10">
        <f>R6-R5</f>
        <v>3101231.3499326059</v>
      </c>
      <c r="R6" s="4">
        <f>VLOOKUP(P6,A:I,9,)</f>
        <v>6865089.1267393492</v>
      </c>
      <c r="S6" s="4">
        <f>VLOOKUP(P6,A:J,10,)</f>
        <v>6043907.692957717</v>
      </c>
      <c r="T6" s="4">
        <f>VLOOKUP(P6,A:K,11,)</f>
        <v>-821181.43378163222</v>
      </c>
      <c r="U6" s="4">
        <f>VLOOKUP(P6,A:L,12,)</f>
        <v>0</v>
      </c>
      <c r="V6" s="9">
        <f t="shared" si="9"/>
        <v>-0.11961700986271995</v>
      </c>
      <c r="W6" s="9">
        <v>-7.7878942670306261E-2</v>
      </c>
      <c r="Y6" s="7"/>
      <c r="Z6" s="7"/>
      <c r="AA6" s="8">
        <f>IRR(AA3:AA5)</f>
        <v>-4.5834423753382425E-2</v>
      </c>
      <c r="AB6" s="42">
        <v>45289</v>
      </c>
      <c r="AC6" s="7"/>
      <c r="AD6" s="8">
        <v>6043907.692957717</v>
      </c>
      <c r="AE6" s="42">
        <v>45657</v>
      </c>
      <c r="AF6" s="1">
        <v>2457066.9526285101</v>
      </c>
      <c r="AG6" s="1">
        <f>-AF6</f>
        <v>-2457066.9526285101</v>
      </c>
    </row>
    <row r="7" spans="1:33" ht="14.1" customHeight="1" x14ac:dyDescent="0.2">
      <c r="A7" s="15">
        <v>44498</v>
      </c>
      <c r="B7" s="31">
        <f>VLOOKUP(A7,[1]HwabaoWP_szse_innovation_100!$A:$E,5)</f>
        <v>0.99299997091293335</v>
      </c>
      <c r="C7" s="16">
        <f>VLOOKUP(A7,[2]myPEPB!$B:$C,2,FALSE)</f>
        <v>36.299999237060547</v>
      </c>
      <c r="D7" s="17">
        <f>VLOOKUP(A7,[2]myPEPB!$B:$D,3,FALSE)</f>
        <v>39.253623134226025</v>
      </c>
      <c r="E7" s="17">
        <f t="shared" si="8"/>
        <v>34459.3817973326</v>
      </c>
      <c r="F7" s="18">
        <f t="shared" si="0"/>
        <v>34702.298899013775</v>
      </c>
      <c r="G7" s="18">
        <f t="shared" si="4"/>
        <v>157165.31852848222</v>
      </c>
      <c r="H7" s="18">
        <f t="shared" si="1"/>
        <v>156065.15672730474</v>
      </c>
      <c r="I7" s="18">
        <f t="shared" si="5"/>
        <v>152459.79807254951</v>
      </c>
      <c r="J7" s="18">
        <f t="shared" si="2"/>
        <v>156065.15672730474</v>
      </c>
      <c r="K7" s="18">
        <f t="shared" si="3"/>
        <v>3605.3586547552259</v>
      </c>
      <c r="L7" s="17">
        <f t="shared" si="6"/>
        <v>0</v>
      </c>
      <c r="M7" s="7"/>
      <c r="P7" s="42">
        <v>45657</v>
      </c>
      <c r="Q7" s="10">
        <f>R7-R6</f>
        <v>2457066.9526406061</v>
      </c>
      <c r="R7" s="4">
        <f>VLOOKUP(P7,A:I,9,)</f>
        <v>9322156.0793799553</v>
      </c>
      <c r="S7" s="4">
        <f>VLOOKUP(P7,A:J,10,)</f>
        <v>10510929.054722106</v>
      </c>
      <c r="T7" s="4">
        <f>VLOOKUP(P7,A:K,11,)</f>
        <v>1188772.9753421508</v>
      </c>
      <c r="U7" s="4">
        <f>VLOOKUP(P7,A:L,12,)</f>
        <v>0</v>
      </c>
      <c r="V7" s="9">
        <f t="shared" si="9"/>
        <v>0.1275212477906956</v>
      </c>
      <c r="W7" s="9">
        <v>5.6434982564923741E-2</v>
      </c>
      <c r="Y7" s="7"/>
      <c r="Z7" s="7"/>
      <c r="AA7" s="7"/>
      <c r="AD7" s="2">
        <f>IRR(AD3:AD6)</f>
        <v>-7.7878942670306261E-2</v>
      </c>
      <c r="AE7" s="42">
        <v>45657</v>
      </c>
      <c r="AG7" s="2">
        <v>10510929.054706667</v>
      </c>
    </row>
    <row r="8" spans="1:33" ht="14.1" customHeight="1" x14ac:dyDescent="0.2">
      <c r="A8" s="15">
        <v>44530</v>
      </c>
      <c r="B8" s="31">
        <f>VLOOKUP(A8,[1]HwabaoWP_szse_innovation_100!$A:$E,5)</f>
        <v>1.0110000371932983</v>
      </c>
      <c r="C8" s="16">
        <f>VLOOKUP(A8,[2]myPEPB!$B:$C,2,FALSE)</f>
        <v>35.450000762939453</v>
      </c>
      <c r="D8" s="17">
        <f>VLOOKUP(A8,[2]myPEPB!$B:$D,3,FALSE)</f>
        <v>38.695499993324269</v>
      </c>
      <c r="E8" s="17">
        <f t="shared" si="8"/>
        <v>41606.397754992307</v>
      </c>
      <c r="F8" s="18">
        <f t="shared" si="0"/>
        <v>41153.705464243583</v>
      </c>
      <c r="G8" s="18">
        <f t="shared" si="4"/>
        <v>198319.02399272582</v>
      </c>
      <c r="H8" s="18">
        <f t="shared" si="1"/>
        <v>200500.54063278442</v>
      </c>
      <c r="I8" s="18">
        <f t="shared" si="5"/>
        <v>194066.19582754181</v>
      </c>
      <c r="J8" s="18">
        <f t="shared" si="2"/>
        <v>200500.54063278442</v>
      </c>
      <c r="K8" s="18">
        <f t="shared" si="3"/>
        <v>6434.3448052426102</v>
      </c>
      <c r="L8" s="17">
        <f t="shared" si="6"/>
        <v>0</v>
      </c>
      <c r="M8" s="7"/>
      <c r="AG8" s="2">
        <f>IRR(AG3:AG7)</f>
        <v>5.6434982564923741E-2</v>
      </c>
    </row>
    <row r="9" spans="1:33" ht="14.1" customHeight="1" x14ac:dyDescent="0.2">
      <c r="A9" s="15">
        <v>44561</v>
      </c>
      <c r="B9" s="31">
        <f>VLOOKUP(A9,[1]HwabaoWP_szse_innovation_100!$A:$E,5)</f>
        <v>0.99199998378753662</v>
      </c>
      <c r="C9" s="16">
        <f>VLOOKUP(A9,[2]myPEPB!$B:$C,2,FALSE)</f>
        <v>34.630001068115234</v>
      </c>
      <c r="D9" s="17">
        <f>VLOOKUP(A9,[2]myPEPB!$B:$D,3,FALSE)</f>
        <v>38.2285792249669</v>
      </c>
      <c r="E9" s="17">
        <f t="shared" si="8"/>
        <v>51151.570766331228</v>
      </c>
      <c r="F9" s="18">
        <f t="shared" si="0"/>
        <v>51564.084276524249</v>
      </c>
      <c r="G9" s="18">
        <f t="shared" si="4"/>
        <v>249883.10826925008</v>
      </c>
      <c r="H9" s="18">
        <f t="shared" si="1"/>
        <v>247884.03935187534</v>
      </c>
      <c r="I9" s="18">
        <f t="shared" si="5"/>
        <v>245217.76659387304</v>
      </c>
      <c r="J9" s="18">
        <f t="shared" si="2"/>
        <v>247884.03935187534</v>
      </c>
      <c r="K9" s="18">
        <f t="shared" si="3"/>
        <v>2666.2727580023056</v>
      </c>
      <c r="L9" s="17">
        <f t="shared" si="6"/>
        <v>0</v>
      </c>
      <c r="M9" s="7"/>
      <c r="Y9" s="6"/>
      <c r="Z9" s="7"/>
      <c r="AA9" s="7"/>
    </row>
    <row r="10" spans="1:33" ht="14.1" customHeight="1" x14ac:dyDescent="0.2">
      <c r="A10" s="15">
        <v>44589</v>
      </c>
      <c r="B10" s="31">
        <f>VLOOKUP(A10,[1]HwabaoWP_szse_innovation_100!$A:$E,5)</f>
        <v>0.89099997282028198</v>
      </c>
      <c r="C10" s="16">
        <f>VLOOKUP(A10,[2]myPEPB!$B:$C,2,FALSE)</f>
        <v>31.020000457763672</v>
      </c>
      <c r="D10" s="17">
        <f>VLOOKUP(A10,[2]myPEPB!$B:$D,3,FALSE)</f>
        <v>37.709801948471814</v>
      </c>
      <c r="E10" s="17">
        <f t="shared" si="8"/>
        <v>176776.10374106947</v>
      </c>
      <c r="F10" s="18">
        <f t="shared" si="0"/>
        <v>198401.91821950354</v>
      </c>
      <c r="G10" s="18">
        <f t="shared" si="4"/>
        <v>448285.02648875362</v>
      </c>
      <c r="H10" s="18">
        <f t="shared" si="1"/>
        <v>399421.94641721889</v>
      </c>
      <c r="I10" s="18">
        <f t="shared" si="5"/>
        <v>421993.87033494248</v>
      </c>
      <c r="J10" s="18">
        <f t="shared" si="2"/>
        <v>399421.94641721889</v>
      </c>
      <c r="K10" s="18">
        <f t="shared" si="3"/>
        <v>-22571.923917723587</v>
      </c>
      <c r="L10" s="17">
        <f t="shared" si="6"/>
        <v>0</v>
      </c>
      <c r="M10" s="7"/>
      <c r="Y10" s="19"/>
      <c r="Z10" s="7"/>
      <c r="AA10" s="7"/>
    </row>
    <row r="11" spans="1:33" ht="14.1" customHeight="1" x14ac:dyDescent="0.2">
      <c r="A11" s="15">
        <v>44620</v>
      </c>
      <c r="B11" s="31">
        <f>VLOOKUP(A11,[1]HwabaoWP_szse_innovation_100!$A:$E,5)</f>
        <v>0.88200002908706665</v>
      </c>
      <c r="C11" s="16">
        <f>VLOOKUP(A11,[2]myPEPB!$B:$C,2,FALSE)</f>
        <v>30.969999313354492</v>
      </c>
      <c r="D11" s="17">
        <f>VLOOKUP(A11,[2]myPEPB!$B:$D,3,FALSE)</f>
        <v>37.189128403969853</v>
      </c>
      <c r="E11" s="17">
        <f t="shared" si="8"/>
        <v>152776.38825066606</v>
      </c>
      <c r="F11" s="18">
        <f t="shared" si="0"/>
        <v>173215.85398222785</v>
      </c>
      <c r="G11" s="18">
        <f t="shared" si="4"/>
        <v>621500.88047098147</v>
      </c>
      <c r="H11" s="18">
        <f t="shared" si="1"/>
        <v>548163.79465304315</v>
      </c>
      <c r="I11" s="18">
        <f t="shared" si="5"/>
        <v>574770.25858560856</v>
      </c>
      <c r="J11" s="18">
        <f t="shared" si="2"/>
        <v>548163.79465304315</v>
      </c>
      <c r="K11" s="18">
        <f t="shared" si="3"/>
        <v>-26606.463932565413</v>
      </c>
      <c r="L11" s="17">
        <f t="shared" si="6"/>
        <v>0</v>
      </c>
      <c r="M11" s="7"/>
      <c r="Y11" s="19"/>
      <c r="Z11" s="7"/>
      <c r="AA11" s="7"/>
    </row>
    <row r="12" spans="1:33" ht="14.1" customHeight="1" x14ac:dyDescent="0.2">
      <c r="A12" s="15">
        <v>44651</v>
      </c>
      <c r="B12" s="31">
        <f>VLOOKUP(A12,[1]HwabaoWP_szse_innovation_100!$A:$E,5)</f>
        <v>0.79199999570846558</v>
      </c>
      <c r="C12" s="16">
        <f>VLOOKUP(A12,[2]myPEPB!$B:$C,2,FALSE)</f>
        <v>27.639999389648438</v>
      </c>
      <c r="D12" s="17">
        <f>VLOOKUP(A12,[2]myPEPB!$B:$D,3,FALSE)</f>
        <v>36.340041473831867</v>
      </c>
      <c r="E12" s="17">
        <f t="shared" si="8"/>
        <v>298978.39245292288</v>
      </c>
      <c r="F12" s="18">
        <f t="shared" si="0"/>
        <v>377497.97231435409</v>
      </c>
      <c r="G12" s="18">
        <f t="shared" si="4"/>
        <v>998998.85278533562</v>
      </c>
      <c r="H12" s="18">
        <f t="shared" si="1"/>
        <v>791207.08711874788</v>
      </c>
      <c r="I12" s="18">
        <f t="shared" si="5"/>
        <v>873748.65103853145</v>
      </c>
      <c r="J12" s="18">
        <f t="shared" si="2"/>
        <v>791207.08711874788</v>
      </c>
      <c r="K12" s="18">
        <f t="shared" si="3"/>
        <v>-82541.56391978357</v>
      </c>
      <c r="L12" s="17">
        <f t="shared" si="6"/>
        <v>0</v>
      </c>
      <c r="M12" s="7"/>
      <c r="Y12" s="19"/>
    </row>
    <row r="13" spans="1:33" ht="14.1" customHeight="1" x14ac:dyDescent="0.2">
      <c r="A13" s="15">
        <v>44680</v>
      </c>
      <c r="B13" s="31">
        <f>VLOOKUP(A13,[1]HwabaoWP_szse_innovation_100!$A:$E,5)</f>
        <v>0.71899998188018799</v>
      </c>
      <c r="C13" s="16">
        <f>VLOOKUP(A13,[2]myPEPB!$B:$C,2,FALSE)</f>
        <v>25.129999160766602</v>
      </c>
      <c r="D13" s="17">
        <f>VLOOKUP(A13,[2]myPEPB!$B:$D,3,FALSE)</f>
        <v>35.566115372584406</v>
      </c>
      <c r="E13" s="17">
        <f t="shared" si="8"/>
        <v>430204.46026693727</v>
      </c>
      <c r="F13" s="18">
        <f t="shared" si="0"/>
        <v>598337.23380903399</v>
      </c>
      <c r="G13" s="18">
        <f t="shared" si="4"/>
        <v>1597336.0865943697</v>
      </c>
      <c r="H13" s="18">
        <f t="shared" si="1"/>
        <v>1148484.6173179222</v>
      </c>
      <c r="I13" s="18">
        <f t="shared" si="5"/>
        <v>1303953.1113054687</v>
      </c>
      <c r="J13" s="18">
        <f t="shared" si="2"/>
        <v>1148484.6173179222</v>
      </c>
      <c r="K13" s="18">
        <f t="shared" si="3"/>
        <v>-155468.49398754654</v>
      </c>
      <c r="L13" s="17">
        <f t="shared" si="6"/>
        <v>0</v>
      </c>
      <c r="M13" s="7"/>
      <c r="AA13" s="2"/>
    </row>
    <row r="14" spans="1:33" ht="14.1" customHeight="1" x14ac:dyDescent="0.2">
      <c r="A14" s="15">
        <v>44712</v>
      </c>
      <c r="B14" s="31">
        <f>VLOOKUP(A14,[1]HwabaoWP_szse_innovation_100!$A:$E,5)</f>
        <v>0.74699997901916504</v>
      </c>
      <c r="C14" s="16">
        <f>VLOOKUP(A14,[2]myPEPB!$B:$C,2,FALSE)</f>
        <v>24.129999160766602</v>
      </c>
      <c r="D14" s="17">
        <f>VLOOKUP(A14,[2]myPEPB!$B:$D,3,FALSE)</f>
        <v>34.740071662711408</v>
      </c>
      <c r="E14" s="17">
        <f t="shared" si="8"/>
        <v>444665.872061275</v>
      </c>
      <c r="F14" s="18">
        <f t="shared" si="0"/>
        <v>595268.92175436951</v>
      </c>
      <c r="G14" s="18">
        <f t="shared" si="4"/>
        <v>2192605.0083487392</v>
      </c>
      <c r="H14" s="18">
        <f t="shared" si="1"/>
        <v>1637875.8952338244</v>
      </c>
      <c r="I14" s="18">
        <f t="shared" si="5"/>
        <v>1748618.9833667437</v>
      </c>
      <c r="J14" s="18">
        <f t="shared" si="2"/>
        <v>1637875.8952338244</v>
      </c>
      <c r="K14" s="18">
        <f t="shared" si="3"/>
        <v>-110743.08813291928</v>
      </c>
      <c r="L14" s="17">
        <f t="shared" si="6"/>
        <v>0</v>
      </c>
      <c r="M14" s="7"/>
    </row>
    <row r="15" spans="1:33" ht="14.1" customHeight="1" x14ac:dyDescent="0.2">
      <c r="A15" s="15">
        <v>44742</v>
      </c>
      <c r="B15" s="31">
        <f>VLOOKUP(A15,[1]HwabaoWP_szse_innovation_100!$A:$E,5)</f>
        <v>0.84500002861022949</v>
      </c>
      <c r="C15" s="16">
        <f>VLOOKUP(A15,[2]myPEPB!$B:$C,2,FALSE)</f>
        <v>27.809999465942383</v>
      </c>
      <c r="D15" s="17">
        <f>VLOOKUP(A15,[2]myPEPB!$B:$D,3,FALSE)</f>
        <v>34.118899975077305</v>
      </c>
      <c r="E15" s="17">
        <f t="shared" si="8"/>
        <v>157218.79125494338</v>
      </c>
      <c r="F15" s="18">
        <f t="shared" si="0"/>
        <v>186057.73483051939</v>
      </c>
      <c r="G15" s="18">
        <f t="shared" si="4"/>
        <v>2378662.7431792584</v>
      </c>
      <c r="H15" s="18">
        <f t="shared" si="1"/>
        <v>2009970.0860405604</v>
      </c>
      <c r="I15" s="18">
        <f t="shared" si="5"/>
        <v>1905837.7746216871</v>
      </c>
      <c r="J15" s="18">
        <f t="shared" si="2"/>
        <v>2009970.0860405604</v>
      </c>
      <c r="K15" s="18">
        <f t="shared" si="3"/>
        <v>104132.31141887326</v>
      </c>
      <c r="L15" s="17">
        <f t="shared" si="6"/>
        <v>0</v>
      </c>
      <c r="M15" s="7"/>
    </row>
    <row r="16" spans="1:33" ht="14.1" customHeight="1" x14ac:dyDescent="0.2">
      <c r="A16" s="15">
        <v>44771</v>
      </c>
      <c r="B16" s="31">
        <f>VLOOKUP(A16,[1]HwabaoWP_szse_innovation_100!$A:$E,5)</f>
        <v>0.80099999904632568</v>
      </c>
      <c r="C16" s="16">
        <f>VLOOKUP(A16,[2]myPEPB!$B:$C,2,FALSE)</f>
        <v>26.329999923706055</v>
      </c>
      <c r="D16" s="17">
        <f>VLOOKUP(A16,[2]myPEPB!$B:$D,3,FALSE)</f>
        <v>33.665700900829464</v>
      </c>
      <c r="E16" s="17">
        <f t="shared" si="8"/>
        <v>212559.40986178888</v>
      </c>
      <c r="F16" s="18">
        <f t="shared" si="0"/>
        <v>265367.55320207629</v>
      </c>
      <c r="G16" s="18">
        <f t="shared" si="4"/>
        <v>2644030.2963813348</v>
      </c>
      <c r="H16" s="18">
        <f t="shared" si="1"/>
        <v>2117868.2648799052</v>
      </c>
      <c r="I16" s="18">
        <f t="shared" si="5"/>
        <v>2118397.184483476</v>
      </c>
      <c r="J16" s="18">
        <f t="shared" si="2"/>
        <v>2117868.2648799052</v>
      </c>
      <c r="K16" s="18">
        <f t="shared" si="3"/>
        <v>-528.91960357083008</v>
      </c>
      <c r="L16" s="17">
        <f t="shared" si="6"/>
        <v>0</v>
      </c>
      <c r="M16" s="7"/>
    </row>
    <row r="17" spans="1:13" ht="14.1" customHeight="1" x14ac:dyDescent="0.2">
      <c r="A17" s="15">
        <v>44804</v>
      </c>
      <c r="B17" s="31">
        <f>VLOOKUP(A17,[1]HwabaoWP_szse_innovation_100!$A:$E,5)</f>
        <v>0.76499998569488525</v>
      </c>
      <c r="C17" s="16">
        <f>VLOOKUP(A17,[2]myPEPB!$B:$C,2,FALSE)</f>
        <v>25.180000305175781</v>
      </c>
      <c r="D17" s="17">
        <f>VLOOKUP(A17,[2]myPEPB!$B:$D,3,FALSE)</f>
        <v>33.177209276154976</v>
      </c>
      <c r="E17" s="17">
        <f t="shared" si="8"/>
        <v>252623.63773576493</v>
      </c>
      <c r="F17" s="18">
        <f t="shared" si="0"/>
        <v>330226.98360745073</v>
      </c>
      <c r="G17" s="18">
        <f t="shared" si="4"/>
        <v>2974257.2799887853</v>
      </c>
      <c r="H17" s="18">
        <f t="shared" si="1"/>
        <v>2275306.7766443291</v>
      </c>
      <c r="I17" s="18">
        <f t="shared" si="5"/>
        <v>2371020.8222192409</v>
      </c>
      <c r="J17" s="18">
        <f t="shared" si="2"/>
        <v>2275306.7766443291</v>
      </c>
      <c r="K17" s="18">
        <f t="shared" si="3"/>
        <v>-95714.04557491187</v>
      </c>
      <c r="L17" s="17">
        <f t="shared" si="6"/>
        <v>0</v>
      </c>
      <c r="M17" s="7"/>
    </row>
    <row r="18" spans="1:13" ht="14.1" customHeight="1" x14ac:dyDescent="0.2">
      <c r="A18" s="15">
        <v>44834</v>
      </c>
      <c r="B18" s="31">
        <f>VLOOKUP(A18,[1]HwabaoWP_szse_innovation_100!$A:$E,5)</f>
        <v>0.69599997997283936</v>
      </c>
      <c r="C18" s="16">
        <f>VLOOKUP(A18,[2]myPEPB!$B:$C,2,FALSE)</f>
        <v>22.610000610351563</v>
      </c>
      <c r="D18" s="17">
        <f>VLOOKUP(A18,[2]myPEPB!$B:$D,3,FALSE)</f>
        <v>32.639682721540886</v>
      </c>
      <c r="E18" s="17">
        <f t="shared" si="8"/>
        <v>397348.36684346898</v>
      </c>
      <c r="F18" s="18">
        <f t="shared" si="0"/>
        <v>570902.84235205734</v>
      </c>
      <c r="G18" s="18">
        <f t="shared" si="4"/>
        <v>3545160.1223408426</v>
      </c>
      <c r="H18" s="18">
        <f t="shared" si="1"/>
        <v>2467431.3741497351</v>
      </c>
      <c r="I18" s="18">
        <f t="shared" si="5"/>
        <v>2768369.1890627099</v>
      </c>
      <c r="J18" s="18">
        <f t="shared" si="2"/>
        <v>2467431.3741497351</v>
      </c>
      <c r="K18" s="18">
        <f t="shared" si="3"/>
        <v>-300937.81491297483</v>
      </c>
      <c r="L18" s="17">
        <f t="shared" si="6"/>
        <v>0</v>
      </c>
      <c r="M18" s="7"/>
    </row>
    <row r="19" spans="1:13" ht="12.75" x14ac:dyDescent="0.2">
      <c r="A19" s="15">
        <v>44865</v>
      </c>
      <c r="B19" s="31">
        <f>VLOOKUP(A19,[1]HwabaoWP_szse_innovation_100!$A:$E,5)</f>
        <v>0.68699997663497925</v>
      </c>
      <c r="C19" s="16">
        <f>VLOOKUP(A19,[2]myPEPB!$B:$C,2,FALSE)</f>
        <v>22.239999771118164</v>
      </c>
      <c r="D19" s="17">
        <f>VLOOKUP(A19,[2]myPEPB!$B:$D,3,FALSE)</f>
        <v>32.234052997346801</v>
      </c>
      <c r="E19" s="17">
        <f t="shared" si="8"/>
        <v>394530.34456032957</v>
      </c>
      <c r="F19" s="18">
        <f t="shared" si="0"/>
        <v>574279.9970573415</v>
      </c>
      <c r="G19" s="18">
        <f t="shared" si="4"/>
        <v>4119440.1193981841</v>
      </c>
      <c r="H19" s="18">
        <f t="shared" si="1"/>
        <v>2830055.2657757485</v>
      </c>
      <c r="I19" s="18">
        <f t="shared" si="5"/>
        <v>3162899.5336230397</v>
      </c>
      <c r="J19" s="18">
        <f t="shared" si="2"/>
        <v>2830055.2657757485</v>
      </c>
      <c r="K19" s="18">
        <f t="shared" si="3"/>
        <v>-332844.26784729119</v>
      </c>
      <c r="L19" s="17">
        <f t="shared" si="6"/>
        <v>0</v>
      </c>
    </row>
    <row r="20" spans="1:13" ht="12.75" x14ac:dyDescent="0.2">
      <c r="A20" s="15">
        <v>44895</v>
      </c>
      <c r="B20" s="31">
        <f>VLOOKUP(A20,[1]HwabaoWP_szse_innovation_100!$A:$E,5)</f>
        <v>0.72000002861022949</v>
      </c>
      <c r="C20" s="16">
        <f>VLOOKUP(A20,[2]myPEPB!$B:$C,2,FALSE)</f>
        <v>22.809999465942383</v>
      </c>
      <c r="D20" s="17">
        <f>VLOOKUP(A20,[2]myPEPB!$B:$D,3,FALSE)</f>
        <v>31.717553840474388</v>
      </c>
      <c r="E20" s="17">
        <f t="shared" si="8"/>
        <v>313410.87349421479</v>
      </c>
      <c r="F20" s="18">
        <f t="shared" si="0"/>
        <v>435292.8625560918</v>
      </c>
      <c r="G20" s="18">
        <f t="shared" si="4"/>
        <v>4554732.9819542756</v>
      </c>
      <c r="H20" s="18">
        <f t="shared" si="1"/>
        <v>3279407.8773190342</v>
      </c>
      <c r="I20" s="18">
        <f t="shared" si="5"/>
        <v>3476310.4071172546</v>
      </c>
      <c r="J20" s="18">
        <f t="shared" si="2"/>
        <v>3279407.8773190342</v>
      </c>
      <c r="K20" s="18">
        <f t="shared" si="3"/>
        <v>-196902.52979822038</v>
      </c>
      <c r="L20" s="17">
        <f t="shared" si="6"/>
        <v>0</v>
      </c>
    </row>
    <row r="21" spans="1:13" ht="12.75" x14ac:dyDescent="0.2">
      <c r="A21" s="15">
        <v>44925</v>
      </c>
      <c r="B21" s="31">
        <f>VLOOKUP(A21,[1]HwabaoWP_szse_innovation_100!$A:$E,5)</f>
        <v>0.72299998998641968</v>
      </c>
      <c r="C21" s="16">
        <f>VLOOKUP(A21,[2]myPEPB!$B:$C,2,FALSE)</f>
        <v>22.739999771118164</v>
      </c>
      <c r="D21" s="17">
        <f>VLOOKUP(A21,[2]myPEPB!$B:$D,3,FALSE)</f>
        <v>31.2721039929989</v>
      </c>
      <c r="E21" s="17">
        <f t="shared" si="8"/>
        <v>287547.36968948861</v>
      </c>
      <c r="F21" s="18">
        <f t="shared" si="0"/>
        <v>397714.20978151012</v>
      </c>
      <c r="G21" s="18">
        <f t="shared" si="4"/>
        <v>4952447.1917357855</v>
      </c>
      <c r="H21" s="18">
        <f t="shared" si="1"/>
        <v>3580619.270033245</v>
      </c>
      <c r="I21" s="18">
        <f t="shared" si="5"/>
        <v>3763857.7768067433</v>
      </c>
      <c r="J21" s="18">
        <f t="shared" si="2"/>
        <v>3580619.270033245</v>
      </c>
      <c r="K21" s="18">
        <f t="shared" si="3"/>
        <v>-183238.50677349837</v>
      </c>
      <c r="L21" s="17">
        <f t="shared" si="6"/>
        <v>0</v>
      </c>
    </row>
    <row r="22" spans="1:13" ht="12.75" x14ac:dyDescent="0.2">
      <c r="A22" s="15">
        <v>44957</v>
      </c>
      <c r="B22" s="31">
        <f>VLOOKUP(A22,[1]HwabaoWP_szse_innovation_100!$A:$E,5)</f>
        <v>0.78899997472763062</v>
      </c>
      <c r="C22" s="16">
        <f>VLOOKUP(A22,[2]myPEPB!$B:$C,2,FALSE)</f>
        <v>24.899999618530273</v>
      </c>
      <c r="D22" s="17">
        <f>VLOOKUP(A22,[2]myPEPB!$B:$D,3,FALSE)</f>
        <v>31.009964169913562</v>
      </c>
      <c r="E22" s="17">
        <f t="shared" si="8"/>
        <v>147460.08393568356</v>
      </c>
      <c r="F22" s="18">
        <f t="shared" si="0"/>
        <v>186894.91591756771</v>
      </c>
      <c r="G22" s="18">
        <f t="shared" si="4"/>
        <v>5139342.1076533534</v>
      </c>
      <c r="H22" s="18">
        <f t="shared" si="1"/>
        <v>4054940.7930551437</v>
      </c>
      <c r="I22" s="18">
        <f t="shared" si="5"/>
        <v>3911317.8607424269</v>
      </c>
      <c r="J22" s="18">
        <f t="shared" si="2"/>
        <v>4054940.7930551437</v>
      </c>
      <c r="K22" s="18">
        <f t="shared" si="3"/>
        <v>143622.93231271673</v>
      </c>
      <c r="L22" s="17">
        <f t="shared" si="6"/>
        <v>0</v>
      </c>
    </row>
    <row r="23" spans="1:13" ht="12.75" x14ac:dyDescent="0.2">
      <c r="A23" s="15">
        <v>44985</v>
      </c>
      <c r="B23" s="31">
        <f>VLOOKUP(A23,[1]HwabaoWP_szse_innovation_100!$A:$E,5)</f>
        <v>0.7630000114440918</v>
      </c>
      <c r="C23" s="16">
        <f>VLOOKUP(A23,[2]myPEPB!$B:$C,2,FALSE)</f>
        <v>23.979999542236328</v>
      </c>
      <c r="D23" s="17">
        <f>VLOOKUP(A23,[2]myPEPB!$B:$D,3,FALSE)</f>
        <v>30.72842559388133</v>
      </c>
      <c r="E23" s="17">
        <f t="shared" si="8"/>
        <v>179887.95398935772</v>
      </c>
      <c r="F23" s="18">
        <f t="shared" si="0"/>
        <v>235764.02528342407</v>
      </c>
      <c r="G23" s="18">
        <f t="shared" si="4"/>
        <v>5375106.1329367775</v>
      </c>
      <c r="H23" s="18">
        <f t="shared" si="1"/>
        <v>4101206.040943969</v>
      </c>
      <c r="I23" s="18">
        <f t="shared" si="5"/>
        <v>4091205.8147317846</v>
      </c>
      <c r="J23" s="18">
        <f t="shared" si="2"/>
        <v>4101206.040943969</v>
      </c>
      <c r="K23" s="18">
        <f t="shared" si="3"/>
        <v>10000.226212184411</v>
      </c>
      <c r="L23" s="17">
        <f t="shared" si="6"/>
        <v>0</v>
      </c>
    </row>
    <row r="24" spans="1:13" ht="12.75" x14ac:dyDescent="0.2">
      <c r="A24" s="15">
        <v>45016</v>
      </c>
      <c r="B24" s="31">
        <f>VLOOKUP(A24,[1]HwabaoWP_szse_innovation_100!$A:$E,5)</f>
        <v>0.77100002765655518</v>
      </c>
      <c r="C24" s="16">
        <f>VLOOKUP(A24,[2]myPEPB!$B:$C,2,FALSE)</f>
        <v>24.159999847412109</v>
      </c>
      <c r="D24" s="17">
        <f>VLOOKUP(A24,[2]myPEPB!$B:$D,3,FALSE)</f>
        <v>30.393087189136843</v>
      </c>
      <c r="E24" s="17">
        <f t="shared" si="8"/>
        <v>153462.94234779794</v>
      </c>
      <c r="F24" s="18">
        <f t="shared" si="0"/>
        <v>199044.01665749171</v>
      </c>
      <c r="G24" s="18">
        <f t="shared" si="4"/>
        <v>5574150.1495942697</v>
      </c>
      <c r="H24" s="18">
        <f t="shared" si="1"/>
        <v>4297669.9194989735</v>
      </c>
      <c r="I24" s="18">
        <f t="shared" si="5"/>
        <v>4244668.7570795827</v>
      </c>
      <c r="J24" s="18">
        <f t="shared" si="2"/>
        <v>4297669.9194989735</v>
      </c>
      <c r="K24" s="18">
        <f t="shared" si="3"/>
        <v>53001.162419390865</v>
      </c>
      <c r="L24" s="17">
        <f t="shared" si="6"/>
        <v>0</v>
      </c>
    </row>
    <row r="25" spans="1:13" ht="12.75" x14ac:dyDescent="0.2">
      <c r="A25" s="15">
        <v>45044</v>
      </c>
      <c r="B25" s="31">
        <f>VLOOKUP(A25,[1]HwabaoWP_szse_innovation_100!$A:$E,5)</f>
        <v>0.75099998712539673</v>
      </c>
      <c r="C25" s="16">
        <f>VLOOKUP(A25,[2]myPEPB!$B:$C,2,FALSE)</f>
        <v>23.579999923706055</v>
      </c>
      <c r="D25" s="17">
        <f>VLOOKUP(A25,[2]myPEPB!$B:$D,3,FALSE)</f>
        <v>30.1543821056874</v>
      </c>
      <c r="E25" s="17">
        <f t="shared" si="8"/>
        <v>170728.87924527752</v>
      </c>
      <c r="F25" s="18">
        <f t="shared" si="0"/>
        <v>227335.39570190487</v>
      </c>
      <c r="G25" s="18">
        <f t="shared" si="4"/>
        <v>5801485.5452961745</v>
      </c>
      <c r="H25" s="18">
        <f t="shared" si="1"/>
        <v>4356915.5698256027</v>
      </c>
      <c r="I25" s="18">
        <f t="shared" si="5"/>
        <v>4415397.6363248602</v>
      </c>
      <c r="J25" s="18">
        <f t="shared" si="2"/>
        <v>4356915.5698256027</v>
      </c>
      <c r="K25" s="18">
        <f t="shared" si="3"/>
        <v>-58482.06649925746</v>
      </c>
      <c r="L25" s="17">
        <f t="shared" si="6"/>
        <v>0</v>
      </c>
    </row>
    <row r="26" spans="1:13" ht="12.75" x14ac:dyDescent="0.2">
      <c r="A26" s="15">
        <v>45077</v>
      </c>
      <c r="B26" s="31">
        <f>VLOOKUP(A26,[1]HwabaoWP_szse_innovation_100!$A:$E,5)</f>
        <v>0.72000002861022949</v>
      </c>
      <c r="C26" s="16">
        <f>VLOOKUP(A26,[2]myPEPB!$B:$C,2,FALSE)</f>
        <v>21.329999923706055</v>
      </c>
      <c r="D26" s="17">
        <f>VLOOKUP(A26,[2]myPEPB!$B:$D,3,FALSE)</f>
        <v>29.834329254302094</v>
      </c>
      <c r="E26" s="17">
        <f t="shared" si="8"/>
        <v>285678.28858478251</v>
      </c>
      <c r="F26" s="18">
        <f t="shared" si="0"/>
        <v>396775.38504576066</v>
      </c>
      <c r="G26" s="18">
        <f t="shared" si="4"/>
        <v>6198260.9303419348</v>
      </c>
      <c r="H26" s="18">
        <f t="shared" si="1"/>
        <v>4462748.047179861</v>
      </c>
      <c r="I26" s="18">
        <f t="shared" si="5"/>
        <v>4701075.9249096429</v>
      </c>
      <c r="J26" s="18">
        <f t="shared" si="2"/>
        <v>4462748.047179861</v>
      </c>
      <c r="K26" s="18">
        <f t="shared" si="3"/>
        <v>-238327.8777297819</v>
      </c>
      <c r="L26" s="17">
        <f t="shared" si="6"/>
        <v>0</v>
      </c>
    </row>
    <row r="27" spans="1:13" ht="12.75" x14ac:dyDescent="0.2">
      <c r="A27" s="15">
        <v>45107</v>
      </c>
      <c r="B27" s="31">
        <f>VLOOKUP(A27,[1]HwabaoWP_szse_innovation_100!$A:$E,5)</f>
        <v>0.75499999523162842</v>
      </c>
      <c r="C27" s="16">
        <f>VLOOKUP(A27,[2]myPEPB!$B:$C,2,FALSE)</f>
        <v>22.200000762939453</v>
      </c>
      <c r="D27" s="17">
        <f>VLOOKUP(A27,[2]myPEPB!$B:$D,3,FALSE)</f>
        <v>29.540486551111261</v>
      </c>
      <c r="E27" s="17">
        <f t="shared" si="8"/>
        <v>212836.78984509152</v>
      </c>
      <c r="F27" s="18">
        <f t="shared" si="0"/>
        <v>281903.03468782775</v>
      </c>
      <c r="G27" s="18">
        <f t="shared" si="4"/>
        <v>6480163.9650297621</v>
      </c>
      <c r="H27" s="18">
        <f t="shared" si="1"/>
        <v>4892523.7626976408</v>
      </c>
      <c r="I27" s="18">
        <f t="shared" si="5"/>
        <v>4913912.7147547342</v>
      </c>
      <c r="J27" s="18">
        <f t="shared" si="2"/>
        <v>4892523.7626976408</v>
      </c>
      <c r="K27" s="18">
        <f t="shared" si="3"/>
        <v>-21388.952057093382</v>
      </c>
      <c r="L27" s="17">
        <f t="shared" si="6"/>
        <v>0</v>
      </c>
    </row>
    <row r="28" spans="1:13" ht="12.75" x14ac:dyDescent="0.2">
      <c r="A28" s="15">
        <v>45138</v>
      </c>
      <c r="B28" s="31">
        <f>VLOOKUP(A28,[1]HwabaoWP_szse_innovation_100!$A:$E,5)</f>
        <v>0.76099997758865356</v>
      </c>
      <c r="C28" s="16">
        <f>VLOOKUP(A28,[2]myPEPB!$B:$C,2,FALSE)</f>
        <v>22.409999847412109</v>
      </c>
      <c r="D28" s="17">
        <f>VLOOKUP(A28,[2]myPEPB!$B:$D,3,FALSE)</f>
        <v>29.26302162741802</v>
      </c>
      <c r="E28" s="17">
        <f t="shared" si="8"/>
        <v>185507.43469307973</v>
      </c>
      <c r="F28" s="18">
        <f t="shared" si="0"/>
        <v>243767.98969283653</v>
      </c>
      <c r="G28" s="18">
        <f t="shared" si="4"/>
        <v>6723931.9547225982</v>
      </c>
      <c r="H28" s="18">
        <f t="shared" si="1"/>
        <v>5116912.0668515284</v>
      </c>
      <c r="I28" s="18">
        <f t="shared" si="5"/>
        <v>5099420.1494478136</v>
      </c>
      <c r="J28" s="18">
        <f t="shared" si="2"/>
        <v>5116912.0668515284</v>
      </c>
      <c r="K28" s="18">
        <f t="shared" si="3"/>
        <v>17491.917403714731</v>
      </c>
      <c r="L28" s="17">
        <f t="shared" si="6"/>
        <v>0</v>
      </c>
    </row>
    <row r="29" spans="1:13" ht="12.75" x14ac:dyDescent="0.2">
      <c r="A29" s="15">
        <v>45169</v>
      </c>
      <c r="B29" s="31">
        <f>VLOOKUP(A29,[1]HwabaoWP_szse_innovation_100!$A:$E,5)</f>
        <v>0.71399998664855957</v>
      </c>
      <c r="C29" s="16">
        <f>VLOOKUP(A29,[2]myPEPB!$B:$C,2,FALSE)</f>
        <v>20.899999618530273</v>
      </c>
      <c r="D29" s="17">
        <f>VLOOKUP(A29,[2]myPEPB!$B:$D,3,FALSE)</f>
        <v>28.951898116056832</v>
      </c>
      <c r="E29" s="17">
        <f t="shared" si="8"/>
        <v>256090.62418715825</v>
      </c>
      <c r="F29" s="18">
        <f t="shared" si="0"/>
        <v>358670.34870577598</v>
      </c>
      <c r="G29" s="18">
        <f t="shared" si="4"/>
        <v>7082602.3034283742</v>
      </c>
      <c r="H29" s="18">
        <f t="shared" si="1"/>
        <v>5056977.9500849163</v>
      </c>
      <c r="I29" s="18">
        <f t="shared" si="5"/>
        <v>5355510.7736349721</v>
      </c>
      <c r="J29" s="18">
        <f t="shared" si="2"/>
        <v>5056977.9500849163</v>
      </c>
      <c r="K29" s="18">
        <f t="shared" si="3"/>
        <v>-298532.82355005573</v>
      </c>
      <c r="L29" s="17">
        <f t="shared" si="6"/>
        <v>0</v>
      </c>
    </row>
    <row r="30" spans="1:13" ht="12.75" x14ac:dyDescent="0.2">
      <c r="A30" s="15">
        <v>45197</v>
      </c>
      <c r="B30" s="31">
        <f>VLOOKUP(A30,[1]HwabaoWP_szse_innovation_100!$A:$E,5)</f>
        <v>0.68500000238418579</v>
      </c>
      <c r="C30" s="16">
        <f>VLOOKUP(A30,[2]myPEPB!$B:$C,2,FALSE)</f>
        <v>19.25</v>
      </c>
      <c r="D30" s="17">
        <f>VLOOKUP(A30,[2]myPEPB!$B:$D,3,FALSE)</f>
        <v>28.642033273139454</v>
      </c>
      <c r="E30" s="17">
        <f t="shared" si="8"/>
        <v>348430.6415648465</v>
      </c>
      <c r="F30" s="18">
        <f t="shared" si="0"/>
        <v>508657.8691271703</v>
      </c>
      <c r="G30" s="18">
        <f t="shared" si="4"/>
        <v>7591260.1725555444</v>
      </c>
      <c r="H30" s="18">
        <f t="shared" si="1"/>
        <v>5200013.2362995222</v>
      </c>
      <c r="I30" s="18">
        <f t="shared" si="5"/>
        <v>5703941.4151998181</v>
      </c>
      <c r="J30" s="18">
        <f t="shared" si="2"/>
        <v>5200013.2362995222</v>
      </c>
      <c r="K30" s="18">
        <f t="shared" si="3"/>
        <v>-503928.17890029587</v>
      </c>
      <c r="L30" s="17">
        <f t="shared" si="6"/>
        <v>0</v>
      </c>
    </row>
    <row r="31" spans="1:13" ht="12.75" x14ac:dyDescent="0.2">
      <c r="A31" s="15">
        <v>45230</v>
      </c>
      <c r="B31" s="31">
        <f>VLOOKUP(A31,[1]HwabaoWP_szse_innovation_100!$A:$E,5)</f>
        <v>0.66299998760223389</v>
      </c>
      <c r="C31" s="16">
        <f>VLOOKUP(A31,[2]myPEPB!$B:$C,2,FALSE)</f>
        <v>18.770000457763672</v>
      </c>
      <c r="D31" s="17">
        <f>VLOOKUP(A31,[2]myPEPB!$B:$D,3,FALSE)</f>
        <v>28.372122112939287</v>
      </c>
      <c r="E31" s="17">
        <f t="shared" si="8"/>
        <v>364192.9241091304</v>
      </c>
      <c r="F31" s="18">
        <f t="shared" si="0"/>
        <v>549310.60470490914</v>
      </c>
      <c r="G31" s="18">
        <f t="shared" si="4"/>
        <v>8140570.7772604534</v>
      </c>
      <c r="H31" s="18">
        <f t="shared" si="1"/>
        <v>5397198.3243987877</v>
      </c>
      <c r="I31" s="18">
        <f t="shared" si="5"/>
        <v>6068134.3393089483</v>
      </c>
      <c r="J31" s="18">
        <f t="shared" si="2"/>
        <v>5397198.3243987877</v>
      </c>
      <c r="K31" s="18">
        <f t="shared" si="3"/>
        <v>-670936.01491016056</v>
      </c>
      <c r="L31" s="17">
        <f t="shared" si="6"/>
        <v>0</v>
      </c>
    </row>
    <row r="32" spans="1:13" ht="12.75" x14ac:dyDescent="0.2">
      <c r="A32" s="15">
        <v>45260</v>
      </c>
      <c r="B32" s="31">
        <f>VLOOKUP(A32,[1]HwabaoWP_szse_innovation_100!$A:$E,5)</f>
        <v>0.65100002288818359</v>
      </c>
      <c r="C32" s="16">
        <f>VLOOKUP(A32,[2]myPEPB!$B:$C,2,FALSE)</f>
        <v>17.930000305175781</v>
      </c>
      <c r="D32" s="17">
        <f>VLOOKUP(A32,[2]myPEPB!$B:$D,3,FALSE)</f>
        <v>28.031817642334733</v>
      </c>
      <c r="E32" s="17">
        <f t="shared" si="8"/>
        <v>403084.51837763441</v>
      </c>
      <c r="F32" s="18">
        <f t="shared" si="0"/>
        <v>619177.42581534223</v>
      </c>
      <c r="G32" s="18">
        <f t="shared" si="4"/>
        <v>8759748.2030757964</v>
      </c>
      <c r="H32" s="18">
        <f t="shared" si="1"/>
        <v>5702596.2806970682</v>
      </c>
      <c r="I32" s="18">
        <f t="shared" si="5"/>
        <v>6471218.857686583</v>
      </c>
      <c r="J32" s="18">
        <f t="shared" si="2"/>
        <v>5702596.2806970682</v>
      </c>
      <c r="K32" s="18">
        <f t="shared" si="3"/>
        <v>-768622.57698951475</v>
      </c>
      <c r="L32" s="17">
        <f t="shared" si="6"/>
        <v>0</v>
      </c>
    </row>
    <row r="33" spans="1:12" ht="12.75" x14ac:dyDescent="0.2">
      <c r="A33" s="15">
        <v>45289</v>
      </c>
      <c r="B33" s="31">
        <f>VLOOKUP(A33,[1]HwabaoWP_szse_innovation_100!$A:$E,5)</f>
        <v>0.64499998092651367</v>
      </c>
      <c r="C33" s="16">
        <f>VLOOKUP(A33,[2]myPEPB!$B:$C,2,FALSE)</f>
        <v>17.709999084472656</v>
      </c>
      <c r="D33" s="17">
        <f>VLOOKUP(A33,[2]myPEPB!$B:$D,3,FALSE)</f>
        <v>27.695688453026897</v>
      </c>
      <c r="E33" s="17">
        <f t="shared" si="8"/>
        <v>393870.26905276586</v>
      </c>
      <c r="F33" s="18">
        <f t="shared" si="0"/>
        <v>610651.59798452829</v>
      </c>
      <c r="G33" s="18">
        <f t="shared" si="4"/>
        <v>9370399.8010603245</v>
      </c>
      <c r="H33" s="18">
        <f t="shared" si="1"/>
        <v>6043907.692957717</v>
      </c>
      <c r="I33" s="18">
        <f t="shared" si="5"/>
        <v>6865089.1267393492</v>
      </c>
      <c r="J33" s="18">
        <f t="shared" si="2"/>
        <v>6043907.692957717</v>
      </c>
      <c r="K33" s="18">
        <f t="shared" si="3"/>
        <v>-821181.43378163222</v>
      </c>
      <c r="L33" s="17">
        <f t="shared" si="6"/>
        <v>0</v>
      </c>
    </row>
    <row r="34" spans="1:12" ht="12.75" x14ac:dyDescent="0.2">
      <c r="A34" s="15">
        <v>45322</v>
      </c>
      <c r="B34" s="31">
        <f>VLOOKUP(A34,[1]HwabaoWP_szse_innovation_100!$A:$E,5)</f>
        <v>0.56099998950958252</v>
      </c>
      <c r="C34" s="16">
        <f>VLOOKUP(A34,[2]myPEPB!$B:$C,2,FALSE)</f>
        <v>15.380000114440918</v>
      </c>
      <c r="D34" s="17">
        <f>VLOOKUP(A34,[2]myPEPB!$B:$D,3,FALSE)</f>
        <v>27.336624376243282</v>
      </c>
      <c r="E34" s="17">
        <f t="shared" si="8"/>
        <v>564695.41176478763</v>
      </c>
      <c r="F34" s="18">
        <f t="shared" si="0"/>
        <v>1006587.2055691759</v>
      </c>
      <c r="G34" s="18">
        <f t="shared" si="4"/>
        <v>10376987.006629501</v>
      </c>
      <c r="H34" s="18">
        <f t="shared" si="1"/>
        <v>5821489.6018602243</v>
      </c>
      <c r="I34" s="18">
        <f t="shared" si="5"/>
        <v>7429784.5385041367</v>
      </c>
      <c r="J34" s="18">
        <f t="shared" si="2"/>
        <v>5821489.6018602243</v>
      </c>
      <c r="K34" s="18">
        <f t="shared" si="3"/>
        <v>-1608294.9366439125</v>
      </c>
      <c r="L34" s="17">
        <f t="shared" si="6"/>
        <v>0</v>
      </c>
    </row>
    <row r="35" spans="1:12" ht="12.75" x14ac:dyDescent="0.2">
      <c r="A35" s="15">
        <v>45351</v>
      </c>
      <c r="B35" s="31">
        <f>VLOOKUP(A35,[1]HwabaoWP_szse_innovation_100!$A:$E,5)</f>
        <v>0.6380000114440918</v>
      </c>
      <c r="C35" s="16">
        <f>VLOOKUP(A35,[2]myPEPB!$B:$C,2,FALSE)</f>
        <v>17.479999542236328</v>
      </c>
      <c r="D35" s="17">
        <f>VLOOKUP(A35,[2]myPEPB!$B:$D,3,FALSE)</f>
        <v>27.106454818762419</v>
      </c>
      <c r="E35" s="17">
        <f t="shared" si="8"/>
        <v>366041.1327042802</v>
      </c>
      <c r="F35" s="18">
        <f t="shared" si="0"/>
        <v>573732.17263077828</v>
      </c>
      <c r="G35" s="18">
        <f t="shared" si="4"/>
        <v>10950719.179260278</v>
      </c>
      <c r="H35" s="18">
        <f t="shared" si="1"/>
        <v>6986558.9616890932</v>
      </c>
      <c r="I35" s="18">
        <f t="shared" si="5"/>
        <v>7795825.671208417</v>
      </c>
      <c r="J35" s="18">
        <f t="shared" si="2"/>
        <v>6986558.9616890932</v>
      </c>
      <c r="K35" s="18">
        <f t="shared" si="3"/>
        <v>-809266.70951932389</v>
      </c>
      <c r="L35" s="17">
        <f t="shared" si="6"/>
        <v>0</v>
      </c>
    </row>
    <row r="36" spans="1:12" ht="12.75" x14ac:dyDescent="0.2">
      <c r="A36" s="15">
        <v>45380</v>
      </c>
      <c r="B36" s="31">
        <f>VLOOKUP(A36,[1]HwabaoWP_szse_innovation_100!$A:$E,5)</f>
        <v>0.64600002765655518</v>
      </c>
      <c r="C36" s="16">
        <f>VLOOKUP(A36,[2]myPEPB!$B:$C,2,FALSE)</f>
        <v>17.700000762939453</v>
      </c>
      <c r="D36" s="17">
        <f>VLOOKUP(A36,[2]myPEPB!$B:$D,3,FALSE)</f>
        <v>26.839674750359887</v>
      </c>
      <c r="E36" s="17">
        <f t="shared" si="8"/>
        <v>329957.88035550242</v>
      </c>
      <c r="F36" s="18">
        <f t="shared" si="0"/>
        <v>510770.69075749943</v>
      </c>
      <c r="G36" s="18">
        <f t="shared" si="4"/>
        <v>11461489.870017778</v>
      </c>
      <c r="H36" s="18">
        <f t="shared" si="1"/>
        <v>7404122.7730168113</v>
      </c>
      <c r="I36" s="18">
        <f t="shared" si="5"/>
        <v>8125783.5515639195</v>
      </c>
      <c r="J36" s="18">
        <f t="shared" si="2"/>
        <v>7404122.7730168113</v>
      </c>
      <c r="K36" s="18">
        <f t="shared" si="3"/>
        <v>-721660.77854710817</v>
      </c>
      <c r="L36" s="17">
        <f t="shared" si="6"/>
        <v>0</v>
      </c>
    </row>
    <row r="37" spans="1:12" ht="12.75" x14ac:dyDescent="0.2">
      <c r="A37" s="15">
        <v>45412</v>
      </c>
      <c r="B37" s="31">
        <f>VLOOKUP(A37,[1]HwabaoWP_szse_innovation_100!$A:$E,5)</f>
        <v>0.66399997472763062</v>
      </c>
      <c r="C37" s="16">
        <f>VLOOKUP(A37,[2]myPEPB!$B:$C,2,FALSE)</f>
        <v>18.110000610351563</v>
      </c>
      <c r="D37" s="17">
        <f>VLOOKUP(A37,[2]myPEPB!$B:$D,3,FALSE)</f>
        <v>26.594314356937268</v>
      </c>
      <c r="E37" s="17">
        <f t="shared" si="8"/>
        <v>284335.14001448749</v>
      </c>
      <c r="F37" s="18">
        <f t="shared" si="0"/>
        <v>428215.58860920183</v>
      </c>
      <c r="G37" s="18">
        <f t="shared" si="4"/>
        <v>11889705.45862698</v>
      </c>
      <c r="H37" s="18">
        <f t="shared" si="1"/>
        <v>7894764.1240472868</v>
      </c>
      <c r="I37" s="18">
        <f t="shared" si="5"/>
        <v>8410118.6915784068</v>
      </c>
      <c r="J37" s="18">
        <f t="shared" si="2"/>
        <v>7894764.1240472868</v>
      </c>
      <c r="K37" s="18">
        <f t="shared" si="3"/>
        <v>-515354.56753112003</v>
      </c>
      <c r="L37" s="17">
        <f t="shared" si="6"/>
        <v>0</v>
      </c>
    </row>
    <row r="38" spans="1:12" ht="12.75" x14ac:dyDescent="0.2">
      <c r="A38" s="15">
        <v>45443</v>
      </c>
      <c r="B38" s="31">
        <f>VLOOKUP(A38,[1]HwabaoWP_szse_innovation_100!$A:$E,5)</f>
        <v>0.64999997615814209</v>
      </c>
      <c r="C38" s="16">
        <f>VLOOKUP(A38,[2]myPEPB!$B:$C,2,FALSE)</f>
        <v>18.329999919999999</v>
      </c>
      <c r="D38" s="17">
        <f>VLOOKUP(A38,[2]myPEPB!$B:$D,3,FALSE)</f>
        <v>26.389717901760058</v>
      </c>
      <c r="E38" s="17">
        <f t="shared" si="8"/>
        <v>256588.26308475045</v>
      </c>
      <c r="F38" s="18">
        <f t="shared" si="0"/>
        <v>394751.18845592643</v>
      </c>
      <c r="G38" s="18">
        <f t="shared" si="4"/>
        <v>12284456.647082906</v>
      </c>
      <c r="H38" s="18">
        <f t="shared" si="1"/>
        <v>7984896.5277196188</v>
      </c>
      <c r="I38" s="18">
        <f t="shared" si="5"/>
        <v>8666706.9546631575</v>
      </c>
      <c r="J38" s="18">
        <f t="shared" si="2"/>
        <v>7984896.5277196188</v>
      </c>
      <c r="K38" s="18">
        <f t="shared" si="3"/>
        <v>-681810.42694353871</v>
      </c>
      <c r="L38" s="17">
        <f t="shared" si="6"/>
        <v>0</v>
      </c>
    </row>
    <row r="39" spans="1:12" ht="12.75" x14ac:dyDescent="0.2">
      <c r="A39" s="15">
        <v>45471</v>
      </c>
      <c r="B39" s="31">
        <f>VLOOKUP(A39,[1]HwabaoWP_szse_innovation_100!$A:$E,5)</f>
        <v>0.63599997758865356</v>
      </c>
      <c r="C39" s="16">
        <f>VLOOKUP(A39,[2]myPEPB!$B:$C,2,FALSE)</f>
        <v>17.86000061</v>
      </c>
      <c r="D39" s="17">
        <f>VLOOKUP(A39,[2]myPEPB!$B:$D,3,FALSE)</f>
        <v>26.193870144829649</v>
      </c>
      <c r="E39" s="17">
        <f t="shared" si="8"/>
        <v>274340.85662306892</v>
      </c>
      <c r="F39" s="18">
        <f t="shared" si="0"/>
        <v>431353.5633495017</v>
      </c>
      <c r="G39" s="18">
        <f t="shared" si="4"/>
        <v>12715810.210432408</v>
      </c>
      <c r="H39" s="18">
        <f t="shared" si="1"/>
        <v>8087255.0088565843</v>
      </c>
      <c r="I39" s="18">
        <f t="shared" si="5"/>
        <v>8941047.8112862259</v>
      </c>
      <c r="J39" s="18">
        <f t="shared" si="2"/>
        <v>8087255.0088565843</v>
      </c>
      <c r="K39" s="18">
        <f t="shared" si="3"/>
        <v>-853792.8024296416</v>
      </c>
      <c r="L39" s="17">
        <f t="shared" si="6"/>
        <v>0</v>
      </c>
    </row>
    <row r="40" spans="1:12" ht="12.75" x14ac:dyDescent="0.2">
      <c r="A40" s="15">
        <v>45504</v>
      </c>
      <c r="B40" s="31">
        <f>VLOOKUP(A40,[1]HwabaoWP_szse_innovation_100!$A:$E,5)</f>
        <v>0.63300001621246338</v>
      </c>
      <c r="C40" s="16">
        <f>VLOOKUP(A40,[2]myPEPB!$B:$C,2,FALSE)</f>
        <v>17.709999079999999</v>
      </c>
      <c r="D40" s="17">
        <f>VLOOKUP(A40,[2]myPEPB!$B:$D,3,FALSE)</f>
        <v>25.951256745485065</v>
      </c>
      <c r="E40" s="17">
        <f t="shared" si="8"/>
        <v>268277.3952402196</v>
      </c>
      <c r="F40" s="18">
        <f t="shared" si="0"/>
        <v>423818.93897167547</v>
      </c>
      <c r="G40" s="18">
        <f t="shared" si="4"/>
        <v>13139629.149404084</v>
      </c>
      <c r="H40" s="18">
        <f t="shared" si="1"/>
        <v>8317385.4645985421</v>
      </c>
      <c r="I40" s="18">
        <f t="shared" si="5"/>
        <v>9209325.2065264452</v>
      </c>
      <c r="J40" s="18">
        <f t="shared" si="2"/>
        <v>8317385.4645985421</v>
      </c>
      <c r="K40" s="18">
        <f t="shared" si="3"/>
        <v>-891939.74192790315</v>
      </c>
      <c r="L40" s="17">
        <f t="shared" si="6"/>
        <v>0</v>
      </c>
    </row>
    <row r="41" spans="1:12" ht="12.75" x14ac:dyDescent="0.2">
      <c r="A41" s="15">
        <v>45534</v>
      </c>
      <c r="B41" s="31">
        <f>VLOOKUP(A41,[1]HwabaoWP_szse_innovation_100!$A:$E,5)</f>
        <v>0.61000001430511475</v>
      </c>
      <c r="C41" s="16">
        <f>VLOOKUP(A41,[2]myPEPB!$B:$C,2,FALSE)</f>
        <v>20.56999969</v>
      </c>
      <c r="D41" s="17">
        <f>VLOOKUP(A41,[2]myPEPB!$B:$D,3,FALSE)</f>
        <v>25.729715551720684</v>
      </c>
      <c r="E41" s="17">
        <f t="shared" si="8"/>
        <v>105159.5377060835</v>
      </c>
      <c r="F41" s="18">
        <f t="shared" si="0"/>
        <v>172392.68072128922</v>
      </c>
      <c r="G41" s="18">
        <f t="shared" si="4"/>
        <v>13312021.830125373</v>
      </c>
      <c r="H41" s="18">
        <f t="shared" si="1"/>
        <v>8120333.506806477</v>
      </c>
      <c r="I41" s="18">
        <f t="shared" si="5"/>
        <v>9314484.7442325279</v>
      </c>
      <c r="J41" s="18">
        <f t="shared" si="2"/>
        <v>8120333.506806477</v>
      </c>
      <c r="K41" s="18">
        <f t="shared" si="3"/>
        <v>-1194151.2374260509</v>
      </c>
      <c r="L41" s="17">
        <f t="shared" si="6"/>
        <v>0</v>
      </c>
    </row>
    <row r="42" spans="1:12" ht="12.75" x14ac:dyDescent="0.2">
      <c r="A42" s="15">
        <v>45565</v>
      </c>
      <c r="B42" s="31">
        <f>VLOOKUP(A42,[1]HwabaoWP_szse_innovation_100!$A:$E,5)</f>
        <v>0.76700001955032349</v>
      </c>
      <c r="C42" s="16">
        <f>VLOOKUP(A42,[2]myPEPB!$B:$C,2,FALSE)</f>
        <v>25.239999770000001</v>
      </c>
      <c r="D42" s="17">
        <f>VLOOKUP(A42,[2]myPEPB!$B:$D,3,FALSE)</f>
        <v>25.607882301446285</v>
      </c>
      <c r="E42" s="17">
        <f t="shared" si="8"/>
        <v>534.58334992613857</v>
      </c>
      <c r="F42" s="18">
        <f t="shared" si="0"/>
        <v>696.9795779660526</v>
      </c>
      <c r="G42" s="18">
        <f t="shared" si="4"/>
        <v>13312718.809703339</v>
      </c>
      <c r="H42" s="18">
        <f t="shared" si="1"/>
        <v>10210855.58731042</v>
      </c>
      <c r="I42" s="18">
        <f t="shared" si="5"/>
        <v>9315019.3275824543</v>
      </c>
      <c r="J42" s="18">
        <f t="shared" si="2"/>
        <v>10210855.58731042</v>
      </c>
      <c r="K42" s="18">
        <f t="shared" si="3"/>
        <v>895836.25972796604</v>
      </c>
      <c r="L42" s="17">
        <f t="shared" si="6"/>
        <v>0</v>
      </c>
    </row>
    <row r="43" spans="1:12" ht="12.75" x14ac:dyDescent="0.2">
      <c r="A43" s="15">
        <v>45596</v>
      </c>
      <c r="B43" s="31">
        <f>VLOOKUP(A43,[1]HwabaoWP_szse_innovation_100!$A:$E,5)</f>
        <v>0.77700001001358032</v>
      </c>
      <c r="C43" s="16">
        <f>VLOOKUP(A43,[2]myPEPB!$B:$C,2,FALSE)</f>
        <v>24.940000529999999</v>
      </c>
      <c r="D43" s="17">
        <f>VLOOKUP(A43,[2]myPEPB!$B:$D,3,FALSE)</f>
        <v>25.600824703771881</v>
      </c>
      <c r="E43" s="17">
        <f t="shared" si="8"/>
        <v>1724.9199251330979</v>
      </c>
      <c r="F43" s="18">
        <f t="shared" si="0"/>
        <v>2219.9741350105646</v>
      </c>
      <c r="G43" s="18">
        <f t="shared" si="4"/>
        <v>13314938.78383835</v>
      </c>
      <c r="H43" s="18">
        <f t="shared" si="1"/>
        <v>10345707.568372607</v>
      </c>
      <c r="I43" s="18">
        <f t="shared" si="5"/>
        <v>9316744.2475075871</v>
      </c>
      <c r="J43" s="18">
        <f t="shared" si="2"/>
        <v>10345707.568372607</v>
      </c>
      <c r="K43" s="18">
        <f t="shared" si="3"/>
        <v>1028963.3208650202</v>
      </c>
      <c r="L43" s="17">
        <f t="shared" si="6"/>
        <v>0</v>
      </c>
    </row>
    <row r="44" spans="1:12" ht="12.75" x14ac:dyDescent="0.2">
      <c r="A44" s="15">
        <v>45625</v>
      </c>
      <c r="B44" s="31">
        <f>VLOOKUP(A44,[1]HwabaoWP_szse_innovation_100!$A:$E,5)</f>
        <v>0.78100001811981201</v>
      </c>
      <c r="C44" s="16">
        <f>VLOOKUP(A44,[2]myPEPB!$B:$C,2,FALSE)</f>
        <v>24.719999309999999</v>
      </c>
      <c r="D44" s="17">
        <f>VLOOKUP(A44,[2]myPEPB!$B:$D,3,FALSE)</f>
        <v>25.593319274370291</v>
      </c>
      <c r="E44" s="17">
        <f t="shared" si="8"/>
        <v>3012.6166526625288</v>
      </c>
      <c r="F44" s="18">
        <f t="shared" si="0"/>
        <v>3857.3835886907341</v>
      </c>
      <c r="G44" s="18">
        <f t="shared" si="4"/>
        <v>13318796.167427041</v>
      </c>
      <c r="H44" s="18">
        <f t="shared" si="1"/>
        <v>10401980.048094602</v>
      </c>
      <c r="I44" s="18">
        <f t="shared" si="5"/>
        <v>9319756.864160249</v>
      </c>
      <c r="J44" s="18">
        <f t="shared" si="2"/>
        <v>10401980.048094602</v>
      </c>
      <c r="K44" s="18">
        <f t="shared" si="3"/>
        <v>1082223.1839343533</v>
      </c>
      <c r="L44" s="17">
        <f t="shared" si="6"/>
        <v>0</v>
      </c>
    </row>
    <row r="45" spans="1:12" ht="12.75" x14ac:dyDescent="0.2">
      <c r="A45" s="15">
        <v>45657</v>
      </c>
      <c r="B45" s="31">
        <f>VLOOKUP(A45,[1]HwabaoWP_szse_innovation_100!$A:$E,5)</f>
        <v>0.78899997472763062</v>
      </c>
      <c r="C45" s="16">
        <f>VLOOKUP(A45,[2]myPEPB!$B:$C,2,FALSE)</f>
        <v>24.799999239999998</v>
      </c>
      <c r="D45" s="17">
        <f>VLOOKUP(A45,[2]myPEPB!$B:$D,3,FALSE)</f>
        <v>25.579355550139105</v>
      </c>
      <c r="E45" s="17">
        <f t="shared" si="8"/>
        <v>2399.2152197068949</v>
      </c>
      <c r="F45" s="18">
        <f t="shared" si="0"/>
        <v>3040.8305406285012</v>
      </c>
      <c r="G45" s="18">
        <f t="shared" si="4"/>
        <v>13321836.99796767</v>
      </c>
      <c r="H45" s="18">
        <f t="shared" si="1"/>
        <v>10510929.054722106</v>
      </c>
      <c r="I45" s="18">
        <f t="shared" si="5"/>
        <v>9322156.0793799553</v>
      </c>
      <c r="J45" s="18">
        <f t="shared" si="2"/>
        <v>10510929.054722106</v>
      </c>
      <c r="K45" s="18">
        <f t="shared" si="3"/>
        <v>1188772.9753421508</v>
      </c>
      <c r="L45" s="17">
        <f t="shared" si="6"/>
        <v>0</v>
      </c>
    </row>
    <row r="46" spans="1:12" ht="12.75" x14ac:dyDescent="0.2">
      <c r="A46" s="15">
        <v>45684</v>
      </c>
      <c r="B46" s="31">
        <f>VLOOKUP(A46,[1]HwabaoWP_szse_innovation_100!$A:$E,5)</f>
        <v>0.78100001811981201</v>
      </c>
      <c r="C46" s="16">
        <f>VLOOKUP(A46,[2]myPEPB!$B:$C,2,FALSE)</f>
        <v>24.409999849999998</v>
      </c>
      <c r="D46" s="17">
        <f>VLOOKUP(A46,[2]myPEPB!$B:$D,3,FALSE)</f>
        <v>25.550295783221614</v>
      </c>
      <c r="E46" s="17">
        <f t="shared" si="8"/>
        <v>5136.0855205209327</v>
      </c>
      <c r="F46" s="18">
        <f t="shared" si="0"/>
        <v>6576.2937277333249</v>
      </c>
      <c r="G46" s="18">
        <f t="shared" si="4"/>
        <v>13328413.291695403</v>
      </c>
      <c r="H46" s="18">
        <f t="shared" si="1"/>
        <v>10409491.022322454</v>
      </c>
      <c r="I46" s="18">
        <f t="shared" si="5"/>
        <v>9327292.1649004761</v>
      </c>
      <c r="J46" s="18">
        <f t="shared" si="2"/>
        <v>10409491.022322454</v>
      </c>
      <c r="K46" s="18">
        <f t="shared" si="3"/>
        <v>1082198.8574219774</v>
      </c>
      <c r="L46" s="17">
        <f t="shared" si="6"/>
        <v>0</v>
      </c>
    </row>
    <row r="47" spans="1:12" ht="12.75" x14ac:dyDescent="0.2">
      <c r="A47" s="15">
        <v>45716</v>
      </c>
      <c r="B47" s="31">
        <f>VLOOKUP(A47,[1]HwabaoWP_szse_innovation_100!$A:$E,5)</f>
        <v>0.82700002193450928</v>
      </c>
      <c r="C47" s="16">
        <f>VLOOKUP(A47,[2]myPEPB!$B:$C,2,FALSE)</f>
        <v>26.079999923706055</v>
      </c>
      <c r="D47" s="17">
        <f>VLOOKUP(A47,[2]myPEPB!$B:$D,3,FALSE)</f>
        <v>25.563306017026612</v>
      </c>
      <c r="E47" s="17">
        <f t="shared" si="8"/>
        <v>-1054.5417431386754</v>
      </c>
      <c r="F47" s="18">
        <f t="shared" si="0"/>
        <v>-1275.1411307969533</v>
      </c>
      <c r="G47" s="18">
        <f t="shared" si="4"/>
        <v>13327138.150564605</v>
      </c>
      <c r="H47" s="18">
        <f t="shared" si="1"/>
        <v>11021543.542841164</v>
      </c>
      <c r="I47" s="18">
        <f t="shared" si="5"/>
        <v>9327292.1649004761</v>
      </c>
      <c r="J47" s="18">
        <f t="shared" si="2"/>
        <v>11022598.084584303</v>
      </c>
      <c r="K47" s="18">
        <f t="shared" si="3"/>
        <v>1695305.9196838271</v>
      </c>
      <c r="L47" s="17">
        <f t="shared" si="6"/>
        <v>1054.5417431386754</v>
      </c>
    </row>
    <row r="48" spans="1:12" ht="12.75" x14ac:dyDescent="0.2">
      <c r="A48" s="15">
        <v>45747</v>
      </c>
      <c r="B48" s="31">
        <f>VLOOKUP(A48,[1]HwabaoWP_szse_innovation_100!$A:$E,5)</f>
        <v>0.81400001049041748</v>
      </c>
      <c r="C48" s="16">
        <f>VLOOKUP(A48,[2]myPEPB!$B:$C,2,FALSE)</f>
        <v>25.629999160000001</v>
      </c>
      <c r="D48" s="17">
        <f>VLOOKUP(A48,[2]myPEPB!$B:$D,3,FALSE)</f>
        <v>25.577105780548813</v>
      </c>
      <c r="E48" s="17">
        <f t="shared" si="8"/>
        <v>-11.050952879581011</v>
      </c>
      <c r="F48" s="18">
        <f t="shared" si="0"/>
        <v>-13.576109013712481</v>
      </c>
      <c r="G48" s="18">
        <f t="shared" si="4"/>
        <v>13327124.574455591</v>
      </c>
      <c r="H48" s="18">
        <f t="shared" si="1"/>
        <v>10848279.543413952</v>
      </c>
      <c r="I48" s="18">
        <f t="shared" si="5"/>
        <v>9327292.1649004761</v>
      </c>
      <c r="J48" s="18">
        <f t="shared" si="2"/>
        <v>10849345.136109971</v>
      </c>
      <c r="K48" s="18">
        <f t="shared" si="3"/>
        <v>1522052.9712094944</v>
      </c>
      <c r="L48" s="17">
        <f t="shared" si="6"/>
        <v>1065.5926960182564</v>
      </c>
    </row>
    <row r="49" spans="1:12" ht="12.75" x14ac:dyDescent="0.2">
      <c r="A49" s="15">
        <v>45777</v>
      </c>
      <c r="B49" s="31">
        <f>VLOOKUP(A49,[1]HwabaoWP_szse_innovation_100!$A:$E,5)</f>
        <v>0.76899999380111694</v>
      </c>
      <c r="C49" s="16">
        <f>VLOOKUP(A49,[2]myPEPB!$B:$C,2,FALSE)</f>
        <v>24.010000229999999</v>
      </c>
      <c r="D49" s="17">
        <f>VLOOKUP(A49,[2]myPEPB!$B:$D,3,FALSE)</f>
        <v>25.539386200172402</v>
      </c>
      <c r="E49" s="17">
        <f t="shared" si="8"/>
        <v>9239.1347107527126</v>
      </c>
      <c r="F49" s="18">
        <f t="shared" si="0"/>
        <v>12014.479564667186</v>
      </c>
      <c r="G49" s="18">
        <f t="shared" si="4"/>
        <v>13339139.054020258</v>
      </c>
      <c r="H49" s="18">
        <f t="shared" si="1"/>
        <v>10257797.849853816</v>
      </c>
      <c r="I49" s="18">
        <f t="shared" si="5"/>
        <v>9336531.2996112294</v>
      </c>
      <c r="J49" s="18">
        <f t="shared" si="2"/>
        <v>10258863.442549834</v>
      </c>
      <c r="K49" s="18">
        <f t="shared" si="3"/>
        <v>922332.14293860458</v>
      </c>
      <c r="L49" s="17">
        <f t="shared" si="6"/>
        <v>1065.5926960182564</v>
      </c>
    </row>
    <row r="50" spans="1:12" ht="12.75" x14ac:dyDescent="0.2">
      <c r="A50" s="15">
        <v>45807</v>
      </c>
      <c r="B50" s="31">
        <f>VLOOKUP(A50,[1]HwabaoWP_szse_innovation_100!$A:$E,5)</f>
        <v>0.78200000524520874</v>
      </c>
      <c r="C50" s="16">
        <f>VLOOKUP(A50,[2]myPEPB!$B:$C,2,FALSE)</f>
        <v>23.299999239999998</v>
      </c>
      <c r="D50" s="17">
        <f>VLOOKUP(A50,[2]myPEPB!$B:$D,3,FALSE)</f>
        <v>25.506266578519043</v>
      </c>
      <c r="E50" s="17">
        <f t="shared" si="8"/>
        <v>19227.081497612831</v>
      </c>
      <c r="F50" s="18">
        <f t="shared" si="0"/>
        <v>24587.060573719395</v>
      </c>
      <c r="G50" s="18">
        <f t="shared" si="4"/>
        <v>13363726.114593977</v>
      </c>
      <c r="H50" s="18">
        <f t="shared" si="1"/>
        <v>10450433.891708024</v>
      </c>
      <c r="I50" s="18">
        <f t="shared" si="5"/>
        <v>9355758.3811088428</v>
      </c>
      <c r="J50" s="18">
        <f t="shared" si="2"/>
        <v>10451499.484404042</v>
      </c>
      <c r="K50" s="18">
        <f t="shared" si="3"/>
        <v>1095741.1032951996</v>
      </c>
      <c r="L50" s="17">
        <f t="shared" si="6"/>
        <v>1065.5926960182564</v>
      </c>
    </row>
    <row r="51" spans="1:12" ht="12.75" x14ac:dyDescent="0.2">
      <c r="A51" s="15">
        <v>45838</v>
      </c>
      <c r="B51" s="31">
        <f>VLOOKUP(A51,[1]HwabaoWP_szse_innovation_100!$A:$E,5)</f>
        <v>0.81199997663497925</v>
      </c>
      <c r="C51" s="16">
        <f>VLOOKUP(A51,[2]myPEPB!$B:$C,2,FALSE)</f>
        <v>24.299999239999998</v>
      </c>
      <c r="D51" s="17">
        <f>VLOOKUP(A51,[2]myPEPB!$B:$D,3,FALSE)</f>
        <v>25.46955573186175</v>
      </c>
      <c r="E51" s="17">
        <f t="shared" si="8"/>
        <v>5403.0564312410688</v>
      </c>
      <c r="F51" s="18">
        <f t="shared" si="0"/>
        <v>6654.0105747686748</v>
      </c>
      <c r="G51" s="18">
        <f t="shared" si="4"/>
        <v>13370380.125168746</v>
      </c>
      <c r="H51" s="18">
        <f t="shared" si="1"/>
        <v>10856748.349237813</v>
      </c>
      <c r="I51" s="18">
        <f t="shared" si="5"/>
        <v>9361161.4375400841</v>
      </c>
      <c r="J51" s="18">
        <f t="shared" si="2"/>
        <v>10857813.941933831</v>
      </c>
      <c r="K51" s="18">
        <f t="shared" si="3"/>
        <v>1496652.5043937471</v>
      </c>
      <c r="L51" s="17">
        <f t="shared" si="6"/>
        <v>1065.5926960182564</v>
      </c>
    </row>
    <row r="52" spans="1:12" ht="12.75" x14ac:dyDescent="0.2">
      <c r="A52" s="15">
        <v>45869</v>
      </c>
      <c r="B52" s="31">
        <f>VLOOKUP(A52,[1]HwabaoWP_szse_innovation_100!$A:$E,5)</f>
        <v>0.84500002861022949</v>
      </c>
      <c r="C52" s="16">
        <f>VLOOKUP(A52,[2]myPEPB!$B:$C,2,FALSE)</f>
        <v>25.25</v>
      </c>
      <c r="D52" s="17">
        <f>VLOOKUP(A52,[2]myPEPB!$B:$D,3,FALSE)</f>
        <v>25.459508277435798</v>
      </c>
      <c r="E52" s="17">
        <f t="shared" si="8"/>
        <v>173.38018734075604</v>
      </c>
      <c r="F52" s="18">
        <f t="shared" si="0"/>
        <v>205.18364671053826</v>
      </c>
      <c r="G52" s="18">
        <f t="shared" si="4"/>
        <v>13370585.308815457</v>
      </c>
      <c r="H52" s="18">
        <f t="shared" si="1"/>
        <v>11298144.968484575</v>
      </c>
      <c r="I52" s="18">
        <f t="shared" si="5"/>
        <v>9361334.8177274242</v>
      </c>
      <c r="J52" s="18">
        <f t="shared" si="2"/>
        <v>11299210.561180593</v>
      </c>
      <c r="K52" s="18">
        <f t="shared" si="3"/>
        <v>1937875.7434531692</v>
      </c>
      <c r="L52" s="17">
        <f t="shared" si="6"/>
        <v>1065.5926960182564</v>
      </c>
    </row>
    <row r="53" spans="1:12" ht="12.75" x14ac:dyDescent="0.2">
      <c r="A53" s="15">
        <v>45898</v>
      </c>
      <c r="B53" s="31">
        <f>VLOOKUP(A53,[1]HwabaoWP_szse_innovation_100!$A:$E,5)</f>
        <v>1.0089999437332153</v>
      </c>
      <c r="C53" s="16">
        <f>VLOOKUP(A53,[2]myPEPB!$B:$C,2,FALSE)</f>
        <v>30.020000459999999</v>
      </c>
      <c r="D53" s="17">
        <f>VLOOKUP(A53,[2]myPEPB!$B:$D,3,FALSE)</f>
        <v>25.492415128467428</v>
      </c>
      <c r="E53" s="17">
        <f t="shared" si="8"/>
        <v>-80971.164290520144</v>
      </c>
      <c r="F53" s="18">
        <f t="shared" si="0"/>
        <v>-80248.928449820931</v>
      </c>
      <c r="G53" s="18">
        <f t="shared" si="4"/>
        <v>13290336.380365636</v>
      </c>
      <c r="H53" s="18">
        <f t="shared" si="1"/>
        <v>13409948.659984432</v>
      </c>
      <c r="I53" s="18">
        <f t="shared" si="5"/>
        <v>9361334.8177274242</v>
      </c>
      <c r="J53" s="18">
        <f t="shared" si="2"/>
        <v>13491985.41697097</v>
      </c>
      <c r="K53" s="18">
        <f t="shared" si="3"/>
        <v>4130650.5992435459</v>
      </c>
      <c r="L53" s="17">
        <f t="shared" si="6"/>
        <v>82036.756986538399</v>
      </c>
    </row>
    <row r="54" spans="1:12" ht="12.75" x14ac:dyDescent="0.2">
      <c r="A54" s="15">
        <v>45930</v>
      </c>
      <c r="B54" s="31">
        <f>VLOOKUP(A54,[1]HwabaoWP_szse_innovation_100!$A:$E,5)</f>
        <v>1.0880000591278076</v>
      </c>
      <c r="C54" s="16">
        <f>VLOOKUP(A54,[2]myPEPB!$B:$C,2,FALSE)</f>
        <v>32.849998470000003</v>
      </c>
      <c r="D54" s="17">
        <f>VLOOKUP(A54,[2]myPEPB!$B:$D,3,FALSE)</f>
        <v>25.595553284386586</v>
      </c>
      <c r="E54" s="17">
        <f t="shared" si="8"/>
        <v>-207876.55105672523</v>
      </c>
      <c r="F54" s="18">
        <f t="shared" si="0"/>
        <v>-191062.99610256357</v>
      </c>
      <c r="G54" s="18">
        <f t="shared" si="4"/>
        <v>13099273.384263072</v>
      </c>
      <c r="H54" s="18">
        <f t="shared" si="1"/>
        <v>14252010.216609539</v>
      </c>
      <c r="I54" s="18">
        <f t="shared" si="5"/>
        <v>9361334.8177274242</v>
      </c>
      <c r="J54" s="18">
        <f t="shared" si="2"/>
        <v>14541923.524652803</v>
      </c>
      <c r="K54" s="18">
        <f t="shared" si="3"/>
        <v>5180588.7069253791</v>
      </c>
      <c r="L54" s="17">
        <f t="shared" si="6"/>
        <v>289913.30804326362</v>
      </c>
    </row>
    <row r="55" spans="1:12" ht="12.75" x14ac:dyDescent="0.2">
      <c r="A55" s="15">
        <v>45961</v>
      </c>
      <c r="B55" s="31">
        <f>VLOOKUP(A55,[1]HwabaoWP_szse_innovation_100!$A:$E,5)</f>
        <v>1.0729999542236328</v>
      </c>
      <c r="C55" s="16">
        <f>VLOOKUP(A55,[2]myPEPB!$B:$C,2,FALSE)</f>
        <v>32.159999849999998</v>
      </c>
      <c r="D55" s="17">
        <f>VLOOKUP(A55,[2]myPEPB!$B:$D,3,FALSE)</f>
        <v>25.690355441740447</v>
      </c>
      <c r="E55" s="17">
        <f t="shared" si="8"/>
        <v>-165332.38013883011</v>
      </c>
      <c r="F55" s="18">
        <f t="shared" si="0"/>
        <v>-154084.23783061208</v>
      </c>
      <c r="G55" s="18">
        <f t="shared" si="4"/>
        <v>12945189.146432459</v>
      </c>
      <c r="H55" s="18">
        <f t="shared" si="1"/>
        <v>13890187.361538297</v>
      </c>
      <c r="I55" s="18">
        <f t="shared" si="5"/>
        <v>9361334.8177274242</v>
      </c>
      <c r="J55" s="18">
        <f t="shared" si="2"/>
        <v>14345433.04972039</v>
      </c>
      <c r="K55" s="18">
        <f t="shared" si="3"/>
        <v>4984098.2319929656</v>
      </c>
      <c r="L55" s="17">
        <f t="shared" si="6"/>
        <v>455245.68818209373</v>
      </c>
    </row>
    <row r="56" spans="1:12" ht="12.75" x14ac:dyDescent="0.2">
      <c r="A56" s="15">
        <v>45989</v>
      </c>
      <c r="B56" s="31">
        <f>VLOOKUP(A56,[1]HwabaoWP_szse_innovation_100!$A:$E,5)</f>
        <v>1.0399999618530273</v>
      </c>
      <c r="C56" s="16">
        <f>VLOOKUP(A56,[2]myPEPB!$B:$C,2,FALSE)</f>
        <v>29.780000690000001</v>
      </c>
      <c r="D56" s="17">
        <f>VLOOKUP(A56,[2]myPEPB!$B:$D,3,FALSE)</f>
        <v>25.767886790921306</v>
      </c>
      <c r="E56" s="17">
        <f t="shared" si="8"/>
        <v>-63583.378859762786</v>
      </c>
      <c r="F56" s="18">
        <f t="shared" si="0"/>
        <v>-61137.866530757026</v>
      </c>
      <c r="G56" s="18">
        <f t="shared" si="4"/>
        <v>12884051.279901702</v>
      </c>
      <c r="H56" s="18">
        <f t="shared" si="1"/>
        <v>13399412.839610219</v>
      </c>
      <c r="I56" s="18">
        <f t="shared" si="5"/>
        <v>9361334.8177274242</v>
      </c>
      <c r="J56" s="18">
        <f t="shared" si="2"/>
        <v>13918241.906652076</v>
      </c>
      <c r="K56" s="18">
        <f t="shared" si="3"/>
        <v>4556907.088924652</v>
      </c>
      <c r="L56" s="17">
        <f t="shared" si="6"/>
        <v>518829.06704185653</v>
      </c>
    </row>
    <row r="57" spans="1:12" ht="12.75" x14ac:dyDescent="0.2">
      <c r="A57" s="15">
        <v>46022</v>
      </c>
      <c r="B57" s="31">
        <f>VLOOKUP(A57,[1]HwabaoWP_szse_innovation_100!$A:$E,5)</f>
        <v>1.0640000104904175</v>
      </c>
      <c r="C57" s="16">
        <f>VLOOKUP(A57,[2]myPEPB!$B:$C,2,FALSE)</f>
        <v>31.129999160000001</v>
      </c>
      <c r="D57" s="17">
        <f>VLOOKUP(A57,[2]myPEPB!$B:$D,3,FALSE)</f>
        <v>25.866548769817285</v>
      </c>
      <c r="E57" s="17">
        <f t="shared" si="8"/>
        <v>-109430.44453916258</v>
      </c>
      <c r="F57" s="18">
        <f t="shared" si="0"/>
        <v>-102848.16114684439</v>
      </c>
      <c r="G57" s="18">
        <f t="shared" si="4"/>
        <v>12781203.118754858</v>
      </c>
      <c r="H57" s="18">
        <f t="shared" si="1"/>
        <v>13599200.252435327</v>
      </c>
      <c r="I57" s="18">
        <f t="shared" si="5"/>
        <v>9361334.8177274242</v>
      </c>
      <c r="J57" s="18">
        <f t="shared" si="2"/>
        <v>14227459.764016345</v>
      </c>
      <c r="K57" s="18">
        <f t="shared" si="3"/>
        <v>4866124.9462889209</v>
      </c>
      <c r="L57" s="17">
        <f t="shared" si="6"/>
        <v>628259.51158101915</v>
      </c>
    </row>
    <row r="58" spans="1:12" ht="12.75" x14ac:dyDescent="0.2">
      <c r="A58" s="15">
        <v>46052</v>
      </c>
      <c r="B58" s="31">
        <f>VLOOKUP(A58,[1]HwabaoWP_szse_innovation_100!$A:$E,5)</f>
        <v>1.0720000267028809</v>
      </c>
      <c r="C58" s="16">
        <f>VLOOKUP(A58,[2]myPEPB!$B:$C,2,FALSE)</f>
        <v>31.709999079999999</v>
      </c>
      <c r="D58" s="17">
        <f>VLOOKUP(A58,[2]myPEPB!$B:$D,3,FALSE)</f>
        <v>25.973356806597167</v>
      </c>
      <c r="E58" s="17">
        <f t="shared" si="8"/>
        <v>-129990.80506332006</v>
      </c>
      <c r="F58" s="18">
        <f t="shared" si="0"/>
        <v>-121260.07632959579</v>
      </c>
      <c r="G58" s="18">
        <f t="shared" si="4"/>
        <v>12659943.042425262</v>
      </c>
      <c r="H58" s="18">
        <f t="shared" si="1"/>
        <v>13571459.279536832</v>
      </c>
      <c r="I58" s="18">
        <f t="shared" si="5"/>
        <v>9361334.8177274242</v>
      </c>
      <c r="J58" s="18">
        <f t="shared" si="2"/>
        <v>14329709.596181171</v>
      </c>
      <c r="K58" s="18">
        <f t="shared" si="3"/>
        <v>4968374.7784537468</v>
      </c>
      <c r="L58" s="17">
        <f t="shared" si="6"/>
        <v>758250.31664433924</v>
      </c>
    </row>
    <row r="59" spans="1:12" ht="12.75" x14ac:dyDescent="0.2">
      <c r="A59" s="15">
        <v>46080</v>
      </c>
      <c r="B59" s="31">
        <f>VLOOKUP(A59,[1]HwabaoWP_szse_innovation_100!$A:$E,5)</f>
        <v>1.0750000476837158</v>
      </c>
      <c r="C59" s="16">
        <f>VLOOKUP(A59,[2]myPEPB!$B:$C,2,FALSE)</f>
        <v>31.549999239999998</v>
      </c>
      <c r="D59" s="17">
        <f>VLOOKUP(A59,[2]myPEPB!$B:$D,3,FALSE)</f>
        <v>26.039818023753689</v>
      </c>
      <c r="E59" s="17">
        <f t="shared" si="8"/>
        <v>-119930.28329170092</v>
      </c>
      <c r="F59" s="18">
        <f t="shared" si="0"/>
        <v>-111563.04927624203</v>
      </c>
      <c r="G59" s="18">
        <f t="shared" si="4"/>
        <v>12548379.99314902</v>
      </c>
      <c r="H59" s="18">
        <f t="shared" si="1"/>
        <v>13489509.090988582</v>
      </c>
      <c r="I59" s="18">
        <f t="shared" si="5"/>
        <v>9361334.8177274242</v>
      </c>
      <c r="J59" s="18">
        <f t="shared" si="2"/>
        <v>14367689.690924622</v>
      </c>
      <c r="K59" s="18">
        <f t="shared" si="3"/>
        <v>5006354.8731971979</v>
      </c>
      <c r="L59" s="17">
        <f t="shared" si="6"/>
        <v>878180.59993604012</v>
      </c>
    </row>
    <row r="60" spans="1:12" ht="12.75" x14ac:dyDescent="0.2">
      <c r="A60" s="15">
        <v>46112</v>
      </c>
      <c r="B60" s="31">
        <f>VLOOKUP(A60,[1]HwabaoWP_szse_innovation_100!$A:$E,5)</f>
        <v>1.0479999780654907</v>
      </c>
      <c r="C60" s="16">
        <f>VLOOKUP(A60,[2]myPEPB!$B:$C,2,FALSE)</f>
        <v>30.549999239999998</v>
      </c>
      <c r="D60" s="17">
        <f>VLOOKUP(A60,[2]myPEPB!$B:$D,3,FALSE)</f>
        <v>26.136981933917117</v>
      </c>
      <c r="E60" s="17">
        <f t="shared" si="8"/>
        <v>-76925.150887958705</v>
      </c>
      <c r="F60" s="18">
        <f t="shared" si="0"/>
        <v>-73401.863070603576</v>
      </c>
      <c r="G60" s="18">
        <f t="shared" si="4"/>
        <v>12474978.130078416</v>
      </c>
      <c r="H60" s="18">
        <f t="shared" si="1"/>
        <v>13073776.806689657</v>
      </c>
      <c r="I60" s="18">
        <f t="shared" si="5"/>
        <v>9361334.8177274242</v>
      </c>
      <c r="J60" s="18">
        <f t="shared" si="2"/>
        <v>14028882.557513656</v>
      </c>
      <c r="K60" s="18">
        <f t="shared" si="3"/>
        <v>4667547.7397862319</v>
      </c>
      <c r="L60" s="17">
        <f t="shared" si="6"/>
        <v>955105.75082399882</v>
      </c>
    </row>
    <row r="61" spans="1:12" ht="12.75" x14ac:dyDescent="0.2">
      <c r="A61" s="15">
        <v>46142</v>
      </c>
      <c r="B61" s="31">
        <f>VLOOKUP(A61,[1]HwabaoWP_szse_innovation_100!$A:$E,5)</f>
        <v>1.1770000457763672</v>
      </c>
      <c r="C61" s="16">
        <f>VLOOKUP(A61,[2]myPEPB!$B:$C,2,FALSE)</f>
        <v>34.549999239999998</v>
      </c>
      <c r="D61" s="17">
        <f>VLOOKUP(A61,[2]myPEPB!$B:$D,3,FALSE)</f>
        <v>26.252550181051159</v>
      </c>
      <c r="E61" s="17">
        <f t="shared" si="8"/>
        <v>-271948.26049911132</v>
      </c>
      <c r="F61" s="18">
        <f t="shared" si="0"/>
        <v>-231052.03901647267</v>
      </c>
      <c r="G61" s="18">
        <f t="shared" si="4"/>
        <v>12243926.091061944</v>
      </c>
      <c r="H61" s="18">
        <f t="shared" si="1"/>
        <v>14411101.569662364</v>
      </c>
      <c r="I61" s="18">
        <f t="shared" si="5"/>
        <v>9361334.8177274242</v>
      </c>
      <c r="J61" s="18">
        <f t="shared" si="2"/>
        <v>15638155.580985475</v>
      </c>
      <c r="K61" s="18">
        <f t="shared" si="3"/>
        <v>6276820.7632580511</v>
      </c>
      <c r="L61" s="17">
        <f t="shared" si="6"/>
        <v>1227054.0113231102</v>
      </c>
    </row>
    <row r="62" spans="1:12" ht="12.75" x14ac:dyDescent="0.2">
      <c r="A62" s="15">
        <v>46171</v>
      </c>
      <c r="B62" s="31">
        <f>VLOOKUP(A62,[1]HwabaoWP_szse_innovation_100!$A:$E,5)</f>
        <v>1.2450000047683716</v>
      </c>
      <c r="C62" s="16">
        <f>VLOOKUP(A62,[2]myPEPB!$B:$C,2,FALSE)</f>
        <v>35.509998320000001</v>
      </c>
      <c r="D62" s="17">
        <f>VLOOKUP(A62,[2]myPEPB!$B:$D,3,FALSE)</f>
        <v>26.381551060434539</v>
      </c>
      <c r="E62" s="17">
        <f t="shared" si="8"/>
        <v>-329147.77001413936</v>
      </c>
      <c r="F62" s="18">
        <f t="shared" si="0"/>
        <v>-264375.71787429531</v>
      </c>
      <c r="G62" s="18">
        <f t="shared" si="4"/>
        <v>11979550.373187648</v>
      </c>
      <c r="H62" s="18">
        <f t="shared" si="1"/>
        <v>14914540.271741569</v>
      </c>
      <c r="I62" s="18">
        <f t="shared" si="5"/>
        <v>9361334.8177274242</v>
      </c>
      <c r="J62" s="18">
        <f t="shared" si="2"/>
        <v>16470742.053078819</v>
      </c>
      <c r="K62" s="18">
        <f t="shared" si="3"/>
        <v>7109407.2353513949</v>
      </c>
      <c r="L62" s="17">
        <f t="shared" si="6"/>
        <v>1556201.7813372496</v>
      </c>
    </row>
    <row r="63" spans="1:12" ht="12.75" x14ac:dyDescent="0.2">
      <c r="A63" s="15">
        <v>46203</v>
      </c>
      <c r="B63" s="31">
        <f>VLOOKUP(A63,[1]HwabaoWP_szse_innovation_100!$A:$E,5)</f>
        <v>1.2760000228881836</v>
      </c>
      <c r="C63" s="16">
        <f>VLOOKUP(A63,[2]myPEPB!$B:$C,2,FALSE)</f>
        <v>41.799999239999998</v>
      </c>
      <c r="D63" s="17">
        <f>VLOOKUP(A63,[2]myPEPB!$B:$D,3,FALSE)</f>
        <v>26.574869220600849</v>
      </c>
      <c r="E63" s="17">
        <f t="shared" si="8"/>
        <v>-915628.10722505616</v>
      </c>
      <c r="F63" s="18">
        <f t="shared" si="0"/>
        <v>-717576.87366851489</v>
      </c>
      <c r="G63" s="18">
        <f t="shared" si="4"/>
        <v>11261973.499519134</v>
      </c>
      <c r="H63" s="18">
        <f t="shared" si="1"/>
        <v>14370278.443152532</v>
      </c>
      <c r="I63" s="18">
        <f t="shared" si="5"/>
        <v>9361334.8177274242</v>
      </c>
      <c r="J63" s="18">
        <f t="shared" si="2"/>
        <v>16842108.331714839</v>
      </c>
      <c r="K63" s="18">
        <f t="shared" si="3"/>
        <v>7480773.5139874145</v>
      </c>
      <c r="L63" s="17">
        <f t="shared" si="6"/>
        <v>2471829.8885623058</v>
      </c>
    </row>
  </sheetData>
  <phoneticPr fontId="2" type="noConversion"/>
  <conditionalFormatting sqref="H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model2(1)</vt:lpstr>
      <vt:lpstr>model2(1)&amp;RSI</vt:lpstr>
      <vt:lpstr>model2(2)&amp;RSI</vt:lpstr>
      <vt:lpstr>model2(2)vol&amp;RSI</vt:lpstr>
      <vt:lpstr>model2(1)&amp;KDJ</vt:lpstr>
      <vt:lpstr>model2(2)vol</vt:lpstr>
      <vt:lpstr>model2(2)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2026-08-01T03:53:52Z</dcterms:modified>
</cp:coreProperties>
</file>