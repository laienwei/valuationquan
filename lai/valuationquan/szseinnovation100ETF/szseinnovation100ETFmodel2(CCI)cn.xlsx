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模型二 (1)PE副本" sheetId="9" r:id="rId1"/>
    <sheet name="模型二 (1)PE副本计算CCI月线" sheetId="6" r:id="rId2"/>
    <sheet name="模型二 (1)PE副本计算CCI日线" sheetId="5" r:id="rId3"/>
    <sheet name="模型二 (2)PE副本计算CCI日线" sheetId="7" r:id="rId4"/>
    <sheet name="模型二 (2)PE副本成交量计算CCI日线" sheetId="8" r:id="rId5"/>
  </sheets>
  <definedNames>
    <definedName name="_xlnm._FilterDatabase" localSheetId="0" hidden="1">'模型二 (1)PE副本'!$P$1:$P$23</definedName>
    <definedName name="_xlnm._FilterDatabase" localSheetId="2" hidden="1">'模型二 (1)PE副本计算CCI日线'!$P$1:$P$23</definedName>
    <definedName name="_xlnm._FilterDatabase" localSheetId="1" hidden="1">'模型二 (1)PE副本计算CCI月线'!$V$1:$V$23</definedName>
    <definedName name="_xlnm._FilterDatabase" localSheetId="4" hidden="1">'模型二 (2)PE副本成交量计算CCI日线'!$R$1:$R$23</definedName>
    <definedName name="_xlnm._FilterDatabase" localSheetId="3" hidden="1">'模型二 (2)PE副本计算CCI日线'!$P$1:$P$23</definedName>
    <definedName name="金额" localSheetId="0">OFFSET('模型二 (1)PE副本'!K1,0,0,COUNTA('模型二 (1)PE副本'!K:K)-1)</definedName>
    <definedName name="金额" localSheetId="2">OFFSET('模型二 (1)PE副本计算CCI日线'!K1,0,0,COUNTA('模型二 (1)PE副本计算CCI日线'!K:K)-1)</definedName>
    <definedName name="金额" localSheetId="1">OFFSET('模型二 (1)PE副本计算CCI月线'!K1,0,0,COUNTA('模型二 (1)PE副本计算CCI月线'!K:K)-1)</definedName>
    <definedName name="金额" localSheetId="4">OFFSET('模型二 (2)PE副本成交量计算CCI日线'!M1,0,0,COUNTA('模型二 (2)PE副本成交量计算CCI日线'!M:M)-1)</definedName>
    <definedName name="金额" localSheetId="3">OFFSET('模型二 (2)PE副本计算CCI日线'!K1,0,0,COUNTA('模型二 (2)PE副本计算CCI日线'!K:K)-1)</definedName>
    <definedName name="买卖" localSheetId="0">OFFSET('模型二 (1)PE副本'!E1,0,0,COUNTA('模型二 (1)PE副本'!E:E)-1)</definedName>
    <definedName name="买卖" localSheetId="2">OFFSET('模型二 (1)PE副本计算CCI日线'!E1,0,0,COUNTA('模型二 (1)PE副本计算CCI日线'!E:E)-1)</definedName>
    <definedName name="买卖" localSheetId="1">OFFSET('模型二 (1)PE副本计算CCI月线'!E1,0,0,COUNTA('模型二 (1)PE副本计算CCI月线'!E:E)-1)</definedName>
    <definedName name="买卖" localSheetId="4">OFFSET('模型二 (2)PE副本成交量计算CCI日线'!G1,0,0,COUNTA('模型二 (2)PE副本成交量计算CCI日线'!G:G)-1)</definedName>
    <definedName name="买卖" localSheetId="3">OFFSET('模型二 (2)PE副本计算CCI日线'!G1,0,0,COUNTA('模型二 (2)PE副本计算CCI日线'!G:G)-1)</definedName>
    <definedName name="时间" localSheetId="0">OFFSET('模型二 (1)PE副本'!A1,0,0,COUNTA('模型二 (1)PE副本'!A:A)-1)</definedName>
    <definedName name="时间" localSheetId="2">OFFSET('模型二 (1)PE副本计算CCI日线'!A1,0,0,COUNTA('模型二 (1)PE副本计算CCI日线'!A:A)-1)</definedName>
    <definedName name="时间" localSheetId="1">OFFSET('模型二 (1)PE副本计算CCI月线'!A1,0,0,COUNTA('模型二 (1)PE副本计算CCI月线'!A:A)-1)</definedName>
    <definedName name="时间" localSheetId="4">OFFSET('模型二 (2)PE副本成交量计算CCI日线'!A1,0,0,COUNTA('模型二 (2)PE副本成交量计算CCI日线'!A:A)-1)</definedName>
    <definedName name="时间" localSheetId="3">OFFSET('模型二 (2)PE副本计算CCI日线'!A1,0,0,COUNTA('模型二 (2)PE副本计算CCI日线'!A:A)-1)</definedName>
    <definedName name="指数" localSheetId="0">OFFSET('模型二 (1)PE副本'!B1,0,0,COUNTA('模型二 (1)PE副本'!B:B)-1)</definedName>
    <definedName name="指数" localSheetId="2">OFFSET('模型二 (1)PE副本计算CCI日线'!B1,0,0,COUNTA('模型二 (1)PE副本计算CCI日线'!B:B)-1)</definedName>
    <definedName name="指数" localSheetId="1">OFFSET('模型二 (1)PE副本计算CCI月线'!B1,0,0,COUNTA('模型二 (1)PE副本计算CCI月线'!B:B)-1)</definedName>
    <definedName name="指数" localSheetId="4">OFFSET('模型二 (2)PE副本成交量计算CCI日线'!B1,0,0,COUNTA('模型二 (2)PE副本成交量计算CCI日线'!B:B)-1)</definedName>
    <definedName name="指数" localSheetId="3">OFFSET('模型二 (2)PE副本计算CCI日线'!B1,0,0,COUNTA('模型二 (2)PE副本计算CCI日线'!B:B)-1)</definedName>
    <definedName name="资产" localSheetId="0">OFFSET('模型二 (1)PE副本'!J1,0,0,COUNTA('模型二 (1)PE副本'!J:J)-1)</definedName>
    <definedName name="资产" localSheetId="2">OFFSET('模型二 (1)PE副本计算CCI日线'!J1,0,0,COUNTA('模型二 (1)PE副本计算CCI日线'!J:J)-1)</definedName>
    <definedName name="资产" localSheetId="1">OFFSET('模型二 (1)PE副本计算CCI月线'!J1,0,0,COUNTA('模型二 (1)PE副本计算CCI月线'!J:J)-1)</definedName>
    <definedName name="资产" localSheetId="4">OFFSET('模型二 (2)PE副本成交量计算CCI日线'!L1,0,0,COUNTA('模型二 (2)PE副本成交量计算CCI日线'!L:L)-1)</definedName>
    <definedName name="资产" localSheetId="3">OFFSET('模型二 (2)PE副本计算CCI日线'!J1,0,0,COUNTA('模型二 (2)PE副本计算CCI日线'!J:J)-1)</definedName>
    <definedName name="资金" localSheetId="0">OFFSET('模型二 (1)PE副本'!I1,0,0,COUNTA('模型二 (1)PE副本'!I:I)-1)</definedName>
    <definedName name="资金" localSheetId="2">OFFSET('模型二 (1)PE副本计算CCI日线'!I1,0,0,COUNTA('模型二 (1)PE副本计算CCI日线'!I:I)-1)</definedName>
    <definedName name="资金" localSheetId="1">OFFSET('模型二 (1)PE副本计算CCI月线'!I1,0,0,COUNTA('模型二 (1)PE副本计算CCI月线'!I:I)-1)</definedName>
    <definedName name="资金" localSheetId="4">OFFSET('模型二 (2)PE副本成交量计算CCI日线'!K1,0,0,COUNTA('模型二 (2)PE副本成交量计算CCI日线'!K:K)-1)</definedName>
    <definedName name="资金" localSheetId="3">OFFSET('模型二 (2)PE副本计算CCI日线'!I1,0,0,COUNTA('模型二 (2)PE副本计算CCI日线'!I:I)-1)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J2" i="8" l="1"/>
  <c r="H2" i="7" l="1"/>
  <c r="H2" i="5" l="1"/>
</calcChain>
</file>

<file path=xl/sharedStrings.xml><?xml version="1.0" encoding="utf-8"?>
<sst xmlns="http://schemas.openxmlformats.org/spreadsheetml/2006/main" count="117" uniqueCount="31">
  <si>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</si>
  <si>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</si>
  <si>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</si>
  <si>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</si>
  <si>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</si>
  <si>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</si>
  <si>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</si>
  <si>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</si>
  <si>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</si>
  <si>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</si>
  <si>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</si>
  <si>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</si>
  <si>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</si>
  <si>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</si>
  <si>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</si>
  <si>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</si>
  <si>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</si>
  <si>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</si>
  <si>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</si>
  <si>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</si>
  <si>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</si>
  <si>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</si>
  <si>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</si>
  <si>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</si>
  <si>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</si>
  <si>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</si>
  <si>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</si>
  <si>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</si>
  <si>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日期</t>
    <phoneticPr fontId="4" type="noConversion"/>
  </si>
  <si>
    <t>成交量</t>
    <phoneticPr fontId="3" type="noConversion"/>
  </si>
  <si>
    <t>成交均量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</si>
</sst>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  <c:pt idx="58">
                  <c:v>1158493.0294822238</c:v>
                </c:pt>
                <c:pt idx="59">
                  <c:v>1158493.0294822238</c:v>
                </c:pt>
                <c:pt idx="60">
                  <c:v>1158493.0294822238</c:v>
                </c:pt>
                <c:pt idx="61">
                  <c:v>1158493.0294822238</c:v>
                </c:pt>
                <c:pt idx="62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  <c:pt idx="58">
                  <c:v>1881997.8085183678</c:v>
                </c:pt>
                <c:pt idx="59">
                  <c:v>1978849.1612350328</c:v>
                </c:pt>
                <c:pt idx="60">
                  <c:v>2022104.2217609019</c:v>
                </c:pt>
                <c:pt idx="61">
                  <c:v>1794259.6267486978</c:v>
                </c:pt>
                <c:pt idx="62">
                  <c:v>1803474.034715408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  <c:pt idx="58">
                  <c:v>723504.77903614403</c:v>
                </c:pt>
                <c:pt idx="59">
                  <c:v>820356.13175280904</c:v>
                </c:pt>
                <c:pt idx="60">
                  <c:v>863611.19227867806</c:v>
                </c:pt>
                <c:pt idx="61">
                  <c:v>635766.59726647404</c:v>
                </c:pt>
                <c:pt idx="62">
                  <c:v>644981.0052331842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5884800"/>
        <c:axId val="376420992"/>
      </c:lineChart>
      <c:dateAx>
        <c:axId val="3758848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6420992"/>
        <c:crosses val="autoZero"/>
        <c:auto val="1"/>
        <c:lblOffset val="100"/>
        <c:baseTimeUnit val="months"/>
      </c:dateAx>
      <c:valAx>
        <c:axId val="376420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588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64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-36057.366675283578</c:v>
                </c:pt>
                <c:pt idx="60">
                  <c:v>-60139.263576626639</c:v>
                </c:pt>
                <c:pt idx="61">
                  <c:v>-35250.090060671617</c:v>
                </c:pt>
                <c:pt idx="62">
                  <c:v>-34946.17272282279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3620736"/>
        <c:axId val="4592967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8131328"/>
        <c:axId val="458170368"/>
      </c:lineChart>
      <c:dateAx>
        <c:axId val="4581313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170368"/>
        <c:crosses val="autoZero"/>
        <c:auto val="1"/>
        <c:lblOffset val="100"/>
        <c:baseTimeUnit val="months"/>
      </c:dateAx>
      <c:valAx>
        <c:axId val="45817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8131328"/>
        <c:crosses val="autoZero"/>
        <c:crossBetween val="between"/>
      </c:valAx>
      <c:valAx>
        <c:axId val="4592967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3620736"/>
        <c:crosses val="max"/>
        <c:crossBetween val="between"/>
      </c:valAx>
      <c:catAx>
        <c:axId val="463620736"/>
        <c:scaling>
          <c:orientation val="minMax"/>
        </c:scaling>
        <c:delete val="1"/>
        <c:axPos val="b"/>
        <c:majorTickMark val="out"/>
        <c:minorTickMark val="none"/>
        <c:tickLblPos val="nextTo"/>
        <c:crossAx val="4592967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(1)PE副本计算CCI月线'!资金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  <c:pt idx="53">
                  <c:v>1222236.9259249454</c:v>
                </c:pt>
                <c:pt idx="54">
                  <c:v>1222236.9259249454</c:v>
                </c:pt>
                <c:pt idx="55">
                  <c:v>1222236.9259249454</c:v>
                </c:pt>
                <c:pt idx="56">
                  <c:v>1222236.9259249454</c:v>
                </c:pt>
                <c:pt idx="57">
                  <c:v>1222236.9259249454</c:v>
                </c:pt>
                <c:pt idx="58">
                  <c:v>1222236.9259249454</c:v>
                </c:pt>
                <c:pt idx="59">
                  <c:v>1222236.9259249454</c:v>
                </c:pt>
                <c:pt idx="60">
                  <c:v>1222236.9259249454</c:v>
                </c:pt>
                <c:pt idx="61">
                  <c:v>1222236.9259249454</c:v>
                </c:pt>
                <c:pt idx="62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(1)PE副本计算CCI月线'!资产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  <c:pt idx="53">
                  <c:v>1783595.7523900417</c:v>
                </c:pt>
                <c:pt idx="54">
                  <c:v>1822259.0783629464</c:v>
                </c:pt>
                <c:pt idx="55">
                  <c:v>1834959.2686860184</c:v>
                </c:pt>
                <c:pt idx="56">
                  <c:v>1839658.4498281199</c:v>
                </c:pt>
                <c:pt idx="57">
                  <c:v>1797912.668896025</c:v>
                </c:pt>
                <c:pt idx="58">
                  <c:v>1995218.6613627363</c:v>
                </c:pt>
                <c:pt idx="59">
                  <c:v>2097331.2663571048</c:v>
                </c:pt>
                <c:pt idx="60">
                  <c:v>2142805.2789050131</c:v>
                </c:pt>
                <c:pt idx="61">
                  <c:v>1904456.8522721031</c:v>
                </c:pt>
                <c:pt idx="62">
                  <c:v>1914106.3282147367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(1)PE副本计算CCI月线'!金额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  <c:pt idx="53">
                  <c:v>561358.82646509632</c:v>
                </c:pt>
                <c:pt idx="54">
                  <c:v>600022.15243800101</c:v>
                </c:pt>
                <c:pt idx="55">
                  <c:v>612722.34276107303</c:v>
                </c:pt>
                <c:pt idx="56">
                  <c:v>617421.52390317456</c:v>
                </c:pt>
                <c:pt idx="57">
                  <c:v>575675.74297107966</c:v>
                </c:pt>
                <c:pt idx="58">
                  <c:v>772981.73543779086</c:v>
                </c:pt>
                <c:pt idx="59">
                  <c:v>875094.34043215937</c:v>
                </c:pt>
                <c:pt idx="60">
                  <c:v>920568.35298006772</c:v>
                </c:pt>
                <c:pt idx="61">
                  <c:v>682219.92634715769</c:v>
                </c:pt>
                <c:pt idx="62">
                  <c:v>691869.40228979127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939520"/>
        <c:axId val="494966272"/>
      </c:lineChart>
      <c:dateAx>
        <c:axId val="4949395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966272"/>
        <c:crosses val="autoZero"/>
        <c:auto val="1"/>
        <c:lblOffset val="100"/>
        <c:baseTimeUnit val="months"/>
      </c:dateAx>
      <c:valAx>
        <c:axId val="49496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93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(1)PE副本计算CCI月线'!买卖</c:f>
              <c:numCache>
                <c:formatCode>0.00_ </c:formatCode>
                <c:ptCount val="64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  <c:pt idx="53">
                  <c:v>-19017.419881633017</c:v>
                </c:pt>
                <c:pt idx="54">
                  <c:v>-24948.75484946607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-43268.840010340289</c:v>
                </c:pt>
                <c:pt idx="60">
                  <c:v>-72167.11629195197</c:v>
                </c:pt>
                <c:pt idx="61">
                  <c:v>-35250.090060671617</c:v>
                </c:pt>
                <c:pt idx="62">
                  <c:v>-34946.17272282279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8956032"/>
        <c:axId val="49565068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(1)PE副本计算CCI月线'!时间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(1)PE副本计算CCI月线'!指数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5561344"/>
        <c:axId val="495649152"/>
      </c:lineChart>
      <c:dateAx>
        <c:axId val="4955613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649152"/>
        <c:crosses val="autoZero"/>
        <c:auto val="1"/>
        <c:lblOffset val="100"/>
        <c:baseTimeUnit val="months"/>
      </c:dateAx>
      <c:valAx>
        <c:axId val="49564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5561344"/>
        <c:crosses val="autoZero"/>
        <c:crossBetween val="between"/>
      </c:valAx>
      <c:valAx>
        <c:axId val="49565068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8956032"/>
        <c:crosses val="max"/>
        <c:crossBetween val="between"/>
      </c:valAx>
      <c:catAx>
        <c:axId val="508956032"/>
        <c:scaling>
          <c:orientation val="minMax"/>
        </c:scaling>
        <c:delete val="1"/>
        <c:axPos val="b"/>
        <c:majorTickMark val="out"/>
        <c:minorTickMark val="none"/>
        <c:tickLblPos val="nextTo"/>
        <c:crossAx val="4956506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(1)PE副本计算CCI日线'!资金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  <c:pt idx="53">
                  <c:v>1226222.9374500697</c:v>
                </c:pt>
                <c:pt idx="54">
                  <c:v>1226222.9374500697</c:v>
                </c:pt>
                <c:pt idx="55">
                  <c:v>1226222.9374500697</c:v>
                </c:pt>
                <c:pt idx="56">
                  <c:v>1226222.9374500697</c:v>
                </c:pt>
                <c:pt idx="57">
                  <c:v>1226222.9374500697</c:v>
                </c:pt>
                <c:pt idx="58">
                  <c:v>1226222.9374500697</c:v>
                </c:pt>
                <c:pt idx="59">
                  <c:v>1226222.9374500697</c:v>
                </c:pt>
                <c:pt idx="60">
                  <c:v>1226222.9374500697</c:v>
                </c:pt>
                <c:pt idx="61">
                  <c:v>1226222.9374500697</c:v>
                </c:pt>
                <c:pt idx="62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(1)PE副本计算CCI日线'!资产</c:f>
              <c:numCache>
                <c:formatCode>0.00_ </c:formatCode>
                <c:ptCount val="63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  <c:pt idx="53">
                  <c:v>1782531.7789662397</c:v>
                </c:pt>
                <c:pt idx="54">
                  <c:v>1821371.0623135378</c:v>
                </c:pt>
                <c:pt idx="55">
                  <c:v>1834161.1692616125</c:v>
                </c:pt>
                <c:pt idx="56">
                  <c:v>1838894.0693055724</c:v>
                </c:pt>
                <c:pt idx="57">
                  <c:v>1796844.8195966107</c:v>
                </c:pt>
                <c:pt idx="58">
                  <c:v>1995600.7154642211</c:v>
                </c:pt>
                <c:pt idx="59">
                  <c:v>2098477.6097613247</c:v>
                </c:pt>
                <c:pt idx="60">
                  <c:v>2144300.0487286719</c:v>
                </c:pt>
                <c:pt idx="61">
                  <c:v>1902459.1060100065</c:v>
                </c:pt>
                <c:pt idx="62">
                  <c:v>1912253.2417262525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(1)PE副本计算CCI日线'!金额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  <c:pt idx="53">
                  <c:v>556308.84151616995</c:v>
                </c:pt>
                <c:pt idx="54">
                  <c:v>595148.12486346811</c:v>
                </c:pt>
                <c:pt idx="55">
                  <c:v>607938.23181154276</c:v>
                </c:pt>
                <c:pt idx="56">
                  <c:v>612671.13185550272</c:v>
                </c:pt>
                <c:pt idx="57">
                  <c:v>570621.88214654103</c:v>
                </c:pt>
                <c:pt idx="58">
                  <c:v>769377.77801415138</c:v>
                </c:pt>
                <c:pt idx="59">
                  <c:v>872254.67231125501</c:v>
                </c:pt>
                <c:pt idx="60">
                  <c:v>918077.11127860215</c:v>
                </c:pt>
                <c:pt idx="61">
                  <c:v>676236.16855993681</c:v>
                </c:pt>
                <c:pt idx="62">
                  <c:v>686030.30427618278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582784"/>
        <c:axId val="532584704"/>
      </c:lineChart>
      <c:dateAx>
        <c:axId val="53258278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2584704"/>
        <c:crosses val="autoZero"/>
        <c:auto val="1"/>
        <c:lblOffset val="100"/>
        <c:baseTimeUnit val="months"/>
      </c:dateAx>
      <c:valAx>
        <c:axId val="53258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258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(1)PE副本计算CCI日线'!买卖</c:f>
              <c:numCache>
                <c:formatCode>0.00_ </c:formatCode>
                <c:ptCount val="64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  <c:pt idx="58">
                  <c:v>-32774.923782847916</c:v>
                </c:pt>
                <c:pt idx="59">
                  <c:v>-43268.840010340289</c:v>
                </c:pt>
                <c:pt idx="60">
                  <c:v>-60139.263576626639</c:v>
                </c:pt>
                <c:pt idx="61">
                  <c:v>-35250.090060671617</c:v>
                </c:pt>
                <c:pt idx="62">
                  <c:v>-34946.17272282279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3947904"/>
        <c:axId val="5339453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(1)PE副本计算CCI日线'!指数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610432"/>
        <c:axId val="533942656"/>
      </c:lineChart>
      <c:dateAx>
        <c:axId val="5326104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942656"/>
        <c:crosses val="autoZero"/>
        <c:auto val="1"/>
        <c:lblOffset val="100"/>
        <c:baseTimeUnit val="months"/>
      </c:dateAx>
      <c:valAx>
        <c:axId val="53394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2610432"/>
        <c:crosses val="autoZero"/>
        <c:crossBetween val="between"/>
      </c:valAx>
      <c:valAx>
        <c:axId val="5339453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3947904"/>
        <c:crosses val="max"/>
        <c:crossBetween val="between"/>
      </c:valAx>
      <c:catAx>
        <c:axId val="533947904"/>
        <c:scaling>
          <c:orientation val="minMax"/>
        </c:scaling>
        <c:delete val="1"/>
        <c:axPos val="b"/>
        <c:majorTickMark val="out"/>
        <c:minorTickMark val="none"/>
        <c:tickLblPos val="nextTo"/>
        <c:crossAx val="5339453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(2)PE副本计算CCI日线'!资金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  <c:pt idx="58">
                  <c:v>9962785.3792499099</c:v>
                </c:pt>
                <c:pt idx="59">
                  <c:v>9962785.3792499099</c:v>
                </c:pt>
                <c:pt idx="60">
                  <c:v>9962785.3792499099</c:v>
                </c:pt>
                <c:pt idx="61">
                  <c:v>9962785.3792499099</c:v>
                </c:pt>
                <c:pt idx="62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(2)PE副本计算CCI日线'!资产</c:f>
              <c:numCache>
                <c:formatCode>0.00_ </c:formatCode>
                <c:ptCount val="63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  <c:pt idx="58">
                  <c:v>16678406.043607632</c:v>
                </c:pt>
                <c:pt idx="59">
                  <c:v>17567754.333578344</c:v>
                </c:pt>
                <c:pt idx="60">
                  <c:v>17963358.223627001</c:v>
                </c:pt>
                <c:pt idx="61">
                  <c:v>15927950.34825873</c:v>
                </c:pt>
                <c:pt idx="62">
                  <c:v>16010267.631064614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(2)PE副本计算CCI日线'!金额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  <c:pt idx="58">
                  <c:v>6715620.6643577218</c:v>
                </c:pt>
                <c:pt idx="59">
                  <c:v>7604968.9543284345</c:v>
                </c:pt>
                <c:pt idx="60">
                  <c:v>8000572.8443770912</c:v>
                </c:pt>
                <c:pt idx="61">
                  <c:v>5965164.9690088201</c:v>
                </c:pt>
                <c:pt idx="62">
                  <c:v>6047482.2518147044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4522880"/>
        <c:axId val="534599168"/>
      </c:lineChart>
      <c:dateAx>
        <c:axId val="5345228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4599168"/>
        <c:crosses val="autoZero"/>
        <c:auto val="1"/>
        <c:lblOffset val="100"/>
        <c:baseTimeUnit val="months"/>
      </c:dateAx>
      <c:valAx>
        <c:axId val="534599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4522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(2)PE副本计算CCI日线'!买卖</c:f>
              <c:numCache>
                <c:formatCode>0.00_ </c:formatCode>
                <c:ptCount val="63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  <c:pt idx="53">
                  <c:v>13718784.399138454</c:v>
                </c:pt>
                <c:pt idx="54">
                  <c:v>13615936.237991611</c:v>
                </c:pt>
                <c:pt idx="55">
                  <c:v>13494676.161662014</c:v>
                </c:pt>
                <c:pt idx="56">
                  <c:v>13383113.112385772</c:v>
                </c:pt>
                <c:pt idx="57">
                  <c:v>13309711.249315169</c:v>
                </c:pt>
                <c:pt idx="58">
                  <c:v>13078659.210298697</c:v>
                </c:pt>
                <c:pt idx="59">
                  <c:v>12761408.348849542</c:v>
                </c:pt>
                <c:pt idx="60">
                  <c:v>12043831.475181028</c:v>
                </c:pt>
                <c:pt idx="61">
                  <c:v>11759663.097474437</c:v>
                </c:pt>
                <c:pt idx="62">
                  <c:v>11482128.604656462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0310656"/>
        <c:axId val="49030912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(2)PE副本计算CCI日线'!指数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0301696"/>
        <c:axId val="490307584"/>
      </c:lineChart>
      <c:dateAx>
        <c:axId val="49030169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0307584"/>
        <c:crosses val="autoZero"/>
        <c:auto val="1"/>
        <c:lblOffset val="100"/>
        <c:baseTimeUnit val="months"/>
      </c:dateAx>
      <c:valAx>
        <c:axId val="49030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0301696"/>
        <c:crosses val="autoZero"/>
        <c:crossBetween val="between"/>
      </c:valAx>
      <c:valAx>
        <c:axId val="49030912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0310656"/>
        <c:crosses val="max"/>
        <c:crossBetween val="between"/>
      </c:valAx>
      <c:catAx>
        <c:axId val="490310656"/>
        <c:scaling>
          <c:orientation val="minMax"/>
        </c:scaling>
        <c:delete val="1"/>
        <c:axPos val="b"/>
        <c:majorTickMark val="out"/>
        <c:minorTickMark val="none"/>
        <c:tickLblPos val="nextTo"/>
        <c:crossAx val="49030912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(2)PE副本成交量计算CCI日线'!资金</c:f>
              <c:numCache>
                <c:formatCode>0.00_ </c:formatCode>
                <c:ptCount val="63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  <c:pt idx="53">
                  <c:v>8864712.2860347666</c:v>
                </c:pt>
                <c:pt idx="54">
                  <c:v>8864712.2860347666</c:v>
                </c:pt>
                <c:pt idx="55">
                  <c:v>8864712.2860347666</c:v>
                </c:pt>
                <c:pt idx="56">
                  <c:v>8864712.2860347666</c:v>
                </c:pt>
                <c:pt idx="57">
                  <c:v>8864712.2860347666</c:v>
                </c:pt>
                <c:pt idx="58">
                  <c:v>8864712.2860347666</c:v>
                </c:pt>
                <c:pt idx="59">
                  <c:v>8864712.2860347666</c:v>
                </c:pt>
                <c:pt idx="60">
                  <c:v>8864712.2860347666</c:v>
                </c:pt>
                <c:pt idx="61">
                  <c:v>8864712.2860347666</c:v>
                </c:pt>
                <c:pt idx="62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(2)PE副本成交量计算CCI日线'!$L$1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(2)PE副本成交量计算CCI日线'!资产</c:f>
              <c:numCache>
                <c:formatCode>0.00_ </c:formatCode>
                <c:ptCount val="63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  <c:pt idx="53">
                  <c:v>14293429.419919802</c:v>
                </c:pt>
                <c:pt idx="54">
                  <c:v>14614742.276310235</c:v>
                </c:pt>
                <c:pt idx="55">
                  <c:v>14721497.739709083</c:v>
                </c:pt>
                <c:pt idx="56">
                  <c:v>14761220.244530071</c:v>
                </c:pt>
                <c:pt idx="57">
                  <c:v>14405149.226126362</c:v>
                </c:pt>
                <c:pt idx="58">
                  <c:v>16101727.982391117</c:v>
                </c:pt>
                <c:pt idx="59">
                  <c:v>16990140.268494405</c:v>
                </c:pt>
                <c:pt idx="60">
                  <c:v>17388332.741541885</c:v>
                </c:pt>
                <c:pt idx="61">
                  <c:v>15310756.323999755</c:v>
                </c:pt>
                <c:pt idx="62">
                  <c:v>15394586.248141063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(2)PE副本成交量计算CCI日线'!$M$1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(2)PE副本成交量计算CCI日线'!金额</c:f>
              <c:numCache>
                <c:formatCode>0.00_ </c:formatCode>
                <c:ptCount val="63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  <c:pt idx="53">
                  <c:v>5428717.1338850353</c:v>
                </c:pt>
                <c:pt idx="54">
                  <c:v>5750029.9902754687</c:v>
                </c:pt>
                <c:pt idx="55">
                  <c:v>5856785.4536743164</c:v>
                </c:pt>
                <c:pt idx="56">
                  <c:v>5896507.958495304</c:v>
                </c:pt>
                <c:pt idx="57">
                  <c:v>5540436.9400915951</c:v>
                </c:pt>
                <c:pt idx="58">
                  <c:v>7237015.6963563506</c:v>
                </c:pt>
                <c:pt idx="59">
                  <c:v>8125427.9824596383</c:v>
                </c:pt>
                <c:pt idx="60">
                  <c:v>8523620.4555071183</c:v>
                </c:pt>
                <c:pt idx="61">
                  <c:v>6446044.0379649885</c:v>
                </c:pt>
                <c:pt idx="62">
                  <c:v>6529873.9621062968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0912000"/>
        <c:axId val="490921984"/>
      </c:lineChart>
      <c:dateAx>
        <c:axId val="4909120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0921984"/>
        <c:crosses val="autoZero"/>
        <c:auto val="1"/>
        <c:lblOffset val="100"/>
        <c:baseTimeUnit val="months"/>
      </c:dateAx>
      <c:valAx>
        <c:axId val="490921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091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(2)PE副本成交量计算CCI日线'!买卖</c:f>
              <c:numCache>
                <c:formatCode>0.00_ </c:formatCode>
                <c:ptCount val="64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  <c:pt idx="58">
                  <c:v>-102248.30313182416</c:v>
                </c:pt>
                <c:pt idx="59">
                  <c:v>-273879.41101316386</c:v>
                </c:pt>
                <c:pt idx="60">
                  <c:v>-703792.54386857653</c:v>
                </c:pt>
                <c:pt idx="61">
                  <c:v>-351576.30531150417</c:v>
                </c:pt>
                <c:pt idx="62">
                  <c:v>-130359.36832865544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1117184"/>
        <c:axId val="4911156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(2)PE副本成交量计算CCI日线'!时间</c:f>
              <c:numCache>
                <c:formatCode>yyyy\-mm\-dd</c:formatCode>
                <c:ptCount val="6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  <c:pt idx="62">
                  <c:v>46265</c:v>
                </c:pt>
              </c:numCache>
            </c:numRef>
          </c:cat>
          <c:val>
            <c:numRef>
              <c:f>'模型二 (2)PE副本成交量计算CCI日线'!指数</c:f>
              <c:numCache>
                <c:formatCode>General</c:formatCode>
                <c:ptCount val="6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  <c:pt idx="62">
                  <c:v>1.1139999628067017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1104128"/>
        <c:axId val="491105664"/>
      </c:lineChart>
      <c:dateAx>
        <c:axId val="49110412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1105664"/>
        <c:crosses val="autoZero"/>
        <c:auto val="1"/>
        <c:lblOffset val="100"/>
        <c:baseTimeUnit val="months"/>
      </c:dateAx>
      <c:valAx>
        <c:axId val="49110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1104128"/>
        <c:crosses val="autoZero"/>
        <c:crossBetween val="between"/>
      </c:valAx>
      <c:valAx>
        <c:axId val="4911156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1117184"/>
        <c:crosses val="max"/>
        <c:crossBetween val="between"/>
      </c:valAx>
      <c:catAx>
        <c:axId val="491117184"/>
        <c:scaling>
          <c:orientation val="minMax"/>
        </c:scaling>
        <c:delete val="1"/>
        <c:axPos val="b"/>
        <c:majorTickMark val="out"/>
        <c:minorTickMark val="none"/>
        <c:tickLblPos val="nextTo"/>
        <c:crossAx val="4911156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1529689.2341927153</v>
      </c>
      <c r="H56" s="15">
        <v>1590876.7452074105</v>
      </c>
      <c r="I56" s="15">
        <v>1158493.0294822238</v>
      </c>
      <c r="J56" s="15">
        <v>1681068.5808443392</v>
      </c>
      <c r="K56" s="15">
        <v>522575.55136211542</v>
      </c>
      <c r="L56" s="14">
        <v>90191.835636928721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1510149.1694970026</v>
      </c>
      <c r="H57" s="15">
        <v>1606798.732186906</v>
      </c>
      <c r="I57" s="15">
        <v>1158493.0294822238</v>
      </c>
      <c r="J57" s="15">
        <v>1717781.1968650564</v>
      </c>
      <c r="K57" s="15">
        <v>559288.16738283262</v>
      </c>
      <c r="L57" s="14">
        <v>110982.46467815044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1489011.355676573</v>
      </c>
      <c r="H58" s="15">
        <v>1596220.2130461792</v>
      </c>
      <c r="I58" s="15">
        <v>1158493.0294822238</v>
      </c>
      <c r="J58" s="15">
        <v>1729862.4147042707</v>
      </c>
      <c r="K58" s="15">
        <v>571369.38522204687</v>
      </c>
      <c r="L58" s="14">
        <v>133642.20165809162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1468764.6441986805</v>
      </c>
      <c r="H59" s="15">
        <v>1578922.0625497375</v>
      </c>
      <c r="I59" s="15">
        <v>1158493.0294822238</v>
      </c>
      <c r="J59" s="15">
        <v>1734329.4800120019</v>
      </c>
      <c r="K59" s="15">
        <v>575836.45052977814</v>
      </c>
      <c r="L59" s="14">
        <v>155407.41746226454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1452131.6110652217</v>
      </c>
      <c r="H60" s="15">
        <v>1521833.896544558</v>
      </c>
      <c r="I60" s="15">
        <v>1158493.0294822238</v>
      </c>
      <c r="J60" s="15">
        <v>1694672.7323658499</v>
      </c>
      <c r="K60" s="15">
        <v>536179.7028836261</v>
      </c>
      <c r="L60" s="14">
        <v>172838.83582129193</v>
      </c>
    </row>
    <row r="61" spans="1:12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1424285.4577023056</v>
      </c>
      <c r="H61" s="15">
        <v>1676384.0489142279</v>
      </c>
      <c r="I61" s="15">
        <v>1158493.0294822238</v>
      </c>
      <c r="J61" s="15">
        <v>1881997.8085183678</v>
      </c>
      <c r="K61" s="15">
        <v>723504.77903614403</v>
      </c>
      <c r="L61" s="14">
        <v>205613.75960413984</v>
      </c>
    </row>
    <row r="62" spans="1:12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-36057.366675283578</v>
      </c>
      <c r="F62" s="15">
        <v>-28961.740190508626</v>
      </c>
      <c r="G62" s="15">
        <v>1395323.7175117971</v>
      </c>
      <c r="H62" s="15">
        <v>1737178.0349556094</v>
      </c>
      <c r="I62" s="15">
        <v>1158493.0294822238</v>
      </c>
      <c r="J62" s="15">
        <v>1978849.1612350328</v>
      </c>
      <c r="K62" s="15">
        <v>820356.13175280904</v>
      </c>
      <c r="L62" s="14">
        <v>241671.12627942342</v>
      </c>
    </row>
    <row r="63" spans="1:12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-60139.263576626639</v>
      </c>
      <c r="F63" s="15">
        <v>-47131.083462289775</v>
      </c>
      <c r="G63" s="15">
        <v>1348192.6340495073</v>
      </c>
      <c r="H63" s="15">
        <v>1720293.8319048518</v>
      </c>
      <c r="I63" s="15">
        <v>1158493.0294822238</v>
      </c>
      <c r="J63" s="15">
        <v>2022104.2217609019</v>
      </c>
      <c r="K63" s="15">
        <v>863611.19227867806</v>
      </c>
      <c r="L63" s="14">
        <v>301810.38985605008</v>
      </c>
    </row>
    <row r="64" spans="1:12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-35250.090060671617</v>
      </c>
      <c r="F64" s="15">
        <v>-31842.899975831897</v>
      </c>
      <c r="G64" s="15">
        <v>1316349.7340736755</v>
      </c>
      <c r="H64" s="15">
        <v>1457199.1468319762</v>
      </c>
      <c r="I64" s="15">
        <v>1158493.0294822238</v>
      </c>
      <c r="J64" s="15">
        <v>1794259.6267486978</v>
      </c>
      <c r="K64" s="15">
        <v>635766.59726647404</v>
      </c>
      <c r="L64" s="14">
        <v>337060.4799167217</v>
      </c>
    </row>
    <row r="65" spans="1:12" ht="12.75">
      <c r="A65" s="12">
        <v>46265</v>
      </c>
      <c r="B65" s="13">
        <v>1.1139999628067017</v>
      </c>
      <c r="C65" s="13">
        <v>35.77999878</v>
      </c>
      <c r="D65" s="14">
        <v>26.932866445108154</v>
      </c>
      <c r="E65" s="14">
        <v>-34946.17272282279</v>
      </c>
      <c r="F65" s="15">
        <v>-31369.994514880033</v>
      </c>
      <c r="G65" s="15">
        <v>1284979.7395587955</v>
      </c>
      <c r="H65" s="15">
        <v>1431467.3820758634</v>
      </c>
      <c r="I65" s="15">
        <v>1158493.0294822238</v>
      </c>
      <c r="J65" s="15">
        <v>1803474.034715408</v>
      </c>
      <c r="K65" s="15">
        <v>644981.0052331842</v>
      </c>
      <c r="L65" s="14">
        <v>372006.65263954451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25</v>
      </c>
      <c r="N1" s="4" t="s">
        <v>26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27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7</v>
      </c>
      <c r="W3" s="16" t="s">
        <v>19</v>
      </c>
      <c r="X3" s="16" t="s">
        <v>20</v>
      </c>
      <c r="Y3" s="16" t="s">
        <v>21</v>
      </c>
      <c r="Z3" s="16" t="s">
        <v>22</v>
      </c>
      <c r="AA3" s="30" t="s">
        <v>18</v>
      </c>
      <c r="AB3" s="16" t="s">
        <v>23</v>
      </c>
      <c r="AC3" s="16" t="s">
        <v>24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-19017.419881633017</v>
      </c>
      <c r="F56" s="15">
        <v>-18285.981326142159</v>
      </c>
      <c r="G56" s="15">
        <v>1610968.6508164143</v>
      </c>
      <c r="H56" s="15">
        <v>1675407.3353954938</v>
      </c>
      <c r="I56" s="15">
        <v>1222236.9259249454</v>
      </c>
      <c r="J56" s="15">
        <v>1783595.7523900417</v>
      </c>
      <c r="K56" s="15">
        <v>561358.82646509632</v>
      </c>
      <c r="L56" s="14">
        <v>108188.41699454802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-24948.75484946607</v>
      </c>
      <c r="F57" s="15">
        <v>-23448.077634855214</v>
      </c>
      <c r="G57" s="15">
        <v>1587520.5731815591</v>
      </c>
      <c r="H57" s="15">
        <v>1689121.9065189324</v>
      </c>
      <c r="I57" s="15">
        <v>1222236.9259249454</v>
      </c>
      <c r="J57" s="15">
        <v>1822259.0783629464</v>
      </c>
      <c r="K57" s="15">
        <v>600022.15243800101</v>
      </c>
      <c r="L57" s="14">
        <v>133137.17184401408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1566382.7593611295</v>
      </c>
      <c r="H58" s="15">
        <v>1679162.3598620631</v>
      </c>
      <c r="I58" s="15">
        <v>1222236.9259249454</v>
      </c>
      <c r="J58" s="15">
        <v>1834959.2686860184</v>
      </c>
      <c r="K58" s="15">
        <v>612722.34276107303</v>
      </c>
      <c r="L58" s="14">
        <v>155796.90882395528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1546136.047883237</v>
      </c>
      <c r="H59" s="15">
        <v>1662096.3251999917</v>
      </c>
      <c r="I59" s="15">
        <v>1222236.9259249454</v>
      </c>
      <c r="J59" s="15">
        <v>1839658.4498281199</v>
      </c>
      <c r="K59" s="15">
        <v>617421.52390317456</v>
      </c>
      <c r="L59" s="14">
        <v>177562.12462812819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1529503.0147497782</v>
      </c>
      <c r="H60" s="15">
        <v>1602919.1259088696</v>
      </c>
      <c r="I60" s="15">
        <v>1222236.9259249454</v>
      </c>
      <c r="J60" s="15">
        <v>1797912.668896025</v>
      </c>
      <c r="K60" s="15">
        <v>575675.74297107966</v>
      </c>
      <c r="L60" s="14">
        <v>194993.54298715558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  <row r="61" spans="1:21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1501656.8613868621</v>
      </c>
      <c r="H61" s="15">
        <v>1767450.1945927327</v>
      </c>
      <c r="I61" s="15">
        <v>1222236.9259249454</v>
      </c>
      <c r="J61" s="15">
        <v>1995218.6613627363</v>
      </c>
      <c r="K61" s="15">
        <v>772981.73543779086</v>
      </c>
      <c r="L61" s="14">
        <v>227768.46677000349</v>
      </c>
      <c r="M61" s="23">
        <v>1.1909999847412109</v>
      </c>
      <c r="N61" s="23">
        <v>1.031000018119812</v>
      </c>
      <c r="O61" s="23">
        <v>1.1330000162124634</v>
      </c>
      <c r="P61" s="23">
        <v>0.9662142892678578</v>
      </c>
      <c r="Q61" s="23">
        <v>0.16678572694460558</v>
      </c>
      <c r="R61" s="23">
        <v>0.11951701130185809</v>
      </c>
      <c r="S61" s="9">
        <v>1.7927551695278712E-3</v>
      </c>
      <c r="T61" s="9">
        <v>93.033187007085431</v>
      </c>
      <c r="U61" s="11">
        <v>1</v>
      </c>
    </row>
    <row r="62" spans="1:21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-43268.840010340289</v>
      </c>
      <c r="F62" s="15">
        <v>-34754.088228610344</v>
      </c>
      <c r="G62" s="15">
        <v>1466902.7731582518</v>
      </c>
      <c r="H62" s="15">
        <v>1826293.9595767609</v>
      </c>
      <c r="I62" s="15">
        <v>1222236.9259249454</v>
      </c>
      <c r="J62" s="15">
        <v>2097331.2663571048</v>
      </c>
      <c r="K62" s="15">
        <v>875094.34043215937</v>
      </c>
      <c r="L62" s="14">
        <v>271037.30678034376</v>
      </c>
      <c r="M62" s="23">
        <v>1.2680000066757202</v>
      </c>
      <c r="N62" s="23">
        <v>1.1660000085830688</v>
      </c>
      <c r="O62" s="23">
        <v>1.2263333400090535</v>
      </c>
      <c r="P62" s="23">
        <v>0.9948571466264271</v>
      </c>
      <c r="Q62" s="23">
        <v>0.23147619338262637</v>
      </c>
      <c r="R62" s="23">
        <v>0.11985034480386848</v>
      </c>
      <c r="S62" s="9">
        <v>1.7977551720580272E-3</v>
      </c>
      <c r="T62" s="9">
        <v>128.75846332158676</v>
      </c>
      <c r="U62" s="11">
        <v>1.2</v>
      </c>
    </row>
    <row r="63" spans="1:21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-72167.11629195197</v>
      </c>
      <c r="F63" s="15">
        <v>-56557.300154747725</v>
      </c>
      <c r="G63" s="15">
        <v>1410345.4730035041</v>
      </c>
      <c r="H63" s="15">
        <v>1799600.8558327174</v>
      </c>
      <c r="I63" s="15">
        <v>1222236.9259249454</v>
      </c>
      <c r="J63" s="15">
        <v>2142805.2789050131</v>
      </c>
      <c r="K63" s="15">
        <v>920568.35298006772</v>
      </c>
      <c r="L63" s="14">
        <v>343204.42307229573</v>
      </c>
      <c r="M63" s="23">
        <v>1.2970000505447388</v>
      </c>
      <c r="N63" s="23">
        <v>1.1710000038146973</v>
      </c>
      <c r="O63" s="23">
        <v>1.2480000257492065</v>
      </c>
      <c r="P63" s="23">
        <v>1.0304285770370849</v>
      </c>
      <c r="Q63" s="23">
        <v>0.21757144871212164</v>
      </c>
      <c r="R63" s="23">
        <v>0.10519728409189744</v>
      </c>
      <c r="S63" s="9">
        <v>1.5779592613784615E-3</v>
      </c>
      <c r="T63" s="9">
        <v>137.88153727242442</v>
      </c>
      <c r="U63" s="11">
        <v>1.2</v>
      </c>
    </row>
    <row r="64" spans="1:21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-35250.090060671617</v>
      </c>
      <c r="F64" s="15">
        <v>-31842.899975831897</v>
      </c>
      <c r="G64" s="15">
        <v>1378502.5730276722</v>
      </c>
      <c r="H64" s="15">
        <v>1526002.3391391358</v>
      </c>
      <c r="I64" s="15">
        <v>1222236.9259249454</v>
      </c>
      <c r="J64" s="15">
        <v>1904456.8522721031</v>
      </c>
      <c r="K64" s="15">
        <v>682219.92634715769</v>
      </c>
      <c r="L64" s="14">
        <v>378454.51313296735</v>
      </c>
      <c r="M64" s="23">
        <v>1.281999945640564</v>
      </c>
      <c r="N64" s="23">
        <v>1.0750000476837158</v>
      </c>
      <c r="O64" s="23">
        <v>1.1546666622161865</v>
      </c>
      <c r="P64" s="23">
        <v>1.0564761956532798</v>
      </c>
      <c r="Q64" s="23">
        <v>9.8190466562906753E-2</v>
      </c>
      <c r="R64" s="23">
        <v>8.5721089726402591E-2</v>
      </c>
      <c r="S64" s="9">
        <v>1.2858163458960388E-3</v>
      </c>
      <c r="T64" s="9">
        <v>76.364301073246494</v>
      </c>
      <c r="U64" s="11">
        <v>1</v>
      </c>
    </row>
    <row r="65" spans="1:21" ht="12.75">
      <c r="A65" s="12">
        <v>46265</v>
      </c>
      <c r="B65" s="13">
        <v>1.1139999628067017</v>
      </c>
      <c r="C65" s="13">
        <v>35.77999878</v>
      </c>
      <c r="D65" s="14">
        <v>26.932866445108154</v>
      </c>
      <c r="E65" s="14">
        <v>-34946.17272282279</v>
      </c>
      <c r="F65" s="15">
        <v>-31369.994514880033</v>
      </c>
      <c r="G65" s="15">
        <v>1347132.5785127922</v>
      </c>
      <c r="H65" s="15">
        <v>1500705.6423589466</v>
      </c>
      <c r="I65" s="15">
        <v>1222236.9259249454</v>
      </c>
      <c r="J65" s="15">
        <v>1914106.3282147367</v>
      </c>
      <c r="K65" s="15">
        <v>691869.40228979127</v>
      </c>
      <c r="L65" s="14">
        <v>413400.68585579016</v>
      </c>
      <c r="M65" s="23">
        <v>1.1759999990463257</v>
      </c>
      <c r="N65" s="23">
        <v>1.093000054359436</v>
      </c>
      <c r="O65" s="23">
        <v>1.1276666720708211</v>
      </c>
      <c r="P65" s="23">
        <v>1.0799047677289875</v>
      </c>
      <c r="Q65" s="23">
        <v>4.7761904341833583E-2</v>
      </c>
      <c r="R65" s="23">
        <v>7.0020411087542242E-2</v>
      </c>
      <c r="S65" s="9">
        <v>1.0503061663131336E-3</v>
      </c>
      <c r="T65" s="9">
        <v>45.47426824074654</v>
      </c>
      <c r="U65" s="11">
        <v>1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28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27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-15847.849901360847</v>
      </c>
      <c r="F56" s="15">
        <v>-15238.317771785132</v>
      </c>
      <c r="G56" s="15">
        <v>1618300.193225018</v>
      </c>
      <c r="H56" s="15">
        <v>1683032.1392207656</v>
      </c>
      <c r="I56" s="15">
        <v>1226222.9374500697</v>
      </c>
      <c r="J56" s="15">
        <v>1782531.7789662397</v>
      </c>
      <c r="K56" s="15">
        <v>556308.84151616995</v>
      </c>
      <c r="L56" s="14">
        <v>99499.639745474051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-20790.629041221724</v>
      </c>
      <c r="F57" s="15">
        <v>-19540.064695712677</v>
      </c>
      <c r="G57" s="15">
        <v>1598760.1285293053</v>
      </c>
      <c r="H57" s="15">
        <v>1701080.793526842</v>
      </c>
      <c r="I57" s="15">
        <v>1226222.9374500697</v>
      </c>
      <c r="J57" s="15">
        <v>1821371.0623135378</v>
      </c>
      <c r="K57" s="15">
        <v>595148.12486346811</v>
      </c>
      <c r="L57" s="14">
        <v>120290.26878669577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-22659.73697994119</v>
      </c>
      <c r="F58" s="15">
        <v>-21137.813820429725</v>
      </c>
      <c r="G58" s="15">
        <v>1577622.3147088757</v>
      </c>
      <c r="H58" s="15">
        <v>1691211.1634949755</v>
      </c>
      <c r="I58" s="15">
        <v>1226222.9374500697</v>
      </c>
      <c r="J58" s="15">
        <v>1834161.1692616125</v>
      </c>
      <c r="K58" s="15">
        <v>607938.23181154276</v>
      </c>
      <c r="L58" s="14">
        <v>142950.00576663695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-21765.21580417292</v>
      </c>
      <c r="F59" s="15">
        <v>-20246.711477892542</v>
      </c>
      <c r="G59" s="15">
        <v>1557375.6032309833</v>
      </c>
      <c r="H59" s="15">
        <v>1674178.8477347626</v>
      </c>
      <c r="I59" s="15">
        <v>1226222.9374500697</v>
      </c>
      <c r="J59" s="15">
        <v>1838894.0693055724</v>
      </c>
      <c r="K59" s="15">
        <v>612671.13185550272</v>
      </c>
      <c r="L59" s="14">
        <v>164715.22157080987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-17431.418359027382</v>
      </c>
      <c r="F60" s="15">
        <v>-16633.033133458779</v>
      </c>
      <c r="G60" s="15">
        <v>1540742.5700975244</v>
      </c>
      <c r="H60" s="15">
        <v>1614698.1796667734</v>
      </c>
      <c r="I60" s="15">
        <v>1226222.9374500697</v>
      </c>
      <c r="J60" s="15">
        <v>1796844.8195966107</v>
      </c>
      <c r="K60" s="15">
        <v>570621.88214654103</v>
      </c>
      <c r="L60" s="14">
        <v>182146.63992983726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-32774.923782847916</v>
      </c>
      <c r="F61" s="15">
        <v>-27846.153362916037</v>
      </c>
      <c r="G61" s="15">
        <v>1512896.4167346084</v>
      </c>
      <c r="H61" s="15">
        <v>1780679.1517515359</v>
      </c>
      <c r="I61" s="15">
        <v>1226222.9374500697</v>
      </c>
      <c r="J61" s="15">
        <v>1995600.7154642211</v>
      </c>
      <c r="K61" s="15">
        <v>769377.77801415138</v>
      </c>
      <c r="L61" s="14">
        <v>214921.56371268517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-43268.840010340289</v>
      </c>
      <c r="F62" s="15">
        <v>-34754.088228610344</v>
      </c>
      <c r="G62" s="15">
        <v>1478142.328505998</v>
      </c>
      <c r="H62" s="15">
        <v>1840287.2060382995</v>
      </c>
      <c r="I62" s="15">
        <v>1226222.9374500697</v>
      </c>
      <c r="J62" s="15">
        <v>2098477.6097613247</v>
      </c>
      <c r="K62" s="15">
        <v>872254.67231125501</v>
      </c>
      <c r="L62" s="14">
        <v>258190.40372302546</v>
      </c>
      <c r="M62" s="9">
        <v>107.7933992308817</v>
      </c>
      <c r="N62" s="9">
        <v>1.2</v>
      </c>
    </row>
    <row r="63" spans="1:14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-60139.263576626639</v>
      </c>
      <c r="F63" s="15">
        <v>-47131.083462289775</v>
      </c>
      <c r="G63" s="15">
        <v>1431011.2450437082</v>
      </c>
      <c r="H63" s="15">
        <v>1825970.3814290198</v>
      </c>
      <c r="I63" s="15">
        <v>1226222.9374500697</v>
      </c>
      <c r="J63" s="15">
        <v>2144300.0487286719</v>
      </c>
      <c r="K63" s="15">
        <v>918077.11127860215</v>
      </c>
      <c r="L63" s="14">
        <v>318329.66729965212</v>
      </c>
      <c r="M63" s="9">
        <v>66.335527216233743</v>
      </c>
      <c r="N63" s="9">
        <v>1</v>
      </c>
    </row>
    <row r="64" spans="1:14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-35250.090060671617</v>
      </c>
      <c r="F64" s="15">
        <v>-31842.899975831897</v>
      </c>
      <c r="G64" s="15">
        <v>1399168.3450678764</v>
      </c>
      <c r="H64" s="15">
        <v>1548879.3486496827</v>
      </c>
      <c r="I64" s="15">
        <v>1226222.9374500697</v>
      </c>
      <c r="J64" s="15">
        <v>1902459.1060100065</v>
      </c>
      <c r="K64" s="15">
        <v>676236.16855993681</v>
      </c>
      <c r="L64" s="14">
        <v>353579.75736032374</v>
      </c>
      <c r="M64" s="9">
        <v>-82.62240642203966</v>
      </c>
      <c r="N64" s="9">
        <v>1</v>
      </c>
    </row>
    <row r="65" spans="1:14" ht="12.75">
      <c r="A65" s="12">
        <v>46265</v>
      </c>
      <c r="B65" s="13">
        <v>1.1139999628067017</v>
      </c>
      <c r="C65" s="13">
        <v>35.77999878</v>
      </c>
      <c r="D65" s="14">
        <v>26.932866445108154</v>
      </c>
      <c r="E65" s="14">
        <v>-34946.17272282279</v>
      </c>
      <c r="F65" s="15">
        <v>-31369.994514880033</v>
      </c>
      <c r="G65" s="15">
        <v>1367798.3505529964</v>
      </c>
      <c r="H65" s="15">
        <v>1523727.3116431059</v>
      </c>
      <c r="I65" s="15">
        <v>1226222.9374500697</v>
      </c>
      <c r="J65" s="15">
        <v>1912253.2417262525</v>
      </c>
      <c r="K65" s="15">
        <v>686030.30427618278</v>
      </c>
      <c r="L65" s="14">
        <v>388525.93008314655</v>
      </c>
      <c r="M65" s="9">
        <v>-90.561561933820059</v>
      </c>
      <c r="N65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27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7</v>
      </c>
      <c r="Q3" s="16" t="s">
        <v>19</v>
      </c>
      <c r="R3" s="16" t="s">
        <v>20</v>
      </c>
      <c r="S3" s="16" t="s">
        <v>21</v>
      </c>
      <c r="T3" s="16" t="s">
        <v>22</v>
      </c>
      <c r="U3" s="30" t="s">
        <v>18</v>
      </c>
      <c r="V3" s="16" t="s">
        <v>23</v>
      </c>
      <c r="W3" s="16" t="s">
        <v>24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13078659.210298697</v>
      </c>
      <c r="H61" s="15">
        <v>15393582.489215072</v>
      </c>
      <c r="I61" s="15">
        <v>9962785.3792499099</v>
      </c>
      <c r="J61" s="15">
        <v>16678406.043607632</v>
      </c>
      <c r="K61" s="15">
        <v>6715620.6643577218</v>
      </c>
      <c r="L61" s="14">
        <v>1284823.5543925592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-394977.32401696721</v>
      </c>
      <c r="F62" s="15">
        <v>-317250.86144915438</v>
      </c>
      <c r="G62" s="15">
        <v>12761408.348849542</v>
      </c>
      <c r="H62" s="15">
        <v>15887953.455168817</v>
      </c>
      <c r="I62" s="15">
        <v>9962785.3792499099</v>
      </c>
      <c r="J62" s="15">
        <v>17567754.333578344</v>
      </c>
      <c r="K62" s="15">
        <v>7604968.9543284345</v>
      </c>
      <c r="L62" s="14">
        <v>1679800.8784095263</v>
      </c>
      <c r="M62" s="9">
        <v>107.7933992308817</v>
      </c>
      <c r="N62" s="9">
        <v>1.2</v>
      </c>
    </row>
    <row r="63" spans="1:14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-915628.10722505616</v>
      </c>
      <c r="F63" s="15">
        <v>-717576.87366851489</v>
      </c>
      <c r="G63" s="15">
        <v>12043831.475181028</v>
      </c>
      <c r="H63" s="15">
        <v>15367929.237992419</v>
      </c>
      <c r="I63" s="15">
        <v>9962785.3792499099</v>
      </c>
      <c r="J63" s="15">
        <v>17963358.223627001</v>
      </c>
      <c r="K63" s="15">
        <v>8000572.8443770912</v>
      </c>
      <c r="L63" s="14">
        <v>2595428.9856345826</v>
      </c>
      <c r="M63" s="9">
        <v>66.335527216233743</v>
      </c>
      <c r="N63" s="9">
        <v>1</v>
      </c>
    </row>
    <row r="64" spans="1:14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-314574.39222416701</v>
      </c>
      <c r="F64" s="15">
        <v>-284168.3777065904</v>
      </c>
      <c r="G64" s="15">
        <v>11759663.097474437</v>
      </c>
      <c r="H64" s="15">
        <v>13017946.970399981</v>
      </c>
      <c r="I64" s="15">
        <v>9962785.3792499099</v>
      </c>
      <c r="J64" s="15">
        <v>15927950.34825873</v>
      </c>
      <c r="K64" s="15">
        <v>5965164.9690088201</v>
      </c>
      <c r="L64" s="14">
        <v>2910003.3778587496</v>
      </c>
      <c r="M64" s="9">
        <v>-82.62240642203966</v>
      </c>
      <c r="N64" s="9">
        <v>1</v>
      </c>
    </row>
    <row r="65" spans="1:14" ht="12.75">
      <c r="A65" s="12">
        <v>46265</v>
      </c>
      <c r="B65" s="13">
        <v>1.1139999628067017</v>
      </c>
      <c r="C65" s="13">
        <v>35.77999878</v>
      </c>
      <c r="D65" s="14">
        <v>26.932866445108154</v>
      </c>
      <c r="E65" s="14">
        <v>-309173.41467680095</v>
      </c>
      <c r="F65" s="15">
        <v>-277534.492817975</v>
      </c>
      <c r="G65" s="15">
        <v>11482128.604656462</v>
      </c>
      <c r="H65" s="15">
        <v>12791090.838529063</v>
      </c>
      <c r="I65" s="15">
        <v>9962785.3792499099</v>
      </c>
      <c r="J65" s="15">
        <v>16010267.631064614</v>
      </c>
      <c r="K65" s="15">
        <v>6047482.2518147044</v>
      </c>
      <c r="L65" s="14">
        <v>3219176.7925355504</v>
      </c>
      <c r="M65" s="9">
        <v>-90.561561933820059</v>
      </c>
      <c r="N65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2" t="s">
        <v>29</v>
      </c>
      <c r="F1" s="2" t="s">
        <v>30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17</v>
      </c>
      <c r="N1" s="28" t="s">
        <v>18</v>
      </c>
      <c r="O1" s="4" t="s">
        <v>0</v>
      </c>
      <c r="P1" s="6" t="s">
        <v>27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7</v>
      </c>
      <c r="S3" s="16" t="s">
        <v>19</v>
      </c>
      <c r="T3" s="16" t="s">
        <v>20</v>
      </c>
      <c r="U3" s="16" t="s">
        <v>21</v>
      </c>
      <c r="V3" s="16" t="s">
        <v>22</v>
      </c>
      <c r="W3" s="30" t="s">
        <v>18</v>
      </c>
      <c r="X3" s="16" t="s">
        <v>23</v>
      </c>
      <c r="Y3" s="16" t="s">
        <v>24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-18333.497294467583</v>
      </c>
      <c r="H56" s="15">
        <v>-17628.363429746423</v>
      </c>
      <c r="I56" s="15">
        <v>13388008.551359871</v>
      </c>
      <c r="J56" s="15">
        <v>13923528.382702271</v>
      </c>
      <c r="K56" s="15">
        <v>8864712.2860347666</v>
      </c>
      <c r="L56" s="15">
        <v>14293429.419919802</v>
      </c>
      <c r="M56" s="15">
        <v>5428717.1338850353</v>
      </c>
      <c r="N56" s="14">
        <v>369901.03721753205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-46393.241034391052</v>
      </c>
      <c r="H57" s="15">
        <v>-43602.669715207558</v>
      </c>
      <c r="I57" s="15">
        <v>13344405.881644664</v>
      </c>
      <c r="J57" s="15">
        <v>14198447.998058312</v>
      </c>
      <c r="K57" s="15">
        <v>8864712.2860347666</v>
      </c>
      <c r="L57" s="15">
        <v>14614742.276310235</v>
      </c>
      <c r="M57" s="15">
        <v>5750029.9902754687</v>
      </c>
      <c r="N57" s="14">
        <v>416294.2782519231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-111127.31971233143</v>
      </c>
      <c r="H58" s="15">
        <v>-103663.54192557483</v>
      </c>
      <c r="I58" s="15">
        <v>13240742.339719089</v>
      </c>
      <c r="J58" s="15">
        <v>14194076.141744828</v>
      </c>
      <c r="K58" s="15">
        <v>8864712.2860347666</v>
      </c>
      <c r="L58" s="15">
        <v>14721497.739709083</v>
      </c>
      <c r="M58" s="15">
        <v>5856785.4536743164</v>
      </c>
      <c r="N58" s="14">
        <v>527421.59796425456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-56932.913434554059</v>
      </c>
      <c r="H59" s="15">
        <v>-52960.847357380524</v>
      </c>
      <c r="I59" s="15">
        <v>13187781.492361708</v>
      </c>
      <c r="J59" s="15">
        <v>14176865.733131262</v>
      </c>
      <c r="K59" s="15">
        <v>8864712.2860347666</v>
      </c>
      <c r="L59" s="15">
        <v>14761220.244530071</v>
      </c>
      <c r="M59" s="15">
        <v>5896507.958495304</v>
      </c>
      <c r="N59" s="14">
        <v>584354.51139880856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-37743.814809844756</v>
      </c>
      <c r="H60" s="15">
        <v>-36015.091221200484</v>
      </c>
      <c r="I60" s="15">
        <v>13151766.401140507</v>
      </c>
      <c r="J60" s="15">
        <v>13783050.899917709</v>
      </c>
      <c r="K60" s="15">
        <v>8864712.2860347666</v>
      </c>
      <c r="L60" s="15">
        <v>14405149.226126362</v>
      </c>
      <c r="M60" s="15">
        <v>5540436.9400915951</v>
      </c>
      <c r="N60" s="14">
        <v>622098.32620865328</v>
      </c>
      <c r="O60" s="9">
        <v>-89.784897005371036</v>
      </c>
      <c r="P60" s="9">
        <v>1</v>
      </c>
    </row>
    <row r="61" spans="1:16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1531906</v>
      </c>
      <c r="F61" s="14">
        <v>4074387.1456824956</v>
      </c>
      <c r="G61" s="14">
        <v>-102248.30313182416</v>
      </c>
      <c r="H61" s="15">
        <v>-86871.961899015572</v>
      </c>
      <c r="I61" s="15">
        <v>13064894.439241491</v>
      </c>
      <c r="J61" s="15">
        <v>15377381.35305064</v>
      </c>
      <c r="K61" s="15">
        <v>8864712.2860347666</v>
      </c>
      <c r="L61" s="15">
        <v>16101727.982391117</v>
      </c>
      <c r="M61" s="15">
        <v>7237015.6963563506</v>
      </c>
      <c r="N61" s="14">
        <v>724346.6293404774</v>
      </c>
      <c r="O61" s="9">
        <v>95.218135798121537</v>
      </c>
      <c r="P61" s="9">
        <v>1</v>
      </c>
    </row>
    <row r="62" spans="1:16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2806705</v>
      </c>
      <c r="F62" s="14">
        <v>4047711.4584993706</v>
      </c>
      <c r="G62" s="14">
        <v>-273879.41101316386</v>
      </c>
      <c r="H62" s="15">
        <v>-219983.46181863532</v>
      </c>
      <c r="I62" s="15">
        <v>12844910.977422856</v>
      </c>
      <c r="J62" s="15">
        <v>15991914.228140764</v>
      </c>
      <c r="K62" s="15">
        <v>8864712.2860347666</v>
      </c>
      <c r="L62" s="15">
        <v>16990140.268494405</v>
      </c>
      <c r="M62" s="15">
        <v>8125427.9824596383</v>
      </c>
      <c r="N62" s="14">
        <v>998226.04035364126</v>
      </c>
      <c r="O62" s="9">
        <v>107.7933992308817</v>
      </c>
      <c r="P62" s="9">
        <v>1.2</v>
      </c>
    </row>
    <row r="63" spans="1:16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3094800</v>
      </c>
      <c r="F63" s="14">
        <v>4026308.4497372219</v>
      </c>
      <c r="G63" s="14">
        <v>-703792.54386857653</v>
      </c>
      <c r="H63" s="15">
        <v>-551561.54486233124</v>
      </c>
      <c r="I63" s="15">
        <v>12293349.432560524</v>
      </c>
      <c r="J63" s="15">
        <v>15686314.157319667</v>
      </c>
      <c r="K63" s="15">
        <v>8864712.2860347666</v>
      </c>
      <c r="L63" s="15">
        <v>17388332.741541885</v>
      </c>
      <c r="M63" s="15">
        <v>8523620.4555071183</v>
      </c>
      <c r="N63" s="14">
        <v>1702018.5842222178</v>
      </c>
      <c r="O63" s="9">
        <v>66.335527216233743</v>
      </c>
      <c r="P63" s="9">
        <v>1</v>
      </c>
    </row>
    <row r="64" spans="1:16" ht="12.75">
      <c r="A64" s="12">
        <v>46234</v>
      </c>
      <c r="B64" s="13">
        <v>1.1069999933242798</v>
      </c>
      <c r="C64" s="13">
        <v>35.700000760000002</v>
      </c>
      <c r="D64" s="14">
        <v>26.77592732691858</v>
      </c>
      <c r="E64" s="14">
        <v>4485200</v>
      </c>
      <c r="F64" s="14">
        <v>4013151.7473958335</v>
      </c>
      <c r="G64" s="14">
        <v>-351576.30531150417</v>
      </c>
      <c r="H64" s="15">
        <v>-317593.77365101298</v>
      </c>
      <c r="I64" s="15">
        <v>11975755.658909511</v>
      </c>
      <c r="J64" s="15">
        <v>13257161.434466034</v>
      </c>
      <c r="K64" s="15">
        <v>8864712.2860347666</v>
      </c>
      <c r="L64" s="15">
        <v>15310756.323999755</v>
      </c>
      <c r="M64" s="15">
        <v>6446044.0379649885</v>
      </c>
      <c r="N64" s="14">
        <v>2053594.8895337218</v>
      </c>
      <c r="O64" s="9">
        <v>-82.62240642203966</v>
      </c>
      <c r="P64" s="9">
        <v>1</v>
      </c>
    </row>
    <row r="65" spans="1:16" ht="12.75">
      <c r="A65" s="12">
        <v>46265</v>
      </c>
      <c r="B65" s="13">
        <v>1.1139999628067017</v>
      </c>
      <c r="C65" s="13">
        <v>35.77999878</v>
      </c>
      <c r="D65" s="14">
        <v>26.932866445108154</v>
      </c>
      <c r="E65" s="14">
        <v>1687200</v>
      </c>
      <c r="F65" s="14">
        <v>4001533.5447742641</v>
      </c>
      <c r="G65" s="14">
        <v>-130359.36832865544</v>
      </c>
      <c r="H65" s="15">
        <v>-117019.18553050711</v>
      </c>
      <c r="I65" s="15">
        <v>11858736.473379003</v>
      </c>
      <c r="J65" s="15">
        <v>13210631.990278685</v>
      </c>
      <c r="K65" s="15">
        <v>8864712.2860347666</v>
      </c>
      <c r="L65" s="15">
        <v>15394586.248141063</v>
      </c>
      <c r="M65" s="15">
        <v>6529873.9621062968</v>
      </c>
      <c r="N65" s="14">
        <v>2183954.2578623774</v>
      </c>
      <c r="O65" s="9">
        <v>-90.561561933820059</v>
      </c>
      <c r="P65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模型二 (1)PE副本</vt:lpstr>
      <vt:lpstr>模型二 (1)PE副本计算CCI月线</vt:lpstr>
      <vt:lpstr>模型二 (1)PE副本计算CCI日线</vt:lpstr>
      <vt:lpstr>模型二 (2)PE副本计算CCI日线</vt:lpstr>
      <vt:lpstr>模型二 (2)PE副本成交量计算CCI日线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2026-09-29T12:14:23Z</dcterms:modified>
</cp:coreProperties>
</file>