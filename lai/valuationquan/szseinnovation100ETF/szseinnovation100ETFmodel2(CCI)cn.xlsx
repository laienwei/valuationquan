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0" yWindow="30" windowWidth="14880" windowHeight="6765" tabRatio="569" firstSheet="3" activeTab="4"/>
  </bookViews>
  <sheets>
    <sheet name="模型二 (1)PE副本" sheetId="9" r:id="rId1"/>
    <sheet name="模型二 (1)PE副本计算CCI月线" sheetId="6" r:id="rId2"/>
    <sheet name="模型二 (1)PE副本计算CCI日线" sheetId="5" r:id="rId3"/>
    <sheet name="模型二 (2)PE副本计算CCI日线" sheetId="7" r:id="rId4"/>
    <sheet name="模型二 (2)PE副本成交量计算CCI日线" sheetId="8" r:id="rId5"/>
  </sheets>
  <definedNames>
    <definedName name="_xlnm._FilterDatabase" localSheetId="0" hidden="1">'模型二 (1)PE副本'!$P$1:$P$23</definedName>
    <definedName name="_xlnm._FilterDatabase" localSheetId="2" hidden="1">'模型二 (1)PE副本计算CCI日线'!$P$1:$P$23</definedName>
    <definedName name="_xlnm._FilterDatabase" localSheetId="1" hidden="1">'模型二 (1)PE副本计算CCI月线'!$V$1:$V$23</definedName>
    <definedName name="_xlnm._FilterDatabase" localSheetId="4" hidden="1">'模型二 (2)PE副本成交量计算CCI日线'!$R$1:$R$23</definedName>
    <definedName name="_xlnm._FilterDatabase" localSheetId="3" hidden="1">'模型二 (2)PE副本计算CCI日线'!$P$1:$P$23</definedName>
    <definedName name="金额" localSheetId="0">OFFSET('模型二 (1)PE副本'!K1,0,0,COUNTA('模型二 (1)PE副本'!K:K)-1)</definedName>
    <definedName name="金额" localSheetId="2">OFFSET('模型二 (1)PE副本计算CCI日线'!K1,0,0,COUNTA('模型二 (1)PE副本计算CCI日线'!K:K)-1)</definedName>
    <definedName name="金额" localSheetId="1">OFFSET('模型二 (1)PE副本计算CCI月线'!K1,0,0,COUNTA('模型二 (1)PE副本计算CCI月线'!K:K)-1)</definedName>
    <definedName name="金额" localSheetId="4">OFFSET('模型二 (2)PE副本成交量计算CCI日线'!M1,0,0,COUNTA('模型二 (2)PE副本成交量计算CCI日线'!M:M)-1)</definedName>
    <definedName name="金额" localSheetId="3">OFFSET('模型二 (2)PE副本计算CCI日线'!K1,0,0,COUNTA('模型二 (2)PE副本计算CCI日线'!K:K)-1)</definedName>
    <definedName name="买卖" localSheetId="0">OFFSET('模型二 (1)PE副本'!E1,0,0,COUNTA('模型二 (1)PE副本'!E:E)-1)</definedName>
    <definedName name="买卖" localSheetId="2">OFFSET('模型二 (1)PE副本计算CCI日线'!E1,0,0,COUNTA('模型二 (1)PE副本计算CCI日线'!E:E)-1)</definedName>
    <definedName name="买卖" localSheetId="1">OFFSET('模型二 (1)PE副本计算CCI月线'!E1,0,0,COUNTA('模型二 (1)PE副本计算CCI月线'!E:E)-1)</definedName>
    <definedName name="买卖" localSheetId="4">OFFSET('模型二 (2)PE副本成交量计算CCI日线'!G1,0,0,COUNTA('模型二 (2)PE副本成交量计算CCI日线'!G:G)-1)</definedName>
    <definedName name="买卖" localSheetId="3">OFFSET('模型二 (2)PE副本计算CCI日线'!G1,0,0,COUNTA('模型二 (2)PE副本计算CCI日线'!G:G)-1)</definedName>
    <definedName name="时间" localSheetId="0">OFFSET('模型二 (1)PE副本'!A1,0,0,COUNTA('模型二 (1)PE副本'!A:A)-1)</definedName>
    <definedName name="时间" localSheetId="2">OFFSET('模型二 (1)PE副本计算CCI日线'!A1,0,0,COUNTA('模型二 (1)PE副本计算CCI日线'!A:A)-1)</definedName>
    <definedName name="时间" localSheetId="1">OFFSET('模型二 (1)PE副本计算CCI月线'!A1,0,0,COUNTA('模型二 (1)PE副本计算CCI月线'!A:A)-1)</definedName>
    <definedName name="时间" localSheetId="4">OFFSET('模型二 (2)PE副本成交量计算CCI日线'!A1,0,0,COUNTA('模型二 (2)PE副本成交量计算CCI日线'!A:A)-1)</definedName>
    <definedName name="时间" localSheetId="3">OFFSET('模型二 (2)PE副本计算CCI日线'!A1,0,0,COUNTA('模型二 (2)PE副本计算CCI日线'!A:A)-1)</definedName>
    <definedName name="指数" localSheetId="0">OFFSET('模型二 (1)PE副本'!B1,0,0,COUNTA('模型二 (1)PE副本'!B:B)-1)</definedName>
    <definedName name="指数" localSheetId="2">OFFSET('模型二 (1)PE副本计算CCI日线'!B1,0,0,COUNTA('模型二 (1)PE副本计算CCI日线'!B:B)-1)</definedName>
    <definedName name="指数" localSheetId="1">OFFSET('模型二 (1)PE副本计算CCI月线'!B1,0,0,COUNTA('模型二 (1)PE副本计算CCI月线'!B:B)-1)</definedName>
    <definedName name="指数" localSheetId="4">OFFSET('模型二 (2)PE副本成交量计算CCI日线'!B1,0,0,COUNTA('模型二 (2)PE副本成交量计算CCI日线'!B:B)-1)</definedName>
    <definedName name="指数" localSheetId="3">OFFSET('模型二 (2)PE副本计算CCI日线'!B1,0,0,COUNTA('模型二 (2)PE副本计算CCI日线'!B:B)-1)</definedName>
    <definedName name="资产" localSheetId="0">OFFSET('模型二 (1)PE副本'!J1,0,0,COUNTA('模型二 (1)PE副本'!J:J)-1)</definedName>
    <definedName name="资产" localSheetId="2">OFFSET('模型二 (1)PE副本计算CCI日线'!J1,0,0,COUNTA('模型二 (1)PE副本计算CCI日线'!J:J)-1)</definedName>
    <definedName name="资产" localSheetId="1">OFFSET('模型二 (1)PE副本计算CCI月线'!J1,0,0,COUNTA('模型二 (1)PE副本计算CCI月线'!J:J)-1)</definedName>
    <definedName name="资产" localSheetId="4">OFFSET('模型二 (2)PE副本成交量计算CCI日线'!L1,0,0,COUNTA('模型二 (2)PE副本成交量计算CCI日线'!L:L)-1)</definedName>
    <definedName name="资产" localSheetId="3">OFFSET('模型二 (2)PE副本计算CCI日线'!J1,0,0,COUNTA('模型二 (2)PE副本计算CCI日线'!J:J)-1)</definedName>
    <definedName name="资金" localSheetId="0">OFFSET('模型二 (1)PE副本'!I1,0,0,COUNTA('模型二 (1)PE副本'!I:I)-1)</definedName>
    <definedName name="资金" localSheetId="2">OFFSET('模型二 (1)PE副本计算CCI日线'!I1,0,0,COUNTA('模型二 (1)PE副本计算CCI日线'!I:I)-1)</definedName>
    <definedName name="资金" localSheetId="1">OFFSET('模型二 (1)PE副本计算CCI月线'!I1,0,0,COUNTA('模型二 (1)PE副本计算CCI月线'!I:I)-1)</definedName>
    <definedName name="资金" localSheetId="4">OFFSET('模型二 (2)PE副本成交量计算CCI日线'!K1,0,0,COUNTA('模型二 (2)PE副本成交量计算CCI日线'!K:K)-1)</definedName>
    <definedName name="资金" localSheetId="3">OFFSET('模型二 (2)PE副本计算CCI日线'!I1,0,0,COUNTA('模型二 (2)PE副本计算CCI日线'!I:I)-1)</definedName>
  </definedNames>
  <calcPr calcId="145621"/>
</workbook>
</file>

<file path=xl/calcChain.xml><?xml version="1.0" encoding="utf-8"?>
<calcChain xmlns="http://schemas.openxmlformats.org/spreadsheetml/2006/main">
  <c r="AI6" i="8" l="1"/>
  <c r="AI5" i="8"/>
  <c r="AI4" i="8"/>
  <c r="AI3" i="8"/>
  <c r="AG6" i="7"/>
  <c r="AG5" i="7"/>
  <c r="AG4" i="7"/>
  <c r="AG3" i="7"/>
  <c r="AM6" i="6"/>
  <c r="AM5" i="6"/>
  <c r="AM4" i="6"/>
  <c r="AM3" i="6"/>
  <c r="AG6" i="5"/>
  <c r="AG5" i="5"/>
  <c r="AG4" i="5"/>
  <c r="AG3" i="5"/>
  <c r="AG6" i="9"/>
  <c r="AG5" i="9"/>
  <c r="AG4" i="9"/>
  <c r="AG3" i="9"/>
  <c r="AF5" i="8" l="1"/>
  <c r="AF4" i="8"/>
  <c r="AF3" i="8"/>
  <c r="AD5" i="7"/>
  <c r="AD4" i="7"/>
  <c r="AD3" i="7"/>
  <c r="AD5" i="5"/>
  <c r="AD4" i="5"/>
  <c r="AD3" i="5"/>
  <c r="AJ5" i="6"/>
  <c r="AJ4" i="6"/>
  <c r="AJ3" i="6"/>
  <c r="AD5" i="9"/>
  <c r="AD4" i="9"/>
  <c r="AD3" i="9"/>
  <c r="AC4" i="8" l="1"/>
  <c r="AC3" i="8"/>
  <c r="AA4" i="7"/>
  <c r="AA3" i="7"/>
  <c r="AA4" i="5"/>
  <c r="AA3" i="5"/>
  <c r="AG4" i="6"/>
  <c r="AG3" i="6"/>
  <c r="AA4" i="9"/>
  <c r="AA3" i="9"/>
  <c r="H2" i="9" l="1"/>
  <c r="H2" i="6" l="1"/>
  <c r="H2" i="7" l="1"/>
  <c r="J2" i="8" l="1"/>
  <c r="H2" i="5"/>
</calcChain>
</file>

<file path=xl/sharedStrings.xml><?xml version="1.0" encoding="utf-8"?>
<sst xmlns="http://schemas.openxmlformats.org/spreadsheetml/2006/main" count="117" uniqueCount="31">
  <si>
    <t>CCI</t>
    <phoneticPr fontId="4" type="noConversion"/>
  </si>
  <si>
    <t>TYP-MA</t>
    <phoneticPr fontId="3" type="noConversion"/>
  </si>
  <si>
    <t>AVEDEV</t>
    <phoneticPr fontId="3" type="noConversion"/>
  </si>
  <si>
    <t>CCI</t>
    <phoneticPr fontId="3" type="noConversion"/>
  </si>
  <si>
    <t>TYP</t>
    <phoneticPr fontId="3" type="noConversion"/>
  </si>
  <si>
    <t>MA(TYP,N)</t>
    <phoneticPr fontId="3" type="noConversion"/>
  </si>
  <si>
    <t>*0.015</t>
    <phoneticPr fontId="3" type="noConversion"/>
  </si>
  <si>
    <t>日期</t>
    <phoneticPr fontId="4" type="noConversion"/>
  </si>
  <si>
    <t>深创100ETF</t>
    <phoneticPr fontId="4" type="noConversion"/>
  </si>
  <si>
    <t>PE</t>
    <phoneticPr fontId="3" type="noConversion"/>
  </si>
  <si>
    <t>PE均值</t>
    <phoneticPr fontId="4" type="noConversion"/>
  </si>
  <si>
    <t>买卖金额</t>
    <phoneticPr fontId="3" type="noConversion"/>
  </si>
  <si>
    <t>买卖份数</t>
    <phoneticPr fontId="3" type="noConversion"/>
  </si>
  <si>
    <t>持有份数</t>
    <phoneticPr fontId="4" type="noConversion"/>
  </si>
  <si>
    <t>市值</t>
    <phoneticPr fontId="4" type="noConversion"/>
  </si>
  <si>
    <t>累计投入资金</t>
    <phoneticPr fontId="4" type="noConversion"/>
  </si>
  <si>
    <t>总资产</t>
    <phoneticPr fontId="3" type="noConversion"/>
  </si>
  <si>
    <t>利润</t>
    <phoneticPr fontId="5" type="noConversion"/>
  </si>
  <si>
    <t>回收资金</t>
    <phoneticPr fontId="4" type="noConversion"/>
  </si>
  <si>
    <t>日期</t>
    <phoneticPr fontId="4" type="noConversion"/>
  </si>
  <si>
    <t>每年投入本金</t>
    <phoneticPr fontId="4" type="noConversion"/>
  </si>
  <si>
    <t>累计投入本金</t>
    <phoneticPr fontId="4" type="noConversion"/>
  </si>
  <si>
    <t>总资产</t>
    <phoneticPr fontId="4" type="noConversion"/>
  </si>
  <si>
    <t>盈利金额</t>
    <phoneticPr fontId="4" type="noConversion"/>
  </si>
  <si>
    <t>绝对收益率</t>
    <phoneticPr fontId="4" type="noConversion"/>
  </si>
  <si>
    <t>年化收益率</t>
    <phoneticPr fontId="4" type="noConversion"/>
  </si>
  <si>
    <t>最高价</t>
    <phoneticPr fontId="3" type="noConversion"/>
  </si>
  <si>
    <t>最低价</t>
    <phoneticPr fontId="3" type="noConversion"/>
  </si>
  <si>
    <t>标志</t>
    <phoneticPr fontId="3" type="noConversion"/>
  </si>
  <si>
    <t>成交量</t>
    <phoneticPr fontId="3" type="noConversion"/>
  </si>
  <si>
    <t>成交均量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</si>
</sst>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0"/>
      <color theme="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2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b/>
      <sz val="10"/>
      <name val="宋体"/>
      <family val="3"/>
      <charset val="134"/>
    </font>
    <font>
      <sz val="10"/>
      <color indexed="8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0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0" borderId="1" xfId="1" applyFont="1" applyBorder="1"/>
    <xf numFmtId="176" fontId="7" fillId="0" borderId="1" xfId="1" applyNumberFormat="1" applyFont="1" applyBorder="1"/>
    <xf numFmtId="0" fontId="7" fillId="0" borderId="0" xfId="1" applyFont="1"/>
    <xf numFmtId="10" fontId="8" fillId="0" borderId="0" xfId="1" applyNumberFormat="1" applyFont="1"/>
    <xf numFmtId="0" fontId="8" fillId="0" borderId="0" xfId="1" applyFont="1"/>
    <xf numFmtId="177" fontId="9" fillId="3" borderId="1" xfId="1" applyNumberFormat="1" applyFont="1" applyFill="1" applyBorder="1" applyAlignment="1" applyProtection="1">
      <alignment horizontal="center"/>
    </xf>
    <xf numFmtId="0" fontId="10" fillId="0" borderId="1" xfId="1" applyFont="1" applyBorder="1"/>
    <xf numFmtId="176" fontId="10" fillId="0" borderId="1" xfId="1" applyNumberFormat="1" applyFont="1" applyBorder="1"/>
    <xf numFmtId="176" fontId="10" fillId="4" borderId="1" xfId="1" applyNumberFormat="1" applyFont="1" applyFill="1" applyBorder="1"/>
    <xf numFmtId="0" fontId="11" fillId="0" borderId="1" xfId="1" applyFont="1" applyFill="1" applyBorder="1" applyAlignment="1">
      <alignment horizontal="center"/>
    </xf>
    <xf numFmtId="177" fontId="12" fillId="4" borderId="1" xfId="1" applyNumberFormat="1" applyFont="1" applyFill="1" applyBorder="1" applyAlignment="1" applyProtection="1">
      <alignment horizontal="center"/>
    </xf>
    <xf numFmtId="178" fontId="7" fillId="0" borderId="1" xfId="1" applyNumberFormat="1" applyFont="1" applyBorder="1"/>
    <xf numFmtId="10" fontId="7" fillId="0" borderId="1" xfId="1" applyNumberFormat="1" applyFont="1" applyBorder="1"/>
    <xf numFmtId="10" fontId="7" fillId="0" borderId="0" xfId="1" applyNumberFormat="1" applyFont="1"/>
    <xf numFmtId="176" fontId="8" fillId="0" borderId="0" xfId="1" applyNumberFormat="1" applyFont="1"/>
    <xf numFmtId="176" fontId="7" fillId="0" borderId="0" xfId="1" applyNumberFormat="1" applyFont="1" applyBorder="1"/>
    <xf numFmtId="176" fontId="10" fillId="0" borderId="0" xfId="1" applyNumberFormat="1" applyFont="1" applyBorder="1"/>
    <xf numFmtId="177" fontId="13" fillId="3" borderId="1" xfId="1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156825.66098482403</c:v>
                </c:pt>
                <c:pt idx="10">
                  <c:v>198048.32002150436</c:v>
                </c:pt>
                <c:pt idx="11">
                  <c:v>239958.10640418634</c:v>
                </c:pt>
                <c:pt idx="12">
                  <c:v>264878.26341526926</c:v>
                </c:pt>
                <c:pt idx="13">
                  <c:v>293854.28227490676</c:v>
                </c:pt>
                <c:pt idx="14">
                  <c:v>325443.2577102746</c:v>
                </c:pt>
                <c:pt idx="15">
                  <c:v>365060.50204947242</c:v>
                </c:pt>
                <c:pt idx="16">
                  <c:v>404537.01229307556</c:v>
                </c:pt>
                <c:pt idx="17">
                  <c:v>439721.85207247699</c:v>
                </c:pt>
                <c:pt idx="18">
                  <c:v>473423.66374890588</c:v>
                </c:pt>
                <c:pt idx="19">
                  <c:v>497558.02372686984</c:v>
                </c:pt>
                <c:pt idx="20">
                  <c:v>524214.30663086759</c:v>
                </c:pt>
                <c:pt idx="21">
                  <c:v>548835.00163068029</c:v>
                </c:pt>
                <c:pt idx="22">
                  <c:v>574803.81124950666</c:v>
                </c:pt>
                <c:pt idx="23">
                  <c:v>608395.912105361</c:v>
                </c:pt>
                <c:pt idx="24">
                  <c:v>637390.8309686397</c:v>
                </c:pt>
                <c:pt idx="25">
                  <c:v>664460.26699966309</c:v>
                </c:pt>
                <c:pt idx="26">
                  <c:v>696265.26606489299</c:v>
                </c:pt>
                <c:pt idx="27">
                  <c:v>733363.79749379389</c:v>
                </c:pt>
                <c:pt idx="28">
                  <c:v>771292.17803173757</c:v>
                </c:pt>
                <c:pt idx="29">
                  <c:v>811194.35651351546</c:v>
                </c:pt>
                <c:pt idx="30">
                  <c:v>850637.82951930468</c:v>
                </c:pt>
                <c:pt idx="31">
                  <c:v>897866.49535342399</c:v>
                </c:pt>
                <c:pt idx="32">
                  <c:v>935890.99369570205</c:v>
                </c:pt>
                <c:pt idx="33">
                  <c:v>971992.70594601275</c:v>
                </c:pt>
                <c:pt idx="34">
                  <c:v>1005505.7452450263</c:v>
                </c:pt>
                <c:pt idx="35">
                  <c:v>1037341.6312729785</c:v>
                </c:pt>
                <c:pt idx="36">
                  <c:v>1070260.4159355557</c:v>
                </c:pt>
                <c:pt idx="37">
                  <c:v>1102813.3837142217</c:v>
                </c:pt>
                <c:pt idx="38">
                  <c:v>1123194.2613680183</c:v>
                </c:pt>
                <c:pt idx="39">
                  <c:v>1124647.3973672311</c:v>
                </c:pt>
                <c:pt idx="40">
                  <c:v>1127257.65285363</c:v>
                </c:pt>
                <c:pt idx="41">
                  <c:v>1130707.2667128926</c:v>
                </c:pt>
                <c:pt idx="42">
                  <c:v>1133785.7241379421</c:v>
                </c:pt>
                <c:pt idx="43">
                  <c:v>1138289.8930741674</c:v>
                </c:pt>
                <c:pt idx="44">
                  <c:v>1138289.8930741674</c:v>
                </c:pt>
                <c:pt idx="45">
                  <c:v>1138289.8930741674</c:v>
                </c:pt>
                <c:pt idx="46">
                  <c:v>1144330.9676563484</c:v>
                </c:pt>
                <c:pt idx="47">
                  <c:v>1153045.7236434985</c:v>
                </c:pt>
                <c:pt idx="48">
                  <c:v>1157665.4717863523</c:v>
                </c:pt>
                <c:pt idx="49">
                  <c:v>1158493.0294822238</c:v>
                </c:pt>
                <c:pt idx="50">
                  <c:v>1158493.0294822238</c:v>
                </c:pt>
                <c:pt idx="51">
                  <c:v>1158493.0294822238</c:v>
                </c:pt>
                <c:pt idx="52">
                  <c:v>1158493.0294822238</c:v>
                </c:pt>
                <c:pt idx="53">
                  <c:v>1158493.0294822238</c:v>
                </c:pt>
                <c:pt idx="54">
                  <c:v>1158493.0294822238</c:v>
                </c:pt>
                <c:pt idx="55">
                  <c:v>1158493.0294822238</c:v>
                </c:pt>
                <c:pt idx="56">
                  <c:v>1158493.0294822238</c:v>
                </c:pt>
                <c:pt idx="57">
                  <c:v>1158493.0294822238</c:v>
                </c:pt>
                <c:pt idx="58">
                  <c:v>1158493.0294822238</c:v>
                </c:pt>
                <c:pt idx="59">
                  <c:v>1158493.0294822238</c:v>
                </c:pt>
                <c:pt idx="60">
                  <c:v>1158493.0294822238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137426.55416336839</c:v>
                </c:pt>
                <c:pt idx="10">
                  <c:v>165982.36924972216</c:v>
                </c:pt>
                <c:pt idx="11">
                  <c:v>214356.00261604332</c:v>
                </c:pt>
                <c:pt idx="12">
                  <c:v>267397.84567335254</c:v>
                </c:pt>
                <c:pt idx="13">
                  <c:v>282450.18084471551</c:v>
                </c:pt>
                <c:pt idx="14">
                  <c:v>301344.76140663412</c:v>
                </c:pt>
                <c:pt idx="15">
                  <c:v>313781.88724886329</c:v>
                </c:pt>
                <c:pt idx="16">
                  <c:v>349200.8714668047</c:v>
                </c:pt>
                <c:pt idx="17">
                  <c:v>401159.57922310429</c:v>
                </c:pt>
                <c:pt idx="18">
                  <c:v>436532.8675600008</c:v>
                </c:pt>
                <c:pt idx="19">
                  <c:v>500516.69226415147</c:v>
                </c:pt>
                <c:pt idx="20">
                  <c:v>510679.41871884948</c:v>
                </c:pt>
                <c:pt idx="21">
                  <c:v>540654.5613829419</c:v>
                </c:pt>
                <c:pt idx="22">
                  <c:v>552598.58143868495</c:v>
                </c:pt>
                <c:pt idx="23">
                  <c:v>563380.38483273762</c:v>
                </c:pt>
                <c:pt idx="24">
                  <c:v>619761.82297485252</c:v>
                </c:pt>
                <c:pt idx="25">
                  <c:v>651756.50407460728</c:v>
                </c:pt>
                <c:pt idx="26">
                  <c:v>643308.47989571327</c:v>
                </c:pt>
                <c:pt idx="27">
                  <c:v>654278.24921961338</c:v>
                </c:pt>
                <c:pt idx="28">
                  <c:v>671193.29967837257</c:v>
                </c:pt>
                <c:pt idx="29">
                  <c:v>698947.21863819147</c:v>
                </c:pt>
                <c:pt idx="30">
                  <c:v>731948.73696905444</c:v>
                </c:pt>
                <c:pt idx="31">
                  <c:v>683853.8532819543</c:v>
                </c:pt>
                <c:pt idx="32">
                  <c:v>815740.67370509531</c:v>
                </c:pt>
                <c:pt idx="33">
                  <c:v>862071.12968228362</c:v>
                </c:pt>
                <c:pt idx="34">
                  <c:v>919604.65511358727</c:v>
                </c:pt>
                <c:pt idx="35">
                  <c:v>932051.28760826006</c:v>
                </c:pt>
                <c:pt idx="36">
                  <c:v>944895.12277571461</c:v>
                </c:pt>
                <c:pt idx="37">
                  <c:v>972991.0953141842</c:v>
                </c:pt>
                <c:pt idx="38">
                  <c:v>958018.42403450317</c:v>
                </c:pt>
                <c:pt idx="39">
                  <c:v>1206043.5175274594</c:v>
                </c:pt>
                <c:pt idx="40">
                  <c:v>1224377.9234260293</c:v>
                </c:pt>
                <c:pt idx="41">
                  <c:v>1234130.6538305667</c:v>
                </c:pt>
                <c:pt idx="42">
                  <c:v>1249850.5855833527</c:v>
                </c:pt>
                <c:pt idx="43">
                  <c:v>1241682.0665966475</c:v>
                </c:pt>
                <c:pt idx="44">
                  <c:v>1314815.7138116525</c:v>
                </c:pt>
                <c:pt idx="45">
                  <c:v>1294179.5752163501</c:v>
                </c:pt>
                <c:pt idx="46">
                  <c:v>1228799.4488688125</c:v>
                </c:pt>
                <c:pt idx="47">
                  <c:v>1258249.131635457</c:v>
                </c:pt>
                <c:pt idx="48">
                  <c:v>1311052.9484080994</c:v>
                </c:pt>
                <c:pt idx="49">
                  <c:v>1365070.86430949</c:v>
                </c:pt>
                <c:pt idx="50">
                  <c:v>1629570.8878162566</c:v>
                </c:pt>
                <c:pt idx="51">
                  <c:v>1755582.5035077769</c:v>
                </c:pt>
                <c:pt idx="52">
                  <c:v>1732051.178272306</c:v>
                </c:pt>
                <c:pt idx="53">
                  <c:v>1681068.5808443392</c:v>
                </c:pt>
                <c:pt idx="54">
                  <c:v>1717781.1968650564</c:v>
                </c:pt>
                <c:pt idx="55">
                  <c:v>1729862.4147042707</c:v>
                </c:pt>
                <c:pt idx="56">
                  <c:v>1734329.4800120019</c:v>
                </c:pt>
                <c:pt idx="57">
                  <c:v>1694672.7323658499</c:v>
                </c:pt>
                <c:pt idx="58">
                  <c:v>1881997.8085183678</c:v>
                </c:pt>
                <c:pt idx="59">
                  <c:v>1978849.1612350328</c:v>
                </c:pt>
                <c:pt idx="60">
                  <c:v>2022104.2217609019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-32065.950771782198</c:v>
                </c:pt>
                <c:pt idx="11">
                  <c:v>-25602.103788143024</c:v>
                </c:pt>
                <c:pt idx="12">
                  <c:v>2519.5822580832755</c:v>
                </c:pt>
                <c:pt idx="13">
                  <c:v>-11404.101430191251</c:v>
                </c:pt>
                <c:pt idx="14">
                  <c:v>-24098.496303640481</c:v>
                </c:pt>
                <c:pt idx="15">
                  <c:v>-51278.614800609124</c:v>
                </c:pt>
                <c:pt idx="16">
                  <c:v>-55336.140826270857</c:v>
                </c:pt>
                <c:pt idx="17">
                  <c:v>-38562.272849372705</c:v>
                </c:pt>
                <c:pt idx="18">
                  <c:v>-36890.796188905078</c:v>
                </c:pt>
                <c:pt idx="19">
                  <c:v>2958.6685372816282</c:v>
                </c:pt>
                <c:pt idx="20">
                  <c:v>-13534.887912018108</c:v>
                </c:pt>
                <c:pt idx="21">
                  <c:v>-8180.4402477383846</c:v>
                </c:pt>
                <c:pt idx="22">
                  <c:v>-22205.229810821707</c:v>
                </c:pt>
                <c:pt idx="23">
                  <c:v>-45015.527272623382</c:v>
                </c:pt>
                <c:pt idx="24">
                  <c:v>-17629.007993787178</c:v>
                </c:pt>
                <c:pt idx="25">
                  <c:v>-12703.762925055809</c:v>
                </c:pt>
                <c:pt idx="26">
                  <c:v>-52956.786169179715</c:v>
                </c:pt>
                <c:pt idx="27">
                  <c:v>-79085.548274180503</c:v>
                </c:pt>
                <c:pt idx="28">
                  <c:v>-100098.878353365</c:v>
                </c:pt>
                <c:pt idx="29">
                  <c:v>-112247.137875324</c:v>
                </c:pt>
                <c:pt idx="30">
                  <c:v>-118689.09255025024</c:v>
                </c:pt>
                <c:pt idx="31">
                  <c:v>-214012.64207146969</c:v>
                </c:pt>
                <c:pt idx="32">
                  <c:v>-120150.31999060675</c:v>
                </c:pt>
                <c:pt idx="33">
                  <c:v>-109921.57626372913</c:v>
                </c:pt>
                <c:pt idx="34">
                  <c:v>-85901.090131439036</c:v>
                </c:pt>
                <c:pt idx="35">
                  <c:v>-105290.34366471844</c:v>
                </c:pt>
                <c:pt idx="36">
                  <c:v>-125365.29315984109</c:v>
                </c:pt>
                <c:pt idx="37">
                  <c:v>-129822.28840003745</c:v>
                </c:pt>
                <c:pt idx="38">
                  <c:v>-165175.83733351517</c:v>
                </c:pt>
                <c:pt idx="39">
                  <c:v>81396.12016022834</c:v>
                </c:pt>
                <c:pt idx="40">
                  <c:v>97120.270572399255</c:v>
                </c:pt>
                <c:pt idx="41">
                  <c:v>103423.38711767411</c:v>
                </c:pt>
                <c:pt idx="42">
                  <c:v>116064.86144541064</c:v>
                </c:pt>
                <c:pt idx="43">
                  <c:v>103392.17352248007</c:v>
                </c:pt>
                <c:pt idx="44">
                  <c:v>176525.82073748508</c:v>
                </c:pt>
                <c:pt idx="45">
                  <c:v>155889.68214218272</c:v>
                </c:pt>
                <c:pt idx="46">
                  <c:v>84468.481212464161</c:v>
                </c:pt>
                <c:pt idx="47">
                  <c:v>105203.40799195855</c:v>
                </c:pt>
                <c:pt idx="48">
                  <c:v>153387.47662174702</c:v>
                </c:pt>
                <c:pt idx="49">
                  <c:v>206577.83482726617</c:v>
                </c:pt>
                <c:pt idx="50">
                  <c:v>471077.85833403282</c:v>
                </c:pt>
                <c:pt idx="51">
                  <c:v>597089.47402555309</c:v>
                </c:pt>
                <c:pt idx="52">
                  <c:v>573558.1487900822</c:v>
                </c:pt>
                <c:pt idx="53">
                  <c:v>522575.55136211542</c:v>
                </c:pt>
                <c:pt idx="54">
                  <c:v>559288.16738283262</c:v>
                </c:pt>
                <c:pt idx="55">
                  <c:v>571369.38522204687</c:v>
                </c:pt>
                <c:pt idx="56">
                  <c:v>575836.45052977814</c:v>
                </c:pt>
                <c:pt idx="57">
                  <c:v>536179.7028836261</c:v>
                </c:pt>
                <c:pt idx="58">
                  <c:v>723504.77903614403</c:v>
                </c:pt>
                <c:pt idx="59">
                  <c:v>820356.13175280904</c:v>
                </c:pt>
                <c:pt idx="60">
                  <c:v>863611.19227867806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508544"/>
        <c:axId val="436514816"/>
      </c:lineChart>
      <c:dateAx>
        <c:axId val="43650854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514816"/>
        <c:crosses val="autoZero"/>
        <c:auto val="1"/>
        <c:lblOffset val="100"/>
        <c:baseTimeUnit val="months"/>
      </c:dateAx>
      <c:valAx>
        <c:axId val="43651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65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(1)PE副本'!买卖</c:f>
              <c:numCache>
                <c:formatCode>0.00_ </c:formatCode>
                <c:ptCount val="62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39617.24433919783</c:v>
                </c:pt>
                <c:pt idx="16">
                  <c:v>39476.510243603116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39902.178481777861</c:v>
                </c:pt>
                <c:pt idx="30">
                  <c:v>39443.473005789252</c:v>
                </c:pt>
                <c:pt idx="31">
                  <c:v>47228.66583411934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-17883.962059553654</c:v>
                </c:pt>
                <c:pt idx="51">
                  <c:v>-28655.058483172998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-36057.366675283578</c:v>
                </c:pt>
                <c:pt idx="60">
                  <c:v>-60139.263576626639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890496"/>
        <c:axId val="46041395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400896"/>
        <c:axId val="460407552"/>
      </c:lineChart>
      <c:dateAx>
        <c:axId val="460400896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407552"/>
        <c:crosses val="autoZero"/>
        <c:auto val="1"/>
        <c:lblOffset val="100"/>
        <c:baseTimeUnit val="months"/>
      </c:dateAx>
      <c:valAx>
        <c:axId val="4604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400896"/>
        <c:crosses val="autoZero"/>
        <c:crossBetween val="between"/>
      </c:valAx>
      <c:valAx>
        <c:axId val="46041395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0890496"/>
        <c:crosses val="max"/>
        <c:crossBetween val="between"/>
      </c:valAx>
      <c:catAx>
        <c:axId val="460890496"/>
        <c:scaling>
          <c:orientation val="minMax"/>
        </c:scaling>
        <c:delete val="1"/>
        <c:axPos val="b"/>
        <c:majorTickMark val="out"/>
        <c:minorTickMark val="none"/>
        <c:tickLblPos val="nextTo"/>
        <c:crossAx val="46041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(1)PE副本计算CCI月线'!$I$1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(1)PE副本计算CCI月线'!资金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14161.562985932418</c:v>
                </c:pt>
                <c:pt idx="3">
                  <c:v>32769.298882683892</c:v>
                </c:pt>
                <c:pt idx="4">
                  <c:v>44436.113276487529</c:v>
                </c:pt>
                <c:pt idx="5">
                  <c:v>57255.835236507555</c:v>
                </c:pt>
                <c:pt idx="6">
                  <c:v>71470.218956071636</c:v>
                </c:pt>
                <c:pt idx="7">
                  <c:v>97894.934844368792</c:v>
                </c:pt>
                <c:pt idx="8">
                  <c:v>122460.49475229948</c:v>
                </c:pt>
                <c:pt idx="9">
                  <c:v>156825.66098482403</c:v>
                </c:pt>
                <c:pt idx="10">
                  <c:v>198048.32002150436</c:v>
                </c:pt>
                <c:pt idx="11">
                  <c:v>239958.10640418634</c:v>
                </c:pt>
                <c:pt idx="12">
                  <c:v>264878.26341526926</c:v>
                </c:pt>
                <c:pt idx="13">
                  <c:v>293854.28227490676</c:v>
                </c:pt>
                <c:pt idx="14">
                  <c:v>325443.2577102746</c:v>
                </c:pt>
                <c:pt idx="15">
                  <c:v>372983.950917312</c:v>
                </c:pt>
                <c:pt idx="16">
                  <c:v>420355.76320963574</c:v>
                </c:pt>
                <c:pt idx="17">
                  <c:v>455540.60298903717</c:v>
                </c:pt>
                <c:pt idx="18">
                  <c:v>489242.41466546606</c:v>
                </c:pt>
                <c:pt idx="19">
                  <c:v>513376.77464343002</c:v>
                </c:pt>
                <c:pt idx="20">
                  <c:v>540033.05754742783</c:v>
                </c:pt>
                <c:pt idx="21">
                  <c:v>564653.75254724058</c:v>
                </c:pt>
                <c:pt idx="22">
                  <c:v>590622.56216606684</c:v>
                </c:pt>
                <c:pt idx="23">
                  <c:v>624214.66302192118</c:v>
                </c:pt>
                <c:pt idx="24">
                  <c:v>653209.58188519988</c:v>
                </c:pt>
                <c:pt idx="25">
                  <c:v>680279.01791622327</c:v>
                </c:pt>
                <c:pt idx="26">
                  <c:v>712084.01698145317</c:v>
                </c:pt>
                <c:pt idx="27">
                  <c:v>756602.25469613413</c:v>
                </c:pt>
                <c:pt idx="28">
                  <c:v>802116.3113416665</c:v>
                </c:pt>
                <c:pt idx="29">
                  <c:v>849998.92551979993</c:v>
                </c:pt>
                <c:pt idx="30">
                  <c:v>897331.09312674706</c:v>
                </c:pt>
                <c:pt idx="31">
                  <c:v>954005.49212769023</c:v>
                </c:pt>
                <c:pt idx="32">
                  <c:v>999634.89013842389</c:v>
                </c:pt>
                <c:pt idx="33">
                  <c:v>1035736.6023887346</c:v>
                </c:pt>
                <c:pt idx="34">
                  <c:v>1069249.641687748</c:v>
                </c:pt>
                <c:pt idx="35">
                  <c:v>1101085.5277157002</c:v>
                </c:pt>
                <c:pt idx="36">
                  <c:v>1134004.3123782773</c:v>
                </c:pt>
                <c:pt idx="37">
                  <c:v>1166557.2801569432</c:v>
                </c:pt>
                <c:pt idx="38">
                  <c:v>1186938.1578107399</c:v>
                </c:pt>
                <c:pt idx="39">
                  <c:v>1188391.2938099527</c:v>
                </c:pt>
                <c:pt idx="40">
                  <c:v>1191001.5492963516</c:v>
                </c:pt>
                <c:pt idx="41">
                  <c:v>1194451.1631556142</c:v>
                </c:pt>
                <c:pt idx="42">
                  <c:v>1197529.6205806637</c:v>
                </c:pt>
                <c:pt idx="43">
                  <c:v>1202033.789516889</c:v>
                </c:pt>
                <c:pt idx="44">
                  <c:v>1202033.789516889</c:v>
                </c:pt>
                <c:pt idx="45">
                  <c:v>1202033.789516889</c:v>
                </c:pt>
                <c:pt idx="46">
                  <c:v>1208074.86409907</c:v>
                </c:pt>
                <c:pt idx="47">
                  <c:v>1216789.6200862201</c:v>
                </c:pt>
                <c:pt idx="48">
                  <c:v>1221409.3682290739</c:v>
                </c:pt>
                <c:pt idx="49">
                  <c:v>1222236.9259249454</c:v>
                </c:pt>
                <c:pt idx="50">
                  <c:v>1222236.9259249454</c:v>
                </c:pt>
                <c:pt idx="51">
                  <c:v>1222236.9259249454</c:v>
                </c:pt>
                <c:pt idx="52">
                  <c:v>1222236.9259249454</c:v>
                </c:pt>
                <c:pt idx="53">
                  <c:v>1222236.9259249454</c:v>
                </c:pt>
                <c:pt idx="54">
                  <c:v>1222236.9259249454</c:v>
                </c:pt>
                <c:pt idx="55">
                  <c:v>1222236.9259249454</c:v>
                </c:pt>
                <c:pt idx="56">
                  <c:v>1222236.9259249454</c:v>
                </c:pt>
                <c:pt idx="57">
                  <c:v>1222236.9259249454</c:v>
                </c:pt>
                <c:pt idx="58">
                  <c:v>1222236.9259249454</c:v>
                </c:pt>
                <c:pt idx="59">
                  <c:v>1222236.9259249454</c:v>
                </c:pt>
                <c:pt idx="60">
                  <c:v>1222236.9259249454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(1)PE副本计算CCI月线'!$J$1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(1)PE副本计算CCI月线'!资产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14004.426853356539</c:v>
                </c:pt>
                <c:pt idx="3">
                  <c:v>32539.676068672419</c:v>
                </c:pt>
                <c:pt idx="4">
                  <c:v>45290.016672375939</c:v>
                </c:pt>
                <c:pt idx="5">
                  <c:v>58930.708749033642</c:v>
                </c:pt>
                <c:pt idx="6">
                  <c:v>72037.588440626103</c:v>
                </c:pt>
                <c:pt idx="7">
                  <c:v>91127.831202443733</c:v>
                </c:pt>
                <c:pt idx="8">
                  <c:v>114772.91369357279</c:v>
                </c:pt>
                <c:pt idx="9">
                  <c:v>137426.55416336839</c:v>
                </c:pt>
                <c:pt idx="10">
                  <c:v>165982.36924972216</c:v>
                </c:pt>
                <c:pt idx="11">
                  <c:v>214356.00261604332</c:v>
                </c:pt>
                <c:pt idx="12">
                  <c:v>267397.84567335254</c:v>
                </c:pt>
                <c:pt idx="13">
                  <c:v>282450.18084471551</c:v>
                </c:pt>
                <c:pt idx="14">
                  <c:v>301344.76140663412</c:v>
                </c:pt>
                <c:pt idx="15">
                  <c:v>321705.33611670288</c:v>
                </c:pt>
                <c:pt idx="16">
                  <c:v>364917.16395188519</c:v>
                </c:pt>
                <c:pt idx="17">
                  <c:v>417630.80400295166</c:v>
                </c:pt>
                <c:pt idx="18">
                  <c:v>453072.72155678517</c:v>
                </c:pt>
                <c:pt idx="19">
                  <c:v>518566.40812335454</c:v>
                </c:pt>
                <c:pt idx="20">
                  <c:v>528134.34121347789</c:v>
                </c:pt>
                <c:pt idx="21">
                  <c:v>558292.49784985057</c:v>
                </c:pt>
                <c:pt idx="22">
                  <c:v>569778.98297489283</c:v>
                </c:pt>
                <c:pt idx="23">
                  <c:v>579851.60961258505</c:v>
                </c:pt>
                <c:pt idx="24">
                  <c:v>637033.73149720056</c:v>
                </c:pt>
                <c:pt idx="25">
                  <c:v>669165.67239438684</c:v>
                </c:pt>
                <c:pt idx="26">
                  <c:v>659642.44351457164</c:v>
                </c:pt>
                <c:pt idx="27">
                  <c:v>677368.49517918273</c:v>
                </c:pt>
                <c:pt idx="28">
                  <c:v>701127.63670806878</c:v>
                </c:pt>
                <c:pt idx="29">
                  <c:v>736320.194991978</c:v>
                </c:pt>
                <c:pt idx="30">
                  <c:v>776865.95413218427</c:v>
                </c:pt>
                <c:pt idx="31">
                  <c:v>732367.11994097894</c:v>
                </c:pt>
                <c:pt idx="32">
                  <c:v>878517.52571298915</c:v>
                </c:pt>
                <c:pt idx="33">
                  <c:v>925635.15382939705</c:v>
                </c:pt>
                <c:pt idx="34">
                  <c:v>984939.80777662841</c:v>
                </c:pt>
                <c:pt idx="35">
                  <c:v>996008.89196010563</c:v>
                </c:pt>
                <c:pt idx="36">
                  <c:v>1007475.1788163647</c:v>
                </c:pt>
                <c:pt idx="37">
                  <c:v>1035275.9662012851</c:v>
                </c:pt>
                <c:pt idx="38">
                  <c:v>1018040.179420006</c:v>
                </c:pt>
                <c:pt idx="39">
                  <c:v>1281513.4953545392</c:v>
                </c:pt>
                <c:pt idx="40">
                  <c:v>1300831.8634946949</c:v>
                </c:pt>
                <c:pt idx="41">
                  <c:v>1310978.1799688421</c:v>
                </c:pt>
                <c:pt idx="42">
                  <c:v>1327485.2779959701</c:v>
                </c:pt>
                <c:pt idx="43">
                  <c:v>1318529.5927349227</c:v>
                </c:pt>
                <c:pt idx="44">
                  <c:v>1396189.4709531241</c:v>
                </c:pt>
                <c:pt idx="45">
                  <c:v>1374280.5956044022</c:v>
                </c:pt>
                <c:pt idx="46">
                  <c:v>1304494.8442778958</c:v>
                </c:pt>
                <c:pt idx="47">
                  <c:v>1335217.26379796</c:v>
                </c:pt>
                <c:pt idx="48">
                  <c:v>1390958.1599996095</c:v>
                </c:pt>
                <c:pt idx="49">
                  <c:v>1448206.8714425494</c:v>
                </c:pt>
                <c:pt idx="50">
                  <c:v>1728762.9361637714</c:v>
                </c:pt>
                <c:pt idx="51">
                  <c:v>1862228.8330822547</c:v>
                </c:pt>
                <c:pt idx="52">
                  <c:v>1837361.1428205196</c:v>
                </c:pt>
                <c:pt idx="53">
                  <c:v>1783595.7523900417</c:v>
                </c:pt>
                <c:pt idx="54">
                  <c:v>1822259.0783629464</c:v>
                </c:pt>
                <c:pt idx="55">
                  <c:v>1834959.2686860184</c:v>
                </c:pt>
                <c:pt idx="56">
                  <c:v>1839658.4498281199</c:v>
                </c:pt>
                <c:pt idx="57">
                  <c:v>1797912.668896025</c:v>
                </c:pt>
                <c:pt idx="58">
                  <c:v>1995218.6613627363</c:v>
                </c:pt>
                <c:pt idx="59">
                  <c:v>2097331.2663571048</c:v>
                </c:pt>
                <c:pt idx="60">
                  <c:v>2142805.2789050131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(1)PE副本计算CCI月线'!$K$1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(1)PE副本计算CCI月线'!金额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-229.62281401147266</c:v>
                </c:pt>
                <c:pt idx="4">
                  <c:v>853.90339588841016</c:v>
                </c:pt>
                <c:pt idx="5">
                  <c:v>1674.8735125260864</c:v>
                </c:pt>
                <c:pt idx="6">
                  <c:v>567.36948455446691</c:v>
                </c:pt>
                <c:pt idx="7">
                  <c:v>-6767.1036419250595</c:v>
                </c:pt>
                <c:pt idx="8">
                  <c:v>-7687.5810587266897</c:v>
                </c:pt>
                <c:pt idx="9">
                  <c:v>-19399.106821455644</c:v>
                </c:pt>
                <c:pt idx="10">
                  <c:v>-32065.950771782198</c:v>
                </c:pt>
                <c:pt idx="11">
                  <c:v>-25602.103788143024</c:v>
                </c:pt>
                <c:pt idx="12">
                  <c:v>2519.5822580832755</c:v>
                </c:pt>
                <c:pt idx="13">
                  <c:v>-11404.101430191251</c:v>
                </c:pt>
                <c:pt idx="14">
                  <c:v>-24098.496303640481</c:v>
                </c:pt>
                <c:pt idx="15">
                  <c:v>-51278.614800609124</c:v>
                </c:pt>
                <c:pt idx="16">
                  <c:v>-55438.599257750553</c:v>
                </c:pt>
                <c:pt idx="17">
                  <c:v>-37909.798986085516</c:v>
                </c:pt>
                <c:pt idx="18">
                  <c:v>-36169.693108680891</c:v>
                </c:pt>
                <c:pt idx="19">
                  <c:v>5189.6334799245233</c:v>
                </c:pt>
                <c:pt idx="20">
                  <c:v>-11898.716333949938</c:v>
                </c:pt>
                <c:pt idx="21">
                  <c:v>-6361.2546973900171</c:v>
                </c:pt>
                <c:pt idx="22">
                  <c:v>-20843.579191174009</c:v>
                </c:pt>
                <c:pt idx="23">
                  <c:v>-44363.053409336135</c:v>
                </c:pt>
                <c:pt idx="24">
                  <c:v>-16175.850387999322</c:v>
                </c:pt>
                <c:pt idx="25">
                  <c:v>-11113.345521836425</c:v>
                </c:pt>
                <c:pt idx="26">
                  <c:v>-52441.573466881528</c:v>
                </c:pt>
                <c:pt idx="27">
                  <c:v>-79233.759516951395</c:v>
                </c:pt>
                <c:pt idx="28">
                  <c:v>-100988.67463359772</c:v>
                </c:pt>
                <c:pt idx="29">
                  <c:v>-113678.73052782193</c:v>
                </c:pt>
                <c:pt idx="30">
                  <c:v>-120465.13899456279</c:v>
                </c:pt>
                <c:pt idx="31">
                  <c:v>-221638.37218671129</c:v>
                </c:pt>
                <c:pt idx="32">
                  <c:v>-121117.36442543473</c:v>
                </c:pt>
                <c:pt idx="33">
                  <c:v>-110101.44855933753</c:v>
                </c:pt>
                <c:pt idx="34">
                  <c:v>-84309.833911119611</c:v>
                </c:pt>
                <c:pt idx="35">
                  <c:v>-105076.63575559459</c:v>
                </c:pt>
                <c:pt idx="36">
                  <c:v>-126529.13356191257</c:v>
                </c:pt>
                <c:pt idx="37">
                  <c:v>-131281.31395565812</c:v>
                </c:pt>
                <c:pt idx="38">
                  <c:v>-168897.97839073394</c:v>
                </c:pt>
                <c:pt idx="39">
                  <c:v>93122.201544586569</c:v>
                </c:pt>
                <c:pt idx="40">
                  <c:v>109830.31419834332</c:v>
                </c:pt>
                <c:pt idx="41">
                  <c:v>116527.01681322791</c:v>
                </c:pt>
                <c:pt idx="42">
                  <c:v>129955.65741530643</c:v>
                </c:pt>
                <c:pt idx="43">
                  <c:v>116495.80321803363</c:v>
                </c:pt>
                <c:pt idx="44">
                  <c:v>194155.68143623509</c:v>
                </c:pt>
                <c:pt idx="45">
                  <c:v>172246.80608751322</c:v>
                </c:pt>
                <c:pt idx="46">
                  <c:v>96419.98017882579</c:v>
                </c:pt>
                <c:pt idx="47">
                  <c:v>118427.64371173992</c:v>
                </c:pt>
                <c:pt idx="48">
                  <c:v>169548.79177053552</c:v>
                </c:pt>
                <c:pt idx="49">
                  <c:v>225969.94551760401</c:v>
                </c:pt>
                <c:pt idx="50">
                  <c:v>506526.01023882604</c:v>
                </c:pt>
                <c:pt idx="51">
                  <c:v>639991.90715730935</c:v>
                </c:pt>
                <c:pt idx="52">
                  <c:v>615124.21689557424</c:v>
                </c:pt>
                <c:pt idx="53">
                  <c:v>561358.82646509632</c:v>
                </c:pt>
                <c:pt idx="54">
                  <c:v>600022.15243800101</c:v>
                </c:pt>
                <c:pt idx="55">
                  <c:v>612722.34276107303</c:v>
                </c:pt>
                <c:pt idx="56">
                  <c:v>617421.52390317456</c:v>
                </c:pt>
                <c:pt idx="57">
                  <c:v>575675.74297107966</c:v>
                </c:pt>
                <c:pt idx="58">
                  <c:v>772981.73543779086</c:v>
                </c:pt>
                <c:pt idx="59">
                  <c:v>875094.34043215937</c:v>
                </c:pt>
                <c:pt idx="60">
                  <c:v>920568.35298006772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480128"/>
        <c:axId val="504482048"/>
      </c:lineChart>
      <c:dateAx>
        <c:axId val="50448012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482048"/>
        <c:crosses val="autoZero"/>
        <c:auto val="1"/>
        <c:lblOffset val="100"/>
        <c:baseTimeUnit val="months"/>
      </c:dateAx>
      <c:valAx>
        <c:axId val="5044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44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(1)PE副本计算CCI月线'!买卖</c:f>
              <c:numCache>
                <c:formatCode>0.00_ </c:formatCode>
                <c:ptCount val="62"/>
                <c:pt idx="0">
                  <c:v>0</c:v>
                </c:pt>
                <c:pt idx="1">
                  <c:v>3951.9737342833614</c:v>
                </c:pt>
                <c:pt idx="2">
                  <c:v>10209.589251649057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26424.71588829716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28976.018859637465</c:v>
                </c:pt>
                <c:pt idx="14">
                  <c:v>31588.975435367818</c:v>
                </c:pt>
                <c:pt idx="15">
                  <c:v>47540.693207037395</c:v>
                </c:pt>
                <c:pt idx="16">
                  <c:v>47371.812292323739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33592.100855854354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44518.23771468101</c:v>
                </c:pt>
                <c:pt idx="28">
                  <c:v>45514.056645532415</c:v>
                </c:pt>
                <c:pt idx="29">
                  <c:v>47882.61417813343</c:v>
                </c:pt>
                <c:pt idx="30">
                  <c:v>47332.1676069471</c:v>
                </c:pt>
                <c:pt idx="31">
                  <c:v>56674.399000943209</c:v>
                </c:pt>
                <c:pt idx="32">
                  <c:v>45629.398010733668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32918.784662577113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-2449.1291176605582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8714.7559871502253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-21460.754471464385</c:v>
                </c:pt>
                <c:pt idx="51">
                  <c:v>-34386.070179807597</c:v>
                </c:pt>
                <c:pt idx="52">
                  <c:v>-30666.114495150272</c:v>
                </c:pt>
                <c:pt idx="53">
                  <c:v>-19017.419881633017</c:v>
                </c:pt>
                <c:pt idx="54">
                  <c:v>-24948.75484946607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-43268.840010340289</c:v>
                </c:pt>
                <c:pt idx="60">
                  <c:v>-72167.11629195197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613248"/>
        <c:axId val="538611712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(1)PE副本计算CCI月线'!时间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(1)PE副本计算CCI月线'!指数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980544"/>
        <c:axId val="529949440"/>
      </c:lineChart>
      <c:dateAx>
        <c:axId val="5219805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9949440"/>
        <c:crosses val="autoZero"/>
        <c:auto val="1"/>
        <c:lblOffset val="100"/>
        <c:baseTimeUnit val="months"/>
      </c:dateAx>
      <c:valAx>
        <c:axId val="5299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1980544"/>
        <c:crosses val="autoZero"/>
        <c:crossBetween val="between"/>
      </c:valAx>
      <c:valAx>
        <c:axId val="538611712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613248"/>
        <c:crosses val="max"/>
        <c:crossBetween val="between"/>
      </c:valAx>
      <c:catAx>
        <c:axId val="538613248"/>
        <c:scaling>
          <c:orientation val="minMax"/>
        </c:scaling>
        <c:delete val="1"/>
        <c:axPos val="b"/>
        <c:majorTickMark val="out"/>
        <c:minorTickMark val="none"/>
        <c:tickLblPos val="nextTo"/>
        <c:crossAx val="538611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(1)PE副本计算CCI日线'!$I$1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(1)PE副本计算CCI日线'!资金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16203.48083626223</c:v>
                </c:pt>
                <c:pt idx="3">
                  <c:v>34811.216733013702</c:v>
                </c:pt>
                <c:pt idx="4">
                  <c:v>46478.031126817339</c:v>
                </c:pt>
                <c:pt idx="5">
                  <c:v>59297.753086837358</c:v>
                </c:pt>
                <c:pt idx="6">
                  <c:v>73512.136806401439</c:v>
                </c:pt>
                <c:pt idx="7">
                  <c:v>105221.79587235802</c:v>
                </c:pt>
                <c:pt idx="8">
                  <c:v>129787.35578028869</c:v>
                </c:pt>
                <c:pt idx="9">
                  <c:v>164152.52201281325</c:v>
                </c:pt>
                <c:pt idx="10">
                  <c:v>205375.18104949358</c:v>
                </c:pt>
                <c:pt idx="11">
                  <c:v>247284.96743217556</c:v>
                </c:pt>
                <c:pt idx="12">
                  <c:v>272205.12444325851</c:v>
                </c:pt>
                <c:pt idx="13">
                  <c:v>306976.34707482345</c:v>
                </c:pt>
                <c:pt idx="14">
                  <c:v>344883.11759726482</c:v>
                </c:pt>
                <c:pt idx="15">
                  <c:v>392423.81080430222</c:v>
                </c:pt>
                <c:pt idx="16">
                  <c:v>439795.62309662596</c:v>
                </c:pt>
                <c:pt idx="17">
                  <c:v>474980.46287602739</c:v>
                </c:pt>
                <c:pt idx="18">
                  <c:v>508682.27455245628</c:v>
                </c:pt>
                <c:pt idx="19">
                  <c:v>532816.6345304203</c:v>
                </c:pt>
                <c:pt idx="20">
                  <c:v>559472.91743441811</c:v>
                </c:pt>
                <c:pt idx="21">
                  <c:v>584093.61243423074</c:v>
                </c:pt>
                <c:pt idx="22">
                  <c:v>610062.422053057</c:v>
                </c:pt>
                <c:pt idx="23">
                  <c:v>650372.94308008219</c:v>
                </c:pt>
                <c:pt idx="24">
                  <c:v>679367.86194336088</c:v>
                </c:pt>
                <c:pt idx="25">
                  <c:v>706437.29797438427</c:v>
                </c:pt>
                <c:pt idx="26">
                  <c:v>738242.29703961418</c:v>
                </c:pt>
                <c:pt idx="27">
                  <c:v>775340.82846851507</c:v>
                </c:pt>
                <c:pt idx="28">
                  <c:v>813269.20900645875</c:v>
                </c:pt>
                <c:pt idx="29">
                  <c:v>861151.82318459218</c:v>
                </c:pt>
                <c:pt idx="30">
                  <c:v>900595.2961903814</c:v>
                </c:pt>
                <c:pt idx="31">
                  <c:v>957269.69519132457</c:v>
                </c:pt>
                <c:pt idx="32">
                  <c:v>995294.19353360264</c:v>
                </c:pt>
                <c:pt idx="33">
                  <c:v>1031395.9057839133</c:v>
                </c:pt>
                <c:pt idx="34">
                  <c:v>1064908.9450829269</c:v>
                </c:pt>
                <c:pt idx="35">
                  <c:v>1096744.8311108791</c:v>
                </c:pt>
                <c:pt idx="36">
                  <c:v>1136247.3727059716</c:v>
                </c:pt>
                <c:pt idx="37">
                  <c:v>1168800.3404846375</c:v>
                </c:pt>
                <c:pt idx="38">
                  <c:v>1189181.2181384342</c:v>
                </c:pt>
                <c:pt idx="39">
                  <c:v>1190634.354137647</c:v>
                </c:pt>
                <c:pt idx="40">
                  <c:v>1193244.6096240459</c:v>
                </c:pt>
                <c:pt idx="41">
                  <c:v>1196694.2234833085</c:v>
                </c:pt>
                <c:pt idx="42">
                  <c:v>1199772.680908358</c:v>
                </c:pt>
                <c:pt idx="43">
                  <c:v>1204276.8498445833</c:v>
                </c:pt>
                <c:pt idx="44">
                  <c:v>1204276.8498445833</c:v>
                </c:pt>
                <c:pt idx="45">
                  <c:v>1204276.8498445833</c:v>
                </c:pt>
                <c:pt idx="46">
                  <c:v>1210317.9244267642</c:v>
                </c:pt>
                <c:pt idx="47">
                  <c:v>1220775.6316113444</c:v>
                </c:pt>
                <c:pt idx="48">
                  <c:v>1225395.3797541982</c:v>
                </c:pt>
                <c:pt idx="49">
                  <c:v>1226222.9374500697</c:v>
                </c:pt>
                <c:pt idx="50">
                  <c:v>1226222.9374500697</c:v>
                </c:pt>
                <c:pt idx="51">
                  <c:v>1226222.9374500697</c:v>
                </c:pt>
                <c:pt idx="52">
                  <c:v>1226222.9374500697</c:v>
                </c:pt>
                <c:pt idx="53">
                  <c:v>1226222.9374500697</c:v>
                </c:pt>
                <c:pt idx="54">
                  <c:v>1226222.9374500697</c:v>
                </c:pt>
                <c:pt idx="55">
                  <c:v>1226222.9374500697</c:v>
                </c:pt>
                <c:pt idx="56">
                  <c:v>1226222.9374500697</c:v>
                </c:pt>
                <c:pt idx="57">
                  <c:v>1226222.9374500697</c:v>
                </c:pt>
                <c:pt idx="58">
                  <c:v>1226222.9374500697</c:v>
                </c:pt>
                <c:pt idx="59">
                  <c:v>1226222.9374500697</c:v>
                </c:pt>
                <c:pt idx="60">
                  <c:v>1226222.9374500697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(1)PE副本计算CCI日线'!$J$1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(1)PE副本计算CCI日线'!资产</c:f>
              <c:numCache>
                <c:formatCode>0.00_ </c:formatCode>
                <c:ptCount val="61"/>
                <c:pt idx="0">
                  <c:v>0</c:v>
                </c:pt>
                <c:pt idx="1">
                  <c:v>3951.9737342833614</c:v>
                </c:pt>
                <c:pt idx="2">
                  <c:v>16046.344703686351</c:v>
                </c:pt>
                <c:pt idx="3">
                  <c:v>34571.024986029508</c:v>
                </c:pt>
                <c:pt idx="4">
                  <c:v>47389.0066992746</c:v>
                </c:pt>
                <c:pt idx="5">
                  <c:v>61067.747074736646</c:v>
                </c:pt>
                <c:pt idx="6">
                  <c:v>74134.464708144384</c:v>
                </c:pt>
                <c:pt idx="7">
                  <c:v>98296.158178390047</c:v>
                </c:pt>
                <c:pt idx="8">
                  <c:v>121868.8337767999</c:v>
                </c:pt>
                <c:pt idx="9">
                  <c:v>143798.40052405451</c:v>
                </c:pt>
                <c:pt idx="10">
                  <c:v>171766.91147535504</c:v>
                </c:pt>
                <c:pt idx="11">
                  <c:v>220365.81211545898</c:v>
                </c:pt>
                <c:pt idx="12">
                  <c:v>274196.09111054277</c:v>
                </c:pt>
                <c:pt idx="13">
                  <c:v>294689.63834958326</c:v>
                </c:pt>
                <c:pt idx="14">
                  <c:v>319351.92581616063</c:v>
                </c:pt>
                <c:pt idx="15">
                  <c:v>338088.32474775985</c:v>
                </c:pt>
                <c:pt idx="16">
                  <c:v>381088.3035073583</c:v>
                </c:pt>
                <c:pt idx="17">
                  <c:v>434578.72443757928</c:v>
                </c:pt>
                <c:pt idx="18">
                  <c:v>470091.25741459371</c:v>
                </c:pt>
                <c:pt idx="19">
                  <c:v>537138.50293343118</c:v>
                </c:pt>
                <c:pt idx="20">
                  <c:v>546094.42867421708</c:v>
                </c:pt>
                <c:pt idx="21">
                  <c:v>576440.89591177995</c:v>
                </c:pt>
                <c:pt idx="22">
                  <c:v>587456.60453384661</c:v>
                </c:pt>
                <c:pt idx="23">
                  <c:v>603517.95021838357</c:v>
                </c:pt>
                <c:pt idx="24">
                  <c:v>661850.51807291445</c:v>
                </c:pt>
                <c:pt idx="25">
                  <c:v>694179.67788738909</c:v>
                </c:pt>
                <c:pt idx="26">
                  <c:v>683111.56324388203</c:v>
                </c:pt>
                <c:pt idx="27">
                  <c:v>692464.68157008593</c:v>
                </c:pt>
                <c:pt idx="28">
                  <c:v>708153.30564452917</c:v>
                </c:pt>
                <c:pt idx="29">
                  <c:v>743218.70287126396</c:v>
                </c:pt>
                <c:pt idx="30">
                  <c:v>775812.18625010748</c:v>
                </c:pt>
                <c:pt idx="31">
                  <c:v>731450.58693590597</c:v>
                </c:pt>
                <c:pt idx="32">
                  <c:v>869870.29435351759</c:v>
                </c:pt>
                <c:pt idx="33">
                  <c:v>916879.49301878468</c:v>
                </c:pt>
                <c:pt idx="34">
                  <c:v>975940.18191274046</c:v>
                </c:pt>
                <c:pt idx="35">
                  <c:v>987199.0172317836</c:v>
                </c:pt>
                <c:pt idx="36">
                  <c:v>1005438.8121561242</c:v>
                </c:pt>
                <c:pt idx="37">
                  <c:v>1033249.2049208303</c:v>
                </c:pt>
                <c:pt idx="38">
                  <c:v>1016087.0603387966</c:v>
                </c:pt>
                <c:pt idx="39">
                  <c:v>1279057.6882425046</c:v>
                </c:pt>
                <c:pt idx="40">
                  <c:v>1298344.0380683525</c:v>
                </c:pt>
                <c:pt idx="41">
                  <c:v>1308477.5471786079</c:v>
                </c:pt>
                <c:pt idx="42">
                  <c:v>1324959.0306687963</c:v>
                </c:pt>
                <c:pt idx="43">
                  <c:v>1316028.9599446885</c:v>
                </c:pt>
                <c:pt idx="44">
                  <c:v>1393541.5537643991</c:v>
                </c:pt>
                <c:pt idx="45">
                  <c:v>1371667.8857940221</c:v>
                </c:pt>
                <c:pt idx="46">
                  <c:v>1302004.0060997</c:v>
                </c:pt>
                <c:pt idx="47">
                  <c:v>1334434.1694388492</c:v>
                </c:pt>
                <c:pt idx="48">
                  <c:v>1390160.6830645609</c:v>
                </c:pt>
                <c:pt idx="49">
                  <c:v>1447393.573633963</c:v>
                </c:pt>
                <c:pt idx="50">
                  <c:v>1727871.0135724342</c:v>
                </c:pt>
                <c:pt idx="51">
                  <c:v>1861299.0362828393</c:v>
                </c:pt>
                <c:pt idx="52">
                  <c:v>1836438.5373662242</c:v>
                </c:pt>
                <c:pt idx="53">
                  <c:v>1782531.7789662397</c:v>
                </c:pt>
                <c:pt idx="54">
                  <c:v>1821371.0623135378</c:v>
                </c:pt>
                <c:pt idx="55">
                  <c:v>1834161.1692616125</c:v>
                </c:pt>
                <c:pt idx="56">
                  <c:v>1838894.0693055724</c:v>
                </c:pt>
                <c:pt idx="57">
                  <c:v>1796844.8195966107</c:v>
                </c:pt>
                <c:pt idx="58">
                  <c:v>1995600.7154642211</c:v>
                </c:pt>
                <c:pt idx="59">
                  <c:v>2098477.6097613247</c:v>
                </c:pt>
                <c:pt idx="60">
                  <c:v>2144300.0487286719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(1)PE副本计算CCI日线'!$K$1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(1)PE副本计算CCI日线'!金额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-157.13613257587895</c:v>
                </c:pt>
                <c:pt idx="3">
                  <c:v>-240.19174698419374</c:v>
                </c:pt>
                <c:pt idx="4">
                  <c:v>910.97557245726057</c:v>
                </c:pt>
                <c:pt idx="5">
                  <c:v>1769.9939878992882</c:v>
                </c:pt>
                <c:pt idx="6">
                  <c:v>622.32790174294496</c:v>
                </c:pt>
                <c:pt idx="7">
                  <c:v>-6925.6376939679758</c:v>
                </c:pt>
                <c:pt idx="8">
                  <c:v>-7918.5220034887898</c:v>
                </c:pt>
                <c:pt idx="9">
                  <c:v>-20354.121488758741</c:v>
                </c:pt>
                <c:pt idx="10">
                  <c:v>-33608.26957413854</c:v>
                </c:pt>
                <c:pt idx="11">
                  <c:v>-26919.155316716584</c:v>
                </c:pt>
                <c:pt idx="12">
                  <c:v>1990.9666672842577</c:v>
                </c:pt>
                <c:pt idx="13">
                  <c:v>-12286.708725240198</c:v>
                </c:pt>
                <c:pt idx="14">
                  <c:v>-25531.191781104193</c:v>
                </c:pt>
                <c:pt idx="15">
                  <c:v>-54335.486056542373</c:v>
                </c:pt>
                <c:pt idx="16">
                  <c:v>-58707.319589267659</c:v>
                </c:pt>
                <c:pt idx="17">
                  <c:v>-40401.738438448112</c:v>
                </c:pt>
                <c:pt idx="18">
                  <c:v>-38591.017137862567</c:v>
                </c:pt>
                <c:pt idx="19">
                  <c:v>4321.8684030108852</c:v>
                </c:pt>
                <c:pt idx="20">
                  <c:v>-13378.488760201028</c:v>
                </c:pt>
                <c:pt idx="21">
                  <c:v>-7652.7165224507917</c:v>
                </c:pt>
                <c:pt idx="22">
                  <c:v>-22605.817519210395</c:v>
                </c:pt>
                <c:pt idx="23">
                  <c:v>-46854.992861698614</c:v>
                </c:pt>
                <c:pt idx="24">
                  <c:v>-17517.343870446435</c:v>
                </c:pt>
                <c:pt idx="25">
                  <c:v>-12257.620086995186</c:v>
                </c:pt>
                <c:pt idx="26">
                  <c:v>-55130.733795732143</c:v>
                </c:pt>
                <c:pt idx="27">
                  <c:v>-82876.146898429142</c:v>
                </c:pt>
                <c:pt idx="28">
                  <c:v>-105115.90336192958</c:v>
                </c:pt>
                <c:pt idx="29">
                  <c:v>-117933.12031332823</c:v>
                </c:pt>
                <c:pt idx="30">
                  <c:v>-124783.10994027392</c:v>
                </c:pt>
                <c:pt idx="31">
                  <c:v>-225819.1082554186</c:v>
                </c:pt>
                <c:pt idx="32">
                  <c:v>-125423.89918008505</c:v>
                </c:pt>
                <c:pt idx="33">
                  <c:v>-114516.41276512865</c:v>
                </c:pt>
                <c:pt idx="34">
                  <c:v>-88968.76317018643</c:v>
                </c:pt>
                <c:pt idx="35">
                  <c:v>-109545.81387909548</c:v>
                </c:pt>
                <c:pt idx="36">
                  <c:v>-130808.56054984743</c:v>
                </c:pt>
                <c:pt idx="37">
                  <c:v>-135551.13556380721</c:v>
                </c:pt>
                <c:pt idx="38">
                  <c:v>-173094.15779963764</c:v>
                </c:pt>
                <c:pt idx="39">
                  <c:v>88423.33410485764</c:v>
                </c:pt>
                <c:pt idx="40">
                  <c:v>105099.4284443066</c:v>
                </c:pt>
                <c:pt idx="41">
                  <c:v>111783.32369529945</c:v>
                </c:pt>
                <c:pt idx="42">
                  <c:v>125186.34976043832</c:v>
                </c:pt>
                <c:pt idx="43">
                  <c:v>111752.11010010517</c:v>
                </c:pt>
                <c:pt idx="44">
                  <c:v>189264.70391981583</c:v>
                </c:pt>
                <c:pt idx="45">
                  <c:v>167391.03594943881</c:v>
                </c:pt>
                <c:pt idx="46">
                  <c:v>91686.081672935747</c:v>
                </c:pt>
                <c:pt idx="47">
                  <c:v>113658.5378275048</c:v>
                </c:pt>
                <c:pt idx="48">
                  <c:v>164765.30331036262</c:v>
                </c:pt>
                <c:pt idx="49">
                  <c:v>221170.63618389331</c:v>
                </c:pt>
                <c:pt idx="50">
                  <c:v>501648.07612236449</c:v>
                </c:pt>
                <c:pt idx="51">
                  <c:v>635076.09883276955</c:v>
                </c:pt>
                <c:pt idx="52">
                  <c:v>610215.59991615452</c:v>
                </c:pt>
                <c:pt idx="53">
                  <c:v>556308.84151616995</c:v>
                </c:pt>
                <c:pt idx="54">
                  <c:v>595148.12486346811</c:v>
                </c:pt>
                <c:pt idx="55">
                  <c:v>607938.23181154276</c:v>
                </c:pt>
                <c:pt idx="56">
                  <c:v>612671.13185550272</c:v>
                </c:pt>
                <c:pt idx="57">
                  <c:v>570621.88214654103</c:v>
                </c:pt>
                <c:pt idx="58">
                  <c:v>769377.77801415138</c:v>
                </c:pt>
                <c:pt idx="59">
                  <c:v>872254.67231125501</c:v>
                </c:pt>
                <c:pt idx="60">
                  <c:v>918077.11127860215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806912"/>
        <c:axId val="538808704"/>
      </c:lineChart>
      <c:dateAx>
        <c:axId val="53880691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08704"/>
        <c:crosses val="autoZero"/>
        <c:auto val="1"/>
        <c:lblOffset val="100"/>
        <c:baseTimeUnit val="months"/>
      </c:dateAx>
      <c:valAx>
        <c:axId val="53880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8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(1)PE副本计算CCI日线'!买卖</c:f>
              <c:numCache>
                <c:formatCode>0.00_ </c:formatCode>
                <c:ptCount val="62"/>
                <c:pt idx="0">
                  <c:v>0</c:v>
                </c:pt>
                <c:pt idx="1">
                  <c:v>3951.9737342833614</c:v>
                </c:pt>
                <c:pt idx="2">
                  <c:v>12251.507101978868</c:v>
                </c:pt>
                <c:pt idx="3">
                  <c:v>18607.735896751474</c:v>
                </c:pt>
                <c:pt idx="4">
                  <c:v>11666.814393803639</c:v>
                </c:pt>
                <c:pt idx="5">
                  <c:v>12819.721960020022</c:v>
                </c:pt>
                <c:pt idx="6">
                  <c:v>14214.383719564079</c:v>
                </c:pt>
                <c:pt idx="7">
                  <c:v>31709.659065956592</c:v>
                </c:pt>
                <c:pt idx="8">
                  <c:v>24565.559907930678</c:v>
                </c:pt>
                <c:pt idx="9">
                  <c:v>34365.166232524549</c:v>
                </c:pt>
                <c:pt idx="10">
                  <c:v>41222.659036680328</c:v>
                </c:pt>
                <c:pt idx="11">
                  <c:v>41909.786382681988</c:v>
                </c:pt>
                <c:pt idx="12">
                  <c:v>24920.157011082942</c:v>
                </c:pt>
                <c:pt idx="13">
                  <c:v>34771.222631564953</c:v>
                </c:pt>
                <c:pt idx="14">
                  <c:v>37906.77052244138</c:v>
                </c:pt>
                <c:pt idx="15">
                  <c:v>47540.693207037395</c:v>
                </c:pt>
                <c:pt idx="16">
                  <c:v>47371.812292323739</c:v>
                </c:pt>
                <c:pt idx="17">
                  <c:v>35184.839779401416</c:v>
                </c:pt>
                <c:pt idx="18">
                  <c:v>33701.811676428908</c:v>
                </c:pt>
                <c:pt idx="19">
                  <c:v>24134.359977963992</c:v>
                </c:pt>
                <c:pt idx="20">
                  <c:v>26656.282903997755</c:v>
                </c:pt>
                <c:pt idx="21">
                  <c:v>24620.694999812695</c:v>
                </c:pt>
                <c:pt idx="22">
                  <c:v>25968.809618826315</c:v>
                </c:pt>
                <c:pt idx="23">
                  <c:v>40310.521027025221</c:v>
                </c:pt>
                <c:pt idx="24">
                  <c:v>28994.918863278643</c:v>
                </c:pt>
                <c:pt idx="25">
                  <c:v>27069.436031023346</c:v>
                </c:pt>
                <c:pt idx="26">
                  <c:v>31804.999065229906</c:v>
                </c:pt>
                <c:pt idx="27">
                  <c:v>37098.531428900846</c:v>
                </c:pt>
                <c:pt idx="28">
                  <c:v>37928.380537943682</c:v>
                </c:pt>
                <c:pt idx="29">
                  <c:v>47882.61417813343</c:v>
                </c:pt>
                <c:pt idx="30">
                  <c:v>39443.473005789252</c:v>
                </c:pt>
                <c:pt idx="31">
                  <c:v>56674.399000943209</c:v>
                </c:pt>
                <c:pt idx="32">
                  <c:v>38024.498342278057</c:v>
                </c:pt>
                <c:pt idx="33">
                  <c:v>36101.712250310709</c:v>
                </c:pt>
                <c:pt idx="34">
                  <c:v>33513.039299013537</c:v>
                </c:pt>
                <c:pt idx="35">
                  <c:v>31835.886027952234</c:v>
                </c:pt>
                <c:pt idx="36">
                  <c:v>39502.541595092531</c:v>
                </c:pt>
                <c:pt idx="37">
                  <c:v>32552.967778666007</c:v>
                </c:pt>
                <c:pt idx="38">
                  <c:v>20380.877653796702</c:v>
                </c:pt>
                <c:pt idx="39">
                  <c:v>1453.1359992128223</c:v>
                </c:pt>
                <c:pt idx="40">
                  <c:v>2610.2554863989344</c:v>
                </c:pt>
                <c:pt idx="41">
                  <c:v>3449.6138592626553</c:v>
                </c:pt>
                <c:pt idx="42">
                  <c:v>3078.4574250494734</c:v>
                </c:pt>
                <c:pt idx="43">
                  <c:v>4504.1689362253819</c:v>
                </c:pt>
                <c:pt idx="44">
                  <c:v>-2040.9409313837987</c:v>
                </c:pt>
                <c:pt idx="45">
                  <c:v>-208.92884883219213</c:v>
                </c:pt>
                <c:pt idx="46">
                  <c:v>6041.0745821809896</c:v>
                </c:pt>
                <c:pt idx="47">
                  <c:v>10457.707184580269</c:v>
                </c:pt>
                <c:pt idx="48">
                  <c:v>4619.7481428539177</c:v>
                </c:pt>
                <c:pt idx="49">
                  <c:v>827.55769587140355</c:v>
                </c:pt>
                <c:pt idx="50">
                  <c:v>-21460.754471464385</c:v>
                </c:pt>
                <c:pt idx="51">
                  <c:v>-34386.070179807597</c:v>
                </c:pt>
                <c:pt idx="52">
                  <c:v>-25555.095412625229</c:v>
                </c:pt>
                <c:pt idx="53">
                  <c:v>-15847.849901360847</c:v>
                </c:pt>
                <c:pt idx="54">
                  <c:v>-20790.629041221724</c:v>
                </c:pt>
                <c:pt idx="55">
                  <c:v>-22659.73697994119</c:v>
                </c:pt>
                <c:pt idx="56">
                  <c:v>-21765.21580417292</c:v>
                </c:pt>
                <c:pt idx="57">
                  <c:v>-17431.418359027382</c:v>
                </c:pt>
                <c:pt idx="58">
                  <c:v>-32774.923782847916</c:v>
                </c:pt>
                <c:pt idx="59">
                  <c:v>-43268.840010340289</c:v>
                </c:pt>
                <c:pt idx="60">
                  <c:v>-60139.263576626639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987840"/>
        <c:axId val="57198592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(1)PE副本计算CCI日线'!时间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(1)PE副本计算CCI日线'!指数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340800"/>
        <c:axId val="539342720"/>
      </c:lineChart>
      <c:dateAx>
        <c:axId val="5393408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342720"/>
        <c:crosses val="autoZero"/>
        <c:auto val="1"/>
        <c:lblOffset val="100"/>
        <c:baseTimeUnit val="months"/>
      </c:dateAx>
      <c:valAx>
        <c:axId val="53934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9340800"/>
        <c:crosses val="autoZero"/>
        <c:crossBetween val="between"/>
      </c:valAx>
      <c:valAx>
        <c:axId val="57198592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1987840"/>
        <c:crosses val="max"/>
        <c:crossBetween val="between"/>
      </c:valAx>
      <c:catAx>
        <c:axId val="571987840"/>
        <c:scaling>
          <c:orientation val="minMax"/>
        </c:scaling>
        <c:delete val="1"/>
        <c:axPos val="b"/>
        <c:majorTickMark val="out"/>
        <c:minorTickMark val="none"/>
        <c:tickLblPos val="nextTo"/>
        <c:crossAx val="571985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(2)PE副本计算CCI日线'!$I$1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(2)PE副本计算CCI日线'!资金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35620.494081349636</c:v>
                </c:pt>
                <c:pt idx="3">
                  <c:v>123278.17387964162</c:v>
                </c:pt>
                <c:pt idx="4">
                  <c:v>157737.55567697421</c:v>
                </c:pt>
                <c:pt idx="5">
                  <c:v>199343.95343196651</c:v>
                </c:pt>
                <c:pt idx="6">
                  <c:v>250495.52419829773</c:v>
                </c:pt>
                <c:pt idx="7">
                  <c:v>462626.84868758108</c:v>
                </c:pt>
                <c:pt idx="8">
                  <c:v>615403.23693824711</c:v>
                </c:pt>
                <c:pt idx="9">
                  <c:v>914381.62939116999</c:v>
                </c:pt>
                <c:pt idx="10">
                  <c:v>1344586.0896581071</c:v>
                </c:pt>
                <c:pt idx="11">
                  <c:v>1789251.9617193821</c:v>
                </c:pt>
                <c:pt idx="12">
                  <c:v>1946470.7529743256</c:v>
                </c:pt>
                <c:pt idx="13">
                  <c:v>2201542.044808472</c:v>
                </c:pt>
                <c:pt idx="14">
                  <c:v>2504690.4100913899</c:v>
                </c:pt>
                <c:pt idx="15">
                  <c:v>2981508.4503035527</c:v>
                </c:pt>
                <c:pt idx="16">
                  <c:v>3454944.8637759481</c:v>
                </c:pt>
                <c:pt idx="17">
                  <c:v>3768355.7372701629</c:v>
                </c:pt>
                <c:pt idx="18">
                  <c:v>4055903.1069596517</c:v>
                </c:pt>
                <c:pt idx="19">
                  <c:v>4203363.1908953348</c:v>
                </c:pt>
                <c:pt idx="20">
                  <c:v>4383251.1448846925</c:v>
                </c:pt>
                <c:pt idx="21">
                  <c:v>4536714.0872324901</c:v>
                </c:pt>
                <c:pt idx="22">
                  <c:v>4707442.9664777676</c:v>
                </c:pt>
                <c:pt idx="23">
                  <c:v>5050256.9127795063</c:v>
                </c:pt>
                <c:pt idx="24">
                  <c:v>5263093.7026245976</c:v>
                </c:pt>
                <c:pt idx="25">
                  <c:v>5448601.137317677</c:v>
                </c:pt>
                <c:pt idx="26">
                  <c:v>5704691.7615048354</c:v>
                </c:pt>
                <c:pt idx="27">
                  <c:v>6053122.4030696824</c:v>
                </c:pt>
                <c:pt idx="28">
                  <c:v>6417315.3271788126</c:v>
                </c:pt>
                <c:pt idx="29">
                  <c:v>6901016.7492319737</c:v>
                </c:pt>
                <c:pt idx="30">
                  <c:v>7294887.0182847399</c:v>
                </c:pt>
                <c:pt idx="31">
                  <c:v>7972521.5124024851</c:v>
                </c:pt>
                <c:pt idx="32">
                  <c:v>8338562.6451067654</c:v>
                </c:pt>
                <c:pt idx="33">
                  <c:v>8668520.5254622679</c:v>
                </c:pt>
                <c:pt idx="34">
                  <c:v>8952855.6654767562</c:v>
                </c:pt>
                <c:pt idx="35">
                  <c:v>9209443.9285615068</c:v>
                </c:pt>
                <c:pt idx="36">
                  <c:v>9538652.9565091897</c:v>
                </c:pt>
                <c:pt idx="37">
                  <c:v>9806930.351749409</c:v>
                </c:pt>
                <c:pt idx="38">
                  <c:v>9912089.8894554917</c:v>
                </c:pt>
                <c:pt idx="39">
                  <c:v>9912624.4728054181</c:v>
                </c:pt>
                <c:pt idx="40">
                  <c:v>9914349.3927305508</c:v>
                </c:pt>
                <c:pt idx="41">
                  <c:v>9917362.0093832128</c:v>
                </c:pt>
                <c:pt idx="42">
                  <c:v>9919761.2246029191</c:v>
                </c:pt>
                <c:pt idx="43">
                  <c:v>9924897.3101234399</c:v>
                </c:pt>
                <c:pt idx="44">
                  <c:v>9924897.3101234399</c:v>
                </c:pt>
                <c:pt idx="45">
                  <c:v>9924897.3101234399</c:v>
                </c:pt>
                <c:pt idx="46">
                  <c:v>9934136.4448341932</c:v>
                </c:pt>
                <c:pt idx="47">
                  <c:v>9957208.9426313285</c:v>
                </c:pt>
                <c:pt idx="48">
                  <c:v>9962611.9990625698</c:v>
                </c:pt>
                <c:pt idx="49">
                  <c:v>9962785.3792499099</c:v>
                </c:pt>
                <c:pt idx="50">
                  <c:v>9962785.3792499099</c:v>
                </c:pt>
                <c:pt idx="51">
                  <c:v>9962785.3792499099</c:v>
                </c:pt>
                <c:pt idx="52">
                  <c:v>9962785.3792499099</c:v>
                </c:pt>
                <c:pt idx="53">
                  <c:v>9962785.3792499099</c:v>
                </c:pt>
                <c:pt idx="54">
                  <c:v>9962785.3792499099</c:v>
                </c:pt>
                <c:pt idx="55">
                  <c:v>9962785.3792499099</c:v>
                </c:pt>
                <c:pt idx="56">
                  <c:v>9962785.3792499099</c:v>
                </c:pt>
                <c:pt idx="57">
                  <c:v>9962785.3792499099</c:v>
                </c:pt>
                <c:pt idx="58">
                  <c:v>9962785.3792499099</c:v>
                </c:pt>
                <c:pt idx="59">
                  <c:v>9962785.3792499099</c:v>
                </c:pt>
                <c:pt idx="60">
                  <c:v>9962785.3792499099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(2)PE副本计算CCI日线'!$J$1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(2)PE副本计算CCI日线'!资产</c:f>
              <c:numCache>
                <c:formatCode>0.00_ </c:formatCode>
                <c:ptCount val="61"/>
                <c:pt idx="0">
                  <c:v>0</c:v>
                </c:pt>
                <c:pt idx="1">
                  <c:v>3953.9484548014116</c:v>
                </c:pt>
                <c:pt idx="2">
                  <c:v>35463.279431059316</c:v>
                </c:pt>
                <c:pt idx="3">
                  <c:v>122937.40188239964</c:v>
                </c:pt>
                <c:pt idx="4">
                  <c:v>161490.42913691059</c:v>
                </c:pt>
                <c:pt idx="5">
                  <c:v>206024.1567139134</c:v>
                </c:pt>
                <c:pt idx="6">
                  <c:v>253303.84831463292</c:v>
                </c:pt>
                <c:pt idx="7">
                  <c:v>439645.16083219717</c:v>
                </c:pt>
                <c:pt idx="8">
                  <c:v>587980.71650062886</c:v>
                </c:pt>
                <c:pt idx="9">
                  <c:v>826961.05638454598</c:v>
                </c:pt>
                <c:pt idx="10">
                  <c:v>1180943.0811986674</c:v>
                </c:pt>
                <c:pt idx="11">
                  <c:v>1671598.3882087287</c:v>
                </c:pt>
                <c:pt idx="12">
                  <c:v>2048116.6835358078</c:v>
                </c:pt>
                <c:pt idx="13">
                  <c:v>2196540.4113762402</c:v>
                </c:pt>
                <c:pt idx="14">
                  <c:v>2400967.8225634391</c:v>
                </c:pt>
                <c:pt idx="15">
                  <c:v>2661227.9587321887</c:v>
                </c:pt>
                <c:pt idx="16">
                  <c:v>3100251.9279508772</c:v>
                </c:pt>
                <c:pt idx="17">
                  <c:v>3562583.4393465216</c:v>
                </c:pt>
                <c:pt idx="18">
                  <c:v>3864974.714998242</c:v>
                </c:pt>
                <c:pt idx="19">
                  <c:v>4365253.9908399191</c:v>
                </c:pt>
                <c:pt idx="20">
                  <c:v>4401293.4693913162</c:v>
                </c:pt>
                <c:pt idx="21">
                  <c:v>4600903.7493312843</c:v>
                </c:pt>
                <c:pt idx="22">
                  <c:v>4652283.396195503</c:v>
                </c:pt>
                <c:pt idx="23">
                  <c:v>4803059.2669243049</c:v>
                </c:pt>
                <c:pt idx="24">
                  <c:v>5249377.8725235397</c:v>
                </c:pt>
                <c:pt idx="25">
                  <c:v>5476602.095056911</c:v>
                </c:pt>
                <c:pt idx="26">
                  <c:v>5394453.2232774766</c:v>
                </c:pt>
                <c:pt idx="27">
                  <c:v>5523781.5377901113</c:v>
                </c:pt>
                <c:pt idx="28">
                  <c:v>5710568.2209347375</c:v>
                </c:pt>
                <c:pt idx="29">
                  <c:v>6090911.2441495769</c:v>
                </c:pt>
                <c:pt idx="30">
                  <c:v>6428643.6917510191</c:v>
                </c:pt>
                <c:pt idx="31">
                  <c:v>6269059.5333133023</c:v>
                </c:pt>
                <c:pt idx="32">
                  <c:v>7495560.0788526041</c:v>
                </c:pt>
                <c:pt idx="33">
                  <c:v>7919506.3621496465</c:v>
                </c:pt>
                <c:pt idx="34">
                  <c:v>8424508.2037815619</c:v>
                </c:pt>
                <c:pt idx="35">
                  <c:v>8503471.3052840903</c:v>
                </c:pt>
                <c:pt idx="36">
                  <c:v>8649528.6555758659</c:v>
                </c:pt>
                <c:pt idx="37">
                  <c:v>8877006.9111881889</c:v>
                </c:pt>
                <c:pt idx="38">
                  <c:v>8659621.1555931326</c:v>
                </c:pt>
                <c:pt idx="39">
                  <c:v>10888943.50118335</c:v>
                </c:pt>
                <c:pt idx="40">
                  <c:v>11032636.254734635</c:v>
                </c:pt>
                <c:pt idx="41">
                  <c:v>11092445.053991303</c:v>
                </c:pt>
                <c:pt idx="42">
                  <c:v>11208466.646992989</c:v>
                </c:pt>
                <c:pt idx="43">
                  <c:v>11099956.028219154</c:v>
                </c:pt>
                <c:pt idx="44">
                  <c:v>11753730.686086988</c:v>
                </c:pt>
                <c:pt idx="45">
                  <c:v>11568984.712298762</c:v>
                </c:pt>
                <c:pt idx="46">
                  <c:v>10938719.489842519</c:v>
                </c:pt>
                <c:pt idx="47">
                  <c:v>11146693.973310143</c:v>
                </c:pt>
                <c:pt idx="48">
                  <c:v>11579678.270529984</c:v>
                </c:pt>
                <c:pt idx="49">
                  <c:v>12050411.787619369</c:v>
                </c:pt>
                <c:pt idx="50">
                  <c:v>14388981.830634605</c:v>
                </c:pt>
                <c:pt idx="51">
                  <c:v>15507882.750807777</c:v>
                </c:pt>
                <c:pt idx="52">
                  <c:v>15298871.191519827</c:v>
                </c:pt>
                <c:pt idx="53">
                  <c:v>14844133.861885205</c:v>
                </c:pt>
                <c:pt idx="54">
                  <c:v>15173385.354710398</c:v>
                </c:pt>
                <c:pt idx="55">
                  <c:v>15282313.065362198</c:v>
                </c:pt>
                <c:pt idx="56">
                  <c:v>15322797.376976756</c:v>
                </c:pt>
                <c:pt idx="57">
                  <c:v>14961452.391233759</c:v>
                </c:pt>
                <c:pt idx="58">
                  <c:v>16678406.043607632</c:v>
                </c:pt>
                <c:pt idx="59">
                  <c:v>17567754.333578344</c:v>
                </c:pt>
                <c:pt idx="60">
                  <c:v>17963358.223627001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(2)PE副本计算CCI日线'!$K$1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(2)PE副本计算CCI日线'!金额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-157.2146502903197</c:v>
                </c:pt>
                <c:pt idx="3">
                  <c:v>-340.77199724197271</c:v>
                </c:pt>
                <c:pt idx="4">
                  <c:v>3752.8734599363816</c:v>
                </c:pt>
                <c:pt idx="5">
                  <c:v>6680.2032819468877</c:v>
                </c:pt>
                <c:pt idx="6">
                  <c:v>2808.3241163351922</c:v>
                </c:pt>
                <c:pt idx="7">
                  <c:v>-22981.687855383905</c:v>
                </c:pt>
                <c:pt idx="8">
                  <c:v>-27422.520437618252</c:v>
                </c:pt>
                <c:pt idx="9">
                  <c:v>-87420.573006624007</c:v>
                </c:pt>
                <c:pt idx="10">
                  <c:v>-163643.00845943973</c:v>
                </c:pt>
                <c:pt idx="11">
                  <c:v>-117653.57351065334</c:v>
                </c:pt>
                <c:pt idx="12">
                  <c:v>101645.93056148221</c:v>
                </c:pt>
                <c:pt idx="13">
                  <c:v>-5001.6334322318435</c:v>
                </c:pt>
                <c:pt idx="14">
                  <c:v>-103722.58752795076</c:v>
                </c:pt>
                <c:pt idx="15">
                  <c:v>-320280.49157136399</c:v>
                </c:pt>
                <c:pt idx="16">
                  <c:v>-354692.93582507083</c:v>
                </c:pt>
                <c:pt idx="17">
                  <c:v>-205772.29792364128</c:v>
                </c:pt>
                <c:pt idx="18">
                  <c:v>-190928.39196140971</c:v>
                </c:pt>
                <c:pt idx="19">
                  <c:v>161890.79994458426</c:v>
                </c:pt>
                <c:pt idx="20">
                  <c:v>18042.32450662367</c:v>
                </c:pt>
                <c:pt idx="21">
                  <c:v>64189.662098794244</c:v>
                </c:pt>
                <c:pt idx="22">
                  <c:v>-55159.570282264613</c:v>
                </c:pt>
                <c:pt idx="23">
                  <c:v>-247197.64585520141</c:v>
                </c:pt>
                <c:pt idx="24">
                  <c:v>-13715.830101057887</c:v>
                </c:pt>
                <c:pt idx="25">
                  <c:v>28000.957739233971</c:v>
                </c:pt>
                <c:pt idx="26">
                  <c:v>-310238.53822735883</c:v>
                </c:pt>
                <c:pt idx="27">
                  <c:v>-529340.86527957115</c:v>
                </c:pt>
                <c:pt idx="28">
                  <c:v>-706747.10624407511</c:v>
                </c:pt>
                <c:pt idx="29">
                  <c:v>-810105.50508239679</c:v>
                </c:pt>
                <c:pt idx="30">
                  <c:v>-866243.32653372083</c:v>
                </c:pt>
                <c:pt idx="31">
                  <c:v>-1703461.9790891828</c:v>
                </c:pt>
                <c:pt idx="32">
                  <c:v>-843002.5662541613</c:v>
                </c:pt>
                <c:pt idx="33">
                  <c:v>-749014.16331262141</c:v>
                </c:pt>
                <c:pt idx="34">
                  <c:v>-528347.46169519424</c:v>
                </c:pt>
                <c:pt idx="35">
                  <c:v>-705972.62327741645</c:v>
                </c:pt>
                <c:pt idx="36">
                  <c:v>-889124.3009333238</c:v>
                </c:pt>
                <c:pt idx="37">
                  <c:v>-929923.44056122005</c:v>
                </c:pt>
                <c:pt idx="38">
                  <c:v>-1252468.7338623591</c:v>
                </c:pt>
                <c:pt idx="39">
                  <c:v>976319.02837793157</c:v>
                </c:pt>
                <c:pt idx="40">
                  <c:v>1118286.8620040845</c:v>
                </c:pt>
                <c:pt idx="41">
                  <c:v>1175083.0446080901</c:v>
                </c:pt>
                <c:pt idx="42">
                  <c:v>1288705.4223900698</c:v>
                </c:pt>
                <c:pt idx="43">
                  <c:v>1175058.7180957142</c:v>
                </c:pt>
                <c:pt idx="44">
                  <c:v>1828833.3759635482</c:v>
                </c:pt>
                <c:pt idx="45">
                  <c:v>1644087.4021753222</c:v>
                </c:pt>
                <c:pt idx="46">
                  <c:v>1004583.0450083259</c:v>
                </c:pt>
                <c:pt idx="47">
                  <c:v>1189485.0306788143</c:v>
                </c:pt>
                <c:pt idx="48">
                  <c:v>1617066.2714674138</c:v>
                </c:pt>
                <c:pt idx="49">
                  <c:v>2087626.4083694592</c:v>
                </c:pt>
                <c:pt idx="50">
                  <c:v>4426196.4513846952</c:v>
                </c:pt>
                <c:pt idx="51">
                  <c:v>5545097.3715578672</c:v>
                </c:pt>
                <c:pt idx="52">
                  <c:v>5336085.8122699168</c:v>
                </c:pt>
                <c:pt idx="53">
                  <c:v>4881348.482635295</c:v>
                </c:pt>
                <c:pt idx="54">
                  <c:v>5210599.9754604883</c:v>
                </c:pt>
                <c:pt idx="55">
                  <c:v>5319527.6861122884</c:v>
                </c:pt>
                <c:pt idx="56">
                  <c:v>5360011.9977268465</c:v>
                </c:pt>
                <c:pt idx="57">
                  <c:v>4998667.0119838491</c:v>
                </c:pt>
                <c:pt idx="58">
                  <c:v>6715620.6643577218</c:v>
                </c:pt>
                <c:pt idx="59">
                  <c:v>7604968.9543284345</c:v>
                </c:pt>
                <c:pt idx="60">
                  <c:v>8000572.8443770912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801216"/>
        <c:axId val="573838464"/>
      </c:lineChart>
      <c:dateAx>
        <c:axId val="573801216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838464"/>
        <c:crosses val="autoZero"/>
        <c:auto val="1"/>
        <c:lblOffset val="100"/>
        <c:baseTimeUnit val="months"/>
      </c:dateAx>
      <c:valAx>
        <c:axId val="5738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38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(2)PE副本计算CCI日线'!买卖</c:f>
              <c:numCache>
                <c:formatCode>0.00_ </c:formatCode>
                <c:ptCount val="61"/>
                <c:pt idx="0">
                  <c:v>0</c:v>
                </c:pt>
                <c:pt idx="1">
                  <c:v>3930.3662572578642</c:v>
                </c:pt>
                <c:pt idx="2">
                  <c:v>36711.46939033056</c:v>
                </c:pt>
                <c:pt idx="3">
                  <c:v>127926.53681831389</c:v>
                </c:pt>
                <c:pt idx="4">
                  <c:v>162628.83571732766</c:v>
                </c:pt>
                <c:pt idx="5">
                  <c:v>203782.54118157126</c:v>
                </c:pt>
                <c:pt idx="6">
                  <c:v>255346.62545809551</c:v>
                </c:pt>
                <c:pt idx="7">
                  <c:v>493428.92732149974</c:v>
                </c:pt>
                <c:pt idx="8">
                  <c:v>666644.78130372753</c:v>
                </c:pt>
                <c:pt idx="9">
                  <c:v>1044142.7536180816</c:v>
                </c:pt>
                <c:pt idx="10">
                  <c:v>1642479.9874271154</c:v>
                </c:pt>
                <c:pt idx="11">
                  <c:v>2237748.909181485</c:v>
                </c:pt>
                <c:pt idx="12">
                  <c:v>2423806.6440120041</c:v>
                </c:pt>
                <c:pt idx="13">
                  <c:v>2742247.7078544958</c:v>
                </c:pt>
                <c:pt idx="14">
                  <c:v>3138520.0881834365</c:v>
                </c:pt>
                <c:pt idx="15">
                  <c:v>3823603.4990059054</c:v>
                </c:pt>
                <c:pt idx="16">
                  <c:v>4512739.4954747148</c:v>
                </c:pt>
                <c:pt idx="17">
                  <c:v>4948032.3580308063</c:v>
                </c:pt>
                <c:pt idx="18">
                  <c:v>5345746.5678123161</c:v>
                </c:pt>
                <c:pt idx="19">
                  <c:v>5532641.483729884</c:v>
                </c:pt>
                <c:pt idx="20">
                  <c:v>5768405.5090133082</c:v>
                </c:pt>
                <c:pt idx="21">
                  <c:v>5967449.5256708004</c:v>
                </c:pt>
                <c:pt idx="22">
                  <c:v>6194784.9213727051</c:v>
                </c:pt>
                <c:pt idx="23">
                  <c:v>6670915.3834276181</c:v>
                </c:pt>
                <c:pt idx="24">
                  <c:v>6952818.4181154454</c:v>
                </c:pt>
                <c:pt idx="25">
                  <c:v>7196586.4078082815</c:v>
                </c:pt>
                <c:pt idx="26">
                  <c:v>7555256.7565140575</c:v>
                </c:pt>
                <c:pt idx="27">
                  <c:v>8063914.6256412277</c:v>
                </c:pt>
                <c:pt idx="28">
                  <c:v>8613225.2303461377</c:v>
                </c:pt>
                <c:pt idx="29">
                  <c:v>9356238.1413245481</c:v>
                </c:pt>
                <c:pt idx="30">
                  <c:v>9966889.7393090762</c:v>
                </c:pt>
                <c:pt idx="31">
                  <c:v>11174794.385992087</c:v>
                </c:pt>
                <c:pt idx="32">
                  <c:v>11748526.558622865</c:v>
                </c:pt>
                <c:pt idx="33">
                  <c:v>12259297.249380365</c:v>
                </c:pt>
                <c:pt idx="34">
                  <c:v>12687512.837989567</c:v>
                </c:pt>
                <c:pt idx="35">
                  <c:v>13082264.026445493</c:v>
                </c:pt>
                <c:pt idx="36">
                  <c:v>13599888.302464895</c:v>
                </c:pt>
                <c:pt idx="37">
                  <c:v>14023707.241436571</c:v>
                </c:pt>
                <c:pt idx="38">
                  <c:v>14196099.922157859</c:v>
                </c:pt>
                <c:pt idx="39">
                  <c:v>14196796.901735825</c:v>
                </c:pt>
                <c:pt idx="40">
                  <c:v>14199016.875870837</c:v>
                </c:pt>
                <c:pt idx="41">
                  <c:v>14202874.259459527</c:v>
                </c:pt>
                <c:pt idx="42">
                  <c:v>14205915.090000156</c:v>
                </c:pt>
                <c:pt idx="43">
                  <c:v>14212491.38372789</c:v>
                </c:pt>
                <c:pt idx="44">
                  <c:v>14211216.242597092</c:v>
                </c:pt>
                <c:pt idx="45">
                  <c:v>14211202.666488077</c:v>
                </c:pt>
                <c:pt idx="46">
                  <c:v>14223217.146052744</c:v>
                </c:pt>
                <c:pt idx="47">
                  <c:v>14252721.618741207</c:v>
                </c:pt>
                <c:pt idx="48">
                  <c:v>14259375.629315976</c:v>
                </c:pt>
                <c:pt idx="49">
                  <c:v>14259580.812962687</c:v>
                </c:pt>
                <c:pt idx="50">
                  <c:v>14163282.098822901</c:v>
                </c:pt>
                <c:pt idx="51">
                  <c:v>13934006.503499825</c:v>
                </c:pt>
                <c:pt idx="52">
                  <c:v>13779922.265669212</c:v>
                </c:pt>
                <c:pt idx="53">
                  <c:v>13718784.399138454</c:v>
                </c:pt>
                <c:pt idx="54">
                  <c:v>13615936.237991611</c:v>
                </c:pt>
                <c:pt idx="55">
                  <c:v>13494676.161662014</c:v>
                </c:pt>
                <c:pt idx="56">
                  <c:v>13383113.112385772</c:v>
                </c:pt>
                <c:pt idx="57">
                  <c:v>13309711.249315169</c:v>
                </c:pt>
                <c:pt idx="58">
                  <c:v>13078659.210298697</c:v>
                </c:pt>
                <c:pt idx="59">
                  <c:v>12761408.348849542</c:v>
                </c:pt>
                <c:pt idx="60">
                  <c:v>12043831.475181028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578560"/>
        <c:axId val="57998400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(2)PE副本计算CCI日线'!指数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843584"/>
        <c:axId val="579981312"/>
      </c:lineChart>
      <c:dateAx>
        <c:axId val="5798435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9981312"/>
        <c:crosses val="autoZero"/>
        <c:auto val="1"/>
        <c:lblOffset val="100"/>
        <c:baseTimeUnit val="months"/>
      </c:dateAx>
      <c:valAx>
        <c:axId val="5799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9843584"/>
        <c:crosses val="autoZero"/>
        <c:crossBetween val="between"/>
      </c:valAx>
      <c:valAx>
        <c:axId val="57998400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4578560"/>
        <c:crosses val="max"/>
        <c:crossBetween val="between"/>
      </c:valAx>
      <c:catAx>
        <c:axId val="584578560"/>
        <c:scaling>
          <c:orientation val="minMax"/>
        </c:scaling>
        <c:delete val="1"/>
        <c:axPos val="b"/>
        <c:majorTickMark val="out"/>
        <c:minorTickMark val="none"/>
        <c:tickLblPos val="nextTo"/>
        <c:crossAx val="57998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模型二（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2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008136046222177"/>
          <c:y val="7.4401451718666578E-2"/>
          <c:w val="0.83511435446609106"/>
          <c:h val="0.59209072023586662"/>
        </c:manualLayout>
      </c:layout>
      <c:lineChart>
        <c:grouping val="standard"/>
        <c:varyColors val="0"/>
        <c:ser>
          <c:idx val="0"/>
          <c:order val="0"/>
          <c:tx>
            <c:strRef>
              <c:f>'模型二 (2)PE副本成交量计算CCI日线'!$K$1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(2)PE副本成交量计算CCI日线'!资金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7626.1333624187801</c:v>
                </c:pt>
                <c:pt idx="3">
                  <c:v>21699.313840183637</c:v>
                </c:pt>
                <c:pt idx="4">
                  <c:v>31143.757824053224</c:v>
                </c:pt>
                <c:pt idx="5">
                  <c:v>41673.69610563459</c:v>
                </c:pt>
                <c:pt idx="6">
                  <c:v>51416.609508268921</c:v>
                </c:pt>
                <c:pt idx="7">
                  <c:v>102019.34547166125</c:v>
                </c:pt>
                <c:pt idx="8">
                  <c:v>117945.95054279263</c:v>
                </c:pt>
                <c:pt idx="9">
                  <c:v>171428.39617847672</c:v>
                </c:pt>
                <c:pt idx="10">
                  <c:v>326289.90560699999</c:v>
                </c:pt>
                <c:pt idx="11">
                  <c:v>400775.57771121326</c:v>
                </c:pt>
                <c:pt idx="12">
                  <c:v>467795.57192248572</c:v>
                </c:pt>
                <c:pt idx="13">
                  <c:v>558533.79101797484</c:v>
                </c:pt>
                <c:pt idx="14">
                  <c:v>596045.02870169864</c:v>
                </c:pt>
                <c:pt idx="15">
                  <c:v>778688.37045827112</c:v>
                </c:pt>
                <c:pt idx="16">
                  <c:v>1074336.6538211619</c:v>
                </c:pt>
                <c:pt idx="17">
                  <c:v>1223509.9975585353</c:v>
                </c:pt>
                <c:pt idx="18">
                  <c:v>1337226.0441942709</c:v>
                </c:pt>
                <c:pt idx="19">
                  <c:v>1407069.028191153</c:v>
                </c:pt>
                <c:pt idx="20">
                  <c:v>1432828.8865420062</c:v>
                </c:pt>
                <c:pt idx="21">
                  <c:v>1487015.4324987056</c:v>
                </c:pt>
                <c:pt idx="22">
                  <c:v>1558093.4939852459</c:v>
                </c:pt>
                <c:pt idx="23">
                  <c:v>1680604.7478952189</c:v>
                </c:pt>
                <c:pt idx="24">
                  <c:v>1790609.666075631</c:v>
                </c:pt>
                <c:pt idx="25">
                  <c:v>1881163.4604259005</c:v>
                </c:pt>
                <c:pt idx="26">
                  <c:v>2072698.96090354</c:v>
                </c:pt>
                <c:pt idx="27">
                  <c:v>2209934.1178799742</c:v>
                </c:pt>
                <c:pt idx="28">
                  <c:v>2497671.7200958822</c:v>
                </c:pt>
                <c:pt idx="29">
                  <c:v>2901257.1618996286</c:v>
                </c:pt>
                <c:pt idx="30">
                  <c:v>3435479.6145725073</c:v>
                </c:pt>
                <c:pt idx="31">
                  <c:v>5174582.1694410825</c:v>
                </c:pt>
                <c:pt idx="32">
                  <c:v>6257484.4190790216</c:v>
                </c:pt>
                <c:pt idx="33">
                  <c:v>6894925.0880885497</c:v>
                </c:pt>
                <c:pt idx="34">
                  <c:v>7222817.3493951708</c:v>
                </c:pt>
                <c:pt idx="35">
                  <c:v>7588591.3569898829</c:v>
                </c:pt>
                <c:pt idx="36">
                  <c:v>8182867.0788339917</c:v>
                </c:pt>
                <c:pt idx="37">
                  <c:v>8690301.5533902626</c:v>
                </c:pt>
                <c:pt idx="38">
                  <c:v>8843578.2113650963</c:v>
                </c:pt>
                <c:pt idx="39">
                  <c:v>8844960.8656466193</c:v>
                </c:pt>
                <c:pt idx="40">
                  <c:v>8845530.5883897487</c:v>
                </c:pt>
                <c:pt idx="41">
                  <c:v>8846606.2190179471</c:v>
                </c:pt>
                <c:pt idx="42">
                  <c:v>8847852.2579065692</c:v>
                </c:pt>
                <c:pt idx="43">
                  <c:v>8848798.3561486322</c:v>
                </c:pt>
                <c:pt idx="44">
                  <c:v>8848798.3561486322</c:v>
                </c:pt>
                <c:pt idx="45">
                  <c:v>8848798.3561486322</c:v>
                </c:pt>
                <c:pt idx="46">
                  <c:v>8852562.1892341115</c:v>
                </c:pt>
                <c:pt idx="47">
                  <c:v>8863806.2451216467</c:v>
                </c:pt>
                <c:pt idx="48">
                  <c:v>8864623.0738744885</c:v>
                </c:pt>
                <c:pt idx="49">
                  <c:v>8864712.2860347666</c:v>
                </c:pt>
                <c:pt idx="50">
                  <c:v>8864712.2860347666</c:v>
                </c:pt>
                <c:pt idx="51">
                  <c:v>8864712.2860347666</c:v>
                </c:pt>
                <c:pt idx="52">
                  <c:v>8864712.2860347666</c:v>
                </c:pt>
                <c:pt idx="53">
                  <c:v>8864712.2860347666</c:v>
                </c:pt>
                <c:pt idx="54">
                  <c:v>8864712.2860347666</c:v>
                </c:pt>
                <c:pt idx="55">
                  <c:v>8864712.2860347666</c:v>
                </c:pt>
                <c:pt idx="56">
                  <c:v>8864712.2860347666</c:v>
                </c:pt>
                <c:pt idx="57">
                  <c:v>8864712.2860347666</c:v>
                </c:pt>
                <c:pt idx="58">
                  <c:v>8864712.2860347666</c:v>
                </c:pt>
                <c:pt idx="59">
                  <c:v>8864712.2860347666</c:v>
                </c:pt>
                <c:pt idx="60">
                  <c:v>8864712.2860347666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A0-4C10-8CC9-BF21CBF2A97F}"/>
            </c:ext>
          </c:extLst>
        </c:ser>
        <c:ser>
          <c:idx val="1"/>
          <c:order val="1"/>
          <c:tx>
            <c:strRef>
              <c:f>'模型二 (2)PE副本成交量计算CCI日线'!$L$1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(2)PE副本成交量计算CCI日线'!资产</c:f>
              <c:numCache>
                <c:formatCode>0.00_ </c:formatCode>
                <c:ptCount val="61"/>
                <c:pt idx="0">
                  <c:v>0</c:v>
                </c:pt>
                <c:pt idx="1">
                  <c:v>1055.2231074875715</c:v>
                </c:pt>
                <c:pt idx="2">
                  <c:v>7584.1761812065506</c:v>
                </c:pt>
                <c:pt idx="3">
                  <c:v>21618.10108867531</c:v>
                </c:pt>
                <c:pt idx="4">
                  <c:v>31782.397940422594</c:v>
                </c:pt>
                <c:pt idx="5">
                  <c:v>42888.454335029259</c:v>
                </c:pt>
                <c:pt idx="6">
                  <c:v>51825.351028585741</c:v>
                </c:pt>
                <c:pt idx="7">
                  <c:v>97151.513294583681</c:v>
                </c:pt>
                <c:pt idx="8">
                  <c:v>112096.79605379584</c:v>
                </c:pt>
                <c:pt idx="9">
                  <c:v>154140.78924756969</c:v>
                </c:pt>
                <c:pt idx="10">
                  <c:v>294794.8746766664</c:v>
                </c:pt>
                <c:pt idx="11">
                  <c:v>380760.73573157599</c:v>
                </c:pt>
                <c:pt idx="12">
                  <c:v>497733.30294428259</c:v>
                </c:pt>
                <c:pt idx="13">
                  <c:v>562554.03174038406</c:v>
                </c:pt>
                <c:pt idx="14">
                  <c:v>574781.93274786242</c:v>
                </c:pt>
                <c:pt idx="15">
                  <c:v>705582.19294868014</c:v>
                </c:pt>
                <c:pt idx="16">
                  <c:v>992106.56499777944</c:v>
                </c:pt>
                <c:pt idx="17">
                  <c:v>1188935.7592786662</c:v>
                </c:pt>
                <c:pt idx="18">
                  <c:v>1307605.6409350643</c:v>
                </c:pt>
                <c:pt idx="19">
                  <c:v>1496815.0890322526</c:v>
                </c:pt>
                <c:pt idx="20">
                  <c:v>1473250.3103696257</c:v>
                </c:pt>
                <c:pt idx="21">
                  <c:v>1542883.8107053516</c:v>
                </c:pt>
                <c:pt idx="22">
                  <c:v>1573938.8661710403</c:v>
                </c:pt>
                <c:pt idx="23">
                  <c:v>1631480.6921273952</c:v>
                </c:pt>
                <c:pt idx="24">
                  <c:v>1820793.6207229395</c:v>
                </c:pt>
                <c:pt idx="25">
                  <c:v>1925817.2556945588</c:v>
                </c:pt>
                <c:pt idx="26">
                  <c:v>1998412.682275315</c:v>
                </c:pt>
                <c:pt idx="27">
                  <c:v>2054479.8596671293</c:v>
                </c:pt>
                <c:pt idx="28">
                  <c:v>2276234.1230150335</c:v>
                </c:pt>
                <c:pt idx="29">
                  <c:v>2638620.8775369255</c:v>
                </c:pt>
                <c:pt idx="30">
                  <c:v>3148524.074557675</c:v>
                </c:pt>
                <c:pt idx="31">
                  <c:v>4477586.3146049408</c:v>
                </c:pt>
                <c:pt idx="32">
                  <c:v>6175059.4214360062</c:v>
                </c:pt>
                <c:pt idx="33">
                  <c:v>6889930.4581544576</c:v>
                </c:pt>
                <c:pt idx="34">
                  <c:v>7409801.6331773251</c:v>
                </c:pt>
                <c:pt idx="35">
                  <c:v>7619344.8934633061</c:v>
                </c:pt>
                <c:pt idx="36">
                  <c:v>8049511.6591203548</c:v>
                </c:pt>
                <c:pt idx="37">
                  <c:v>8518977.2265610788</c:v>
                </c:pt>
                <c:pt idx="38">
                  <c:v>8362717.5694628982</c:v>
                </c:pt>
                <c:pt idx="39">
                  <c:v>10516471.816334506</c:v>
                </c:pt>
                <c:pt idx="40">
                  <c:v>10654153.162532493</c:v>
                </c:pt>
                <c:pt idx="41">
                  <c:v>10710076.538934106</c:v>
                </c:pt>
                <c:pt idx="42">
                  <c:v>10821028.269999478</c:v>
                </c:pt>
                <c:pt idx="43">
                  <c:v>10712256.042025045</c:v>
                </c:pt>
                <c:pt idx="44">
                  <c:v>11343195.616115516</c:v>
                </c:pt>
                <c:pt idx="45">
                  <c:v>11164891.106498707</c:v>
                </c:pt>
                <c:pt idx="46">
                  <c:v>10551447.725552052</c:v>
                </c:pt>
                <c:pt idx="47">
                  <c:v>10741059.806475131</c:v>
                </c:pt>
                <c:pt idx="48">
                  <c:v>11153925.756866042</c:v>
                </c:pt>
                <c:pt idx="49">
                  <c:v>11607303.345260218</c:v>
                </c:pt>
                <c:pt idx="50">
                  <c:v>13860021.815675542</c:v>
                </c:pt>
                <c:pt idx="51">
                  <c:v>14938022.11164082</c:v>
                </c:pt>
                <c:pt idx="52">
                  <c:v>14735815.335830966</c:v>
                </c:pt>
                <c:pt idx="53">
                  <c:v>14293429.419919802</c:v>
                </c:pt>
                <c:pt idx="54">
                  <c:v>14614742.276310235</c:v>
                </c:pt>
                <c:pt idx="55">
                  <c:v>14721497.739709083</c:v>
                </c:pt>
                <c:pt idx="56">
                  <c:v>14761220.244530071</c:v>
                </c:pt>
                <c:pt idx="57">
                  <c:v>14405149.226126362</c:v>
                </c:pt>
                <c:pt idx="58">
                  <c:v>16101727.982391117</c:v>
                </c:pt>
                <c:pt idx="59">
                  <c:v>16990140.268494405</c:v>
                </c:pt>
                <c:pt idx="60">
                  <c:v>17388332.741541885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A0-4C10-8CC9-BF21CBF2A97F}"/>
            </c:ext>
          </c:extLst>
        </c:ser>
        <c:ser>
          <c:idx val="2"/>
          <c:order val="2"/>
          <c:tx>
            <c:strRef>
              <c:f>'模型二 (2)PE副本成交量计算CCI日线'!$M$1</c:f>
              <c:strCache>
                <c:ptCount val="1"/>
                <c:pt idx="0">
                  <c:v>利润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(2)PE副本成交量计算CCI日线'!金额</c:f>
              <c:numCache>
                <c:formatCode>0.00_ 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-41.957181212229443</c:v>
                </c:pt>
                <c:pt idx="3">
                  <c:v>-81.212751508326619</c:v>
                </c:pt>
                <c:pt idx="4">
                  <c:v>638.64011636936993</c:v>
                </c:pt>
                <c:pt idx="5">
                  <c:v>1214.7582293946689</c:v>
                </c:pt>
                <c:pt idx="6">
                  <c:v>408.74152031682024</c:v>
                </c:pt>
                <c:pt idx="7">
                  <c:v>-4867.8321770775656</c:v>
                </c:pt>
                <c:pt idx="8">
                  <c:v>-5849.1544889967918</c:v>
                </c:pt>
                <c:pt idx="9">
                  <c:v>-17287.60693090703</c:v>
                </c:pt>
                <c:pt idx="10">
                  <c:v>-31495.030930333596</c:v>
                </c:pt>
                <c:pt idx="11">
                  <c:v>-20014.841979637276</c:v>
                </c:pt>
                <c:pt idx="12">
                  <c:v>29937.731021796877</c:v>
                </c:pt>
                <c:pt idx="13">
                  <c:v>4020.2407224092167</c:v>
                </c:pt>
                <c:pt idx="14">
                  <c:v>-21263.095953836222</c:v>
                </c:pt>
                <c:pt idx="15">
                  <c:v>-73106.177509590983</c:v>
                </c:pt>
                <c:pt idx="16">
                  <c:v>-82230.08882338251</c:v>
                </c:pt>
                <c:pt idx="17">
                  <c:v>-34574.238279869081</c:v>
                </c:pt>
                <c:pt idx="18">
                  <c:v>-29620.403259206563</c:v>
                </c:pt>
                <c:pt idx="19">
                  <c:v>89746.060841099592</c:v>
                </c:pt>
                <c:pt idx="20">
                  <c:v>40421.423827619525</c:v>
                </c:pt>
                <c:pt idx="21">
                  <c:v>55868.37820664607</c:v>
                </c:pt>
                <c:pt idx="22">
                  <c:v>15845.372185794404</c:v>
                </c:pt>
                <c:pt idx="23">
                  <c:v>-49124.055767823709</c:v>
                </c:pt>
                <c:pt idx="24">
                  <c:v>30183.954647308448</c:v>
                </c:pt>
                <c:pt idx="25">
                  <c:v>44653.795268658316</c:v>
                </c:pt>
                <c:pt idx="26">
                  <c:v>-74286.278628224973</c:v>
                </c:pt>
                <c:pt idx="27">
                  <c:v>-155454.25821284484</c:v>
                </c:pt>
                <c:pt idx="28">
                  <c:v>-221437.59708084865</c:v>
                </c:pt>
                <c:pt idx="29">
                  <c:v>-262636.2843627031</c:v>
                </c:pt>
                <c:pt idx="30">
                  <c:v>-286955.54001483228</c:v>
                </c:pt>
                <c:pt idx="31">
                  <c:v>-696995.85483614169</c:v>
                </c:pt>
                <c:pt idx="32">
                  <c:v>-82424.997643015347</c:v>
                </c:pt>
                <c:pt idx="33">
                  <c:v>-4994.6299340920523</c:v>
                </c:pt>
                <c:pt idx="34">
                  <c:v>186984.28378215432</c:v>
                </c:pt>
                <c:pt idx="35">
                  <c:v>30753.536473423243</c:v>
                </c:pt>
                <c:pt idx="36">
                  <c:v>-133355.41971363686</c:v>
                </c:pt>
                <c:pt idx="37">
                  <c:v>-171324.32682918385</c:v>
                </c:pt>
                <c:pt idx="38">
                  <c:v>-480860.64190219808</c:v>
                </c:pt>
                <c:pt idx="39">
                  <c:v>1671510.9506878871</c:v>
                </c:pt>
                <c:pt idx="40">
                  <c:v>1808622.5741427448</c:v>
                </c:pt>
                <c:pt idx="41">
                  <c:v>1863470.3199161589</c:v>
                </c:pt>
                <c:pt idx="42">
                  <c:v>1973176.0120929088</c:v>
                </c:pt>
                <c:pt idx="43">
                  <c:v>1863457.6858764123</c:v>
                </c:pt>
                <c:pt idx="44">
                  <c:v>2494397.2599668838</c:v>
                </c:pt>
                <c:pt idx="45">
                  <c:v>2316092.7503500748</c:v>
                </c:pt>
                <c:pt idx="46">
                  <c:v>1698885.5363179408</c:v>
                </c:pt>
                <c:pt idx="47">
                  <c:v>1877253.5613534842</c:v>
                </c:pt>
                <c:pt idx="48">
                  <c:v>2289302.6829915531</c:v>
                </c:pt>
                <c:pt idx="49">
                  <c:v>2742591.0592254512</c:v>
                </c:pt>
                <c:pt idx="50">
                  <c:v>4995309.5296407752</c:v>
                </c:pt>
                <c:pt idx="51">
                  <c:v>6073309.8256060537</c:v>
                </c:pt>
                <c:pt idx="52">
                  <c:v>5871103.0497961994</c:v>
                </c:pt>
                <c:pt idx="53">
                  <c:v>5428717.1338850353</c:v>
                </c:pt>
                <c:pt idx="54">
                  <c:v>5750029.9902754687</c:v>
                </c:pt>
                <c:pt idx="55">
                  <c:v>5856785.4536743164</c:v>
                </c:pt>
                <c:pt idx="56">
                  <c:v>5896507.958495304</c:v>
                </c:pt>
                <c:pt idx="57">
                  <c:v>5540436.9400915951</c:v>
                </c:pt>
                <c:pt idx="58">
                  <c:v>7237015.6963563506</c:v>
                </c:pt>
                <c:pt idx="59">
                  <c:v>8125427.9824596383</c:v>
                </c:pt>
                <c:pt idx="60">
                  <c:v>8523620.4555071183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A0-4C10-8CC9-BF21CBF2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19680"/>
        <c:axId val="538921216"/>
      </c:lineChart>
      <c:dateAx>
        <c:axId val="538919680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921216"/>
        <c:crosses val="autoZero"/>
        <c:auto val="1"/>
        <c:lblOffset val="100"/>
        <c:baseTimeUnit val="months"/>
      </c:dateAx>
      <c:valAx>
        <c:axId val="5389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9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深创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100ETF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effectLst/>
                <a:latin typeface="+mn-lt"/>
                <a:ea typeface="+mn-ea"/>
                <a:cs typeface="+mn-cs"/>
              </a:rPr>
              <a:t>和分月买卖金额</a:t>
            </a:r>
            <a:endParaRPr lang="zh-CN" alt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'模型二 (2)PE副本成交量计算CCI日线'!买卖</c:f>
              <c:numCache>
                <c:formatCode>0.00_ </c:formatCode>
                <c:ptCount val="62"/>
                <c:pt idx="0">
                  <c:v>0</c:v>
                </c:pt>
                <c:pt idx="1">
                  <c:v>1055.2231074875715</c:v>
                </c:pt>
                <c:pt idx="2">
                  <c:v>6570.9102549312083</c:v>
                </c:pt>
                <c:pt idx="3">
                  <c:v>14073.180477764858</c:v>
                </c:pt>
                <c:pt idx="4">
                  <c:v>9444.4439838695889</c:v>
                </c:pt>
                <c:pt idx="5">
                  <c:v>10529.938281581366</c:v>
                </c:pt>
                <c:pt idx="6">
                  <c:v>9742.9134026343309</c:v>
                </c:pt>
                <c:pt idx="7">
                  <c:v>50602.735963392326</c:v>
                </c:pt>
                <c:pt idx="8">
                  <c:v>15926.605071131393</c:v>
                </c:pt>
                <c:pt idx="9">
                  <c:v>53482.445635684089</c:v>
                </c:pt>
                <c:pt idx="10">
                  <c:v>154861.50942852328</c:v>
                </c:pt>
                <c:pt idx="11">
                  <c:v>74485.672104213299</c:v>
                </c:pt>
                <c:pt idx="12">
                  <c:v>67019.994211272453</c:v>
                </c:pt>
                <c:pt idx="13">
                  <c:v>90738.219095489127</c:v>
                </c:pt>
                <c:pt idx="14">
                  <c:v>37511.237683723812</c:v>
                </c:pt>
                <c:pt idx="15">
                  <c:v>182643.34175657245</c:v>
                </c:pt>
                <c:pt idx="16">
                  <c:v>295648.28336289077</c:v>
                </c:pt>
                <c:pt idx="17">
                  <c:v>149173.34373737345</c:v>
                </c:pt>
                <c:pt idx="18">
                  <c:v>113716.04663573549</c:v>
                </c:pt>
                <c:pt idx="19">
                  <c:v>69842.98399688222</c:v>
                </c:pt>
                <c:pt idx="20">
                  <c:v>25759.858350853305</c:v>
                </c:pt>
                <c:pt idx="21">
                  <c:v>54186.545956699294</c:v>
                </c:pt>
                <c:pt idx="22">
                  <c:v>71078.061486540464</c:v>
                </c:pt>
                <c:pt idx="23">
                  <c:v>122511.25390997293</c:v>
                </c:pt>
                <c:pt idx="24">
                  <c:v>110004.91818041205</c:v>
                </c:pt>
                <c:pt idx="25">
                  <c:v>90553.794350269542</c:v>
                </c:pt>
                <c:pt idx="26">
                  <c:v>191535.50047763943</c:v>
                </c:pt>
                <c:pt idx="27">
                  <c:v>137235.15697643414</c:v>
                </c:pt>
                <c:pt idx="28">
                  <c:v>287737.60221590794</c:v>
                </c:pt>
                <c:pt idx="29">
                  <c:v>403585.44180374639</c:v>
                </c:pt>
                <c:pt idx="30">
                  <c:v>534222.45267287875</c:v>
                </c:pt>
                <c:pt idx="31">
                  <c:v>1739102.554868575</c:v>
                </c:pt>
                <c:pt idx="32">
                  <c:v>1082902.2496379393</c:v>
                </c:pt>
                <c:pt idx="33">
                  <c:v>637440.66900952836</c:v>
                </c:pt>
                <c:pt idx="34">
                  <c:v>327892.26130662102</c:v>
                </c:pt>
                <c:pt idx="35">
                  <c:v>365774.00759471167</c:v>
                </c:pt>
                <c:pt idx="36">
                  <c:v>594275.72184410866</c:v>
                </c:pt>
                <c:pt idx="37">
                  <c:v>507434.47455627128</c:v>
                </c:pt>
                <c:pt idx="38">
                  <c:v>153276.65797483371</c:v>
                </c:pt>
                <c:pt idx="39">
                  <c:v>1382.6542815230166</c:v>
                </c:pt>
                <c:pt idx="40">
                  <c:v>569.72274312846628</c:v>
                </c:pt>
                <c:pt idx="41">
                  <c:v>1075.6306281980965</c:v>
                </c:pt>
                <c:pt idx="42">
                  <c:v>1246.0388886215089</c:v>
                </c:pt>
                <c:pt idx="43">
                  <c:v>946.09824206255894</c:v>
                </c:pt>
                <c:pt idx="44">
                  <c:v>-295.3426593807647</c:v>
                </c:pt>
                <c:pt idx="45">
                  <c:v>-7.0445561652667319</c:v>
                </c:pt>
                <c:pt idx="46">
                  <c:v>3763.8330854783617</c:v>
                </c:pt>
                <c:pt idx="47">
                  <c:v>11244.055887534907</c:v>
                </c:pt>
                <c:pt idx="48">
                  <c:v>816.82875284245119</c:v>
                </c:pt>
                <c:pt idx="49">
                  <c:v>89.212160278304367</c:v>
                </c:pt>
                <c:pt idx="50">
                  <c:v>-91356.780627580432</c:v>
                </c:pt>
                <c:pt idx="51">
                  <c:v>-179733.24736579991</c:v>
                </c:pt>
                <c:pt idx="52">
                  <c:v>-80175.124714138117</c:v>
                </c:pt>
                <c:pt idx="53">
                  <c:v>-18333.497294467583</c:v>
                </c:pt>
                <c:pt idx="54">
                  <c:v>-46393.241034391052</c:v>
                </c:pt>
                <c:pt idx="55">
                  <c:v>-111127.31971233143</c:v>
                </c:pt>
                <c:pt idx="56">
                  <c:v>-56932.913434554059</c:v>
                </c:pt>
                <c:pt idx="57">
                  <c:v>-37743.814809844756</c:v>
                </c:pt>
                <c:pt idx="58">
                  <c:v>-102248.30313182416</c:v>
                </c:pt>
                <c:pt idx="59">
                  <c:v>-273879.41101316386</c:v>
                </c:pt>
                <c:pt idx="60">
                  <c:v>-703792.54386857653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965120"/>
        <c:axId val="538951040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'模型二 (2)PE副本成交量计算CCI日线'!时间</c:f>
              <c:numCache>
                <c:formatCode>yyyy\-mm\-dd</c:formatCode>
                <c:ptCount val="61"/>
                <c:pt idx="0">
                  <c:v>44377</c:v>
                </c:pt>
                <c:pt idx="1">
                  <c:v>44407</c:v>
                </c:pt>
                <c:pt idx="2">
                  <c:v>44439</c:v>
                </c:pt>
                <c:pt idx="3">
                  <c:v>44469</c:v>
                </c:pt>
                <c:pt idx="4">
                  <c:v>44498</c:v>
                </c:pt>
                <c:pt idx="5">
                  <c:v>44530</c:v>
                </c:pt>
                <c:pt idx="6">
                  <c:v>44561</c:v>
                </c:pt>
                <c:pt idx="7">
                  <c:v>44589</c:v>
                </c:pt>
                <c:pt idx="8">
                  <c:v>44620</c:v>
                </c:pt>
                <c:pt idx="9">
                  <c:v>44651</c:v>
                </c:pt>
                <c:pt idx="10">
                  <c:v>44680</c:v>
                </c:pt>
                <c:pt idx="11">
                  <c:v>44712</c:v>
                </c:pt>
                <c:pt idx="12">
                  <c:v>44742</c:v>
                </c:pt>
                <c:pt idx="13">
                  <c:v>44771</c:v>
                </c:pt>
                <c:pt idx="14">
                  <c:v>44804</c:v>
                </c:pt>
                <c:pt idx="15">
                  <c:v>44834</c:v>
                </c:pt>
                <c:pt idx="16">
                  <c:v>44865</c:v>
                </c:pt>
                <c:pt idx="17">
                  <c:v>44895</c:v>
                </c:pt>
                <c:pt idx="18">
                  <c:v>44925</c:v>
                </c:pt>
                <c:pt idx="19">
                  <c:v>44957</c:v>
                </c:pt>
                <c:pt idx="20">
                  <c:v>44985</c:v>
                </c:pt>
                <c:pt idx="21">
                  <c:v>45016</c:v>
                </c:pt>
                <c:pt idx="22">
                  <c:v>45044</c:v>
                </c:pt>
                <c:pt idx="23">
                  <c:v>45077</c:v>
                </c:pt>
                <c:pt idx="24">
                  <c:v>45107</c:v>
                </c:pt>
                <c:pt idx="25">
                  <c:v>45138</c:v>
                </c:pt>
                <c:pt idx="26">
                  <c:v>45169</c:v>
                </c:pt>
                <c:pt idx="27">
                  <c:v>45197</c:v>
                </c:pt>
                <c:pt idx="28">
                  <c:v>45230</c:v>
                </c:pt>
                <c:pt idx="29">
                  <c:v>45260</c:v>
                </c:pt>
                <c:pt idx="30">
                  <c:v>45289</c:v>
                </c:pt>
                <c:pt idx="31">
                  <c:v>45322</c:v>
                </c:pt>
                <c:pt idx="32">
                  <c:v>45351</c:v>
                </c:pt>
                <c:pt idx="33">
                  <c:v>45380</c:v>
                </c:pt>
                <c:pt idx="34">
                  <c:v>45412</c:v>
                </c:pt>
                <c:pt idx="35">
                  <c:v>45443</c:v>
                </c:pt>
                <c:pt idx="36">
                  <c:v>45471</c:v>
                </c:pt>
                <c:pt idx="37">
                  <c:v>45504</c:v>
                </c:pt>
                <c:pt idx="38">
                  <c:v>45534</c:v>
                </c:pt>
                <c:pt idx="39">
                  <c:v>45565</c:v>
                </c:pt>
                <c:pt idx="40">
                  <c:v>45596</c:v>
                </c:pt>
                <c:pt idx="41">
                  <c:v>45625</c:v>
                </c:pt>
                <c:pt idx="42">
                  <c:v>45657</c:v>
                </c:pt>
                <c:pt idx="43">
                  <c:v>45684</c:v>
                </c:pt>
                <c:pt idx="44">
                  <c:v>45716</c:v>
                </c:pt>
                <c:pt idx="45">
                  <c:v>45747</c:v>
                </c:pt>
                <c:pt idx="46">
                  <c:v>45777</c:v>
                </c:pt>
                <c:pt idx="47">
                  <c:v>45807</c:v>
                </c:pt>
                <c:pt idx="48">
                  <c:v>45838</c:v>
                </c:pt>
                <c:pt idx="49">
                  <c:v>45869</c:v>
                </c:pt>
                <c:pt idx="50">
                  <c:v>45898</c:v>
                </c:pt>
                <c:pt idx="51">
                  <c:v>45930</c:v>
                </c:pt>
                <c:pt idx="52">
                  <c:v>45961</c:v>
                </c:pt>
                <c:pt idx="53">
                  <c:v>45989</c:v>
                </c:pt>
                <c:pt idx="54">
                  <c:v>46022</c:v>
                </c:pt>
                <c:pt idx="55">
                  <c:v>46052</c:v>
                </c:pt>
                <c:pt idx="56">
                  <c:v>46080</c:v>
                </c:pt>
                <c:pt idx="57">
                  <c:v>46112</c:v>
                </c:pt>
                <c:pt idx="58">
                  <c:v>46142</c:v>
                </c:pt>
                <c:pt idx="59">
                  <c:v>46171</c:v>
                </c:pt>
                <c:pt idx="60">
                  <c:v>46203</c:v>
                </c:pt>
              </c:numCache>
            </c:numRef>
          </c:cat>
          <c:val>
            <c:numRef>
              <c:f>'模型二 (2)PE副本成交量计算CCI日线'!指数</c:f>
              <c:numCache>
                <c:formatCode>General</c:formatCode>
                <c:ptCount val="61"/>
                <c:pt idx="0">
                  <c:v>1.0309999999999999</c:v>
                </c:pt>
                <c:pt idx="1">
                  <c:v>1.006</c:v>
                </c:pt>
                <c:pt idx="2">
                  <c:v>0.96599999999999997</c:v>
                </c:pt>
                <c:pt idx="3">
                  <c:v>0.96099999999999997</c:v>
                </c:pt>
                <c:pt idx="4">
                  <c:v>0.99299997091293335</c:v>
                </c:pt>
                <c:pt idx="5">
                  <c:v>1.0110000371932983</c:v>
                </c:pt>
                <c:pt idx="6">
                  <c:v>0.99199998378753662</c:v>
                </c:pt>
                <c:pt idx="7">
                  <c:v>0.89099997282028198</c:v>
                </c:pt>
                <c:pt idx="8">
                  <c:v>0.88200002908706665</c:v>
                </c:pt>
                <c:pt idx="9">
                  <c:v>0.79199999570846558</c:v>
                </c:pt>
                <c:pt idx="10">
                  <c:v>0.71899998188018799</c:v>
                </c:pt>
                <c:pt idx="11">
                  <c:v>0.74699997901916504</c:v>
                </c:pt>
                <c:pt idx="12">
                  <c:v>0.84500002861022949</c:v>
                </c:pt>
                <c:pt idx="13">
                  <c:v>0.80099999904632568</c:v>
                </c:pt>
                <c:pt idx="14">
                  <c:v>0.76499998569488525</c:v>
                </c:pt>
                <c:pt idx="15">
                  <c:v>0.69599997997283936</c:v>
                </c:pt>
                <c:pt idx="16">
                  <c:v>0.68699997663497925</c:v>
                </c:pt>
                <c:pt idx="17">
                  <c:v>0.72000002861022949</c:v>
                </c:pt>
                <c:pt idx="18">
                  <c:v>0.72299998998641968</c:v>
                </c:pt>
                <c:pt idx="19">
                  <c:v>0.78899997472763062</c:v>
                </c:pt>
                <c:pt idx="20">
                  <c:v>0.7630000114440918</c:v>
                </c:pt>
                <c:pt idx="21">
                  <c:v>0.77100002765655518</c:v>
                </c:pt>
                <c:pt idx="22">
                  <c:v>0.75099998712539673</c:v>
                </c:pt>
                <c:pt idx="23">
                  <c:v>0.72000002861022949</c:v>
                </c:pt>
                <c:pt idx="24">
                  <c:v>0.75499999523162842</c:v>
                </c:pt>
                <c:pt idx="25">
                  <c:v>0.76099997758865356</c:v>
                </c:pt>
                <c:pt idx="26">
                  <c:v>0.71399998664855957</c:v>
                </c:pt>
                <c:pt idx="27">
                  <c:v>0.68500000238418579</c:v>
                </c:pt>
                <c:pt idx="28">
                  <c:v>0.66299998760223389</c:v>
                </c:pt>
                <c:pt idx="29">
                  <c:v>0.65100002288818359</c:v>
                </c:pt>
                <c:pt idx="30">
                  <c:v>0.64499998092651367</c:v>
                </c:pt>
                <c:pt idx="31">
                  <c:v>0.56099998950958252</c:v>
                </c:pt>
                <c:pt idx="32">
                  <c:v>0.6380000114440918</c:v>
                </c:pt>
                <c:pt idx="33">
                  <c:v>0.64600002765655518</c:v>
                </c:pt>
                <c:pt idx="34">
                  <c:v>0.66399997472763062</c:v>
                </c:pt>
                <c:pt idx="35">
                  <c:v>0.64999997615814209</c:v>
                </c:pt>
                <c:pt idx="36">
                  <c:v>0.63599997758865356</c:v>
                </c:pt>
                <c:pt idx="37">
                  <c:v>0.63300001621246338</c:v>
                </c:pt>
                <c:pt idx="38">
                  <c:v>0.61000001430511475</c:v>
                </c:pt>
                <c:pt idx="39">
                  <c:v>0.76700001955032349</c:v>
                </c:pt>
                <c:pt idx="40">
                  <c:v>0.77700001001358032</c:v>
                </c:pt>
                <c:pt idx="41">
                  <c:v>0.78100001811981201</c:v>
                </c:pt>
                <c:pt idx="42">
                  <c:v>0.78899997472763062</c:v>
                </c:pt>
                <c:pt idx="43">
                  <c:v>0.78100001811981201</c:v>
                </c:pt>
                <c:pt idx="44">
                  <c:v>0.82700002193450928</c:v>
                </c:pt>
                <c:pt idx="45">
                  <c:v>0.81400001049041748</c:v>
                </c:pt>
                <c:pt idx="46">
                  <c:v>0.76899999380111694</c:v>
                </c:pt>
                <c:pt idx="47">
                  <c:v>0.78200000524520874</c:v>
                </c:pt>
                <c:pt idx="48">
                  <c:v>0.81199997663497925</c:v>
                </c:pt>
                <c:pt idx="49">
                  <c:v>0.84500002861022949</c:v>
                </c:pt>
                <c:pt idx="50">
                  <c:v>1.0089999437332153</c:v>
                </c:pt>
                <c:pt idx="51">
                  <c:v>1.0880000591278076</c:v>
                </c:pt>
                <c:pt idx="52">
                  <c:v>1.0729999542236328</c:v>
                </c:pt>
                <c:pt idx="53">
                  <c:v>1.0399999618530273</c:v>
                </c:pt>
                <c:pt idx="54">
                  <c:v>1.0640000104904175</c:v>
                </c:pt>
                <c:pt idx="55">
                  <c:v>1.0720000267028809</c:v>
                </c:pt>
                <c:pt idx="56">
                  <c:v>1.0750000476837158</c:v>
                </c:pt>
                <c:pt idx="57">
                  <c:v>1.0479999780654907</c:v>
                </c:pt>
                <c:pt idx="58">
                  <c:v>1.1770000457763672</c:v>
                </c:pt>
                <c:pt idx="59">
                  <c:v>1.2450000047683716</c:v>
                </c:pt>
                <c:pt idx="60">
                  <c:v>1.2760000228881836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8947968"/>
        <c:axId val="538949504"/>
      </c:lineChart>
      <c:dateAx>
        <c:axId val="53894796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949504"/>
        <c:crosses val="autoZero"/>
        <c:auto val="1"/>
        <c:lblOffset val="100"/>
        <c:baseTimeUnit val="months"/>
      </c:dateAx>
      <c:valAx>
        <c:axId val="53894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947968"/>
        <c:crosses val="autoZero"/>
        <c:crossBetween val="between"/>
      </c:valAx>
      <c:valAx>
        <c:axId val="538951040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8965120"/>
        <c:crosses val="max"/>
        <c:crossBetween val="between"/>
      </c:valAx>
      <c:catAx>
        <c:axId val="538965120"/>
        <c:scaling>
          <c:orientation val="minMax"/>
        </c:scaling>
        <c:delete val="1"/>
        <c:axPos val="b"/>
        <c:majorTickMark val="out"/>
        <c:minorTickMark val="none"/>
        <c:tickLblPos val="nextTo"/>
        <c:crossAx val="538951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647700</xdr:colOff>
      <xdr:row>4</xdr:row>
      <xdr:rowOff>95250</xdr:rowOff>
    </xdr:from>
    <xdr:to>
      <xdr:col>21</xdr:col>
      <xdr:colOff>723900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66674</xdr:colOff>
      <xdr:row>4</xdr:row>
      <xdr:rowOff>85725</xdr:rowOff>
    </xdr:from>
    <xdr:to>
      <xdr:col>30</xdr:col>
      <xdr:colOff>104774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76200</xdr:colOff>
      <xdr:row>4</xdr:row>
      <xdr:rowOff>133350</xdr:rowOff>
    </xdr:from>
    <xdr:to>
      <xdr:col>28</xdr:col>
      <xdr:colOff>57150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142874</xdr:colOff>
      <xdr:row>4</xdr:row>
      <xdr:rowOff>76200</xdr:rowOff>
    </xdr:from>
    <xdr:to>
      <xdr:col>36</xdr:col>
      <xdr:colOff>180974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5</xdr:row>
      <xdr:rowOff>19050</xdr:rowOff>
    </xdr:from>
    <xdr:to>
      <xdr:col>21</xdr:col>
      <xdr:colOff>752475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85724</xdr:colOff>
      <xdr:row>5</xdr:row>
      <xdr:rowOff>38100</xdr:rowOff>
    </xdr:from>
    <xdr:to>
      <xdr:col>30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4</xdr:row>
      <xdr:rowOff>123825</xdr:rowOff>
    </xdr:from>
    <xdr:to>
      <xdr:col>21</xdr:col>
      <xdr:colOff>771525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123824</xdr:colOff>
      <xdr:row>4</xdr:row>
      <xdr:rowOff>114300</xdr:rowOff>
    </xdr:from>
    <xdr:to>
      <xdr:col>30</xdr:col>
      <xdr:colOff>161924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657225</xdr:colOff>
      <xdr:row>4</xdr:row>
      <xdr:rowOff>104775</xdr:rowOff>
    </xdr:from>
    <xdr:to>
      <xdr:col>23</xdr:col>
      <xdr:colOff>733425</xdr:colOff>
      <xdr:row>18</xdr:row>
      <xdr:rowOff>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85724</xdr:colOff>
      <xdr:row>4</xdr:row>
      <xdr:rowOff>85725</xdr:rowOff>
    </xdr:from>
    <xdr:to>
      <xdr:col>32</xdr:col>
      <xdr:colOff>123824</xdr:colOff>
      <xdr:row>18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12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7</v>
      </c>
      <c r="B1" s="25" t="s">
        <v>8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N1" s="6"/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/>
      <c r="P3" s="29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30" t="s">
        <v>18</v>
      </c>
      <c r="V3" s="16" t="s">
        <v>24</v>
      </c>
      <c r="W3" s="16" t="s">
        <v>25</v>
      </c>
      <c r="Y3" s="24">
        <v>44561</v>
      </c>
      <c r="Z3" s="11">
        <v>71470.226080923632</v>
      </c>
      <c r="AA3" s="11">
        <f>-Z3</f>
        <v>-71470.226080923632</v>
      </c>
      <c r="AB3" s="24">
        <v>44561</v>
      </c>
      <c r="AC3" s="11">
        <v>71470.218956071636</v>
      </c>
      <c r="AD3" s="11">
        <f>-AC3</f>
        <v>-71470.218956071636</v>
      </c>
      <c r="AE3" s="24">
        <v>44561</v>
      </c>
      <c r="AF3" s="11">
        <v>71470.218956071636</v>
      </c>
      <c r="AG3" s="11">
        <f>-AF3</f>
        <v>-71470.218956071636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3951.9737342833614</v>
      </c>
      <c r="F4" s="15">
        <v>3928.4033143969796</v>
      </c>
      <c r="G4" s="15">
        <v>3928.4033143969796</v>
      </c>
      <c r="H4" s="15">
        <v>3951.9737342833614</v>
      </c>
      <c r="I4" s="15">
        <v>3951.9737342833614</v>
      </c>
      <c r="J4" s="15">
        <v>3951.9737342833614</v>
      </c>
      <c r="K4" s="15">
        <v>0</v>
      </c>
      <c r="L4" s="14">
        <v>0</v>
      </c>
      <c r="M4" s="9"/>
      <c r="P4" s="24">
        <v>44561</v>
      </c>
      <c r="Q4" s="18">
        <v>71470.218956071636</v>
      </c>
      <c r="R4" s="8">
        <v>71470.218956071636</v>
      </c>
      <c r="S4" s="8">
        <v>72037.588440626103</v>
      </c>
      <c r="T4" s="8">
        <v>567.36948455446691</v>
      </c>
      <c r="U4" s="8">
        <v>0</v>
      </c>
      <c r="V4" s="19">
        <v>7.9385440934943013E-3</v>
      </c>
      <c r="W4" s="19">
        <v>7.9385440934943013E-3</v>
      </c>
      <c r="Y4" s="24">
        <v>44925</v>
      </c>
      <c r="Z4" s="9">
        <v>401953.44834350183</v>
      </c>
      <c r="AA4" s="9">
        <f>-Z4</f>
        <v>-401953.44834350183</v>
      </c>
      <c r="AB4" s="24">
        <v>44925</v>
      </c>
      <c r="AC4" s="9">
        <v>401953.44479283423</v>
      </c>
      <c r="AD4" s="9">
        <f>-AC4</f>
        <v>-401953.44479283423</v>
      </c>
      <c r="AE4" s="24">
        <v>44925</v>
      </c>
      <c r="AF4" s="9">
        <v>401953.44479283423</v>
      </c>
      <c r="AG4" s="9">
        <f>-AF4</f>
        <v>-401953.44479283423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10209.589251649057</v>
      </c>
      <c r="F5" s="15">
        <v>10568.932972721592</v>
      </c>
      <c r="G5" s="15">
        <v>14497.336287118571</v>
      </c>
      <c r="H5" s="15">
        <v>14004.426853356539</v>
      </c>
      <c r="I5" s="15">
        <v>14161.562985932418</v>
      </c>
      <c r="J5" s="15">
        <v>14004.426853356539</v>
      </c>
      <c r="K5" s="15">
        <v>-157.13613257587895</v>
      </c>
      <c r="L5" s="14">
        <v>0</v>
      </c>
      <c r="M5" s="9"/>
      <c r="P5" s="24">
        <v>44925</v>
      </c>
      <c r="Q5" s="18">
        <v>401953.44479283423</v>
      </c>
      <c r="R5" s="8">
        <v>473423.66374890588</v>
      </c>
      <c r="S5" s="8">
        <v>436532.8675600008</v>
      </c>
      <c r="T5" s="8">
        <v>-36890.796188905078</v>
      </c>
      <c r="U5" s="8">
        <v>0</v>
      </c>
      <c r="V5" s="19">
        <v>-7.7923430985214107E-2</v>
      </c>
      <c r="W5" s="19">
        <v>-6.8314848168957498E-2</v>
      </c>
      <c r="Y5" s="24">
        <v>44925</v>
      </c>
      <c r="Z5" s="9"/>
      <c r="AA5" s="9">
        <v>436532.87606210314</v>
      </c>
      <c r="AB5" s="24">
        <v>45289</v>
      </c>
      <c r="AC5" s="9">
        <v>377214.1657703988</v>
      </c>
      <c r="AD5" s="9">
        <f>-AC5</f>
        <v>-377214.1657703988</v>
      </c>
      <c r="AE5" s="24">
        <v>45289</v>
      </c>
      <c r="AF5" s="9">
        <v>377214.1657703988</v>
      </c>
      <c r="AG5" s="9">
        <f>-AF5</f>
        <v>-377214.1657703988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18607.735896751474</v>
      </c>
      <c r="F6" s="15">
        <v>19362.888550209649</v>
      </c>
      <c r="G6" s="15">
        <v>33860.22483732822</v>
      </c>
      <c r="H6" s="15">
        <v>32539.676068672419</v>
      </c>
      <c r="I6" s="15">
        <v>32769.298882683892</v>
      </c>
      <c r="J6" s="15">
        <v>32539.676068672419</v>
      </c>
      <c r="K6" s="15">
        <v>-229.62281401147266</v>
      </c>
      <c r="L6" s="14">
        <v>0</v>
      </c>
      <c r="M6" s="9"/>
      <c r="P6" s="24">
        <v>45289</v>
      </c>
      <c r="Q6" s="18">
        <v>377214.1657703988</v>
      </c>
      <c r="R6" s="8">
        <v>850637.82951930468</v>
      </c>
      <c r="S6" s="8">
        <v>731948.73696905444</v>
      </c>
      <c r="T6" s="8">
        <v>-118689.09255025024</v>
      </c>
      <c r="U6" s="8">
        <v>0</v>
      </c>
      <c r="V6" s="19">
        <v>-0.13952952529435639</v>
      </c>
      <c r="W6" s="19">
        <v>-8.8470898848600599E-2</v>
      </c>
      <c r="Y6" s="9"/>
      <c r="Z6" s="9"/>
      <c r="AA6" s="20">
        <v>-6.8314848168957498E-2</v>
      </c>
      <c r="AB6" s="24">
        <v>45289</v>
      </c>
      <c r="AC6" s="9"/>
      <c r="AD6" s="20">
        <v>731948.73696905444</v>
      </c>
      <c r="AE6" s="24">
        <v>45657</v>
      </c>
      <c r="AF6" s="11">
        <v>283147.89461647021</v>
      </c>
      <c r="AG6" s="11">
        <f>-AF6</f>
        <v>-283147.89461647021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11666.814393803639</v>
      </c>
      <c r="F7" s="15">
        <v>11749.058142547106</v>
      </c>
      <c r="G7" s="15">
        <v>45609.282979875323</v>
      </c>
      <c r="H7" s="15">
        <v>45290.016672375939</v>
      </c>
      <c r="I7" s="15">
        <v>44436.113276487529</v>
      </c>
      <c r="J7" s="15">
        <v>45290.016672375939</v>
      </c>
      <c r="K7" s="15">
        <v>853.90339588841016</v>
      </c>
      <c r="L7" s="14">
        <v>0</v>
      </c>
      <c r="M7" s="9"/>
      <c r="P7" s="24">
        <v>45657</v>
      </c>
      <c r="Q7" s="18">
        <v>283147.89461863739</v>
      </c>
      <c r="R7" s="8">
        <v>1133785.7241379421</v>
      </c>
      <c r="S7" s="8">
        <v>1249850.5855833527</v>
      </c>
      <c r="T7" s="8">
        <v>116064.86144541064</v>
      </c>
      <c r="U7" s="8">
        <v>0</v>
      </c>
      <c r="V7" s="19">
        <v>0.10236930927460647</v>
      </c>
      <c r="W7" s="19">
        <v>4.4302839298554275E-2</v>
      </c>
      <c r="Y7" s="9"/>
      <c r="Z7" s="9"/>
      <c r="AA7" s="9"/>
      <c r="AD7" s="10">
        <v>-8.8470898848600599E-2</v>
      </c>
      <c r="AE7" s="24">
        <v>45657</v>
      </c>
      <c r="AG7" s="10">
        <v>1249850.5855808333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12819.721960020022</v>
      </c>
      <c r="F8" s="15">
        <v>12680.238860929887</v>
      </c>
      <c r="G8" s="15">
        <v>58289.52184080521</v>
      </c>
      <c r="H8" s="15">
        <v>58930.708749033642</v>
      </c>
      <c r="I8" s="15">
        <v>57255.835236507555</v>
      </c>
      <c r="J8" s="15">
        <v>58930.708749033642</v>
      </c>
      <c r="K8" s="15">
        <v>1674.8735125260864</v>
      </c>
      <c r="L8" s="14">
        <v>0</v>
      </c>
      <c r="M8" s="9"/>
      <c r="AG8" s="10">
        <v>4.4302839298554275E-2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14214.383719564079</v>
      </c>
      <c r="F9" s="15">
        <v>14329.016080516862</v>
      </c>
      <c r="G9" s="15">
        <v>72618.537921322073</v>
      </c>
      <c r="H9" s="15">
        <v>72037.588440626103</v>
      </c>
      <c r="I9" s="15">
        <v>71470.218956071636</v>
      </c>
      <c r="J9" s="15">
        <v>72037.588440626103</v>
      </c>
      <c r="K9" s="15">
        <v>567.36948455446691</v>
      </c>
      <c r="L9" s="14">
        <v>0</v>
      </c>
      <c r="M9" s="9"/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26424.71588829716</v>
      </c>
      <c r="F10" s="15">
        <v>29657.370027358153</v>
      </c>
      <c r="G10" s="15">
        <v>102275.90794868022</v>
      </c>
      <c r="H10" s="15">
        <v>91127.831202443733</v>
      </c>
      <c r="I10" s="15">
        <v>97894.934844368792</v>
      </c>
      <c r="J10" s="15">
        <v>91127.831202443733</v>
      </c>
      <c r="K10" s="15">
        <v>-6767.1036419250595</v>
      </c>
      <c r="L10" s="14">
        <v>0</v>
      </c>
      <c r="M10" s="9"/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24565.559907930678</v>
      </c>
      <c r="F11" s="15">
        <v>27852.107820628753</v>
      </c>
      <c r="G11" s="15">
        <v>130128.01576930897</v>
      </c>
      <c r="H11" s="15">
        <v>114772.91369357279</v>
      </c>
      <c r="I11" s="15">
        <v>122460.49475229948</v>
      </c>
      <c r="J11" s="15">
        <v>114772.91369357279</v>
      </c>
      <c r="K11" s="15">
        <v>-7687.5810587266897</v>
      </c>
      <c r="L11" s="14">
        <v>0</v>
      </c>
      <c r="M11" s="9"/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34365.166232524549</v>
      </c>
      <c r="F12" s="15">
        <v>43390.3616398179</v>
      </c>
      <c r="G12" s="15">
        <v>173518.37740912687</v>
      </c>
      <c r="H12" s="15">
        <v>137426.55416336839</v>
      </c>
      <c r="I12" s="15">
        <v>156825.66098482403</v>
      </c>
      <c r="J12" s="15">
        <v>137426.55416336839</v>
      </c>
      <c r="K12" s="15">
        <v>-19399.106821455644</v>
      </c>
      <c r="L12" s="14">
        <v>0</v>
      </c>
      <c r="M12" s="9"/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41222.659036680328</v>
      </c>
      <c r="F13" s="15">
        <v>57333.324166271741</v>
      </c>
      <c r="G13" s="15">
        <v>230851.70157539862</v>
      </c>
      <c r="H13" s="15">
        <v>165982.36924972216</v>
      </c>
      <c r="I13" s="15">
        <v>198048.32002150436</v>
      </c>
      <c r="J13" s="15">
        <v>165982.36924972216</v>
      </c>
      <c r="K13" s="15">
        <v>-32065.950771782198</v>
      </c>
      <c r="L13" s="14">
        <v>0</v>
      </c>
      <c r="M13" s="9"/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41909.786382681988</v>
      </c>
      <c r="F14" s="15">
        <v>56104.133279509435</v>
      </c>
      <c r="G14" s="15">
        <v>286955.83485490805</v>
      </c>
      <c r="H14" s="15">
        <v>214356.00261604332</v>
      </c>
      <c r="I14" s="15">
        <v>239958.10640418634</v>
      </c>
      <c r="J14" s="15">
        <v>214356.00261604332</v>
      </c>
      <c r="K14" s="15">
        <v>-25602.103788143024</v>
      </c>
      <c r="L14" s="14">
        <v>0</v>
      </c>
      <c r="M14" s="9"/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24920.157011082942</v>
      </c>
      <c r="F15" s="15">
        <v>29491.309073763103</v>
      </c>
      <c r="G15" s="15">
        <v>316447.14392867114</v>
      </c>
      <c r="H15" s="15">
        <v>267397.84567335254</v>
      </c>
      <c r="I15" s="15">
        <v>264878.26341526926</v>
      </c>
      <c r="J15" s="15">
        <v>267397.84567335254</v>
      </c>
      <c r="K15" s="15">
        <v>2519.5822580832755</v>
      </c>
      <c r="L15" s="14">
        <v>0</v>
      </c>
      <c r="M15" s="9"/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28976.018859637465</v>
      </c>
      <c r="F16" s="15">
        <v>36174.805111281457</v>
      </c>
      <c r="G16" s="15">
        <v>352621.9490399526</v>
      </c>
      <c r="H16" s="15">
        <v>282450.18084471551</v>
      </c>
      <c r="I16" s="15">
        <v>293854.28227490676</v>
      </c>
      <c r="J16" s="15">
        <v>282450.18084471551</v>
      </c>
      <c r="K16" s="15">
        <v>-11404.101430191251</v>
      </c>
      <c r="L16" s="14">
        <v>0</v>
      </c>
      <c r="M16" s="9"/>
    </row>
    <row r="17" spans="1:13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31588.975435367818</v>
      </c>
      <c r="F17" s="15">
        <v>41292.779119040213</v>
      </c>
      <c r="G17" s="15">
        <v>393914.72815899283</v>
      </c>
      <c r="H17" s="15">
        <v>301344.76140663412</v>
      </c>
      <c r="I17" s="15">
        <v>325443.2577102746</v>
      </c>
      <c r="J17" s="15">
        <v>301344.76140663412</v>
      </c>
      <c r="K17" s="15">
        <v>-24098.496303640481</v>
      </c>
      <c r="L17" s="14">
        <v>0</v>
      </c>
      <c r="M17" s="9"/>
    </row>
    <row r="18" spans="1:13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39617.24433919783</v>
      </c>
      <c r="F18" s="15">
        <v>56921.329711451792</v>
      </c>
      <c r="G18" s="15">
        <v>450836.05787044461</v>
      </c>
      <c r="H18" s="15">
        <v>313781.88724886329</v>
      </c>
      <c r="I18" s="15">
        <v>365060.50204947242</v>
      </c>
      <c r="J18" s="15">
        <v>313781.88724886329</v>
      </c>
      <c r="K18" s="15">
        <v>-51278.614800609124</v>
      </c>
      <c r="L18" s="14">
        <v>0</v>
      </c>
      <c r="M18" s="9"/>
    </row>
    <row r="19" spans="1:13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39476.510243603116</v>
      </c>
      <c r="F19" s="15">
        <v>57462.171158963516</v>
      </c>
      <c r="G19" s="15">
        <v>508298.22902940813</v>
      </c>
      <c r="H19" s="15">
        <v>349200.8714668047</v>
      </c>
      <c r="I19" s="15">
        <v>404537.01229307556</v>
      </c>
      <c r="J19" s="15">
        <v>349200.8714668047</v>
      </c>
      <c r="K19" s="15">
        <v>-55336.140826270857</v>
      </c>
      <c r="L19" s="14">
        <v>0</v>
      </c>
    </row>
    <row r="20" spans="1:13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35184.839779401416</v>
      </c>
      <c r="F20" s="15">
        <v>48867.83108511327</v>
      </c>
      <c r="G20" s="15">
        <v>557166.06011452142</v>
      </c>
      <c r="H20" s="15">
        <v>401159.57922310429</v>
      </c>
      <c r="I20" s="15">
        <v>439721.85207247699</v>
      </c>
      <c r="J20" s="15">
        <v>401159.57922310429</v>
      </c>
      <c r="K20" s="15">
        <v>-38562.272849372705</v>
      </c>
      <c r="L20" s="14">
        <v>0</v>
      </c>
    </row>
    <row r="21" spans="1:13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33701.811676428908</v>
      </c>
      <c r="F21" s="15">
        <v>46613.848054219117</v>
      </c>
      <c r="G21" s="15">
        <v>603779.90816874057</v>
      </c>
      <c r="H21" s="15">
        <v>436532.8675600008</v>
      </c>
      <c r="I21" s="15">
        <v>473423.66374890588</v>
      </c>
      <c r="J21" s="15">
        <v>436532.8675600008</v>
      </c>
      <c r="K21" s="15">
        <v>-36890.796188905078</v>
      </c>
      <c r="L21" s="14">
        <v>0</v>
      </c>
    </row>
    <row r="22" spans="1:13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24134.359977963992</v>
      </c>
      <c r="F22" s="15">
        <v>30588.543410657745</v>
      </c>
      <c r="G22" s="15">
        <v>634368.45157939836</v>
      </c>
      <c r="H22" s="15">
        <v>500516.69226415147</v>
      </c>
      <c r="I22" s="15">
        <v>497558.02372686984</v>
      </c>
      <c r="J22" s="15">
        <v>500516.69226415147</v>
      </c>
      <c r="K22" s="15">
        <v>2958.6685372816282</v>
      </c>
      <c r="L22" s="14">
        <v>0</v>
      </c>
    </row>
    <row r="23" spans="1:13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26656.282903997755</v>
      </c>
      <c r="F23" s="15">
        <v>34936.150071016047</v>
      </c>
      <c r="G23" s="15">
        <v>669304.60165041441</v>
      </c>
      <c r="H23" s="15">
        <v>510679.41871884948</v>
      </c>
      <c r="I23" s="15">
        <v>524214.30663086759</v>
      </c>
      <c r="J23" s="15">
        <v>510679.41871884948</v>
      </c>
      <c r="K23" s="15">
        <v>-13534.887912018108</v>
      </c>
      <c r="L23" s="14">
        <v>0</v>
      </c>
    </row>
    <row r="24" spans="1:13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24620.694999812695</v>
      </c>
      <c r="F24" s="15">
        <v>31933.455404206645</v>
      </c>
      <c r="G24" s="15">
        <v>701238.05705462105</v>
      </c>
      <c r="H24" s="15">
        <v>540654.5613829419</v>
      </c>
      <c r="I24" s="15">
        <v>548835.00163068029</v>
      </c>
      <c r="J24" s="15">
        <v>540654.5613829419</v>
      </c>
      <c r="K24" s="15">
        <v>-8180.4402477383846</v>
      </c>
      <c r="L24" s="14">
        <v>0</v>
      </c>
    </row>
    <row r="25" spans="1:13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25968.809618826315</v>
      </c>
      <c r="F25" s="15">
        <v>34578.974785641672</v>
      </c>
      <c r="G25" s="15">
        <v>735817.0318402627</v>
      </c>
      <c r="H25" s="15">
        <v>552598.58143868495</v>
      </c>
      <c r="I25" s="15">
        <v>574803.81124950666</v>
      </c>
      <c r="J25" s="15">
        <v>552598.58143868495</v>
      </c>
      <c r="K25" s="15">
        <v>-22205.229810821707</v>
      </c>
      <c r="L25" s="14">
        <v>0</v>
      </c>
    </row>
    <row r="26" spans="1:13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33592.100855854354</v>
      </c>
      <c r="F26" s="15">
        <v>46655.693779200345</v>
      </c>
      <c r="G26" s="15">
        <v>782472.72561946302</v>
      </c>
      <c r="H26" s="15">
        <v>563380.38483273762</v>
      </c>
      <c r="I26" s="15">
        <v>608395.912105361</v>
      </c>
      <c r="J26" s="15">
        <v>563380.38483273762</v>
      </c>
      <c r="K26" s="15">
        <v>-45015.527272623382</v>
      </c>
      <c r="L26" s="14">
        <v>0</v>
      </c>
    </row>
    <row r="27" spans="1:13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28994.918863278643</v>
      </c>
      <c r="F27" s="15">
        <v>38403.866286625889</v>
      </c>
      <c r="G27" s="15">
        <v>820876.59190608887</v>
      </c>
      <c r="H27" s="15">
        <v>619761.82297485252</v>
      </c>
      <c r="I27" s="15">
        <v>637390.8309686397</v>
      </c>
      <c r="J27" s="15">
        <v>619761.82297485252</v>
      </c>
      <c r="K27" s="15">
        <v>-17629.007993787178</v>
      </c>
      <c r="L27" s="14">
        <v>0</v>
      </c>
    </row>
    <row r="28" spans="1:13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27069.436031023346</v>
      </c>
      <c r="F28" s="15">
        <v>35570.876252581569</v>
      </c>
      <c r="G28" s="15">
        <v>856447.46815867047</v>
      </c>
      <c r="H28" s="15">
        <v>651756.50407460728</v>
      </c>
      <c r="I28" s="15">
        <v>664460.26699966309</v>
      </c>
      <c r="J28" s="15">
        <v>651756.50407460728</v>
      </c>
      <c r="K28" s="15">
        <v>-12703.762925055809</v>
      </c>
      <c r="L28" s="14">
        <v>0</v>
      </c>
    </row>
    <row r="29" spans="1:13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31804.999065229906</v>
      </c>
      <c r="F29" s="15">
        <v>44544.817450934708</v>
      </c>
      <c r="G29" s="15">
        <v>900992.28560960514</v>
      </c>
      <c r="H29" s="15">
        <v>643308.47989571327</v>
      </c>
      <c r="I29" s="15">
        <v>696265.26606489299</v>
      </c>
      <c r="J29" s="15">
        <v>643308.47989571327</v>
      </c>
      <c r="K29" s="15">
        <v>-52956.786169179715</v>
      </c>
      <c r="L29" s="14">
        <v>0</v>
      </c>
    </row>
    <row r="30" spans="1:13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37098.531428900846</v>
      </c>
      <c r="F30" s="15">
        <v>54158.439853689146</v>
      </c>
      <c r="G30" s="15">
        <v>955150.72546329431</v>
      </c>
      <c r="H30" s="15">
        <v>654278.24921961338</v>
      </c>
      <c r="I30" s="15">
        <v>733363.79749379389</v>
      </c>
      <c r="J30" s="15">
        <v>654278.24921961338</v>
      </c>
      <c r="K30" s="15">
        <v>-79085.548274180503</v>
      </c>
      <c r="L30" s="14">
        <v>0</v>
      </c>
    </row>
    <row r="31" spans="1:13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37928.380537943682</v>
      </c>
      <c r="F31" s="15">
        <v>57207.211534216156</v>
      </c>
      <c r="G31" s="15">
        <v>1012357.9369975105</v>
      </c>
      <c r="H31" s="15">
        <v>671193.29967837257</v>
      </c>
      <c r="I31" s="15">
        <v>771292.17803173757</v>
      </c>
      <c r="J31" s="15">
        <v>671193.29967837257</v>
      </c>
      <c r="K31" s="15">
        <v>-100098.878353365</v>
      </c>
      <c r="L31" s="14">
        <v>0</v>
      </c>
    </row>
    <row r="32" spans="1:13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39902.178481777861</v>
      </c>
      <c r="F32" s="15">
        <v>61293.666787829745</v>
      </c>
      <c r="G32" s="15">
        <v>1073651.6037853402</v>
      </c>
      <c r="H32" s="15">
        <v>698947.21863819147</v>
      </c>
      <c r="I32" s="15">
        <v>811194.35651351546</v>
      </c>
      <c r="J32" s="15">
        <v>698947.21863819147</v>
      </c>
      <c r="K32" s="15">
        <v>-112247.137875324</v>
      </c>
      <c r="L32" s="14">
        <v>0</v>
      </c>
    </row>
    <row r="33" spans="1:12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39443.473005789252</v>
      </c>
      <c r="F33" s="15">
        <v>61152.67313516888</v>
      </c>
      <c r="G33" s="15">
        <v>1134804.2769205091</v>
      </c>
      <c r="H33" s="15">
        <v>731948.73696905444</v>
      </c>
      <c r="I33" s="15">
        <v>850637.82951930468</v>
      </c>
      <c r="J33" s="15">
        <v>731948.73696905444</v>
      </c>
      <c r="K33" s="15">
        <v>-118689.09255025024</v>
      </c>
      <c r="L33" s="14">
        <v>0</v>
      </c>
    </row>
    <row r="34" spans="1:12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47228.66583411934</v>
      </c>
      <c r="F34" s="15">
        <v>84186.571688541211</v>
      </c>
      <c r="G34" s="15">
        <v>1218990.8486090503</v>
      </c>
      <c r="H34" s="15">
        <v>683853.8532819543</v>
      </c>
      <c r="I34" s="15">
        <v>897866.49535342399</v>
      </c>
      <c r="J34" s="15">
        <v>683853.8532819543</v>
      </c>
      <c r="K34" s="15">
        <v>-214012.64207146969</v>
      </c>
      <c r="L34" s="14">
        <v>0</v>
      </c>
    </row>
    <row r="35" spans="1:12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38024.498342278057</v>
      </c>
      <c r="F35" s="15">
        <v>59599.526113190608</v>
      </c>
      <c r="G35" s="15">
        <v>1278590.374722241</v>
      </c>
      <c r="H35" s="15">
        <v>815740.67370509531</v>
      </c>
      <c r="I35" s="15">
        <v>935890.99369570205</v>
      </c>
      <c r="J35" s="15">
        <v>815740.67370509531</v>
      </c>
      <c r="K35" s="15">
        <v>-120150.31999060675</v>
      </c>
      <c r="L35" s="14">
        <v>0</v>
      </c>
    </row>
    <row r="36" spans="1:12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36101.712250310709</v>
      </c>
      <c r="F36" s="15">
        <v>55885.001090904167</v>
      </c>
      <c r="G36" s="15">
        <v>1334475.3758131452</v>
      </c>
      <c r="H36" s="15">
        <v>862071.12968228362</v>
      </c>
      <c r="I36" s="15">
        <v>971992.70594601275</v>
      </c>
      <c r="J36" s="15">
        <v>862071.12968228362</v>
      </c>
      <c r="K36" s="15">
        <v>-109921.57626372913</v>
      </c>
      <c r="L36" s="14">
        <v>0</v>
      </c>
    </row>
    <row r="37" spans="1:12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33513.039299013537</v>
      </c>
      <c r="F37" s="15">
        <v>50471.446648413526</v>
      </c>
      <c r="G37" s="15">
        <v>1384946.8224615587</v>
      </c>
      <c r="H37" s="15">
        <v>919604.65511358727</v>
      </c>
      <c r="I37" s="15">
        <v>1005505.7452450263</v>
      </c>
      <c r="J37" s="15">
        <v>919604.65511358727</v>
      </c>
      <c r="K37" s="15">
        <v>-85901.090131439036</v>
      </c>
      <c r="L37" s="14">
        <v>0</v>
      </c>
    </row>
    <row r="38" spans="1:12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31835.886027952234</v>
      </c>
      <c r="F38" s="15">
        <v>48978.287993362486</v>
      </c>
      <c r="G38" s="15">
        <v>1433925.1104549211</v>
      </c>
      <c r="H38" s="15">
        <v>932051.28760826006</v>
      </c>
      <c r="I38" s="15">
        <v>1037341.6312729785</v>
      </c>
      <c r="J38" s="15">
        <v>932051.28760826006</v>
      </c>
      <c r="K38" s="15">
        <v>-105290.34366471844</v>
      </c>
      <c r="L38" s="14">
        <v>0</v>
      </c>
    </row>
    <row r="39" spans="1:12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32918.784662577113</v>
      </c>
      <c r="F39" s="15">
        <v>51759.097205295868</v>
      </c>
      <c r="G39" s="15">
        <v>1485684.2076602171</v>
      </c>
      <c r="H39" s="15">
        <v>944895.12277571461</v>
      </c>
      <c r="I39" s="15">
        <v>1070260.4159355557</v>
      </c>
      <c r="J39" s="15">
        <v>944895.12277571461</v>
      </c>
      <c r="K39" s="15">
        <v>-125365.29315984109</v>
      </c>
      <c r="L39" s="14">
        <v>0</v>
      </c>
    </row>
    <row r="40" spans="1:12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32552.967778666007</v>
      </c>
      <c r="F40" s="15">
        <v>51426.488064638157</v>
      </c>
      <c r="G40" s="15">
        <v>1537110.6957248552</v>
      </c>
      <c r="H40" s="15">
        <v>972991.0953141842</v>
      </c>
      <c r="I40" s="15">
        <v>1102813.3837142217</v>
      </c>
      <c r="J40" s="15">
        <v>972991.0953141842</v>
      </c>
      <c r="K40" s="15">
        <v>-129822.28840003745</v>
      </c>
      <c r="L40" s="14">
        <v>0</v>
      </c>
    </row>
    <row r="41" spans="1:12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20380.877653796702</v>
      </c>
      <c r="F41" s="15">
        <v>33411.274058761628</v>
      </c>
      <c r="G41" s="15">
        <v>1570521.9697836167</v>
      </c>
      <c r="H41" s="15">
        <v>958018.42403450317</v>
      </c>
      <c r="I41" s="15">
        <v>1123194.2613680183</v>
      </c>
      <c r="J41" s="15">
        <v>958018.42403450317</v>
      </c>
      <c r="K41" s="15">
        <v>-165175.83733351517</v>
      </c>
      <c r="L41" s="14">
        <v>0</v>
      </c>
    </row>
    <row r="42" spans="1:12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1453.1359992128223</v>
      </c>
      <c r="F42" s="15">
        <v>1894.5710067449104</v>
      </c>
      <c r="G42" s="15">
        <v>1572416.5407903616</v>
      </c>
      <c r="H42" s="15">
        <v>1206043.5175274594</v>
      </c>
      <c r="I42" s="15">
        <v>1124647.3973672311</v>
      </c>
      <c r="J42" s="15">
        <v>1206043.5175274594</v>
      </c>
      <c r="K42" s="15">
        <v>81396.12016022834</v>
      </c>
      <c r="L42" s="14">
        <v>0</v>
      </c>
    </row>
    <row r="43" spans="1:12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2610.2554863989344</v>
      </c>
      <c r="F43" s="15">
        <v>3359.4021271033353</v>
      </c>
      <c r="G43" s="15">
        <v>1575775.942917465</v>
      </c>
      <c r="H43" s="15">
        <v>1224377.9234260293</v>
      </c>
      <c r="I43" s="15">
        <v>1127257.65285363</v>
      </c>
      <c r="J43" s="15">
        <v>1224377.9234260293</v>
      </c>
      <c r="K43" s="15">
        <v>97120.270572399255</v>
      </c>
      <c r="L43" s="14">
        <v>0</v>
      </c>
    </row>
    <row r="44" spans="1:12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3449.6138592626553</v>
      </c>
      <c r="F44" s="15">
        <v>4416.9190515094906</v>
      </c>
      <c r="G44" s="15">
        <v>1580192.8619689746</v>
      </c>
      <c r="H44" s="15">
        <v>1234130.6538305667</v>
      </c>
      <c r="I44" s="15">
        <v>1130707.2667128926</v>
      </c>
      <c r="J44" s="15">
        <v>1234130.6538305667</v>
      </c>
      <c r="K44" s="15">
        <v>103423.38711767411</v>
      </c>
      <c r="L44" s="14">
        <v>0</v>
      </c>
    </row>
    <row r="45" spans="1:12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3078.4574250494734</v>
      </c>
      <c r="F45" s="15">
        <v>3901.7205623006294</v>
      </c>
      <c r="G45" s="15">
        <v>1584094.5825312752</v>
      </c>
      <c r="H45" s="15">
        <v>1249850.5855833527</v>
      </c>
      <c r="I45" s="15">
        <v>1133785.7241379421</v>
      </c>
      <c r="J45" s="15">
        <v>1249850.5855833527</v>
      </c>
      <c r="K45" s="15">
        <v>116064.86144541064</v>
      </c>
      <c r="L45" s="14">
        <v>0</v>
      </c>
    </row>
    <row r="46" spans="1:12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4504.1689362253819</v>
      </c>
      <c r="F46" s="15">
        <v>5767.1816027210443</v>
      </c>
      <c r="G46" s="15">
        <v>1589861.7641339963</v>
      </c>
      <c r="H46" s="15">
        <v>1241682.0665966475</v>
      </c>
      <c r="I46" s="15">
        <v>1138289.8930741674</v>
      </c>
      <c r="J46" s="15">
        <v>1241682.0665966475</v>
      </c>
      <c r="K46" s="15">
        <v>103392.17352248007</v>
      </c>
      <c r="L46" s="14">
        <v>0</v>
      </c>
    </row>
    <row r="47" spans="1:12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-2040.9409313837987</v>
      </c>
      <c r="F47" s="15">
        <v>-2467.8849785392413</v>
      </c>
      <c r="G47" s="15">
        <v>1587393.879155457</v>
      </c>
      <c r="H47" s="15">
        <v>1312774.7728802687</v>
      </c>
      <c r="I47" s="15">
        <v>1138289.8930741674</v>
      </c>
      <c r="J47" s="15">
        <v>1314815.7138116525</v>
      </c>
      <c r="K47" s="15">
        <v>176525.82073748508</v>
      </c>
      <c r="L47" s="14">
        <v>2040.9409313837987</v>
      </c>
    </row>
    <row r="48" spans="1:12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-208.92884883219213</v>
      </c>
      <c r="F48" s="15">
        <v>-256.66934415187171</v>
      </c>
      <c r="G48" s="15">
        <v>1587137.2098113052</v>
      </c>
      <c r="H48" s="15">
        <v>1291929.7054361342</v>
      </c>
      <c r="I48" s="15">
        <v>1138289.8930741674</v>
      </c>
      <c r="J48" s="15">
        <v>1294179.5752163501</v>
      </c>
      <c r="K48" s="15">
        <v>155889.68214218272</v>
      </c>
      <c r="L48" s="14">
        <v>2249.8697802159909</v>
      </c>
    </row>
    <row r="49" spans="1:12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6041.0745821809896</v>
      </c>
      <c r="F49" s="15">
        <v>7855.7537462651344</v>
      </c>
      <c r="G49" s="15">
        <v>1594992.9635575702</v>
      </c>
      <c r="H49" s="15">
        <v>1226549.5790885966</v>
      </c>
      <c r="I49" s="15">
        <v>1144330.9676563484</v>
      </c>
      <c r="J49" s="15">
        <v>1228799.4488688125</v>
      </c>
      <c r="K49" s="15">
        <v>84468.481212464161</v>
      </c>
      <c r="L49" s="14">
        <v>2249.8697802159909</v>
      </c>
    </row>
    <row r="50" spans="1:12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8714.7559871502253</v>
      </c>
      <c r="F50" s="15">
        <v>11144.189167131237</v>
      </c>
      <c r="G50" s="15">
        <v>1606137.1527247014</v>
      </c>
      <c r="H50" s="15">
        <v>1255999.2618552411</v>
      </c>
      <c r="I50" s="15">
        <v>1153045.7236434985</v>
      </c>
      <c r="J50" s="15">
        <v>1258249.131635457</v>
      </c>
      <c r="K50" s="15">
        <v>105203.40799195855</v>
      </c>
      <c r="L50" s="14">
        <v>2249.8697802159909</v>
      </c>
    </row>
    <row r="51" spans="1:12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4619.7481428539177</v>
      </c>
      <c r="F51" s="15">
        <v>5689.3451672236279</v>
      </c>
      <c r="G51" s="15">
        <v>1611826.497891925</v>
      </c>
      <c r="H51" s="15">
        <v>1308803.0786278835</v>
      </c>
      <c r="I51" s="15">
        <v>1157665.4717863523</v>
      </c>
      <c r="J51" s="15">
        <v>1311052.9484080994</v>
      </c>
      <c r="K51" s="15">
        <v>153387.47662174702</v>
      </c>
      <c r="L51" s="14">
        <v>2249.8697802159909</v>
      </c>
    </row>
    <row r="52" spans="1:12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827.55769587140355</v>
      </c>
      <c r="F52" s="15">
        <v>979.35818680679415</v>
      </c>
      <c r="G52" s="15">
        <v>1612805.8560787318</v>
      </c>
      <c r="H52" s="15">
        <v>1362820.9945292741</v>
      </c>
      <c r="I52" s="15">
        <v>1158493.0294822238</v>
      </c>
      <c r="J52" s="15">
        <v>1365070.86430949</v>
      </c>
      <c r="K52" s="15">
        <v>206577.83482726617</v>
      </c>
      <c r="L52" s="14">
        <v>2249.8697802159909</v>
      </c>
    </row>
    <row r="53" spans="1:12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-17883.962059553654</v>
      </c>
      <c r="F53" s="15">
        <v>-17724.443069228022</v>
      </c>
      <c r="G53" s="15">
        <v>1595081.4130095039</v>
      </c>
      <c r="H53" s="15">
        <v>1609437.055976487</v>
      </c>
      <c r="I53" s="15">
        <v>1158493.0294822238</v>
      </c>
      <c r="J53" s="15">
        <v>1629570.8878162566</v>
      </c>
      <c r="K53" s="15">
        <v>471077.85833403282</v>
      </c>
      <c r="L53" s="14">
        <v>20133.831839769646</v>
      </c>
    </row>
    <row r="54" spans="1:12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-28655.058483172998</v>
      </c>
      <c r="F54" s="15">
        <v>-26337.368498071821</v>
      </c>
      <c r="G54" s="15">
        <v>1568744.0445114321</v>
      </c>
      <c r="H54" s="15">
        <v>1706793.6131848341</v>
      </c>
      <c r="I54" s="15">
        <v>1158493.0294822238</v>
      </c>
      <c r="J54" s="15">
        <v>1755582.5035077769</v>
      </c>
      <c r="K54" s="15">
        <v>597089.47402555309</v>
      </c>
      <c r="L54" s="14">
        <v>48788.890322942643</v>
      </c>
    </row>
    <row r="55" spans="1:12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-25555.095412625229</v>
      </c>
      <c r="F55" s="15">
        <v>-23816.49254693172</v>
      </c>
      <c r="G55" s="15">
        <v>1544927.5519645005</v>
      </c>
      <c r="H55" s="15">
        <v>1657707.192536738</v>
      </c>
      <c r="I55" s="15">
        <v>1158493.0294822238</v>
      </c>
      <c r="J55" s="15">
        <v>1732051.178272306</v>
      </c>
      <c r="K55" s="15">
        <v>573558.1487900822</v>
      </c>
      <c r="L55" s="14">
        <v>74343.985735567869</v>
      </c>
    </row>
    <row r="56" spans="1:12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-15847.849901360847</v>
      </c>
      <c r="F56" s="15">
        <v>-15238.317771785132</v>
      </c>
      <c r="G56" s="15">
        <v>1529689.2341927153</v>
      </c>
      <c r="H56" s="15">
        <v>1590876.7452074105</v>
      </c>
      <c r="I56" s="15">
        <v>1158493.0294822238</v>
      </c>
      <c r="J56" s="15">
        <v>1681068.5808443392</v>
      </c>
      <c r="K56" s="15">
        <v>522575.55136211542</v>
      </c>
      <c r="L56" s="14">
        <v>90191.835636928721</v>
      </c>
    </row>
    <row r="57" spans="1:12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-20790.629041221724</v>
      </c>
      <c r="F57" s="15">
        <v>-19540.064695712677</v>
      </c>
      <c r="G57" s="15">
        <v>1510149.1694970026</v>
      </c>
      <c r="H57" s="15">
        <v>1606798.732186906</v>
      </c>
      <c r="I57" s="15">
        <v>1158493.0294822238</v>
      </c>
      <c r="J57" s="15">
        <v>1717781.1968650564</v>
      </c>
      <c r="K57" s="15">
        <v>559288.16738283262</v>
      </c>
      <c r="L57" s="14">
        <v>110982.46467815044</v>
      </c>
    </row>
    <row r="58" spans="1:12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-22659.73697994119</v>
      </c>
      <c r="F58" s="15">
        <v>-21137.813820429725</v>
      </c>
      <c r="G58" s="15">
        <v>1489011.355676573</v>
      </c>
      <c r="H58" s="15">
        <v>1596220.2130461792</v>
      </c>
      <c r="I58" s="15">
        <v>1158493.0294822238</v>
      </c>
      <c r="J58" s="15">
        <v>1729862.4147042707</v>
      </c>
      <c r="K58" s="15">
        <v>571369.38522204687</v>
      </c>
      <c r="L58" s="14">
        <v>133642.20165809162</v>
      </c>
    </row>
    <row r="59" spans="1:12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-21765.21580417292</v>
      </c>
      <c r="F59" s="15">
        <v>-20246.711477892542</v>
      </c>
      <c r="G59" s="15">
        <v>1468764.6441986805</v>
      </c>
      <c r="H59" s="15">
        <v>1578922.0625497375</v>
      </c>
      <c r="I59" s="15">
        <v>1158493.0294822238</v>
      </c>
      <c r="J59" s="15">
        <v>1734329.4800120019</v>
      </c>
      <c r="K59" s="15">
        <v>575836.45052977814</v>
      </c>
      <c r="L59" s="14">
        <v>155407.41746226454</v>
      </c>
    </row>
    <row r="60" spans="1:12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-17431.418359027382</v>
      </c>
      <c r="F60" s="15">
        <v>-16633.033133458779</v>
      </c>
      <c r="G60" s="15">
        <v>1452131.6110652217</v>
      </c>
      <c r="H60" s="15">
        <v>1521833.896544558</v>
      </c>
      <c r="I60" s="15">
        <v>1158493.0294822238</v>
      </c>
      <c r="J60" s="15">
        <v>1694672.7323658499</v>
      </c>
      <c r="K60" s="15">
        <v>536179.7028836261</v>
      </c>
      <c r="L60" s="14">
        <v>172838.83582129193</v>
      </c>
    </row>
    <row r="61" spans="1:12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-32774.923782847916</v>
      </c>
      <c r="F61" s="15">
        <v>-27846.153362916037</v>
      </c>
      <c r="G61" s="15">
        <v>1424285.4577023056</v>
      </c>
      <c r="H61" s="15">
        <v>1676384.0489142279</v>
      </c>
      <c r="I61" s="15">
        <v>1158493.0294822238</v>
      </c>
      <c r="J61" s="15">
        <v>1881997.8085183678</v>
      </c>
      <c r="K61" s="15">
        <v>723504.77903614403</v>
      </c>
      <c r="L61" s="14">
        <v>205613.75960413984</v>
      </c>
    </row>
    <row r="62" spans="1:12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-36057.366675283578</v>
      </c>
      <c r="F62" s="15">
        <v>-28961.740190508626</v>
      </c>
      <c r="G62" s="15">
        <v>1395323.7175117971</v>
      </c>
      <c r="H62" s="15">
        <v>1737178.0349556094</v>
      </c>
      <c r="I62" s="15">
        <v>1158493.0294822238</v>
      </c>
      <c r="J62" s="15">
        <v>1978849.1612350328</v>
      </c>
      <c r="K62" s="15">
        <v>820356.13175280904</v>
      </c>
      <c r="L62" s="14">
        <v>241671.12627942342</v>
      </c>
    </row>
    <row r="63" spans="1:12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-60139.263576626639</v>
      </c>
      <c r="F63" s="15">
        <v>-47131.083462289775</v>
      </c>
      <c r="G63" s="15">
        <v>1348192.6340495073</v>
      </c>
      <c r="H63" s="15">
        <v>1720293.8319048518</v>
      </c>
      <c r="I63" s="15">
        <v>1158493.0294822238</v>
      </c>
      <c r="J63" s="15">
        <v>2022104.2217609019</v>
      </c>
      <c r="K63" s="15">
        <v>863611.19227867806</v>
      </c>
      <c r="L63" s="14">
        <v>301810.38985605008</v>
      </c>
    </row>
  </sheetData>
  <phoneticPr fontId="3" type="noConversion"/>
  <conditionalFormatting sqref="H2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3" style="21" customWidth="1"/>
    <col min="10" max="10" width="12.625" style="11" customWidth="1"/>
    <col min="11" max="11" width="10.75" style="11" customWidth="1"/>
    <col min="12" max="18" width="10.75" style="21" customWidth="1"/>
    <col min="19" max="19" width="9.5" style="11" bestFit="1" customWidth="1"/>
    <col min="20" max="20" width="9.375" style="10" bestFit="1" customWidth="1"/>
    <col min="21" max="21" width="9" style="11"/>
    <col min="22" max="22" width="9.75" style="11" bestFit="1" customWidth="1"/>
    <col min="23" max="24" width="11.375" style="11" customWidth="1"/>
    <col min="25" max="26" width="11.125" style="11" customWidth="1"/>
    <col min="27" max="27" width="10.375" style="11" customWidth="1"/>
    <col min="28" max="28" width="10.25" style="11" customWidth="1"/>
    <col min="29" max="29" width="10.125" style="11" customWidth="1"/>
    <col min="30" max="30" width="9" style="11"/>
    <col min="31" max="31" width="9.75" style="11" bestFit="1" customWidth="1"/>
    <col min="32" max="33" width="9" style="11"/>
    <col min="34" max="34" width="9.75" style="11" bestFit="1" customWidth="1"/>
    <col min="35" max="36" width="9" style="11"/>
    <col min="37" max="37" width="9.75" style="11" bestFit="1" customWidth="1"/>
    <col min="38" max="16384" width="9" style="11"/>
  </cols>
  <sheetData>
    <row r="1" spans="1:39" s="5" customFormat="1" ht="27" customHeight="1">
      <c r="A1" s="25" t="s">
        <v>7</v>
      </c>
      <c r="B1" s="25" t="s">
        <v>8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M1" s="4" t="s">
        <v>26</v>
      </c>
      <c r="N1" s="4" t="s">
        <v>27</v>
      </c>
      <c r="O1" s="4" t="s">
        <v>4</v>
      </c>
      <c r="P1" s="4" t="s">
        <v>5</v>
      </c>
      <c r="Q1" s="4" t="s">
        <v>1</v>
      </c>
      <c r="R1" s="4" t="s">
        <v>2</v>
      </c>
      <c r="S1" s="5" t="s">
        <v>6</v>
      </c>
      <c r="T1" s="6" t="s">
        <v>3</v>
      </c>
      <c r="U1" s="5" t="s">
        <v>28</v>
      </c>
    </row>
    <row r="2" spans="1:39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22"/>
      <c r="N2" s="22"/>
      <c r="O2" s="22"/>
      <c r="P2" s="22"/>
      <c r="Q2" s="22"/>
      <c r="R2" s="22"/>
      <c r="S2" s="9"/>
    </row>
    <row r="3" spans="1:39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23">
        <v>1.034</v>
      </c>
      <c r="N3" s="23">
        <v>1.012</v>
      </c>
      <c r="O3" s="23">
        <v>1.0256666666666667</v>
      </c>
      <c r="P3" s="23"/>
      <c r="Q3" s="23"/>
      <c r="R3" s="23"/>
      <c r="S3" s="9"/>
      <c r="V3" s="29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30" t="s">
        <v>18</v>
      </c>
      <c r="AB3" s="16" t="s">
        <v>24</v>
      </c>
      <c r="AC3" s="16" t="s">
        <v>25</v>
      </c>
      <c r="AE3" s="24">
        <v>44561</v>
      </c>
      <c r="AF3" s="11">
        <v>71470.226080923632</v>
      </c>
      <c r="AG3" s="11">
        <f>-AF3</f>
        <v>-71470.226080923632</v>
      </c>
      <c r="AH3" s="24">
        <v>44561</v>
      </c>
      <c r="AI3" s="11">
        <v>71470.218956071636</v>
      </c>
      <c r="AJ3" s="11">
        <f>-AI3</f>
        <v>-71470.218956071636</v>
      </c>
      <c r="AK3" s="24">
        <v>44561</v>
      </c>
      <c r="AL3" s="11">
        <v>71470.218956071636</v>
      </c>
      <c r="AM3" s="11">
        <f>-AL3</f>
        <v>-71470.218956071636</v>
      </c>
    </row>
    <row r="4" spans="1:39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3951.9737342833614</v>
      </c>
      <c r="F4" s="15">
        <v>3928.4033143969796</v>
      </c>
      <c r="G4" s="15">
        <v>3928.4033143969796</v>
      </c>
      <c r="H4" s="15">
        <v>3951.9737342833614</v>
      </c>
      <c r="I4" s="15">
        <v>3951.9737342833614</v>
      </c>
      <c r="J4" s="15">
        <v>3951.9737342833614</v>
      </c>
      <c r="K4" s="15">
        <v>0</v>
      </c>
      <c r="L4" s="14">
        <v>0</v>
      </c>
      <c r="M4" s="23">
        <v>1.054</v>
      </c>
      <c r="N4" s="23">
        <v>0.94</v>
      </c>
      <c r="O4" s="23">
        <v>1</v>
      </c>
      <c r="P4" s="23"/>
      <c r="Q4" s="23"/>
      <c r="R4" s="23"/>
      <c r="S4" s="9"/>
      <c r="V4" s="24">
        <v>44561</v>
      </c>
      <c r="W4" s="18">
        <v>71470.218956071636</v>
      </c>
      <c r="X4" s="8">
        <v>71470.218956071636</v>
      </c>
      <c r="Y4" s="8">
        <v>72037.588440626103</v>
      </c>
      <c r="Z4" s="8">
        <v>567.36948455446691</v>
      </c>
      <c r="AA4" s="8">
        <v>0</v>
      </c>
      <c r="AB4" s="19">
        <v>7.9385440934943013E-3</v>
      </c>
      <c r="AC4" s="19">
        <v>7.9385440934943013E-3</v>
      </c>
      <c r="AE4" s="24">
        <v>44925</v>
      </c>
      <c r="AF4" s="9">
        <v>417772.19972597784</v>
      </c>
      <c r="AG4" s="9">
        <f>-AF4</f>
        <v>-417772.19972597784</v>
      </c>
      <c r="AH4" s="24">
        <v>44925</v>
      </c>
      <c r="AI4" s="9">
        <v>417772.19570939441</v>
      </c>
      <c r="AJ4" s="9">
        <f>-AI4</f>
        <v>-417772.19570939441</v>
      </c>
      <c r="AK4" s="24">
        <v>44925</v>
      </c>
      <c r="AL4" s="9">
        <v>417772.19570939441</v>
      </c>
      <c r="AM4" s="9">
        <f>-AL4</f>
        <v>-417772.19570939441</v>
      </c>
    </row>
    <row r="5" spans="1:39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10209.589251649057</v>
      </c>
      <c r="F5" s="15">
        <v>10568.932972721592</v>
      </c>
      <c r="G5" s="15">
        <v>14497.336287118571</v>
      </c>
      <c r="H5" s="15">
        <v>14004.426853356539</v>
      </c>
      <c r="I5" s="15">
        <v>14161.562985932418</v>
      </c>
      <c r="J5" s="15">
        <v>14004.426853356539</v>
      </c>
      <c r="K5" s="15">
        <v>-157.13613257587895</v>
      </c>
      <c r="L5" s="14">
        <v>0</v>
      </c>
      <c r="M5" s="23">
        <v>1.0469999999999999</v>
      </c>
      <c r="N5" s="23">
        <v>0.95699999999999996</v>
      </c>
      <c r="O5" s="23">
        <v>0.98999999999999988</v>
      </c>
      <c r="P5" s="23"/>
      <c r="Q5" s="23"/>
      <c r="R5" s="23"/>
      <c r="S5" s="9"/>
      <c r="V5" s="24">
        <v>44925</v>
      </c>
      <c r="W5" s="18">
        <v>417772.19570939441</v>
      </c>
      <c r="X5" s="8">
        <v>489242.41466546606</v>
      </c>
      <c r="Y5" s="8">
        <v>453072.72155678517</v>
      </c>
      <c r="Z5" s="8">
        <v>-36169.693108680891</v>
      </c>
      <c r="AA5" s="8">
        <v>0</v>
      </c>
      <c r="AB5" s="19">
        <v>-7.3930002846161622E-2</v>
      </c>
      <c r="AC5" s="19">
        <v>-6.5045944429880764E-2</v>
      </c>
      <c r="AE5" s="24">
        <v>44925</v>
      </c>
      <c r="AF5" s="9"/>
      <c r="AG5" s="9">
        <v>453072.73054277548</v>
      </c>
      <c r="AH5" s="24">
        <v>45289</v>
      </c>
      <c r="AI5" s="9">
        <v>408088.678461281</v>
      </c>
      <c r="AJ5" s="9">
        <f>-AI5</f>
        <v>-408088.678461281</v>
      </c>
      <c r="AK5" s="24">
        <v>45289</v>
      </c>
      <c r="AL5" s="9">
        <v>408088.678461281</v>
      </c>
      <c r="AM5" s="9">
        <f>-AL5</f>
        <v>-408088.678461281</v>
      </c>
    </row>
    <row r="6" spans="1:39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18607.735896751474</v>
      </c>
      <c r="F6" s="15">
        <v>19362.888550209649</v>
      </c>
      <c r="G6" s="15">
        <v>33860.22483732822</v>
      </c>
      <c r="H6" s="15">
        <v>32539.676068672419</v>
      </c>
      <c r="I6" s="15">
        <v>32769.298882683892</v>
      </c>
      <c r="J6" s="15">
        <v>32539.676068672419</v>
      </c>
      <c r="K6" s="15">
        <v>-229.62281401147266</v>
      </c>
      <c r="L6" s="14">
        <v>0</v>
      </c>
      <c r="M6" s="23">
        <v>0.98799999999999999</v>
      </c>
      <c r="N6" s="23">
        <v>0.93700000000000006</v>
      </c>
      <c r="O6" s="23">
        <v>0.96200000000000008</v>
      </c>
      <c r="P6" s="23"/>
      <c r="Q6" s="23"/>
      <c r="R6" s="23"/>
      <c r="S6" s="9"/>
      <c r="V6" s="24">
        <v>45289</v>
      </c>
      <c r="W6" s="18">
        <v>408088.678461281</v>
      </c>
      <c r="X6" s="8">
        <v>897331.09312674706</v>
      </c>
      <c r="Y6" s="8">
        <v>776865.95413218427</v>
      </c>
      <c r="Z6" s="8">
        <v>-120465.13899456279</v>
      </c>
      <c r="AA6" s="8">
        <v>0</v>
      </c>
      <c r="AB6" s="19">
        <v>-0.1342482612240733</v>
      </c>
      <c r="AC6" s="19">
        <v>-8.5780570033674008E-2</v>
      </c>
      <c r="AE6" s="9"/>
      <c r="AF6" s="9"/>
      <c r="AG6" s="20">
        <v>-6.5045944429880764E-2</v>
      </c>
      <c r="AH6" s="24">
        <v>45289</v>
      </c>
      <c r="AI6" s="9"/>
      <c r="AJ6" s="20">
        <v>776865.95413218427</v>
      </c>
      <c r="AK6" s="24">
        <v>45657</v>
      </c>
      <c r="AL6" s="11">
        <v>300198.52745174943</v>
      </c>
      <c r="AM6" s="11">
        <f>-AL6</f>
        <v>-300198.52745174943</v>
      </c>
    </row>
    <row r="7" spans="1:39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11666.814393803639</v>
      </c>
      <c r="F7" s="15">
        <v>11749.058142547106</v>
      </c>
      <c r="G7" s="15">
        <v>45609.282979875323</v>
      </c>
      <c r="H7" s="15">
        <v>45290.016672375939</v>
      </c>
      <c r="I7" s="15">
        <v>44436.113276487529</v>
      </c>
      <c r="J7" s="15">
        <v>45290.016672375939</v>
      </c>
      <c r="K7" s="15">
        <v>853.90339588841016</v>
      </c>
      <c r="L7" s="14">
        <v>0</v>
      </c>
      <c r="M7" s="23">
        <v>1.0049999952316284</v>
      </c>
      <c r="N7" s="23">
        <v>0.93900001049041748</v>
      </c>
      <c r="O7" s="23">
        <v>0.97899999221165979</v>
      </c>
      <c r="P7" s="23"/>
      <c r="Q7" s="23"/>
      <c r="R7" s="23"/>
      <c r="S7" s="9"/>
      <c r="V7" s="24">
        <v>45657</v>
      </c>
      <c r="W7" s="18">
        <v>300198.52745391661</v>
      </c>
      <c r="X7" s="8">
        <v>1197529.6205806637</v>
      </c>
      <c r="Y7" s="8">
        <v>1327485.2779959701</v>
      </c>
      <c r="Z7" s="8">
        <v>129955.65741530643</v>
      </c>
      <c r="AA7" s="8">
        <v>0</v>
      </c>
      <c r="AB7" s="19">
        <v>0.10851978538308968</v>
      </c>
      <c r="AC7" s="19">
        <v>4.7158551078285926E-2</v>
      </c>
      <c r="AE7" s="9"/>
      <c r="AF7" s="9"/>
      <c r="AG7" s="9"/>
      <c r="AJ7" s="10">
        <v>-8.5780570033674008E-2</v>
      </c>
      <c r="AK7" s="24">
        <v>45657</v>
      </c>
      <c r="AM7" s="10">
        <v>1327485.2779934506</v>
      </c>
    </row>
    <row r="8" spans="1:39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12819.721960020022</v>
      </c>
      <c r="F8" s="15">
        <v>12680.238860929887</v>
      </c>
      <c r="G8" s="15">
        <v>58289.52184080521</v>
      </c>
      <c r="H8" s="15">
        <v>58930.708749033642</v>
      </c>
      <c r="I8" s="15">
        <v>57255.835236507555</v>
      </c>
      <c r="J8" s="15">
        <v>58930.708749033642</v>
      </c>
      <c r="K8" s="15">
        <v>1674.8735125260864</v>
      </c>
      <c r="L8" s="14">
        <v>0</v>
      </c>
      <c r="M8" s="23">
        <v>1.0219999551773071</v>
      </c>
      <c r="N8" s="23">
        <v>0.98100000619888306</v>
      </c>
      <c r="O8" s="23">
        <v>1.0046666661898296</v>
      </c>
      <c r="P8" s="23"/>
      <c r="Q8" s="23"/>
      <c r="R8" s="23"/>
      <c r="S8" s="9"/>
      <c r="AM8" s="10">
        <v>4.7158551078285926E-2</v>
      </c>
    </row>
    <row r="9" spans="1:39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14214.383719564079</v>
      </c>
      <c r="F9" s="15">
        <v>14329.016080516862</v>
      </c>
      <c r="G9" s="15">
        <v>72618.537921322073</v>
      </c>
      <c r="H9" s="15">
        <v>72037.588440626103</v>
      </c>
      <c r="I9" s="15">
        <v>71470.218956071636</v>
      </c>
      <c r="J9" s="15">
        <v>72037.588440626103</v>
      </c>
      <c r="K9" s="15">
        <v>567.36948455446691</v>
      </c>
      <c r="L9" s="14">
        <v>0</v>
      </c>
      <c r="M9" s="23">
        <v>1.034000039100647</v>
      </c>
      <c r="N9" s="23">
        <v>0.97600001096725464</v>
      </c>
      <c r="O9" s="23">
        <v>1.0006666779518127</v>
      </c>
      <c r="P9" s="23"/>
      <c r="Q9" s="23"/>
      <c r="R9" s="23"/>
      <c r="S9" s="9"/>
      <c r="AE9" s="17"/>
      <c r="AF9" s="9"/>
      <c r="AG9" s="9"/>
    </row>
    <row r="10" spans="1:39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26424.71588829716</v>
      </c>
      <c r="F10" s="15">
        <v>29657.370027358153</v>
      </c>
      <c r="G10" s="15">
        <v>102275.90794868022</v>
      </c>
      <c r="H10" s="15">
        <v>91127.831202443733</v>
      </c>
      <c r="I10" s="15">
        <v>97894.934844368792</v>
      </c>
      <c r="J10" s="15">
        <v>91127.831202443733</v>
      </c>
      <c r="K10" s="15">
        <v>-6767.1036419250595</v>
      </c>
      <c r="L10" s="14">
        <v>0</v>
      </c>
      <c r="M10" s="23">
        <v>0.99599999189376831</v>
      </c>
      <c r="N10" s="23">
        <v>0.88499999046325684</v>
      </c>
      <c r="O10" s="23">
        <v>0.92399998505910241</v>
      </c>
      <c r="P10" s="23"/>
      <c r="Q10" s="23"/>
      <c r="R10" s="23"/>
      <c r="S10" s="9"/>
      <c r="AE10" s="17"/>
      <c r="AF10" s="9"/>
      <c r="AG10" s="9"/>
    </row>
    <row r="11" spans="1:39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24565.559907930678</v>
      </c>
      <c r="F11" s="15">
        <v>27852.107820628753</v>
      </c>
      <c r="G11" s="15">
        <v>130128.01576930897</v>
      </c>
      <c r="H11" s="15">
        <v>114772.91369357279</v>
      </c>
      <c r="I11" s="15">
        <v>122460.49475229948</v>
      </c>
      <c r="J11" s="15">
        <v>114772.91369357279</v>
      </c>
      <c r="K11" s="15">
        <v>-7687.5810587266897</v>
      </c>
      <c r="L11" s="14">
        <v>0</v>
      </c>
      <c r="M11" s="23">
        <v>0.91100001335144043</v>
      </c>
      <c r="N11" s="23">
        <v>0.85000002384185791</v>
      </c>
      <c r="O11" s="23">
        <v>0.88100002209345496</v>
      </c>
      <c r="P11" s="23"/>
      <c r="Q11" s="23"/>
      <c r="R11" s="23"/>
      <c r="S11" s="9"/>
      <c r="AE11" s="17"/>
      <c r="AF11" s="9"/>
      <c r="AG11" s="9"/>
    </row>
    <row r="12" spans="1:39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34365.166232524549</v>
      </c>
      <c r="F12" s="15">
        <v>43390.3616398179</v>
      </c>
      <c r="G12" s="15">
        <v>173518.37740912687</v>
      </c>
      <c r="H12" s="15">
        <v>137426.55416336839</v>
      </c>
      <c r="I12" s="15">
        <v>156825.66098482403</v>
      </c>
      <c r="J12" s="15">
        <v>137426.55416336839</v>
      </c>
      <c r="K12" s="15">
        <v>-19399.106821455644</v>
      </c>
      <c r="L12" s="14">
        <v>0</v>
      </c>
      <c r="M12" s="23">
        <v>0.88599997758865356</v>
      </c>
      <c r="N12" s="23">
        <v>0.75</v>
      </c>
      <c r="O12" s="23">
        <v>0.80933332443237305</v>
      </c>
      <c r="P12" s="23"/>
      <c r="Q12" s="23"/>
      <c r="R12" s="23"/>
      <c r="S12" s="9"/>
      <c r="AE12" s="17"/>
    </row>
    <row r="13" spans="1:39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41222.659036680328</v>
      </c>
      <c r="F13" s="15">
        <v>57333.324166271741</v>
      </c>
      <c r="G13" s="15">
        <v>230851.70157539862</v>
      </c>
      <c r="H13" s="15">
        <v>165982.36924972216</v>
      </c>
      <c r="I13" s="15">
        <v>198048.32002150436</v>
      </c>
      <c r="J13" s="15">
        <v>165982.36924972216</v>
      </c>
      <c r="K13" s="15">
        <v>-32065.950771782198</v>
      </c>
      <c r="L13" s="14">
        <v>0</v>
      </c>
      <c r="M13" s="23">
        <v>0.80199998617172241</v>
      </c>
      <c r="N13" s="23">
        <v>0.65399998426437378</v>
      </c>
      <c r="O13" s="23">
        <v>0.7249999841054281</v>
      </c>
      <c r="P13" s="23"/>
      <c r="Q13" s="23"/>
      <c r="R13" s="23"/>
      <c r="S13" s="9"/>
      <c r="AG13" s="10"/>
    </row>
    <row r="14" spans="1:39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41909.786382681988</v>
      </c>
      <c r="F14" s="15">
        <v>56104.133279509435</v>
      </c>
      <c r="G14" s="15">
        <v>286955.83485490805</v>
      </c>
      <c r="H14" s="15">
        <v>214356.00261604332</v>
      </c>
      <c r="I14" s="15">
        <v>239958.10640418634</v>
      </c>
      <c r="J14" s="15">
        <v>214356.00261604332</v>
      </c>
      <c r="K14" s="15">
        <v>-25602.103788143024</v>
      </c>
      <c r="L14" s="14">
        <v>0</v>
      </c>
      <c r="M14" s="23">
        <v>0.74800002574920654</v>
      </c>
      <c r="N14" s="23">
        <v>0.68199998140335083</v>
      </c>
      <c r="O14" s="23">
        <v>0.72566666205724084</v>
      </c>
      <c r="P14" s="23"/>
      <c r="Q14" s="23"/>
      <c r="R14" s="23"/>
      <c r="S14" s="9"/>
    </row>
    <row r="15" spans="1:39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24920.157011082942</v>
      </c>
      <c r="F15" s="15">
        <v>29491.309073763103</v>
      </c>
      <c r="G15" s="15">
        <v>316447.14392867114</v>
      </c>
      <c r="H15" s="15">
        <v>267397.84567335254</v>
      </c>
      <c r="I15" s="15">
        <v>264878.26341526926</v>
      </c>
      <c r="J15" s="15">
        <v>267397.84567335254</v>
      </c>
      <c r="K15" s="15">
        <v>2519.5822580832755</v>
      </c>
      <c r="L15" s="14">
        <v>0</v>
      </c>
      <c r="M15" s="23">
        <v>0.86000001430511475</v>
      </c>
      <c r="N15" s="23">
        <v>0.74400001764297485</v>
      </c>
      <c r="O15" s="23">
        <v>0.8163333535194397</v>
      </c>
      <c r="P15" s="23"/>
      <c r="Q15" s="23"/>
      <c r="R15" s="23"/>
      <c r="S15" s="9"/>
    </row>
    <row r="16" spans="1:39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28976.018859637465</v>
      </c>
      <c r="F16" s="15">
        <v>36174.805111281457</v>
      </c>
      <c r="G16" s="15">
        <v>352621.9490399526</v>
      </c>
      <c r="H16" s="15">
        <v>282450.18084471551</v>
      </c>
      <c r="I16" s="15">
        <v>293854.28227490676</v>
      </c>
      <c r="J16" s="15">
        <v>282450.18084471551</v>
      </c>
      <c r="K16" s="15">
        <v>-11404.101430191251</v>
      </c>
      <c r="L16" s="14">
        <v>0</v>
      </c>
      <c r="M16" s="23">
        <v>0.85799998044967651</v>
      </c>
      <c r="N16" s="23">
        <v>0.79900002479553223</v>
      </c>
      <c r="O16" s="23">
        <v>0.81933333476384484</v>
      </c>
      <c r="P16" s="23">
        <v>0.90447619064648954</v>
      </c>
      <c r="Q16" s="23">
        <v>-8.5142855882644697E-2</v>
      </c>
      <c r="R16" s="23">
        <v>9.2884351843879331E-2</v>
      </c>
      <c r="S16" s="9">
        <v>1.3932652776581899E-3</v>
      </c>
      <c r="T16" s="9">
        <v>-61.110297692736168</v>
      </c>
      <c r="U16" s="11">
        <v>1</v>
      </c>
    </row>
    <row r="17" spans="1:21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31588.975435367818</v>
      </c>
      <c r="F17" s="15">
        <v>41292.779119040213</v>
      </c>
      <c r="G17" s="15">
        <v>393914.72815899283</v>
      </c>
      <c r="H17" s="15">
        <v>301344.76140663412</v>
      </c>
      <c r="I17" s="15">
        <v>325443.2577102746</v>
      </c>
      <c r="J17" s="15">
        <v>301344.76140663412</v>
      </c>
      <c r="K17" s="15">
        <v>-24098.496303640481</v>
      </c>
      <c r="L17" s="14">
        <v>0</v>
      </c>
      <c r="M17" s="23">
        <v>0.82700002193450928</v>
      </c>
      <c r="N17" s="23">
        <v>0.7630000114440918</v>
      </c>
      <c r="O17" s="23">
        <v>0.78500000635782874</v>
      </c>
      <c r="P17" s="23">
        <v>0.88728571491014396</v>
      </c>
      <c r="Q17" s="23">
        <v>-0.10228570855231522</v>
      </c>
      <c r="R17" s="23">
        <v>9.2761902434485316E-2</v>
      </c>
      <c r="S17" s="9">
        <v>1.3914285365172797E-3</v>
      </c>
      <c r="T17" s="9">
        <v>-73.511291358400982</v>
      </c>
      <c r="U17" s="11">
        <v>1</v>
      </c>
    </row>
    <row r="18" spans="1:21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47540.693207037395</v>
      </c>
      <c r="F18" s="15">
        <v>68305.595653742144</v>
      </c>
      <c r="G18" s="15">
        <v>462220.32381273498</v>
      </c>
      <c r="H18" s="15">
        <v>321705.33611670288</v>
      </c>
      <c r="I18" s="15">
        <v>372983.950917312</v>
      </c>
      <c r="J18" s="15">
        <v>321705.33611670288</v>
      </c>
      <c r="K18" s="15">
        <v>-51278.614800609124</v>
      </c>
      <c r="L18" s="14">
        <v>0</v>
      </c>
      <c r="M18" s="23">
        <v>0.77399998903274536</v>
      </c>
      <c r="N18" s="23">
        <v>0.69599997997283936</v>
      </c>
      <c r="O18" s="23">
        <v>0.72199998299280799</v>
      </c>
      <c r="P18" s="23">
        <v>0.86742857083820168</v>
      </c>
      <c r="Q18" s="23">
        <v>-0.1454285878453937</v>
      </c>
      <c r="R18" s="23">
        <v>9.561904966263543E-2</v>
      </c>
      <c r="S18" s="9">
        <v>1.4342857449395315E-3</v>
      </c>
      <c r="T18" s="9">
        <v>-101.39443158972821</v>
      </c>
      <c r="U18" s="11">
        <v>1.2</v>
      </c>
    </row>
    <row r="19" spans="1:21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47371.812292323739</v>
      </c>
      <c r="F19" s="15">
        <v>68954.605390756216</v>
      </c>
      <c r="G19" s="15">
        <v>531174.92920349119</v>
      </c>
      <c r="H19" s="15">
        <v>364917.16395188519</v>
      </c>
      <c r="I19" s="15">
        <v>420355.76320963574</v>
      </c>
      <c r="J19" s="15">
        <v>364917.16395188519</v>
      </c>
      <c r="K19" s="15">
        <v>-55438.599257750553</v>
      </c>
      <c r="L19" s="14">
        <v>0</v>
      </c>
      <c r="M19" s="23">
        <v>0.74199998378753662</v>
      </c>
      <c r="N19" s="23">
        <v>0.67799997329711914</v>
      </c>
      <c r="O19" s="23">
        <v>0.7023333112398783</v>
      </c>
      <c r="P19" s="23">
        <v>0.84688095021247867</v>
      </c>
      <c r="Q19" s="23">
        <v>-0.14454763897260037</v>
      </c>
      <c r="R19" s="23">
        <v>9.5721091747283951E-2</v>
      </c>
      <c r="S19" s="9">
        <v>1.4358163762092592E-3</v>
      </c>
      <c r="T19" s="9">
        <v>-100.67278892181521</v>
      </c>
      <c r="U19" s="11">
        <v>1.2</v>
      </c>
    </row>
    <row r="20" spans="1:21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35184.839779401416</v>
      </c>
      <c r="F20" s="15">
        <v>48867.83108511327</v>
      </c>
      <c r="G20" s="15">
        <v>580042.76028860442</v>
      </c>
      <c r="H20" s="15">
        <v>417630.80400295166</v>
      </c>
      <c r="I20" s="15">
        <v>455540.60298903717</v>
      </c>
      <c r="J20" s="15">
        <v>417630.80400295166</v>
      </c>
      <c r="K20" s="15">
        <v>-37909.798986085516</v>
      </c>
      <c r="L20" s="14">
        <v>0</v>
      </c>
      <c r="M20" s="23">
        <v>0.74500000476837158</v>
      </c>
      <c r="N20" s="23">
        <v>0.68400001525878906</v>
      </c>
      <c r="O20" s="23">
        <v>0.71633334954579675</v>
      </c>
      <c r="P20" s="23">
        <v>0.82933333232289264</v>
      </c>
      <c r="Q20" s="23">
        <v>-0.11299998277709589</v>
      </c>
      <c r="R20" s="23">
        <v>9.1809525984485135E-2</v>
      </c>
      <c r="S20" s="9">
        <v>1.377142889767277E-3</v>
      </c>
      <c r="T20" s="9">
        <v>-82.053927458603596</v>
      </c>
      <c r="U20" s="11">
        <v>1</v>
      </c>
    </row>
    <row r="21" spans="1:21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33701.811676428908</v>
      </c>
      <c r="F21" s="15">
        <v>46613.848054219117</v>
      </c>
      <c r="G21" s="15">
        <v>626656.60834282357</v>
      </c>
      <c r="H21" s="15">
        <v>453072.72155678517</v>
      </c>
      <c r="I21" s="15">
        <v>489242.41466546606</v>
      </c>
      <c r="J21" s="15">
        <v>453072.72155678517</v>
      </c>
      <c r="K21" s="15">
        <v>-36169.693108680891</v>
      </c>
      <c r="L21" s="14">
        <v>0</v>
      </c>
      <c r="M21" s="23">
        <v>0.75199997425079346</v>
      </c>
      <c r="N21" s="23">
        <v>0.7070000171661377</v>
      </c>
      <c r="O21" s="23">
        <v>0.72733332713445031</v>
      </c>
      <c r="P21" s="23">
        <v>0.81135714196023478</v>
      </c>
      <c r="Q21" s="23">
        <v>-8.4023814825784471E-2</v>
      </c>
      <c r="R21" s="23">
        <v>8.2551026830867819E-2</v>
      </c>
      <c r="S21" s="9">
        <v>1.2382654024630172E-3</v>
      </c>
      <c r="T21" s="9">
        <v>-67.856062729891207</v>
      </c>
      <c r="U21" s="11">
        <v>1</v>
      </c>
    </row>
    <row r="22" spans="1:21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24134.359977963992</v>
      </c>
      <c r="F22" s="15">
        <v>30588.543410657745</v>
      </c>
      <c r="G22" s="15">
        <v>657245.15175348136</v>
      </c>
      <c r="H22" s="15">
        <v>518566.40812335454</v>
      </c>
      <c r="I22" s="15">
        <v>513376.77464343002</v>
      </c>
      <c r="J22" s="15">
        <v>518566.40812335454</v>
      </c>
      <c r="K22" s="15">
        <v>5189.6334799245233</v>
      </c>
      <c r="L22" s="14">
        <v>0</v>
      </c>
      <c r="M22" s="23">
        <v>0.81000000238418579</v>
      </c>
      <c r="N22" s="23">
        <v>0.7149999737739563</v>
      </c>
      <c r="O22" s="23">
        <v>0.7713333169619242</v>
      </c>
      <c r="P22" s="23">
        <v>0.79469047415824157</v>
      </c>
      <c r="Q22" s="23">
        <v>-2.3357157196317369E-2</v>
      </c>
      <c r="R22" s="23">
        <v>6.8931978981511113E-2</v>
      </c>
      <c r="S22" s="9">
        <v>1.0339796847226666E-3</v>
      </c>
      <c r="T22" s="9">
        <v>-22.589570705716731</v>
      </c>
      <c r="U22" s="11">
        <v>1</v>
      </c>
    </row>
    <row r="23" spans="1:21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26656.282903997755</v>
      </c>
      <c r="F23" s="15">
        <v>34936.150071016047</v>
      </c>
      <c r="G23" s="15">
        <v>692181.30182449741</v>
      </c>
      <c r="H23" s="15">
        <v>528134.34121347789</v>
      </c>
      <c r="I23" s="15">
        <v>540033.05754742783</v>
      </c>
      <c r="J23" s="15">
        <v>528134.34121347789</v>
      </c>
      <c r="K23" s="15">
        <v>-11898.716333949938</v>
      </c>
      <c r="L23" s="14">
        <v>0</v>
      </c>
      <c r="M23" s="23">
        <v>0.80199998617172241</v>
      </c>
      <c r="N23" s="23">
        <v>0.75599998235702515</v>
      </c>
      <c r="O23" s="23">
        <v>0.77366665999094641</v>
      </c>
      <c r="P23" s="23">
        <v>0.77847618716103695</v>
      </c>
      <c r="Q23" s="23">
        <v>-4.8095271700905329E-3</v>
      </c>
      <c r="R23" s="23">
        <v>5.2020414751403191E-2</v>
      </c>
      <c r="S23" s="9">
        <v>7.8030622127104785E-4</v>
      </c>
      <c r="T23" s="9">
        <v>-6.163640682316041</v>
      </c>
      <c r="U23" s="11">
        <v>1</v>
      </c>
    </row>
    <row r="24" spans="1:21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24620.694999812695</v>
      </c>
      <c r="F24" s="15">
        <v>31933.455404206645</v>
      </c>
      <c r="G24" s="15">
        <v>724114.75722870405</v>
      </c>
      <c r="H24" s="15">
        <v>558292.49784985057</v>
      </c>
      <c r="I24" s="15">
        <v>564653.75254724058</v>
      </c>
      <c r="J24" s="15">
        <v>558292.49784985057</v>
      </c>
      <c r="K24" s="15">
        <v>-6361.2546973900171</v>
      </c>
      <c r="L24" s="14">
        <v>0</v>
      </c>
      <c r="M24" s="23">
        <v>0.77499997615814209</v>
      </c>
      <c r="N24" s="23">
        <v>0.7279999852180481</v>
      </c>
      <c r="O24" s="23">
        <v>0.75799999634424842</v>
      </c>
      <c r="P24" s="23">
        <v>0.76661904510997581</v>
      </c>
      <c r="Q24" s="23">
        <v>-8.6190487657273884E-3</v>
      </c>
      <c r="R24" s="23">
        <v>4.138095747856866E-2</v>
      </c>
      <c r="S24" s="9">
        <v>6.2071436217852986E-4</v>
      </c>
      <c r="T24" s="9">
        <v>-13.88569250351642</v>
      </c>
      <c r="U24" s="11">
        <v>1</v>
      </c>
    </row>
    <row r="25" spans="1:21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25968.809618826315</v>
      </c>
      <c r="F25" s="15">
        <v>34578.974785641672</v>
      </c>
      <c r="G25" s="15">
        <v>758693.7320143457</v>
      </c>
      <c r="H25" s="15">
        <v>569778.98297489283</v>
      </c>
      <c r="I25" s="15">
        <v>590622.56216606684</v>
      </c>
      <c r="J25" s="15">
        <v>569778.98297489283</v>
      </c>
      <c r="K25" s="15">
        <v>-20843.579191174009</v>
      </c>
      <c r="L25" s="14">
        <v>0</v>
      </c>
      <c r="M25" s="23">
        <v>0.78800000000000003</v>
      </c>
      <c r="N25" s="23">
        <v>0.72899999999999998</v>
      </c>
      <c r="O25" s="23">
        <v>0.75599999570846554</v>
      </c>
      <c r="P25" s="23">
        <v>0.75769047179676241</v>
      </c>
      <c r="Q25" s="23">
        <v>-1.6904760882968661E-3</v>
      </c>
      <c r="R25" s="23">
        <v>3.2738098541895536E-2</v>
      </c>
      <c r="S25" s="9">
        <v>4.9107147812843305E-4</v>
      </c>
      <c r="T25" s="9">
        <v>-3.4424236869540712</v>
      </c>
      <c r="U25" s="11">
        <v>1</v>
      </c>
    </row>
    <row r="26" spans="1:21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33592.100855854354</v>
      </c>
      <c r="F26" s="15">
        <v>46655.693779200345</v>
      </c>
      <c r="G26" s="15">
        <v>805349.42579354602</v>
      </c>
      <c r="H26" s="15">
        <v>579851.60961258505</v>
      </c>
      <c r="I26" s="15">
        <v>624214.66302192118</v>
      </c>
      <c r="J26" s="15">
        <v>579851.60961258505</v>
      </c>
      <c r="K26" s="15">
        <v>-44363.053409336135</v>
      </c>
      <c r="L26" s="14">
        <v>0</v>
      </c>
      <c r="M26" s="23">
        <v>0.74699997901916504</v>
      </c>
      <c r="N26" s="23">
        <v>0.7149999737739563</v>
      </c>
      <c r="O26" s="23">
        <v>0.72733332713445031</v>
      </c>
      <c r="P26" s="23">
        <v>0.75183332913262502</v>
      </c>
      <c r="Q26" s="23">
        <v>-2.4500001998174703E-2</v>
      </c>
      <c r="R26" s="23">
        <v>3.097619424547466E-2</v>
      </c>
      <c r="S26" s="9">
        <v>4.646429136821199E-4</v>
      </c>
      <c r="T26" s="9">
        <v>-52.728668137907079</v>
      </c>
      <c r="U26" s="11">
        <v>1</v>
      </c>
    </row>
    <row r="27" spans="1:21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28994.918863278643</v>
      </c>
      <c r="F27" s="15">
        <v>38403.866286625889</v>
      </c>
      <c r="G27" s="15">
        <v>843753.29208017187</v>
      </c>
      <c r="H27" s="15">
        <v>637033.73149720056</v>
      </c>
      <c r="I27" s="15">
        <v>653209.58188519988</v>
      </c>
      <c r="J27" s="15">
        <v>637033.73149720056</v>
      </c>
      <c r="K27" s="15">
        <v>-16175.850387999322</v>
      </c>
      <c r="L27" s="14">
        <v>0</v>
      </c>
      <c r="M27" s="23">
        <v>0.77399998903274536</v>
      </c>
      <c r="N27" s="23">
        <v>0.71100002527236938</v>
      </c>
      <c r="O27" s="23">
        <v>0.74666666984558105</v>
      </c>
      <c r="P27" s="23">
        <v>0.75338094954263612</v>
      </c>
      <c r="Q27" s="23">
        <v>-6.71427969705507E-3</v>
      </c>
      <c r="R27" s="23">
        <v>2.9428573835463736E-2</v>
      </c>
      <c r="S27" s="9">
        <v>4.4142860753195601E-4</v>
      </c>
      <c r="T27" s="9">
        <v>-15.21034111177085</v>
      </c>
      <c r="U27" s="11">
        <v>1</v>
      </c>
    </row>
    <row r="28" spans="1:21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27069.436031023346</v>
      </c>
      <c r="F28" s="15">
        <v>35570.876252581569</v>
      </c>
      <c r="G28" s="15">
        <v>879324.16833275347</v>
      </c>
      <c r="H28" s="15">
        <v>669165.67239438684</v>
      </c>
      <c r="I28" s="15">
        <v>680279.01791622327</v>
      </c>
      <c r="J28" s="15">
        <v>669165.67239438684</v>
      </c>
      <c r="K28" s="15">
        <v>-11113.345521836425</v>
      </c>
      <c r="L28" s="14">
        <v>0</v>
      </c>
      <c r="M28" s="23">
        <v>0.77100002765655518</v>
      </c>
      <c r="N28" s="23">
        <v>0.73400002717971802</v>
      </c>
      <c r="O28" s="23">
        <v>0.75533334414164222</v>
      </c>
      <c r="P28" s="23">
        <v>0.75549999826295033</v>
      </c>
      <c r="Q28" s="23">
        <v>-1.6665412130811852E-4</v>
      </c>
      <c r="R28" s="23">
        <v>2.7309525115149353E-2</v>
      </c>
      <c r="S28" s="9">
        <v>4.0964287672724028E-4</v>
      </c>
      <c r="T28" s="9">
        <v>-0.40682782681238899</v>
      </c>
      <c r="U28" s="11">
        <v>1</v>
      </c>
    </row>
    <row r="29" spans="1:21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31804.999065229906</v>
      </c>
      <c r="F29" s="15">
        <v>44544.817450934708</v>
      </c>
      <c r="G29" s="15">
        <v>923868.98578368814</v>
      </c>
      <c r="H29" s="15">
        <v>659642.44351457164</v>
      </c>
      <c r="I29" s="15">
        <v>712084.01698145317</v>
      </c>
      <c r="J29" s="15">
        <v>659642.44351457164</v>
      </c>
      <c r="K29" s="15">
        <v>-52441.573466881528</v>
      </c>
      <c r="L29" s="14">
        <v>0</v>
      </c>
      <c r="M29" s="23">
        <v>0.76999998092651367</v>
      </c>
      <c r="N29" s="23">
        <v>0.68699997663497925</v>
      </c>
      <c r="O29" s="23">
        <v>0.72366664807001746</v>
      </c>
      <c r="P29" s="23">
        <v>0.74888094787370585</v>
      </c>
      <c r="Q29" s="23">
        <v>-2.5214299803688389E-2</v>
      </c>
      <c r="R29" s="23">
        <v>2.5214288450422728E-2</v>
      </c>
      <c r="S29" s="9">
        <v>3.7821432675634093E-4</v>
      </c>
      <c r="T29" s="9">
        <v>-66.6666966847407</v>
      </c>
      <c r="U29" s="11">
        <v>1</v>
      </c>
    </row>
    <row r="30" spans="1:21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44518.23771468101</v>
      </c>
      <c r="F30" s="15">
        <v>64990.127824426963</v>
      </c>
      <c r="G30" s="15">
        <v>988859.11360811512</v>
      </c>
      <c r="H30" s="15">
        <v>677368.49517918273</v>
      </c>
      <c r="I30" s="15">
        <v>756602.25469613413</v>
      </c>
      <c r="J30" s="15">
        <v>677368.49517918273</v>
      </c>
      <c r="K30" s="15">
        <v>-79233.759516951395</v>
      </c>
      <c r="L30" s="14">
        <v>0</v>
      </c>
      <c r="M30" s="23">
        <v>0.72600001096725464</v>
      </c>
      <c r="N30" s="23">
        <v>0.67500001192092896</v>
      </c>
      <c r="O30" s="23">
        <v>0.69533334175745642</v>
      </c>
      <c r="P30" s="23">
        <v>0.7400238055161068</v>
      </c>
      <c r="Q30" s="23">
        <v>-4.4690463758650378E-2</v>
      </c>
      <c r="R30" s="23">
        <v>2.3690478676841358E-2</v>
      </c>
      <c r="S30" s="9">
        <v>3.5535718015262035E-4</v>
      </c>
      <c r="T30" s="9">
        <v>-125.76209587057316</v>
      </c>
      <c r="U30" s="11">
        <v>1.2</v>
      </c>
    </row>
    <row r="31" spans="1:21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45514.056645532415</v>
      </c>
      <c r="F31" s="15">
        <v>68648.653841059378</v>
      </c>
      <c r="G31" s="15">
        <v>1057507.7674491745</v>
      </c>
      <c r="H31" s="15">
        <v>701127.63670806878</v>
      </c>
      <c r="I31" s="15">
        <v>802116.3113416665</v>
      </c>
      <c r="J31" s="15">
        <v>701127.63670806878</v>
      </c>
      <c r="K31" s="15">
        <v>-100988.67463359772</v>
      </c>
      <c r="L31" s="14">
        <v>0</v>
      </c>
      <c r="M31" s="23">
        <v>0.69499999284744263</v>
      </c>
      <c r="N31" s="23">
        <v>0.63499999046325684</v>
      </c>
      <c r="O31" s="23">
        <v>0.66433332363764441</v>
      </c>
      <c r="P31" s="23">
        <v>0.73140475675037919</v>
      </c>
      <c r="Q31" s="23">
        <v>-6.707143311273478E-2</v>
      </c>
      <c r="R31" s="23">
        <v>2.4653063212933164E-2</v>
      </c>
      <c r="S31" s="9">
        <v>3.6979594819399746E-4</v>
      </c>
      <c r="T31" s="9">
        <v>-181.37416983689786</v>
      </c>
      <c r="U31" s="11">
        <v>1.2</v>
      </c>
    </row>
    <row r="32" spans="1:21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47882.61417813343</v>
      </c>
      <c r="F32" s="15">
        <v>73552.400145395688</v>
      </c>
      <c r="G32" s="15">
        <v>1131060.1675945702</v>
      </c>
      <c r="H32" s="15">
        <v>736320.194991978</v>
      </c>
      <c r="I32" s="15">
        <v>849998.92551979993</v>
      </c>
      <c r="J32" s="15">
        <v>736320.194991978</v>
      </c>
      <c r="K32" s="15">
        <v>-113678.73052782193</v>
      </c>
      <c r="L32" s="14">
        <v>0</v>
      </c>
      <c r="M32" s="23">
        <v>0.6809999942779541</v>
      </c>
      <c r="N32" s="23">
        <v>0.64800000190734863</v>
      </c>
      <c r="O32" s="23">
        <v>0.66000000635782874</v>
      </c>
      <c r="P32" s="23">
        <v>0.72697618699073774</v>
      </c>
      <c r="Q32" s="23">
        <v>-6.6976180632908999E-2</v>
      </c>
      <c r="R32" s="23">
        <v>2.8551020190829352E-2</v>
      </c>
      <c r="S32" s="9">
        <v>4.2826530286244025E-4</v>
      </c>
      <c r="T32" s="9">
        <v>-156.38946275884015</v>
      </c>
      <c r="U32" s="11">
        <v>1.2</v>
      </c>
    </row>
    <row r="33" spans="1:21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47332.1676069471</v>
      </c>
      <c r="F33" s="15">
        <v>73383.207762202655</v>
      </c>
      <c r="G33" s="15">
        <v>1204443.3753567729</v>
      </c>
      <c r="H33" s="15">
        <v>776865.95413218427</v>
      </c>
      <c r="I33" s="15">
        <v>897331.09312674706</v>
      </c>
      <c r="J33" s="15">
        <v>776865.95413218427</v>
      </c>
      <c r="K33" s="15">
        <v>-120465.13899456279</v>
      </c>
      <c r="L33" s="14">
        <v>0</v>
      </c>
      <c r="M33" s="23">
        <v>0.65100002288818359</v>
      </c>
      <c r="N33" s="23">
        <v>0.6119999885559082</v>
      </c>
      <c r="O33" s="23">
        <v>0.63599999745686853</v>
      </c>
      <c r="P33" s="23">
        <v>0.72223809314909437</v>
      </c>
      <c r="Q33" s="23">
        <v>-8.6238095692225847E-2</v>
      </c>
      <c r="R33" s="23">
        <v>3.4170063855696688E-2</v>
      </c>
      <c r="S33" s="9">
        <v>5.1255095783545035E-4</v>
      </c>
      <c r="T33" s="9">
        <v>-168.25272565369349</v>
      </c>
      <c r="U33" s="11">
        <v>1.2</v>
      </c>
    </row>
    <row r="34" spans="1:21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56674.399000943209</v>
      </c>
      <c r="F34" s="15">
        <v>101023.88602624946</v>
      </c>
      <c r="G34" s="15">
        <v>1305467.2613830224</v>
      </c>
      <c r="H34" s="15">
        <v>732367.11994097894</v>
      </c>
      <c r="I34" s="15">
        <v>954005.49212769023</v>
      </c>
      <c r="J34" s="15">
        <v>732367.11994097894</v>
      </c>
      <c r="K34" s="15">
        <v>-221638.37218671129</v>
      </c>
      <c r="L34" s="14">
        <v>0</v>
      </c>
      <c r="M34" s="23">
        <v>0.64499998092651367</v>
      </c>
      <c r="N34" s="23">
        <v>0.55900001525878906</v>
      </c>
      <c r="O34" s="23">
        <v>0.58833332856496179</v>
      </c>
      <c r="P34" s="23">
        <v>0.71309523450760626</v>
      </c>
      <c r="Q34" s="23">
        <v>-0.12476190594264447</v>
      </c>
      <c r="R34" s="23">
        <v>4.5925167823324356E-2</v>
      </c>
      <c r="S34" s="9">
        <v>6.8887751734986527E-4</v>
      </c>
      <c r="T34" s="9">
        <v>-181.10898207653469</v>
      </c>
      <c r="U34" s="11">
        <v>1.2</v>
      </c>
    </row>
    <row r="35" spans="1:21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45629.398010733668</v>
      </c>
      <c r="F35" s="15">
        <v>71519.431335828733</v>
      </c>
      <c r="G35" s="15">
        <v>1376986.6927188511</v>
      </c>
      <c r="H35" s="15">
        <v>878517.52571298915</v>
      </c>
      <c r="I35" s="15">
        <v>999634.89013842389</v>
      </c>
      <c r="J35" s="15">
        <v>878517.52571298915</v>
      </c>
      <c r="K35" s="15">
        <v>-121117.36442543473</v>
      </c>
      <c r="L35" s="14">
        <v>0</v>
      </c>
      <c r="M35" s="23">
        <v>0.63999998569488525</v>
      </c>
      <c r="N35" s="23">
        <v>0.53600001335144043</v>
      </c>
      <c r="O35" s="23">
        <v>0.60466667016347253</v>
      </c>
      <c r="P35" s="23">
        <v>0.70433333043825086</v>
      </c>
      <c r="Q35" s="23">
        <v>-9.9666660274778329E-2</v>
      </c>
      <c r="R35" s="23">
        <v>5.3904759241610103E-2</v>
      </c>
      <c r="S35" s="9">
        <v>8.0857138862415153E-4</v>
      </c>
      <c r="T35" s="9">
        <v>-123.2626601398413</v>
      </c>
      <c r="U35" s="11">
        <v>1.2</v>
      </c>
    </row>
    <row r="36" spans="1:21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36101.712250310709</v>
      </c>
      <c r="F36" s="15">
        <v>55885.001090904167</v>
      </c>
      <c r="G36" s="15">
        <v>1432871.6938097554</v>
      </c>
      <c r="H36" s="15">
        <v>925635.15382939705</v>
      </c>
      <c r="I36" s="15">
        <v>1035736.6023887346</v>
      </c>
      <c r="J36" s="15">
        <v>925635.15382939705</v>
      </c>
      <c r="K36" s="15">
        <v>-110101.44855933753</v>
      </c>
      <c r="L36" s="14">
        <v>0</v>
      </c>
      <c r="M36" s="23">
        <v>0.67000001668930054</v>
      </c>
      <c r="N36" s="23">
        <v>0.63400000333786011</v>
      </c>
      <c r="O36" s="23">
        <v>0.6500000158945719</v>
      </c>
      <c r="P36" s="23">
        <v>0.69566666607629701</v>
      </c>
      <c r="Q36" s="23">
        <v>-4.566665018172511E-2</v>
      </c>
      <c r="R36" s="23">
        <v>5.2999996957324789E-2</v>
      </c>
      <c r="S36" s="9">
        <v>7.9499995435987185E-4</v>
      </c>
      <c r="T36" s="9">
        <v>-57.442330570315015</v>
      </c>
      <c r="U36" s="11">
        <v>1</v>
      </c>
    </row>
    <row r="37" spans="1:21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33513.039299013537</v>
      </c>
      <c r="F37" s="15">
        <v>50471.446648413526</v>
      </c>
      <c r="G37" s="15">
        <v>1483343.1404581689</v>
      </c>
      <c r="H37" s="15">
        <v>984939.80777662841</v>
      </c>
      <c r="I37" s="15">
        <v>1069249.641687748</v>
      </c>
      <c r="J37" s="15">
        <v>984939.80777662841</v>
      </c>
      <c r="K37" s="15">
        <v>-84309.833911119611</v>
      </c>
      <c r="L37" s="14">
        <v>0</v>
      </c>
      <c r="M37" s="23">
        <v>0.67299997806549072</v>
      </c>
      <c r="N37" s="23">
        <v>0.62900000810623169</v>
      </c>
      <c r="O37" s="23">
        <v>0.65533332029978431</v>
      </c>
      <c r="P37" s="23">
        <v>0.68721428466978529</v>
      </c>
      <c r="Q37" s="23">
        <v>-3.1880964370000986E-2</v>
      </c>
      <c r="R37" s="23">
        <v>5.026190433048066E-2</v>
      </c>
      <c r="S37" s="9">
        <v>7.5392856495720988E-4</v>
      </c>
      <c r="T37" s="9">
        <v>-42.286452393285337</v>
      </c>
      <c r="U37" s="11">
        <v>1</v>
      </c>
    </row>
    <row r="38" spans="1:21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31835.886027952234</v>
      </c>
      <c r="F38" s="15">
        <v>48978.287993362486</v>
      </c>
      <c r="G38" s="15">
        <v>1532321.4284515313</v>
      </c>
      <c r="H38" s="15">
        <v>996008.89196010563</v>
      </c>
      <c r="I38" s="15">
        <v>1101085.5277157002</v>
      </c>
      <c r="J38" s="15">
        <v>996008.89196010563</v>
      </c>
      <c r="K38" s="15">
        <v>-105076.63575559459</v>
      </c>
      <c r="L38" s="14">
        <v>0</v>
      </c>
      <c r="M38" s="23">
        <v>0.68300002813339233</v>
      </c>
      <c r="N38" s="23">
        <v>0.6470000147819519</v>
      </c>
      <c r="O38" s="23">
        <v>0.66000000635782874</v>
      </c>
      <c r="P38" s="23">
        <v>0.68021428538504092</v>
      </c>
      <c r="Q38" s="23">
        <v>-2.0214279027212179E-2</v>
      </c>
      <c r="R38" s="23">
        <v>4.6149659192480992E-2</v>
      </c>
      <c r="S38" s="9">
        <v>6.9224488788721488E-4</v>
      </c>
      <c r="T38" s="9">
        <v>-29.201052085639414</v>
      </c>
      <c r="U38" s="11">
        <v>1</v>
      </c>
    </row>
    <row r="39" spans="1:21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32918.784662577113</v>
      </c>
      <c r="F39" s="15">
        <v>51759.097205295868</v>
      </c>
      <c r="G39" s="15">
        <v>1584080.5256568273</v>
      </c>
      <c r="H39" s="15">
        <v>1007475.1788163647</v>
      </c>
      <c r="I39" s="15">
        <v>1134004.3123782773</v>
      </c>
      <c r="J39" s="15">
        <v>1007475.1788163647</v>
      </c>
      <c r="K39" s="15">
        <v>-126529.13356191257</v>
      </c>
      <c r="L39" s="14">
        <v>0</v>
      </c>
      <c r="M39" s="23">
        <v>0.66900002956390381</v>
      </c>
      <c r="N39" s="23">
        <v>0.62999999523162842</v>
      </c>
      <c r="O39" s="23">
        <v>0.64500000079472863</v>
      </c>
      <c r="P39" s="23">
        <v>0.67228571431977413</v>
      </c>
      <c r="Q39" s="23">
        <v>-2.7285713525045496E-2</v>
      </c>
      <c r="R39" s="23">
        <v>4.0986394192896743E-2</v>
      </c>
      <c r="S39" s="9">
        <v>6.1479591289345117E-4</v>
      </c>
      <c r="T39" s="9">
        <v>-44.381741896476008</v>
      </c>
      <c r="U39" s="11">
        <v>1</v>
      </c>
    </row>
    <row r="40" spans="1:21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32552.967778666007</v>
      </c>
      <c r="F40" s="15">
        <v>51426.488064638157</v>
      </c>
      <c r="G40" s="15">
        <v>1635507.0137214654</v>
      </c>
      <c r="H40" s="15">
        <v>1035275.9662012851</v>
      </c>
      <c r="I40" s="15">
        <v>1166557.2801569432</v>
      </c>
      <c r="J40" s="15">
        <v>1035275.9662012851</v>
      </c>
      <c r="K40" s="15">
        <v>-131281.31395565812</v>
      </c>
      <c r="L40" s="14">
        <v>0</v>
      </c>
      <c r="M40" s="23">
        <v>0.64899998903274536</v>
      </c>
      <c r="N40" s="23">
        <v>0.61299997568130493</v>
      </c>
      <c r="O40" s="23">
        <v>0.63166666030883789</v>
      </c>
      <c r="P40" s="23">
        <v>0.66545238097508741</v>
      </c>
      <c r="Q40" s="23">
        <v>-3.3785720666249519E-2</v>
      </c>
      <c r="R40" s="23">
        <v>3.7027211416335297E-2</v>
      </c>
      <c r="S40" s="9">
        <v>5.5540817124502941E-4</v>
      </c>
      <c r="T40" s="9">
        <v>-60.830435012351074</v>
      </c>
      <c r="U40" s="11">
        <v>1</v>
      </c>
    </row>
    <row r="41" spans="1:21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20380.877653796702</v>
      </c>
      <c r="F41" s="15">
        <v>33411.274058761628</v>
      </c>
      <c r="G41" s="15">
        <v>1668918.2877802269</v>
      </c>
      <c r="H41" s="15">
        <v>1018040.179420006</v>
      </c>
      <c r="I41" s="15">
        <v>1186938.1578107399</v>
      </c>
      <c r="J41" s="15">
        <v>1018040.179420006</v>
      </c>
      <c r="K41" s="15">
        <v>-168897.97839073394</v>
      </c>
      <c r="L41" s="14">
        <v>0</v>
      </c>
      <c r="M41" s="23">
        <v>0.63599997758865356</v>
      </c>
      <c r="N41" s="23">
        <v>0.58399999141693115</v>
      </c>
      <c r="O41" s="23">
        <v>0.60999999443689978</v>
      </c>
      <c r="P41" s="23">
        <v>0.65569047558875304</v>
      </c>
      <c r="Q41" s="23">
        <v>-4.5690481151853257E-2</v>
      </c>
      <c r="R41" s="23">
        <v>3.2074830969985625E-2</v>
      </c>
      <c r="S41" s="9">
        <v>4.8112246454978433E-4</v>
      </c>
      <c r="T41" s="9">
        <v>-94.966426468172983</v>
      </c>
      <c r="U41" s="11">
        <v>1</v>
      </c>
    </row>
    <row r="42" spans="1:21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1453.1359992128223</v>
      </c>
      <c r="F42" s="15">
        <v>1894.5710067449104</v>
      </c>
      <c r="G42" s="15">
        <v>1670812.8587869718</v>
      </c>
      <c r="H42" s="15">
        <v>1281513.4953545392</v>
      </c>
      <c r="I42" s="15">
        <v>1188391.2938099527</v>
      </c>
      <c r="J42" s="15">
        <v>1281513.4953545392</v>
      </c>
      <c r="K42" s="15">
        <v>93122.201544586569</v>
      </c>
      <c r="L42" s="14">
        <v>0</v>
      </c>
      <c r="M42" s="23">
        <v>0.76700001955032349</v>
      </c>
      <c r="N42" s="23">
        <v>0.58899998664855957</v>
      </c>
      <c r="O42" s="23">
        <v>0.70766667524973548</v>
      </c>
      <c r="P42" s="23">
        <v>0.6522857135250455</v>
      </c>
      <c r="Q42" s="23">
        <v>5.5380961724689981E-2</v>
      </c>
      <c r="R42" s="23">
        <v>2.8619046722139607E-2</v>
      </c>
      <c r="S42" s="9">
        <v>4.2928570083209408E-4</v>
      </c>
      <c r="T42" s="9">
        <v>129.00723601402009</v>
      </c>
      <c r="U42" s="11">
        <v>1</v>
      </c>
    </row>
    <row r="43" spans="1:21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2610.2554863989344</v>
      </c>
      <c r="F43" s="15">
        <v>3359.4021271033353</v>
      </c>
      <c r="G43" s="15">
        <v>1674172.2609140752</v>
      </c>
      <c r="H43" s="15">
        <v>1300831.8634946949</v>
      </c>
      <c r="I43" s="15">
        <v>1191001.5492963516</v>
      </c>
      <c r="J43" s="15">
        <v>1300831.8634946949</v>
      </c>
      <c r="K43" s="15">
        <v>109830.31419834332</v>
      </c>
      <c r="L43" s="14">
        <v>0</v>
      </c>
      <c r="M43" s="23">
        <v>0.87400001287460327</v>
      </c>
      <c r="N43" s="23">
        <v>0.72699999809265137</v>
      </c>
      <c r="O43" s="23">
        <v>0.79266667366027832</v>
      </c>
      <c r="P43" s="23">
        <v>0.65721428678149274</v>
      </c>
      <c r="Q43" s="23">
        <v>0.13545238687878558</v>
      </c>
      <c r="R43" s="23">
        <v>3.3816329475973732E-2</v>
      </c>
      <c r="S43" s="9">
        <v>5.0724494213960592E-4</v>
      </c>
      <c r="T43" s="9">
        <v>267.03546083167419</v>
      </c>
      <c r="U43" s="11">
        <v>1</v>
      </c>
    </row>
    <row r="44" spans="1:21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3449.6138592626553</v>
      </c>
      <c r="F44" s="15">
        <v>4416.9190515094906</v>
      </c>
      <c r="G44" s="15">
        <v>1678589.1799655848</v>
      </c>
      <c r="H44" s="15">
        <v>1310978.1799688421</v>
      </c>
      <c r="I44" s="15">
        <v>1194451.1631556142</v>
      </c>
      <c r="J44" s="15">
        <v>1310978.1799688421</v>
      </c>
      <c r="K44" s="15">
        <v>116527.01681322791</v>
      </c>
      <c r="L44" s="14">
        <v>0</v>
      </c>
      <c r="M44" s="23">
        <v>0.85500001907348633</v>
      </c>
      <c r="N44" s="23">
        <v>0.75300002098083496</v>
      </c>
      <c r="O44" s="23">
        <v>0.79633335272471106</v>
      </c>
      <c r="P44" s="23">
        <v>0.66442857327915372</v>
      </c>
      <c r="Q44" s="23">
        <v>0.13190477944555734</v>
      </c>
      <c r="R44" s="23">
        <v>4.3340140256751959E-2</v>
      </c>
      <c r="S44" s="9">
        <v>6.5010210385127941E-4</v>
      </c>
      <c r="T44" s="9">
        <v>202.89855803286639</v>
      </c>
      <c r="U44" s="11">
        <v>1</v>
      </c>
    </row>
    <row r="45" spans="1:21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3078.4574250494734</v>
      </c>
      <c r="F45" s="15">
        <v>3901.7205623006294</v>
      </c>
      <c r="G45" s="15">
        <v>1682490.9005278854</v>
      </c>
      <c r="H45" s="15">
        <v>1327485.2779959701</v>
      </c>
      <c r="I45" s="15">
        <v>1197529.6205806637</v>
      </c>
      <c r="J45" s="15">
        <v>1327485.2779959701</v>
      </c>
      <c r="K45" s="15">
        <v>129955.65741530643</v>
      </c>
      <c r="L45" s="14">
        <v>0</v>
      </c>
      <c r="M45" s="23">
        <v>0.84799998998641968</v>
      </c>
      <c r="N45" s="23">
        <v>0.77600002288818359</v>
      </c>
      <c r="O45" s="23">
        <v>0.80433332920074463</v>
      </c>
      <c r="P45" s="23">
        <v>0.67442857367651798</v>
      </c>
      <c r="Q45" s="23">
        <v>0.12990475552422664</v>
      </c>
      <c r="R45" s="23">
        <v>5.7612248018485322E-2</v>
      </c>
      <c r="S45" s="9">
        <v>8.641837202772798E-4</v>
      </c>
      <c r="T45" s="9">
        <v>150.32076221309254</v>
      </c>
      <c r="U45" s="11">
        <v>1</v>
      </c>
    </row>
    <row r="46" spans="1:21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4504.1689362253819</v>
      </c>
      <c r="F46" s="15">
        <v>5767.1816027210443</v>
      </c>
      <c r="G46" s="15">
        <v>1688258.0821306065</v>
      </c>
      <c r="H46" s="15">
        <v>1318529.5927349227</v>
      </c>
      <c r="I46" s="15">
        <v>1202033.789516889</v>
      </c>
      <c r="J46" s="15">
        <v>1318529.5927349227</v>
      </c>
      <c r="K46" s="15">
        <v>116495.80321803363</v>
      </c>
      <c r="L46" s="14">
        <v>0</v>
      </c>
      <c r="M46" s="23">
        <v>0.79900002479553223</v>
      </c>
      <c r="N46" s="23">
        <v>0.7369999885559082</v>
      </c>
      <c r="O46" s="23">
        <v>0.77233334382375085</v>
      </c>
      <c r="P46" s="23">
        <v>0.68245238349551252</v>
      </c>
      <c r="Q46" s="23">
        <v>8.9880960328238335E-2</v>
      </c>
      <c r="R46" s="23">
        <v>6.5867351025951162E-2</v>
      </c>
      <c r="S46" s="9">
        <v>9.8801026538926731E-4</v>
      </c>
      <c r="T46" s="9">
        <v>90.9716867089696</v>
      </c>
      <c r="U46" s="11">
        <v>1</v>
      </c>
    </row>
    <row r="47" spans="1:21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-2449.1291176605582</v>
      </c>
      <c r="F47" s="15">
        <v>-2961.4619742470895</v>
      </c>
      <c r="G47" s="15">
        <v>1685296.6201563594</v>
      </c>
      <c r="H47" s="15">
        <v>1393740.3418354637</v>
      </c>
      <c r="I47" s="15">
        <v>1202033.789516889</v>
      </c>
      <c r="J47" s="15">
        <v>1396189.4709531241</v>
      </c>
      <c r="K47" s="15">
        <v>194155.68143623509</v>
      </c>
      <c r="L47" s="14">
        <v>2449.1291176605582</v>
      </c>
      <c r="M47" s="23">
        <v>0.86900001764297485</v>
      </c>
      <c r="N47" s="23">
        <v>0.77999997138977051</v>
      </c>
      <c r="O47" s="23">
        <v>0.82533333698908484</v>
      </c>
      <c r="P47" s="23">
        <v>0.69597619346209938</v>
      </c>
      <c r="Q47" s="23">
        <v>0.12935714352698546</v>
      </c>
      <c r="R47" s="23">
        <v>7.4687078696529879E-2</v>
      </c>
      <c r="S47" s="9">
        <v>1.1203061804479482E-3</v>
      </c>
      <c r="T47" s="9">
        <v>115.46588404543365</v>
      </c>
      <c r="U47" s="11">
        <v>1.2</v>
      </c>
    </row>
    <row r="48" spans="1:21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-208.92884883219213</v>
      </c>
      <c r="F48" s="15">
        <v>-256.66934415187171</v>
      </c>
      <c r="G48" s="15">
        <v>1685039.9508122075</v>
      </c>
      <c r="H48" s="15">
        <v>1371622.5376379094</v>
      </c>
      <c r="I48" s="15">
        <v>1202033.789516889</v>
      </c>
      <c r="J48" s="15">
        <v>1374280.5956044022</v>
      </c>
      <c r="K48" s="15">
        <v>172246.80608751322</v>
      </c>
      <c r="L48" s="14">
        <v>2658.0579664927504</v>
      </c>
      <c r="M48" s="23">
        <v>0.85399997234344482</v>
      </c>
      <c r="N48" s="23">
        <v>0.80800002813339233</v>
      </c>
      <c r="O48" s="23">
        <v>0.82533333698908484</v>
      </c>
      <c r="P48" s="23">
        <v>0.71290476549239379</v>
      </c>
      <c r="Q48" s="23">
        <v>0.11242857149669105</v>
      </c>
      <c r="R48" s="23">
        <v>7.6986397204755905E-2</v>
      </c>
      <c r="S48" s="9">
        <v>1.1547959580713385E-3</v>
      </c>
      <c r="T48" s="9">
        <v>97.357953767401114</v>
      </c>
      <c r="U48" s="11">
        <v>1</v>
      </c>
    </row>
    <row r="49" spans="1:21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6041.0745821809896</v>
      </c>
      <c r="F49" s="15">
        <v>7855.7537462651344</v>
      </c>
      <c r="G49" s="15">
        <v>1692895.7045584726</v>
      </c>
      <c r="H49" s="15">
        <v>1301836.7863114029</v>
      </c>
      <c r="I49" s="15">
        <v>1208074.86409907</v>
      </c>
      <c r="J49" s="15">
        <v>1304494.8442778958</v>
      </c>
      <c r="K49" s="15">
        <v>96419.98017882579</v>
      </c>
      <c r="L49" s="14">
        <v>2658.0579664927504</v>
      </c>
      <c r="M49" s="23">
        <v>0.82200002670288086</v>
      </c>
      <c r="N49" s="23">
        <v>0.6589999794960022</v>
      </c>
      <c r="O49" s="23">
        <v>0.75</v>
      </c>
      <c r="P49" s="23">
        <v>0.72328571762357441</v>
      </c>
      <c r="Q49" s="23">
        <v>2.6714282376425591E-2</v>
      </c>
      <c r="R49" s="23">
        <v>7.1904764288947695E-2</v>
      </c>
      <c r="S49" s="9">
        <v>1.0785714643342153E-3</v>
      </c>
      <c r="T49" s="9">
        <v>24.768208004571939</v>
      </c>
      <c r="U49" s="11">
        <v>1</v>
      </c>
    </row>
    <row r="50" spans="1:21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8714.7559871502253</v>
      </c>
      <c r="F50" s="15">
        <v>11144.189167131237</v>
      </c>
      <c r="G50" s="15">
        <v>1704039.8937256038</v>
      </c>
      <c r="H50" s="15">
        <v>1332559.2058314672</v>
      </c>
      <c r="I50" s="15">
        <v>1216789.6200862201</v>
      </c>
      <c r="J50" s="15">
        <v>1335217.26379796</v>
      </c>
      <c r="K50" s="15">
        <v>118427.64371173992</v>
      </c>
      <c r="L50" s="14">
        <v>2658.0579664927504</v>
      </c>
      <c r="M50" s="23">
        <v>0.81499999761581421</v>
      </c>
      <c r="N50" s="23">
        <v>0.77300000190734863</v>
      </c>
      <c r="O50" s="23">
        <v>0.79000000158945716</v>
      </c>
      <c r="P50" s="23">
        <v>0.73328571660178044</v>
      </c>
      <c r="Q50" s="23">
        <v>5.6714284987676722E-2</v>
      </c>
      <c r="R50" s="23">
        <v>7.0006806023266852E-2</v>
      </c>
      <c r="S50" s="9">
        <v>1.0501020903490028E-3</v>
      </c>
      <c r="T50" s="9">
        <v>54.008353577153301</v>
      </c>
      <c r="U50" s="11">
        <v>1</v>
      </c>
    </row>
    <row r="51" spans="1:21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4619.7481428539177</v>
      </c>
      <c r="F51" s="15">
        <v>5689.3451672236279</v>
      </c>
      <c r="G51" s="15">
        <v>1709729.2388928274</v>
      </c>
      <c r="H51" s="15">
        <v>1388300.1020331166</v>
      </c>
      <c r="I51" s="15">
        <v>1221409.3682290739</v>
      </c>
      <c r="J51" s="15">
        <v>1390958.1599996095</v>
      </c>
      <c r="K51" s="15">
        <v>169548.79177053552</v>
      </c>
      <c r="L51" s="14">
        <v>2658.0579664927504</v>
      </c>
      <c r="M51" s="23">
        <v>0.81499999761581421</v>
      </c>
      <c r="N51" s="23">
        <v>0.7720000147819519</v>
      </c>
      <c r="O51" s="23">
        <v>0.79966666301091516</v>
      </c>
      <c r="P51" s="23">
        <v>0.74359524108114694</v>
      </c>
      <c r="Q51" s="23">
        <v>5.6071421929768217E-2</v>
      </c>
      <c r="R51" s="23">
        <v>6.6234695465386323E-2</v>
      </c>
      <c r="S51" s="9">
        <v>9.9352043198079479E-4</v>
      </c>
      <c r="T51" s="9">
        <v>56.437110022969414</v>
      </c>
      <c r="U51" s="11">
        <v>1</v>
      </c>
    </row>
    <row r="52" spans="1:21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827.55769587140355</v>
      </c>
      <c r="F52" s="15">
        <v>979.35818680679415</v>
      </c>
      <c r="G52" s="15">
        <v>1710708.5970796342</v>
      </c>
      <c r="H52" s="15">
        <v>1445548.8134760566</v>
      </c>
      <c r="I52" s="15">
        <v>1222236.9259249454</v>
      </c>
      <c r="J52" s="15">
        <v>1448206.8714425494</v>
      </c>
      <c r="K52" s="15">
        <v>225969.94551760401</v>
      </c>
      <c r="L52" s="14">
        <v>2658.0579664927504</v>
      </c>
      <c r="M52" s="23">
        <v>0.87300002574920654</v>
      </c>
      <c r="N52" s="23">
        <v>0.80000001192092896</v>
      </c>
      <c r="O52" s="23">
        <v>0.83933335542678833</v>
      </c>
      <c r="P52" s="23">
        <v>0.75640476601464413</v>
      </c>
      <c r="Q52" s="23">
        <v>8.2928589412144205E-2</v>
      </c>
      <c r="R52" s="23">
        <v>6.2527214183288354E-2</v>
      </c>
      <c r="S52" s="9">
        <v>9.3790821274932531E-4</v>
      </c>
      <c r="T52" s="9">
        <v>88.418662172764797</v>
      </c>
      <c r="U52" s="11">
        <v>1</v>
      </c>
    </row>
    <row r="53" spans="1:21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-21460.754471464385</v>
      </c>
      <c r="F53" s="15">
        <v>-21269.331683073629</v>
      </c>
      <c r="G53" s="15">
        <v>1689439.2653965605</v>
      </c>
      <c r="H53" s="15">
        <v>1704644.1237258143</v>
      </c>
      <c r="I53" s="15">
        <v>1222236.9259249454</v>
      </c>
      <c r="J53" s="15">
        <v>1728762.9361637714</v>
      </c>
      <c r="K53" s="15">
        <v>506526.01023882604</v>
      </c>
      <c r="L53" s="14">
        <v>24118.812437957135</v>
      </c>
      <c r="M53" s="23">
        <v>1.0199999809265137</v>
      </c>
      <c r="N53" s="23">
        <v>0.8399999737739563</v>
      </c>
      <c r="O53" s="23">
        <v>0.95633329947789514</v>
      </c>
      <c r="P53" s="23">
        <v>0.77864285877772754</v>
      </c>
      <c r="Q53" s="23">
        <v>0.1776904407001676</v>
      </c>
      <c r="R53" s="23">
        <v>6.0221088581344666E-2</v>
      </c>
      <c r="S53" s="9">
        <v>9.0331632872016994E-4</v>
      </c>
      <c r="T53" s="9">
        <v>196.70898781595332</v>
      </c>
      <c r="U53" s="11">
        <v>1.2</v>
      </c>
    </row>
    <row r="54" spans="1:21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-34386.070179807597</v>
      </c>
      <c r="F54" s="15">
        <v>-31604.842197686183</v>
      </c>
      <c r="G54" s="15">
        <v>1657834.4231988743</v>
      </c>
      <c r="H54" s="15">
        <v>1803723.9504644901</v>
      </c>
      <c r="I54" s="15">
        <v>1222236.9259249454</v>
      </c>
      <c r="J54" s="15">
        <v>1862228.8330822547</v>
      </c>
      <c r="K54" s="15">
        <v>639991.90715730935</v>
      </c>
      <c r="L54" s="14">
        <v>58504.882617764728</v>
      </c>
      <c r="M54" s="23">
        <v>1.1510000228881836</v>
      </c>
      <c r="N54" s="23">
        <v>0.88899999856948853</v>
      </c>
      <c r="O54" s="23">
        <v>1.0426666935284932</v>
      </c>
      <c r="P54" s="23">
        <v>0.808000004007703</v>
      </c>
      <c r="Q54" s="23">
        <v>0.23466668952079017</v>
      </c>
      <c r="R54" s="23">
        <v>6.4142857481833279E-2</v>
      </c>
      <c r="S54" s="9">
        <v>9.6214286222749917E-4</v>
      </c>
      <c r="T54" s="9">
        <v>243.90004721076767</v>
      </c>
      <c r="U54" s="11">
        <v>1.2</v>
      </c>
    </row>
    <row r="55" spans="1:21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-30666.114495150272</v>
      </c>
      <c r="F55" s="15">
        <v>-28579.791056318063</v>
      </c>
      <c r="G55" s="15">
        <v>1629254.6321425564</v>
      </c>
      <c r="H55" s="15">
        <v>1748190.1457076047</v>
      </c>
      <c r="I55" s="15">
        <v>1222236.9259249454</v>
      </c>
      <c r="J55" s="15">
        <v>1837361.1428205196</v>
      </c>
      <c r="K55" s="15">
        <v>615124.21689557424</v>
      </c>
      <c r="L55" s="14">
        <v>89170.997112915007</v>
      </c>
      <c r="M55" s="23">
        <v>1.128000020980835</v>
      </c>
      <c r="N55" s="23">
        <v>1.0019999742507935</v>
      </c>
      <c r="O55" s="23">
        <v>1.0676666498184204</v>
      </c>
      <c r="P55" s="23">
        <v>0.84069047939209718</v>
      </c>
      <c r="Q55" s="23">
        <v>0.22697617042632323</v>
      </c>
      <c r="R55" s="23">
        <v>7.7799314949788242E-2</v>
      </c>
      <c r="S55" s="9">
        <v>1.1669897242468235E-3</v>
      </c>
      <c r="T55" s="9">
        <v>194.49714569921676</v>
      </c>
      <c r="U55" s="11">
        <v>1.2</v>
      </c>
    </row>
    <row r="56" spans="1:21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-19017.419881633017</v>
      </c>
      <c r="F56" s="15">
        <v>-18285.981326142159</v>
      </c>
      <c r="G56" s="15">
        <v>1610968.6508164143</v>
      </c>
      <c r="H56" s="15">
        <v>1675407.3353954938</v>
      </c>
      <c r="I56" s="15">
        <v>1222236.9259249454</v>
      </c>
      <c r="J56" s="15">
        <v>1783595.7523900417</v>
      </c>
      <c r="K56" s="15">
        <v>561358.82646509632</v>
      </c>
      <c r="L56" s="14">
        <v>108188.41699454802</v>
      </c>
      <c r="M56" s="23">
        <v>1.093000054359436</v>
      </c>
      <c r="N56" s="23">
        <v>1</v>
      </c>
      <c r="O56" s="23">
        <v>1.0443333387374878</v>
      </c>
      <c r="P56" s="23">
        <v>0.8647380982126508</v>
      </c>
      <c r="Q56" s="23">
        <v>0.179595240524837</v>
      </c>
      <c r="R56" s="23">
        <v>9.3149655530241862E-2</v>
      </c>
      <c r="S56" s="9">
        <v>1.3972448329536279E-3</v>
      </c>
      <c r="T56" s="9">
        <v>128.53526904457513</v>
      </c>
      <c r="U56" s="11">
        <v>1.2</v>
      </c>
    </row>
    <row r="57" spans="1:21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-24948.75484946607</v>
      </c>
      <c r="F57" s="15">
        <v>-23448.077634855214</v>
      </c>
      <c r="G57" s="15">
        <v>1587520.5731815591</v>
      </c>
      <c r="H57" s="15">
        <v>1689121.9065189324</v>
      </c>
      <c r="I57" s="15">
        <v>1222236.9259249454</v>
      </c>
      <c r="J57" s="15">
        <v>1822259.0783629464</v>
      </c>
      <c r="K57" s="15">
        <v>600022.15243800101</v>
      </c>
      <c r="L57" s="14">
        <v>133137.17184401408</v>
      </c>
      <c r="M57" s="23">
        <v>1.1139999628067017</v>
      </c>
      <c r="N57" s="23">
        <v>1.0360000133514404</v>
      </c>
      <c r="O57" s="23">
        <v>1.0713333288828533</v>
      </c>
      <c r="P57" s="23">
        <v>0.88464285929997755</v>
      </c>
      <c r="Q57" s="23">
        <v>0.18669046958287572</v>
      </c>
      <c r="R57" s="23">
        <v>0.10844557342075166</v>
      </c>
      <c r="S57" s="9">
        <v>1.6266836013112747E-3</v>
      </c>
      <c r="T57" s="9">
        <v>114.76753649719217</v>
      </c>
      <c r="U57" s="11">
        <v>1.2</v>
      </c>
    </row>
    <row r="58" spans="1:21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-22659.73697994119</v>
      </c>
      <c r="F58" s="15">
        <v>-21137.813820429725</v>
      </c>
      <c r="G58" s="15">
        <v>1566382.7593611295</v>
      </c>
      <c r="H58" s="15">
        <v>1679162.3598620631</v>
      </c>
      <c r="I58" s="15">
        <v>1222236.9259249454</v>
      </c>
      <c r="J58" s="15">
        <v>1834959.2686860184</v>
      </c>
      <c r="K58" s="15">
        <v>612722.34276107303</v>
      </c>
      <c r="L58" s="14">
        <v>155796.90882395528</v>
      </c>
      <c r="M58" s="23">
        <v>1.1050000190734863</v>
      </c>
      <c r="N58" s="23">
        <v>1.0499999523162842</v>
      </c>
      <c r="O58" s="23">
        <v>1.0756666660308838</v>
      </c>
      <c r="P58" s="23">
        <v>0.904595238821847</v>
      </c>
      <c r="Q58" s="23">
        <v>0.17107142720903679</v>
      </c>
      <c r="R58" s="23">
        <v>0.11863264907785012</v>
      </c>
      <c r="S58" s="9">
        <v>1.7794897361677517E-3</v>
      </c>
      <c r="T58" s="9">
        <v>96.135101952006963</v>
      </c>
      <c r="U58" s="11">
        <v>1</v>
      </c>
    </row>
    <row r="59" spans="1:21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-21765.21580417292</v>
      </c>
      <c r="F59" s="15">
        <v>-20246.711477892542</v>
      </c>
      <c r="G59" s="15">
        <v>1546136.047883237</v>
      </c>
      <c r="H59" s="15">
        <v>1662096.3251999917</v>
      </c>
      <c r="I59" s="15">
        <v>1222236.9259249454</v>
      </c>
      <c r="J59" s="15">
        <v>1839658.4498281199</v>
      </c>
      <c r="K59" s="15">
        <v>617421.52390317456</v>
      </c>
      <c r="L59" s="14">
        <v>177562.12462812819</v>
      </c>
      <c r="M59" s="23">
        <v>1.0920000076293945</v>
      </c>
      <c r="N59" s="23">
        <v>1.0470000505447388</v>
      </c>
      <c r="O59" s="23">
        <v>1.071333368619283</v>
      </c>
      <c r="P59" s="23">
        <v>0.92366667020888549</v>
      </c>
      <c r="Q59" s="23">
        <v>0.14766669841039748</v>
      </c>
      <c r="R59" s="23">
        <v>0.1233809505190168</v>
      </c>
      <c r="S59" s="9">
        <v>1.850714257785252E-3</v>
      </c>
      <c r="T59" s="9">
        <v>79.789031607240162</v>
      </c>
      <c r="U59" s="11">
        <v>1</v>
      </c>
    </row>
    <row r="60" spans="1:21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-17431.418359027382</v>
      </c>
      <c r="F60" s="15">
        <v>-16633.033133458779</v>
      </c>
      <c r="G60" s="15">
        <v>1529503.0147497782</v>
      </c>
      <c r="H60" s="15">
        <v>1602919.1259088696</v>
      </c>
      <c r="I60" s="15">
        <v>1222236.9259249454</v>
      </c>
      <c r="J60" s="15">
        <v>1797912.668896025</v>
      </c>
      <c r="K60" s="15">
        <v>575675.74297107966</v>
      </c>
      <c r="L60" s="14">
        <v>194993.54298715558</v>
      </c>
      <c r="M60" s="23">
        <v>1.1019999980926514</v>
      </c>
      <c r="N60" s="23">
        <v>1.031000018119812</v>
      </c>
      <c r="O60" s="23">
        <v>1.0603333314259846</v>
      </c>
      <c r="P60" s="23">
        <v>0.94423809789475943</v>
      </c>
      <c r="Q60" s="23">
        <v>0.11609523353122519</v>
      </c>
      <c r="R60" s="23">
        <v>0.11939455619474655</v>
      </c>
      <c r="S60" s="9">
        <v>1.7909183429211982E-3</v>
      </c>
      <c r="T60" s="9">
        <v>64.824414798198021</v>
      </c>
      <c r="U60" s="11">
        <v>1</v>
      </c>
    </row>
    <row r="61" spans="1:21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-32774.923782847916</v>
      </c>
      <c r="F61" s="15">
        <v>-27846.153362916037</v>
      </c>
      <c r="G61" s="15">
        <v>1501656.8613868621</v>
      </c>
      <c r="H61" s="15">
        <v>1767450.1945927327</v>
      </c>
      <c r="I61" s="15">
        <v>1222236.9259249454</v>
      </c>
      <c r="J61" s="15">
        <v>1995218.6613627363</v>
      </c>
      <c r="K61" s="15">
        <v>772981.73543779086</v>
      </c>
      <c r="L61" s="14">
        <v>227768.46677000349</v>
      </c>
      <c r="M61" s="23">
        <v>1.1909999847412109</v>
      </c>
      <c r="N61" s="23">
        <v>1.031000018119812</v>
      </c>
      <c r="O61" s="23">
        <v>1.1330000162124634</v>
      </c>
      <c r="P61" s="23">
        <v>0.9662142892678578</v>
      </c>
      <c r="Q61" s="23">
        <v>0.16678572694460558</v>
      </c>
      <c r="R61" s="23">
        <v>0.11951701130185809</v>
      </c>
      <c r="S61" s="9">
        <v>1.7927551695278712E-3</v>
      </c>
      <c r="T61" s="9">
        <v>93.033187007085431</v>
      </c>
      <c r="U61" s="11">
        <v>1</v>
      </c>
    </row>
    <row r="62" spans="1:21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-43268.840010340289</v>
      </c>
      <c r="F62" s="15">
        <v>-34754.088228610344</v>
      </c>
      <c r="G62" s="15">
        <v>1466902.7731582518</v>
      </c>
      <c r="H62" s="15">
        <v>1826293.9595767609</v>
      </c>
      <c r="I62" s="15">
        <v>1222236.9259249454</v>
      </c>
      <c r="J62" s="15">
        <v>2097331.2663571048</v>
      </c>
      <c r="K62" s="15">
        <v>875094.34043215937</v>
      </c>
      <c r="L62" s="14">
        <v>271037.30678034376</v>
      </c>
      <c r="M62" s="23">
        <v>1.2680000066757202</v>
      </c>
      <c r="N62" s="23">
        <v>1.1660000085830688</v>
      </c>
      <c r="O62" s="23">
        <v>1.2263333400090535</v>
      </c>
      <c r="P62" s="23">
        <v>0.9948571466264271</v>
      </c>
      <c r="Q62" s="23">
        <v>0.23147619338262637</v>
      </c>
      <c r="R62" s="23">
        <v>0.11985034480386848</v>
      </c>
      <c r="S62" s="9">
        <v>1.7977551720580272E-3</v>
      </c>
      <c r="T62" s="9">
        <v>128.75846332158676</v>
      </c>
      <c r="U62" s="11">
        <v>1.2</v>
      </c>
    </row>
    <row r="63" spans="1:21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-72167.11629195197</v>
      </c>
      <c r="F63" s="15">
        <v>-56557.300154747725</v>
      </c>
      <c r="G63" s="15">
        <v>1410345.4730035041</v>
      </c>
      <c r="H63" s="15">
        <v>1799600.8558327174</v>
      </c>
      <c r="I63" s="15">
        <v>1222236.9259249454</v>
      </c>
      <c r="J63" s="15">
        <v>2142805.2789050131</v>
      </c>
      <c r="K63" s="15">
        <v>920568.35298006772</v>
      </c>
      <c r="L63" s="14">
        <v>343204.42307229573</v>
      </c>
      <c r="M63" s="23">
        <v>1.2970000505447388</v>
      </c>
      <c r="N63" s="23">
        <v>1.1710000038146973</v>
      </c>
      <c r="O63" s="23">
        <v>1.2480000257492065</v>
      </c>
      <c r="P63" s="23">
        <v>1.0304285770370849</v>
      </c>
      <c r="Q63" s="23">
        <v>0.21757144871212164</v>
      </c>
      <c r="R63" s="23">
        <v>0.10519728409189744</v>
      </c>
      <c r="S63" s="9">
        <v>1.5779592613784615E-3</v>
      </c>
      <c r="T63" s="9">
        <v>137.88153727242442</v>
      </c>
      <c r="U63" s="11">
        <v>1.2</v>
      </c>
    </row>
  </sheetData>
  <phoneticPr fontId="3" type="noConversion"/>
  <conditionalFormatting sqref="H2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37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7</v>
      </c>
      <c r="B1" s="25" t="s">
        <v>8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M1" s="4" t="s">
        <v>0</v>
      </c>
      <c r="N1" s="6" t="s">
        <v>28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30" t="s">
        <v>18</v>
      </c>
      <c r="V3" s="16" t="s">
        <v>24</v>
      </c>
      <c r="W3" s="16" t="s">
        <v>25</v>
      </c>
      <c r="Y3" s="24">
        <v>44561</v>
      </c>
      <c r="Z3" s="11">
        <v>73512.143931253449</v>
      </c>
      <c r="AA3" s="11">
        <f>-Z3</f>
        <v>-73512.143931253449</v>
      </c>
      <c r="AB3" s="24">
        <v>44561</v>
      </c>
      <c r="AC3" s="11">
        <v>73512.136806401439</v>
      </c>
      <c r="AD3" s="11">
        <f>-AC3</f>
        <v>-73512.136806401439</v>
      </c>
      <c r="AE3" s="24">
        <v>44561</v>
      </c>
      <c r="AF3" s="11">
        <v>73512.136806401439</v>
      </c>
      <c r="AG3" s="11">
        <f>-AF3</f>
        <v>-73512.136806401439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3951.9737342833614</v>
      </c>
      <c r="F4" s="15">
        <v>3928.4033143969796</v>
      </c>
      <c r="G4" s="15">
        <v>3928.4033143969796</v>
      </c>
      <c r="H4" s="15">
        <v>3951.9737342833614</v>
      </c>
      <c r="I4" s="15">
        <v>3951.9737342833614</v>
      </c>
      <c r="J4" s="15">
        <v>3951.9737342833614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73512.136806401439</v>
      </c>
      <c r="R4" s="8">
        <v>73512.136806401439</v>
      </c>
      <c r="S4" s="8">
        <v>74134.464708144384</v>
      </c>
      <c r="T4" s="8">
        <v>622.32790174294496</v>
      </c>
      <c r="U4" s="8">
        <v>0</v>
      </c>
      <c r="V4" s="19">
        <v>8.4656483783335304E-3</v>
      </c>
      <c r="W4" s="19">
        <v>8.4656483783335304E-3</v>
      </c>
      <c r="Y4" s="24">
        <v>44925</v>
      </c>
      <c r="Z4" s="9">
        <v>435170.14208767598</v>
      </c>
      <c r="AA4" s="9">
        <f>-Z4</f>
        <v>-435170.14208767598</v>
      </c>
      <c r="AB4" s="24">
        <v>44925</v>
      </c>
      <c r="AC4" s="9">
        <v>435170.13774605485</v>
      </c>
      <c r="AD4" s="9">
        <f>-AC4</f>
        <v>-435170.13774605485</v>
      </c>
      <c r="AE4" s="24">
        <v>44925</v>
      </c>
      <c r="AF4" s="9">
        <v>435170.13774605485</v>
      </c>
      <c r="AG4" s="9">
        <f>-AF4</f>
        <v>-435170.13774605485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12251.507101978868</v>
      </c>
      <c r="F5" s="15">
        <v>12682.719567265909</v>
      </c>
      <c r="G5" s="15">
        <v>16611.12288166289</v>
      </c>
      <c r="H5" s="15">
        <v>16046.344703686351</v>
      </c>
      <c r="I5" s="15">
        <v>16203.48083626223</v>
      </c>
      <c r="J5" s="15">
        <v>16046.344703686351</v>
      </c>
      <c r="K5" s="15">
        <v>-157.13613257587895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435170.13774605485</v>
      </c>
      <c r="R5" s="8">
        <v>508682.27455245628</v>
      </c>
      <c r="S5" s="8">
        <v>470091.25741459371</v>
      </c>
      <c r="T5" s="8">
        <v>-38591.017137862567</v>
      </c>
      <c r="U5" s="8">
        <v>0</v>
      </c>
      <c r="V5" s="19">
        <v>-7.5864678343304431E-2</v>
      </c>
      <c r="W5" s="19">
        <v>-6.6849723583970788E-2</v>
      </c>
      <c r="Y5" s="24">
        <v>44925</v>
      </c>
      <c r="Z5" s="9"/>
      <c r="AA5" s="9">
        <v>470091.2666619001</v>
      </c>
      <c r="AB5" s="24">
        <v>45289</v>
      </c>
      <c r="AC5" s="9">
        <v>391913.02163792512</v>
      </c>
      <c r="AD5" s="9">
        <f>-AC5</f>
        <v>-391913.02163792512</v>
      </c>
      <c r="AE5" s="24">
        <v>45289</v>
      </c>
      <c r="AF5" s="9">
        <v>391913.02163792512</v>
      </c>
      <c r="AG5" s="9">
        <f>-AF5</f>
        <v>-391913.02163792512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18607.735896751474</v>
      </c>
      <c r="F6" s="15">
        <v>19362.888550209649</v>
      </c>
      <c r="G6" s="15">
        <v>35974.011431872539</v>
      </c>
      <c r="H6" s="15">
        <v>34571.024986029508</v>
      </c>
      <c r="I6" s="15">
        <v>34811.216733013702</v>
      </c>
      <c r="J6" s="15">
        <v>34571.024986029508</v>
      </c>
      <c r="K6" s="15">
        <v>-240.19174698419374</v>
      </c>
      <c r="L6" s="14">
        <v>0</v>
      </c>
      <c r="M6" s="9">
        <v>-30.243784697079619</v>
      </c>
      <c r="N6" s="9">
        <v>1</v>
      </c>
      <c r="P6" s="24">
        <v>45289</v>
      </c>
      <c r="Q6" s="18">
        <v>391913.02163792512</v>
      </c>
      <c r="R6" s="8">
        <v>900595.2961903814</v>
      </c>
      <c r="S6" s="8">
        <v>775812.18625010748</v>
      </c>
      <c r="T6" s="8">
        <v>-124783.10994027392</v>
      </c>
      <c r="U6" s="8">
        <v>0</v>
      </c>
      <c r="V6" s="19">
        <v>-0.13855625325617443</v>
      </c>
      <c r="W6" s="19">
        <v>-8.750731270976897E-2</v>
      </c>
      <c r="Y6" s="9"/>
      <c r="Z6" s="9"/>
      <c r="AA6" s="20">
        <v>-6.6849723583970788E-2</v>
      </c>
      <c r="AB6" s="24">
        <v>45289</v>
      </c>
      <c r="AC6" s="9"/>
      <c r="AD6" s="20">
        <v>775812.18625010748</v>
      </c>
      <c r="AE6" s="24">
        <v>45657</v>
      </c>
      <c r="AF6" s="11">
        <v>299177.38471580937</v>
      </c>
      <c r="AG6" s="11">
        <f>-AF6</f>
        <v>-299177.38471580937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11666.814393803639</v>
      </c>
      <c r="F7" s="15">
        <v>11749.058142547106</v>
      </c>
      <c r="G7" s="15">
        <v>47723.069574419642</v>
      </c>
      <c r="H7" s="15">
        <v>47389.0066992746</v>
      </c>
      <c r="I7" s="15">
        <v>46478.031126817339</v>
      </c>
      <c r="J7" s="15">
        <v>47389.0066992746</v>
      </c>
      <c r="K7" s="15">
        <v>910.97557245726057</v>
      </c>
      <c r="L7" s="14">
        <v>0</v>
      </c>
      <c r="M7" s="9">
        <v>67.867888185983432</v>
      </c>
      <c r="N7" s="9">
        <v>1</v>
      </c>
      <c r="P7" s="24">
        <v>45657</v>
      </c>
      <c r="Q7" s="18">
        <v>299177.38471797656</v>
      </c>
      <c r="R7" s="8">
        <v>1199772.680908358</v>
      </c>
      <c r="S7" s="8">
        <v>1324959.0306687963</v>
      </c>
      <c r="T7" s="8">
        <v>125186.34976043832</v>
      </c>
      <c r="U7" s="8">
        <v>0</v>
      </c>
      <c r="V7" s="19">
        <v>0.10434172385527121</v>
      </c>
      <c r="W7" s="19">
        <v>4.5025641537120853E-2</v>
      </c>
      <c r="Y7" s="9"/>
      <c r="Z7" s="9"/>
      <c r="AA7" s="9"/>
      <c r="AD7" s="10">
        <v>-8.750731270976897E-2</v>
      </c>
      <c r="AE7" s="24">
        <v>45657</v>
      </c>
      <c r="AG7" s="10">
        <v>1324959.0306662766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12819.721960020022</v>
      </c>
      <c r="F8" s="15">
        <v>12680.238860929887</v>
      </c>
      <c r="G8" s="15">
        <v>60403.308435349529</v>
      </c>
      <c r="H8" s="15">
        <v>61067.747074736646</v>
      </c>
      <c r="I8" s="15">
        <v>59297.753086837358</v>
      </c>
      <c r="J8" s="15">
        <v>61067.747074736646</v>
      </c>
      <c r="K8" s="15">
        <v>1769.9939878992882</v>
      </c>
      <c r="L8" s="14">
        <v>0</v>
      </c>
      <c r="M8" s="9">
        <v>63.430477831424852</v>
      </c>
      <c r="N8" s="9">
        <v>1</v>
      </c>
      <c r="AG8" s="10">
        <v>4.5025641537120853E-2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14214.383719564079</v>
      </c>
      <c r="F9" s="15">
        <v>14329.016080516862</v>
      </c>
      <c r="G9" s="15">
        <v>74732.324515866392</v>
      </c>
      <c r="H9" s="15">
        <v>74134.464708144384</v>
      </c>
      <c r="I9" s="15">
        <v>73512.136806401439</v>
      </c>
      <c r="J9" s="15">
        <v>74134.464708144384</v>
      </c>
      <c r="K9" s="15">
        <v>622.32790174294496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31709.659065956592</v>
      </c>
      <c r="F10" s="15">
        <v>35588.84403282978</v>
      </c>
      <c r="G10" s="15">
        <v>110321.16854869618</v>
      </c>
      <c r="H10" s="15">
        <v>98296.158178390047</v>
      </c>
      <c r="I10" s="15">
        <v>105221.79587235802</v>
      </c>
      <c r="J10" s="15">
        <v>98296.158178390047</v>
      </c>
      <c r="K10" s="15">
        <v>-6925.6376939679758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24565.559907930678</v>
      </c>
      <c r="F11" s="15">
        <v>27852.107820628753</v>
      </c>
      <c r="G11" s="15">
        <v>138173.27636932494</v>
      </c>
      <c r="H11" s="15">
        <v>121868.8337767999</v>
      </c>
      <c r="I11" s="15">
        <v>129787.35578028869</v>
      </c>
      <c r="J11" s="15">
        <v>121868.8337767999</v>
      </c>
      <c r="K11" s="15">
        <v>-7918.5220034887898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34365.166232524549</v>
      </c>
      <c r="F12" s="15">
        <v>43390.3616398179</v>
      </c>
      <c r="G12" s="15">
        <v>181563.63800914283</v>
      </c>
      <c r="H12" s="15">
        <v>143798.40052405451</v>
      </c>
      <c r="I12" s="15">
        <v>164152.52201281325</v>
      </c>
      <c r="J12" s="15">
        <v>143798.40052405451</v>
      </c>
      <c r="K12" s="15">
        <v>-20354.121488758741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41222.659036680328</v>
      </c>
      <c r="F13" s="15">
        <v>57333.324166271741</v>
      </c>
      <c r="G13" s="15">
        <v>238896.96217541458</v>
      </c>
      <c r="H13" s="15">
        <v>171766.91147535504</v>
      </c>
      <c r="I13" s="15">
        <v>205375.18104949358</v>
      </c>
      <c r="J13" s="15">
        <v>171766.91147535504</v>
      </c>
      <c r="K13" s="15">
        <v>-33608.26957413854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41909.786382681988</v>
      </c>
      <c r="F14" s="15">
        <v>56104.133279509435</v>
      </c>
      <c r="G14" s="15">
        <v>295001.09545492404</v>
      </c>
      <c r="H14" s="15">
        <v>220365.81211545898</v>
      </c>
      <c r="I14" s="15">
        <v>247284.96743217556</v>
      </c>
      <c r="J14" s="15">
        <v>220365.81211545898</v>
      </c>
      <c r="K14" s="15">
        <v>-26919.155316716584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24920.157011082942</v>
      </c>
      <c r="F15" s="15">
        <v>29491.309073763103</v>
      </c>
      <c r="G15" s="15">
        <v>324492.40452868713</v>
      </c>
      <c r="H15" s="15">
        <v>274196.09111054277</v>
      </c>
      <c r="I15" s="15">
        <v>272205.12444325851</v>
      </c>
      <c r="J15" s="15">
        <v>274196.09111054277</v>
      </c>
      <c r="K15" s="15">
        <v>1990.9666672842577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34771.222631564953</v>
      </c>
      <c r="F16" s="15">
        <v>43409.766133537742</v>
      </c>
      <c r="G16" s="15">
        <v>367902.17066222487</v>
      </c>
      <c r="H16" s="15">
        <v>294689.63834958326</v>
      </c>
      <c r="I16" s="15">
        <v>306976.34707482345</v>
      </c>
      <c r="J16" s="15">
        <v>294689.63834958326</v>
      </c>
      <c r="K16" s="15">
        <v>-12286.708725240198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37906.77052244138</v>
      </c>
      <c r="F17" s="15">
        <v>49551.334942848254</v>
      </c>
      <c r="G17" s="15">
        <v>417453.50560507312</v>
      </c>
      <c r="H17" s="15">
        <v>319351.92581616063</v>
      </c>
      <c r="I17" s="15">
        <v>344883.11759726482</v>
      </c>
      <c r="J17" s="15">
        <v>319351.92581616063</v>
      </c>
      <c r="K17" s="15">
        <v>-25531.191781104193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47540.693207037395</v>
      </c>
      <c r="F18" s="15">
        <v>68305.595653742144</v>
      </c>
      <c r="G18" s="15">
        <v>485759.10125881527</v>
      </c>
      <c r="H18" s="15">
        <v>338088.32474775985</v>
      </c>
      <c r="I18" s="15">
        <v>392423.81080430222</v>
      </c>
      <c r="J18" s="15">
        <v>338088.32474775985</v>
      </c>
      <c r="K18" s="15">
        <v>-54335.486056542373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47371.812292323739</v>
      </c>
      <c r="F19" s="15">
        <v>68954.605390756216</v>
      </c>
      <c r="G19" s="15">
        <v>554713.70664957142</v>
      </c>
      <c r="H19" s="15">
        <v>381088.3035073583</v>
      </c>
      <c r="I19" s="15">
        <v>439795.62309662596</v>
      </c>
      <c r="J19" s="15">
        <v>381088.3035073583</v>
      </c>
      <c r="K19" s="15">
        <v>-58707.319589267659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35184.839779401416</v>
      </c>
      <c r="F20" s="15">
        <v>48867.83108511327</v>
      </c>
      <c r="G20" s="15">
        <v>603581.53773468465</v>
      </c>
      <c r="H20" s="15">
        <v>434578.72443757928</v>
      </c>
      <c r="I20" s="15">
        <v>474980.46287602739</v>
      </c>
      <c r="J20" s="15">
        <v>434578.72443757928</v>
      </c>
      <c r="K20" s="15">
        <v>-40401.738438448112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33701.811676428908</v>
      </c>
      <c r="F21" s="15">
        <v>46613.848054219117</v>
      </c>
      <c r="G21" s="15">
        <v>650195.3857889038</v>
      </c>
      <c r="H21" s="15">
        <v>470091.25741459371</v>
      </c>
      <c r="I21" s="15">
        <v>508682.27455245628</v>
      </c>
      <c r="J21" s="15">
        <v>470091.25741459371</v>
      </c>
      <c r="K21" s="15">
        <v>-38591.017137862567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24134.359977963992</v>
      </c>
      <c r="F22" s="15">
        <v>30588.543410657745</v>
      </c>
      <c r="G22" s="15">
        <v>680783.92919956159</v>
      </c>
      <c r="H22" s="15">
        <v>537138.50293343118</v>
      </c>
      <c r="I22" s="15">
        <v>532816.6345304203</v>
      </c>
      <c r="J22" s="15">
        <v>537138.50293343118</v>
      </c>
      <c r="K22" s="15">
        <v>4321.8684030108852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26656.282903997755</v>
      </c>
      <c r="F23" s="15">
        <v>34936.150071016047</v>
      </c>
      <c r="G23" s="15">
        <v>715720.07927057764</v>
      </c>
      <c r="H23" s="15">
        <v>546094.42867421708</v>
      </c>
      <c r="I23" s="15">
        <v>559472.91743441811</v>
      </c>
      <c r="J23" s="15">
        <v>546094.42867421708</v>
      </c>
      <c r="K23" s="15">
        <v>-13378.488760201028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24620.694999812695</v>
      </c>
      <c r="F24" s="15">
        <v>31933.455404206645</v>
      </c>
      <c r="G24" s="15">
        <v>747653.53467478429</v>
      </c>
      <c r="H24" s="15">
        <v>576440.89591177995</v>
      </c>
      <c r="I24" s="15">
        <v>584093.61243423074</v>
      </c>
      <c r="J24" s="15">
        <v>576440.89591177995</v>
      </c>
      <c r="K24" s="15">
        <v>-7652.7165224507917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25968.809618826315</v>
      </c>
      <c r="F25" s="15">
        <v>34578.974785641672</v>
      </c>
      <c r="G25" s="15">
        <v>782232.50946042594</v>
      </c>
      <c r="H25" s="15">
        <v>587456.60453384661</v>
      </c>
      <c r="I25" s="15">
        <v>610062.422053057</v>
      </c>
      <c r="J25" s="15">
        <v>587456.60453384661</v>
      </c>
      <c r="K25" s="15">
        <v>-22605.817519210395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40310.521027025221</v>
      </c>
      <c r="F26" s="15">
        <v>55986.832535040405</v>
      </c>
      <c r="G26" s="15">
        <v>838219.34199546638</v>
      </c>
      <c r="H26" s="15">
        <v>603517.95021838357</v>
      </c>
      <c r="I26" s="15">
        <v>650372.94308008219</v>
      </c>
      <c r="J26" s="15">
        <v>603517.95021838357</v>
      </c>
      <c r="K26" s="15">
        <v>-46854.992861698614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28994.918863278643</v>
      </c>
      <c r="F27" s="15">
        <v>38403.866286625889</v>
      </c>
      <c r="G27" s="15">
        <v>876623.20828209224</v>
      </c>
      <c r="H27" s="15">
        <v>661850.51807291445</v>
      </c>
      <c r="I27" s="15">
        <v>679367.86194336088</v>
      </c>
      <c r="J27" s="15">
        <v>661850.51807291445</v>
      </c>
      <c r="K27" s="15">
        <v>-17517.343870446435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27069.436031023346</v>
      </c>
      <c r="F28" s="15">
        <v>35570.876252581569</v>
      </c>
      <c r="G28" s="15">
        <v>912194.08453467384</v>
      </c>
      <c r="H28" s="15">
        <v>694179.67788738909</v>
      </c>
      <c r="I28" s="15">
        <v>706437.29797438427</v>
      </c>
      <c r="J28" s="15">
        <v>694179.67788738909</v>
      </c>
      <c r="K28" s="15">
        <v>-12257.620086995186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31804.999065229906</v>
      </c>
      <c r="F29" s="15">
        <v>44544.817450934708</v>
      </c>
      <c r="G29" s="15">
        <v>956738.90198560851</v>
      </c>
      <c r="H29" s="15">
        <v>683111.56324388203</v>
      </c>
      <c r="I29" s="15">
        <v>738242.29703961418</v>
      </c>
      <c r="J29" s="15">
        <v>683111.56324388203</v>
      </c>
      <c r="K29" s="15">
        <v>-55130.733795732143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37098.531428900846</v>
      </c>
      <c r="F30" s="15">
        <v>54158.439853689146</v>
      </c>
      <c r="G30" s="15">
        <v>1010897.3418392977</v>
      </c>
      <c r="H30" s="15">
        <v>692464.68157008593</v>
      </c>
      <c r="I30" s="15">
        <v>775340.82846851507</v>
      </c>
      <c r="J30" s="15">
        <v>692464.68157008593</v>
      </c>
      <c r="K30" s="15">
        <v>-82876.146898429142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37928.380537943682</v>
      </c>
      <c r="F31" s="15">
        <v>57207.211534216156</v>
      </c>
      <c r="G31" s="15">
        <v>1068104.5533735137</v>
      </c>
      <c r="H31" s="15">
        <v>708153.30564452917</v>
      </c>
      <c r="I31" s="15">
        <v>813269.20900645875</v>
      </c>
      <c r="J31" s="15">
        <v>708153.30564452917</v>
      </c>
      <c r="K31" s="15">
        <v>-105115.90336192958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47882.61417813343</v>
      </c>
      <c r="F32" s="15">
        <v>73552.400145395688</v>
      </c>
      <c r="G32" s="15">
        <v>1141656.9535189094</v>
      </c>
      <c r="H32" s="15">
        <v>743218.70287126396</v>
      </c>
      <c r="I32" s="15">
        <v>861151.82318459218</v>
      </c>
      <c r="J32" s="15">
        <v>743218.70287126396</v>
      </c>
      <c r="K32" s="15">
        <v>-117933.12031332823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39443.473005789252</v>
      </c>
      <c r="F33" s="15">
        <v>61152.67313516888</v>
      </c>
      <c r="G33" s="15">
        <v>1202809.6266540783</v>
      </c>
      <c r="H33" s="15">
        <v>775812.18625010748</v>
      </c>
      <c r="I33" s="15">
        <v>900595.2961903814</v>
      </c>
      <c r="J33" s="15">
        <v>775812.18625010748</v>
      </c>
      <c r="K33" s="15">
        <v>-124783.10994027392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56674.399000943209</v>
      </c>
      <c r="F34" s="15">
        <v>101023.88602624946</v>
      </c>
      <c r="G34" s="15">
        <v>1303833.5126803278</v>
      </c>
      <c r="H34" s="15">
        <v>731450.58693590597</v>
      </c>
      <c r="I34" s="15">
        <v>957269.69519132457</v>
      </c>
      <c r="J34" s="15">
        <v>731450.58693590597</v>
      </c>
      <c r="K34" s="15">
        <v>-225819.1082554186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38024.498342278057</v>
      </c>
      <c r="F35" s="15">
        <v>59599.526113190608</v>
      </c>
      <c r="G35" s="15">
        <v>1363433.0387935184</v>
      </c>
      <c r="H35" s="15">
        <v>869870.29435351759</v>
      </c>
      <c r="I35" s="15">
        <v>995294.19353360264</v>
      </c>
      <c r="J35" s="15">
        <v>869870.29435351759</v>
      </c>
      <c r="K35" s="15">
        <v>-125423.89918008505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36101.712250310709</v>
      </c>
      <c r="F36" s="15">
        <v>55885.001090904167</v>
      </c>
      <c r="G36" s="15">
        <v>1419318.0398844227</v>
      </c>
      <c r="H36" s="15">
        <v>916879.49301878468</v>
      </c>
      <c r="I36" s="15">
        <v>1031395.9057839133</v>
      </c>
      <c r="J36" s="15">
        <v>916879.49301878468</v>
      </c>
      <c r="K36" s="15">
        <v>-114516.41276512865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33513.039299013537</v>
      </c>
      <c r="F37" s="15">
        <v>50471.446648413526</v>
      </c>
      <c r="G37" s="15">
        <v>1469789.4865328362</v>
      </c>
      <c r="H37" s="15">
        <v>975940.18191274046</v>
      </c>
      <c r="I37" s="15">
        <v>1064908.9450829269</v>
      </c>
      <c r="J37" s="15">
        <v>975940.18191274046</v>
      </c>
      <c r="K37" s="15">
        <v>-88968.76317018643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31835.886027952234</v>
      </c>
      <c r="F38" s="15">
        <v>48978.287993362486</v>
      </c>
      <c r="G38" s="15">
        <v>1518767.7745261986</v>
      </c>
      <c r="H38" s="15">
        <v>987199.0172317836</v>
      </c>
      <c r="I38" s="15">
        <v>1096744.8311108791</v>
      </c>
      <c r="J38" s="15">
        <v>987199.0172317836</v>
      </c>
      <c r="K38" s="15">
        <v>-109545.81387909548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39502.541595092531</v>
      </c>
      <c r="F39" s="15">
        <v>62110.916646355035</v>
      </c>
      <c r="G39" s="15">
        <v>1580878.6911725537</v>
      </c>
      <c r="H39" s="15">
        <v>1005438.8121561242</v>
      </c>
      <c r="I39" s="15">
        <v>1136247.3727059716</v>
      </c>
      <c r="J39" s="15">
        <v>1005438.8121561242</v>
      </c>
      <c r="K39" s="15">
        <v>-130808.56054984743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32552.967778666007</v>
      </c>
      <c r="F40" s="15">
        <v>51426.488064638157</v>
      </c>
      <c r="G40" s="15">
        <v>1632305.1792371918</v>
      </c>
      <c r="H40" s="15">
        <v>1033249.2049208303</v>
      </c>
      <c r="I40" s="15">
        <v>1168800.3404846375</v>
      </c>
      <c r="J40" s="15">
        <v>1033249.2049208303</v>
      </c>
      <c r="K40" s="15">
        <v>-135551.13556380721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20380.877653796702</v>
      </c>
      <c r="F41" s="15">
        <v>33411.274058761628</v>
      </c>
      <c r="G41" s="15">
        <v>1665716.4532959533</v>
      </c>
      <c r="H41" s="15">
        <v>1016087.0603387966</v>
      </c>
      <c r="I41" s="15">
        <v>1189181.2181384342</v>
      </c>
      <c r="J41" s="15">
        <v>1016087.0603387966</v>
      </c>
      <c r="K41" s="15">
        <v>-173094.15779963764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1453.1359992128223</v>
      </c>
      <c r="F42" s="15">
        <v>1894.5710067449104</v>
      </c>
      <c r="G42" s="15">
        <v>1667611.0243026982</v>
      </c>
      <c r="H42" s="15">
        <v>1279057.6882425046</v>
      </c>
      <c r="I42" s="15">
        <v>1190634.354137647</v>
      </c>
      <c r="J42" s="15">
        <v>1279057.6882425046</v>
      </c>
      <c r="K42" s="15">
        <v>88423.33410485764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2610.2554863989344</v>
      </c>
      <c r="F43" s="15">
        <v>3359.4021271033353</v>
      </c>
      <c r="G43" s="15">
        <v>1670970.4264298016</v>
      </c>
      <c r="H43" s="15">
        <v>1298344.0380683525</v>
      </c>
      <c r="I43" s="15">
        <v>1193244.6096240459</v>
      </c>
      <c r="J43" s="15">
        <v>1298344.0380683525</v>
      </c>
      <c r="K43" s="15">
        <v>105099.4284443066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3449.6138592626553</v>
      </c>
      <c r="F44" s="15">
        <v>4416.9190515094906</v>
      </c>
      <c r="G44" s="15">
        <v>1675387.3454813112</v>
      </c>
      <c r="H44" s="15">
        <v>1308477.5471786079</v>
      </c>
      <c r="I44" s="15">
        <v>1196694.2234833085</v>
      </c>
      <c r="J44" s="15">
        <v>1308477.5471786079</v>
      </c>
      <c r="K44" s="15">
        <v>111783.32369529945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3078.4574250494734</v>
      </c>
      <c r="F45" s="15">
        <v>3901.7205623006294</v>
      </c>
      <c r="G45" s="15">
        <v>1679289.0660436118</v>
      </c>
      <c r="H45" s="15">
        <v>1324959.0306687963</v>
      </c>
      <c r="I45" s="15">
        <v>1199772.680908358</v>
      </c>
      <c r="J45" s="15">
        <v>1324959.0306687963</v>
      </c>
      <c r="K45" s="15">
        <v>125186.34976043832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4504.1689362253819</v>
      </c>
      <c r="F46" s="15">
        <v>5767.1816027210443</v>
      </c>
      <c r="G46" s="15">
        <v>1685056.247646333</v>
      </c>
      <c r="H46" s="15">
        <v>1316028.9599446885</v>
      </c>
      <c r="I46" s="15">
        <v>1204276.8498445833</v>
      </c>
      <c r="J46" s="15">
        <v>1316028.9599446885</v>
      </c>
      <c r="K46" s="15">
        <v>111752.11010010517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-2040.9409313837987</v>
      </c>
      <c r="F47" s="15">
        <v>-2467.8849785392413</v>
      </c>
      <c r="G47" s="15">
        <v>1682588.3626677936</v>
      </c>
      <c r="H47" s="15">
        <v>1391500.6128330154</v>
      </c>
      <c r="I47" s="15">
        <v>1204276.8498445833</v>
      </c>
      <c r="J47" s="15">
        <v>1393541.5537643991</v>
      </c>
      <c r="K47" s="15">
        <v>189264.70391981583</v>
      </c>
      <c r="L47" s="14">
        <v>2040.9409313837987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-208.92884883219213</v>
      </c>
      <c r="F48" s="15">
        <v>-256.66934415187171</v>
      </c>
      <c r="G48" s="15">
        <v>1682331.6933236418</v>
      </c>
      <c r="H48" s="15">
        <v>1369418.0160138062</v>
      </c>
      <c r="I48" s="15">
        <v>1204276.8498445833</v>
      </c>
      <c r="J48" s="15">
        <v>1371667.8857940221</v>
      </c>
      <c r="K48" s="15">
        <v>167391.03594943881</v>
      </c>
      <c r="L48" s="14">
        <v>2249.8697802159909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6041.0745821809896</v>
      </c>
      <c r="F49" s="15">
        <v>7855.7537462651344</v>
      </c>
      <c r="G49" s="15">
        <v>1690187.4470699069</v>
      </c>
      <c r="H49" s="15">
        <v>1299754.1363194841</v>
      </c>
      <c r="I49" s="15">
        <v>1210317.9244267642</v>
      </c>
      <c r="J49" s="15">
        <v>1302004.0060997</v>
      </c>
      <c r="K49" s="15">
        <v>91686.081672935747</v>
      </c>
      <c r="L49" s="14">
        <v>2249.8697802159909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10457.707184580269</v>
      </c>
      <c r="F50" s="15">
        <v>13373.027000557482</v>
      </c>
      <c r="G50" s="15">
        <v>1703560.4740704643</v>
      </c>
      <c r="H50" s="15">
        <v>1332184.2996586333</v>
      </c>
      <c r="I50" s="15">
        <v>1220775.6316113444</v>
      </c>
      <c r="J50" s="15">
        <v>1334434.1694388492</v>
      </c>
      <c r="K50" s="15">
        <v>113658.5378275048</v>
      </c>
      <c r="L50" s="14">
        <v>2249.8697802159909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4619.7481428539177</v>
      </c>
      <c r="F51" s="15">
        <v>5689.3451672236279</v>
      </c>
      <c r="G51" s="15">
        <v>1709249.8192376879</v>
      </c>
      <c r="H51" s="15">
        <v>1387910.813284345</v>
      </c>
      <c r="I51" s="15">
        <v>1225395.3797541982</v>
      </c>
      <c r="J51" s="15">
        <v>1390160.6830645609</v>
      </c>
      <c r="K51" s="15">
        <v>164765.30331036262</v>
      </c>
      <c r="L51" s="14">
        <v>2249.8697802159909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827.55769587140355</v>
      </c>
      <c r="F52" s="15">
        <v>979.35818680679415</v>
      </c>
      <c r="G52" s="15">
        <v>1710229.1774244946</v>
      </c>
      <c r="H52" s="15">
        <v>1445143.7038537471</v>
      </c>
      <c r="I52" s="15">
        <v>1226222.9374500697</v>
      </c>
      <c r="J52" s="15">
        <v>1447393.573633963</v>
      </c>
      <c r="K52" s="15">
        <v>221170.63618389331</v>
      </c>
      <c r="L52" s="14">
        <v>2249.8697802159909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-21460.754471464385</v>
      </c>
      <c r="F53" s="15">
        <v>-21269.331683073629</v>
      </c>
      <c r="G53" s="15">
        <v>1688959.845741421</v>
      </c>
      <c r="H53" s="15">
        <v>1704160.3893207537</v>
      </c>
      <c r="I53" s="15">
        <v>1226222.9374500697</v>
      </c>
      <c r="J53" s="15">
        <v>1727871.0135724342</v>
      </c>
      <c r="K53" s="15">
        <v>501648.07612236449</v>
      </c>
      <c r="L53" s="14">
        <v>23710.624251680376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-34386.070179807597</v>
      </c>
      <c r="F54" s="15">
        <v>-31604.842197686183</v>
      </c>
      <c r="G54" s="15">
        <v>1657355.0035437348</v>
      </c>
      <c r="H54" s="15">
        <v>1803202.3418513513</v>
      </c>
      <c r="I54" s="15">
        <v>1226222.9374500697</v>
      </c>
      <c r="J54" s="15">
        <v>1861299.0362828393</v>
      </c>
      <c r="K54" s="15">
        <v>635076.09883276955</v>
      </c>
      <c r="L54" s="14">
        <v>58096.694431487973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-25555.095412625229</v>
      </c>
      <c r="F55" s="15">
        <v>-23816.49254693172</v>
      </c>
      <c r="G55" s="15">
        <v>1633538.5109968032</v>
      </c>
      <c r="H55" s="15">
        <v>1752786.7475221111</v>
      </c>
      <c r="I55" s="15">
        <v>1226222.9374500697</v>
      </c>
      <c r="J55" s="15">
        <v>1836438.5373662242</v>
      </c>
      <c r="K55" s="15">
        <v>610215.59991615452</v>
      </c>
      <c r="L55" s="14">
        <v>83651.789844113198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-15847.849901360847</v>
      </c>
      <c r="F56" s="15">
        <v>-15238.317771785132</v>
      </c>
      <c r="G56" s="15">
        <v>1618300.193225018</v>
      </c>
      <c r="H56" s="15">
        <v>1683032.1392207656</v>
      </c>
      <c r="I56" s="15">
        <v>1226222.9374500697</v>
      </c>
      <c r="J56" s="15">
        <v>1782531.7789662397</v>
      </c>
      <c r="K56" s="15">
        <v>556308.84151616995</v>
      </c>
      <c r="L56" s="14">
        <v>99499.639745474051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-20790.629041221724</v>
      </c>
      <c r="F57" s="15">
        <v>-19540.064695712677</v>
      </c>
      <c r="G57" s="15">
        <v>1598760.1285293053</v>
      </c>
      <c r="H57" s="15">
        <v>1701080.793526842</v>
      </c>
      <c r="I57" s="15">
        <v>1226222.9374500697</v>
      </c>
      <c r="J57" s="15">
        <v>1821371.0623135378</v>
      </c>
      <c r="K57" s="15">
        <v>595148.12486346811</v>
      </c>
      <c r="L57" s="14">
        <v>120290.26878669577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-22659.73697994119</v>
      </c>
      <c r="F58" s="15">
        <v>-21137.813820429725</v>
      </c>
      <c r="G58" s="15">
        <v>1577622.3147088757</v>
      </c>
      <c r="H58" s="15">
        <v>1691211.1634949755</v>
      </c>
      <c r="I58" s="15">
        <v>1226222.9374500697</v>
      </c>
      <c r="J58" s="15">
        <v>1834161.1692616125</v>
      </c>
      <c r="K58" s="15">
        <v>607938.23181154276</v>
      </c>
      <c r="L58" s="14">
        <v>142950.00576663695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-21765.21580417292</v>
      </c>
      <c r="F59" s="15">
        <v>-20246.711477892542</v>
      </c>
      <c r="G59" s="15">
        <v>1557375.6032309833</v>
      </c>
      <c r="H59" s="15">
        <v>1674178.8477347626</v>
      </c>
      <c r="I59" s="15">
        <v>1226222.9374500697</v>
      </c>
      <c r="J59" s="15">
        <v>1838894.0693055724</v>
      </c>
      <c r="K59" s="15">
        <v>612671.13185550272</v>
      </c>
      <c r="L59" s="14">
        <v>164715.22157080987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-17431.418359027382</v>
      </c>
      <c r="F60" s="15">
        <v>-16633.033133458779</v>
      </c>
      <c r="G60" s="15">
        <v>1540742.5700975244</v>
      </c>
      <c r="H60" s="15">
        <v>1614698.1796667734</v>
      </c>
      <c r="I60" s="15">
        <v>1226222.9374500697</v>
      </c>
      <c r="J60" s="15">
        <v>1796844.8195966107</v>
      </c>
      <c r="K60" s="15">
        <v>570621.88214654103</v>
      </c>
      <c r="L60" s="14">
        <v>182146.63992983726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-32774.923782847916</v>
      </c>
      <c r="F61" s="15">
        <v>-27846.153362916037</v>
      </c>
      <c r="G61" s="15">
        <v>1512896.4167346084</v>
      </c>
      <c r="H61" s="15">
        <v>1780679.1517515359</v>
      </c>
      <c r="I61" s="15">
        <v>1226222.9374500697</v>
      </c>
      <c r="J61" s="15">
        <v>1995600.7154642211</v>
      </c>
      <c r="K61" s="15">
        <v>769377.77801415138</v>
      </c>
      <c r="L61" s="14">
        <v>214921.56371268517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-43268.840010340289</v>
      </c>
      <c r="F62" s="15">
        <v>-34754.088228610344</v>
      </c>
      <c r="G62" s="15">
        <v>1478142.328505998</v>
      </c>
      <c r="H62" s="15">
        <v>1840287.2060382995</v>
      </c>
      <c r="I62" s="15">
        <v>1226222.9374500697</v>
      </c>
      <c r="J62" s="15">
        <v>2098477.6097613247</v>
      </c>
      <c r="K62" s="15">
        <v>872254.67231125501</v>
      </c>
      <c r="L62" s="14">
        <v>258190.40372302546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-60139.263576626639</v>
      </c>
      <c r="F63" s="15">
        <v>-47131.083462289775</v>
      </c>
      <c r="G63" s="15">
        <v>1431011.2450437082</v>
      </c>
      <c r="H63" s="15">
        <v>1825970.3814290198</v>
      </c>
      <c r="I63" s="15">
        <v>1226222.9374500697</v>
      </c>
      <c r="J63" s="15">
        <v>2144300.0487286719</v>
      </c>
      <c r="K63" s="15">
        <v>918077.11127860215</v>
      </c>
      <c r="L63" s="14">
        <v>318329.66729965212</v>
      </c>
      <c r="M63" s="9">
        <v>66.335527216233743</v>
      </c>
      <c r="N63" s="9">
        <v>1</v>
      </c>
    </row>
  </sheetData>
  <phoneticPr fontId="3" type="noConversion"/>
  <conditionalFormatting sqref="H2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63"/>
  <sheetViews>
    <sheetView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4" width="6.875" style="21" customWidth="1"/>
    <col min="5" max="5" width="9.375" style="21" customWidth="1"/>
    <col min="6" max="6" width="9.25" style="21" customWidth="1"/>
    <col min="7" max="7" width="10.75" style="21" customWidth="1"/>
    <col min="8" max="8" width="11.5" style="21" customWidth="1"/>
    <col min="9" max="9" width="12.5" style="21" customWidth="1"/>
    <col min="10" max="10" width="12.625" style="11" customWidth="1"/>
    <col min="11" max="11" width="10.75" style="11" customWidth="1"/>
    <col min="12" max="12" width="10.75" style="21" customWidth="1"/>
    <col min="13" max="13" width="9.5" style="11" bestFit="1" customWidth="1"/>
    <col min="14" max="14" width="9" style="10"/>
    <col min="15" max="15" width="9" style="11"/>
    <col min="16" max="16" width="9.75" style="11" bestFit="1" customWidth="1"/>
    <col min="17" max="18" width="11.375" style="11" customWidth="1"/>
    <col min="19" max="20" width="11.125" style="11" customWidth="1"/>
    <col min="21" max="21" width="10.375" style="11" customWidth="1"/>
    <col min="22" max="22" width="10.25" style="11" customWidth="1"/>
    <col min="23" max="23" width="10.125" style="11" customWidth="1"/>
    <col min="24" max="24" width="9" style="11"/>
    <col min="25" max="25" width="9.75" style="11" bestFit="1" customWidth="1"/>
    <col min="26" max="27" width="9" style="11"/>
    <col min="28" max="28" width="9.75" style="11" bestFit="1" customWidth="1"/>
    <col min="29" max="30" width="9" style="11"/>
    <col min="31" max="31" width="9.75" style="11" bestFit="1" customWidth="1"/>
    <col min="32" max="16384" width="9" style="11"/>
  </cols>
  <sheetData>
    <row r="1" spans="1:33" s="5" customFormat="1" ht="27" customHeight="1">
      <c r="A1" s="25" t="s">
        <v>19</v>
      </c>
      <c r="B1" s="25" t="s">
        <v>8</v>
      </c>
      <c r="C1" s="25" t="s">
        <v>9</v>
      </c>
      <c r="D1" s="26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1" t="s">
        <v>16</v>
      </c>
      <c r="K1" s="27" t="s">
        <v>17</v>
      </c>
      <c r="L1" s="28" t="s">
        <v>18</v>
      </c>
      <c r="M1" s="4" t="s">
        <v>0</v>
      </c>
      <c r="N1" s="6" t="s">
        <v>28</v>
      </c>
    </row>
    <row r="2" spans="1:33" ht="14.1" customHeight="1">
      <c r="A2" s="7"/>
      <c r="B2" s="7"/>
      <c r="C2" s="7"/>
      <c r="D2" s="8"/>
      <c r="E2" s="8">
        <v>3950</v>
      </c>
      <c r="F2" s="8"/>
      <c r="G2" s="8"/>
      <c r="H2" s="8">
        <f>MIN(G:G)</f>
        <v>0</v>
      </c>
      <c r="I2" s="8"/>
      <c r="J2" s="7"/>
      <c r="K2" s="7"/>
      <c r="L2" s="8"/>
      <c r="M2" s="9"/>
    </row>
    <row r="3" spans="1:33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4">
        <v>0</v>
      </c>
      <c r="M3" s="9">
        <v>0</v>
      </c>
      <c r="N3" s="9">
        <v>1</v>
      </c>
      <c r="P3" s="29" t="s">
        <v>19</v>
      </c>
      <c r="Q3" s="16" t="s">
        <v>20</v>
      </c>
      <c r="R3" s="16" t="s">
        <v>21</v>
      </c>
      <c r="S3" s="16" t="s">
        <v>22</v>
      </c>
      <c r="T3" s="16" t="s">
        <v>23</v>
      </c>
      <c r="U3" s="30" t="s">
        <v>18</v>
      </c>
      <c r="V3" s="16" t="s">
        <v>24</v>
      </c>
      <c r="W3" s="16" t="s">
        <v>25</v>
      </c>
      <c r="Y3" s="24">
        <v>44561</v>
      </c>
      <c r="Z3" s="11">
        <v>250495.57337637764</v>
      </c>
      <c r="AA3" s="11">
        <f>-Z3</f>
        <v>-250495.57337637764</v>
      </c>
      <c r="AB3" s="24">
        <v>44561</v>
      </c>
      <c r="AC3" s="11">
        <v>250495.52419829773</v>
      </c>
      <c r="AD3" s="11">
        <f>-AC3</f>
        <v>-250495.52419829773</v>
      </c>
      <c r="AE3" s="24">
        <v>44561</v>
      </c>
      <c r="AF3" s="11">
        <v>250495.52419829773</v>
      </c>
      <c r="AG3" s="11">
        <f>-AF3</f>
        <v>-250495.52419829773</v>
      </c>
    </row>
    <row r="4" spans="1:33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3953.9484548014116</v>
      </c>
      <c r="F4" s="15">
        <v>3930.3662572578642</v>
      </c>
      <c r="G4" s="15">
        <v>3930.3662572578642</v>
      </c>
      <c r="H4" s="15">
        <v>3953.9484548014116</v>
      </c>
      <c r="I4" s="15">
        <v>3953.9484548014116</v>
      </c>
      <c r="J4" s="15">
        <v>3953.9484548014116</v>
      </c>
      <c r="K4" s="15">
        <v>0</v>
      </c>
      <c r="L4" s="14">
        <v>0</v>
      </c>
      <c r="M4" s="9">
        <v>-53.501214932625707</v>
      </c>
      <c r="N4" s="9">
        <v>1</v>
      </c>
      <c r="P4" s="24">
        <v>44561</v>
      </c>
      <c r="Q4" s="18">
        <v>250495.52419829773</v>
      </c>
      <c r="R4" s="8">
        <v>250495.52419829773</v>
      </c>
      <c r="S4" s="8">
        <v>253303.84831463292</v>
      </c>
      <c r="T4" s="8">
        <v>2808.3241163351922</v>
      </c>
      <c r="U4" s="8">
        <v>0</v>
      </c>
      <c r="V4" s="19">
        <v>1.121107502947662E-2</v>
      </c>
      <c r="W4" s="19">
        <v>1.121107502947662E-2</v>
      </c>
      <c r="Y4" s="24">
        <v>44925</v>
      </c>
      <c r="Z4" s="9">
        <v>3805407.6578482944</v>
      </c>
      <c r="AA4" s="9">
        <f>-Z4</f>
        <v>-3805407.6578482944</v>
      </c>
      <c r="AB4" s="24">
        <v>44925</v>
      </c>
      <c r="AC4" s="9">
        <v>3805407.5827613538</v>
      </c>
      <c r="AD4" s="9">
        <f>-AC4</f>
        <v>-3805407.5827613538</v>
      </c>
      <c r="AE4" s="24">
        <v>44925</v>
      </c>
      <c r="AF4" s="9">
        <v>3805407.5827613538</v>
      </c>
      <c r="AG4" s="9">
        <f>-AF4</f>
        <v>-3805407.5827613538</v>
      </c>
    </row>
    <row r="5" spans="1:33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31666.545626548228</v>
      </c>
      <c r="F5" s="15">
        <v>32781.103133072698</v>
      </c>
      <c r="G5" s="15">
        <v>36711.46939033056</v>
      </c>
      <c r="H5" s="15">
        <v>35463.279431059316</v>
      </c>
      <c r="I5" s="15">
        <v>35620.494081349636</v>
      </c>
      <c r="J5" s="15">
        <v>35463.279431059316</v>
      </c>
      <c r="K5" s="15">
        <v>-157.2146502903197</v>
      </c>
      <c r="L5" s="14">
        <v>0</v>
      </c>
      <c r="M5" s="9">
        <v>-120.73806658644138</v>
      </c>
      <c r="N5" s="9">
        <v>1.2</v>
      </c>
      <c r="P5" s="24">
        <v>44925</v>
      </c>
      <c r="Q5" s="18">
        <v>3805407.5827613538</v>
      </c>
      <c r="R5" s="8">
        <v>4055903.1069596517</v>
      </c>
      <c r="S5" s="8">
        <v>3864974.714998242</v>
      </c>
      <c r="T5" s="8">
        <v>-190928.39196140971</v>
      </c>
      <c r="U5" s="8">
        <v>0</v>
      </c>
      <c r="V5" s="19">
        <v>-4.7074199488096664E-2</v>
      </c>
      <c r="W5" s="19">
        <v>-4.4450912908414297E-2</v>
      </c>
      <c r="Y5" s="24">
        <v>44925</v>
      </c>
      <c r="Z5" s="9"/>
      <c r="AA5" s="9">
        <v>3864974.823122385</v>
      </c>
      <c r="AB5" s="24">
        <v>45289</v>
      </c>
      <c r="AC5" s="9">
        <v>3238983.9113250882</v>
      </c>
      <c r="AD5" s="9">
        <f>-AC5</f>
        <v>-3238983.9113250882</v>
      </c>
      <c r="AE5" s="24">
        <v>45289</v>
      </c>
      <c r="AF5" s="9">
        <v>3238983.9113250882</v>
      </c>
      <c r="AG5" s="9">
        <f>-AF5</f>
        <v>-3238983.9113250882</v>
      </c>
    </row>
    <row r="6" spans="1:33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87657.679798291982</v>
      </c>
      <c r="F6" s="15">
        <v>91215.067427983333</v>
      </c>
      <c r="G6" s="15">
        <v>127926.53681831389</v>
      </c>
      <c r="H6" s="15">
        <v>122937.40188239964</v>
      </c>
      <c r="I6" s="15">
        <v>123278.17387964162</v>
      </c>
      <c r="J6" s="15">
        <v>122937.40188239964</v>
      </c>
      <c r="K6" s="15">
        <v>-340.77199724197271</v>
      </c>
      <c r="L6" s="14">
        <v>0</v>
      </c>
      <c r="M6" s="9">
        <v>-30.243784697079619</v>
      </c>
      <c r="N6" s="9">
        <v>1</v>
      </c>
      <c r="P6" s="24">
        <v>45289</v>
      </c>
      <c r="Q6" s="18">
        <v>3238983.9113250882</v>
      </c>
      <c r="R6" s="8">
        <v>7294887.0182847399</v>
      </c>
      <c r="S6" s="8">
        <v>6428643.6917510191</v>
      </c>
      <c r="T6" s="8">
        <v>-866243.32653372083</v>
      </c>
      <c r="U6" s="8">
        <v>0</v>
      </c>
      <c r="V6" s="19">
        <v>-0.11874664053911588</v>
      </c>
      <c r="W6" s="19">
        <v>-7.6986041644461101E-2</v>
      </c>
      <c r="Y6" s="9"/>
      <c r="Z6" s="9"/>
      <c r="AA6" s="20">
        <v>-4.4450912908414297E-2</v>
      </c>
      <c r="AB6" s="24">
        <v>45289</v>
      </c>
      <c r="AC6" s="9"/>
      <c r="AD6" s="20">
        <v>6428643.6917510191</v>
      </c>
      <c r="AE6" s="24">
        <v>45657</v>
      </c>
      <c r="AF6" s="11">
        <v>2624874.2063060831</v>
      </c>
      <c r="AG6" s="11">
        <f>-AF6</f>
        <v>-2624874.2063060831</v>
      </c>
    </row>
    <row r="7" spans="1:33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34459.3817973326</v>
      </c>
      <c r="F7" s="15">
        <v>34702.298899013775</v>
      </c>
      <c r="G7" s="15">
        <v>162628.83571732766</v>
      </c>
      <c r="H7" s="15">
        <v>161490.42913691059</v>
      </c>
      <c r="I7" s="15">
        <v>157737.55567697421</v>
      </c>
      <c r="J7" s="15">
        <v>161490.42913691059</v>
      </c>
      <c r="K7" s="15">
        <v>3752.8734599363816</v>
      </c>
      <c r="L7" s="14">
        <v>0</v>
      </c>
      <c r="M7" s="9">
        <v>67.867888185983432</v>
      </c>
      <c r="N7" s="9">
        <v>1</v>
      </c>
      <c r="P7" s="24">
        <v>45657</v>
      </c>
      <c r="Q7" s="18">
        <v>2624874.2063181791</v>
      </c>
      <c r="R7" s="8">
        <v>9919761.2246029191</v>
      </c>
      <c r="S7" s="8">
        <v>11208466.646992989</v>
      </c>
      <c r="T7" s="8">
        <v>1288705.4223900698</v>
      </c>
      <c r="U7" s="8">
        <v>0</v>
      </c>
      <c r="V7" s="19">
        <v>0.12991294782316251</v>
      </c>
      <c r="W7" s="19">
        <v>5.736790008357473E-2</v>
      </c>
      <c r="Y7" s="9"/>
      <c r="Z7" s="9"/>
      <c r="AA7" s="9"/>
      <c r="AD7" s="10">
        <v>-7.6986041644461101E-2</v>
      </c>
      <c r="AE7" s="24">
        <v>45657</v>
      </c>
      <c r="AG7" s="10">
        <v>11208466.646977551</v>
      </c>
    </row>
    <row r="8" spans="1:33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41606.397754992307</v>
      </c>
      <c r="F8" s="15">
        <v>41153.705464243583</v>
      </c>
      <c r="G8" s="15">
        <v>203782.54118157126</v>
      </c>
      <c r="H8" s="15">
        <v>206024.1567139134</v>
      </c>
      <c r="I8" s="15">
        <v>199343.95343196651</v>
      </c>
      <c r="J8" s="15">
        <v>206024.1567139134</v>
      </c>
      <c r="K8" s="15">
        <v>6680.2032819468877</v>
      </c>
      <c r="L8" s="14">
        <v>0</v>
      </c>
      <c r="M8" s="9">
        <v>63.430477831424852</v>
      </c>
      <c r="N8" s="9">
        <v>1</v>
      </c>
      <c r="AG8" s="10">
        <v>5.736790008357473E-2</v>
      </c>
    </row>
    <row r="9" spans="1:33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51151.570766331228</v>
      </c>
      <c r="F9" s="15">
        <v>51564.084276524249</v>
      </c>
      <c r="G9" s="15">
        <v>255346.62545809551</v>
      </c>
      <c r="H9" s="15">
        <v>253303.84831463292</v>
      </c>
      <c r="I9" s="15">
        <v>250495.52419829773</v>
      </c>
      <c r="J9" s="15">
        <v>253303.84831463292</v>
      </c>
      <c r="K9" s="15">
        <v>2808.3241163351922</v>
      </c>
      <c r="L9" s="14">
        <v>0</v>
      </c>
      <c r="M9" s="9">
        <v>-25.534304137796351</v>
      </c>
      <c r="N9" s="9">
        <v>1</v>
      </c>
      <c r="Y9" s="17"/>
      <c r="Z9" s="9"/>
      <c r="AA9" s="9"/>
    </row>
    <row r="10" spans="1:33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212131.32448928335</v>
      </c>
      <c r="F10" s="15">
        <v>238082.30186340422</v>
      </c>
      <c r="G10" s="15">
        <v>493428.92732149974</v>
      </c>
      <c r="H10" s="15">
        <v>439645.16083219717</v>
      </c>
      <c r="I10" s="15">
        <v>462626.84868758108</v>
      </c>
      <c r="J10" s="15">
        <v>439645.16083219717</v>
      </c>
      <c r="K10" s="15">
        <v>-22981.687855383905</v>
      </c>
      <c r="L10" s="14">
        <v>0</v>
      </c>
      <c r="M10" s="9">
        <v>-185.45991285326798</v>
      </c>
      <c r="N10" s="9">
        <v>1.2</v>
      </c>
      <c r="Y10" s="17"/>
      <c r="Z10" s="9"/>
      <c r="AA10" s="9"/>
    </row>
    <row r="11" spans="1:33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152776.38825066606</v>
      </c>
      <c r="F11" s="15">
        <v>173215.85398222785</v>
      </c>
      <c r="G11" s="15">
        <v>666644.78130372753</v>
      </c>
      <c r="H11" s="15">
        <v>587980.71650062886</v>
      </c>
      <c r="I11" s="15">
        <v>615403.23693824711</v>
      </c>
      <c r="J11" s="15">
        <v>587980.71650062886</v>
      </c>
      <c r="K11" s="15">
        <v>-27422.520437618252</v>
      </c>
      <c r="L11" s="14">
        <v>0</v>
      </c>
      <c r="M11" s="9">
        <v>53.846247309070314</v>
      </c>
      <c r="N11" s="9">
        <v>1</v>
      </c>
      <c r="Y11" s="17"/>
      <c r="Z11" s="9"/>
      <c r="AA11" s="9"/>
    </row>
    <row r="12" spans="1:33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298978.39245292288</v>
      </c>
      <c r="F12" s="15">
        <v>377497.97231435409</v>
      </c>
      <c r="G12" s="15">
        <v>1044142.7536180816</v>
      </c>
      <c r="H12" s="15">
        <v>826961.05638454598</v>
      </c>
      <c r="I12" s="15">
        <v>914381.62939116999</v>
      </c>
      <c r="J12" s="15">
        <v>826961.05638454598</v>
      </c>
      <c r="K12" s="15">
        <v>-87420.573006624007</v>
      </c>
      <c r="L12" s="14">
        <v>0</v>
      </c>
      <c r="M12" s="9">
        <v>-13.27465112839349</v>
      </c>
      <c r="N12" s="9">
        <v>1</v>
      </c>
      <c r="Y12" s="17"/>
    </row>
    <row r="13" spans="1:33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430204.46026693727</v>
      </c>
      <c r="F13" s="15">
        <v>598337.23380903399</v>
      </c>
      <c r="G13" s="15">
        <v>1642479.9874271154</v>
      </c>
      <c r="H13" s="15">
        <v>1180943.0811986674</v>
      </c>
      <c r="I13" s="15">
        <v>1344586.0896581071</v>
      </c>
      <c r="J13" s="15">
        <v>1180943.0811986674</v>
      </c>
      <c r="K13" s="15">
        <v>-163643.00845943973</v>
      </c>
      <c r="L13" s="14">
        <v>0</v>
      </c>
      <c r="M13" s="9">
        <v>-29.745409510831923</v>
      </c>
      <c r="N13" s="9">
        <v>1</v>
      </c>
      <c r="AA13" s="10"/>
    </row>
    <row r="14" spans="1:33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444665.872061275</v>
      </c>
      <c r="F14" s="15">
        <v>595268.92175436951</v>
      </c>
      <c r="G14" s="15">
        <v>2237748.909181485</v>
      </c>
      <c r="H14" s="15">
        <v>1671598.3882087287</v>
      </c>
      <c r="I14" s="15">
        <v>1789251.9617193821</v>
      </c>
      <c r="J14" s="15">
        <v>1671598.3882087287</v>
      </c>
      <c r="K14" s="15">
        <v>-117653.57351065334</v>
      </c>
      <c r="L14" s="14">
        <v>0</v>
      </c>
      <c r="M14" s="9">
        <v>121.48316506417596</v>
      </c>
      <c r="N14" s="9">
        <v>1</v>
      </c>
    </row>
    <row r="15" spans="1:33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157218.79125494338</v>
      </c>
      <c r="F15" s="15">
        <v>186057.73483051939</v>
      </c>
      <c r="G15" s="15">
        <v>2423806.6440120041</v>
      </c>
      <c r="H15" s="15">
        <v>2048116.6835358078</v>
      </c>
      <c r="I15" s="15">
        <v>1946470.7529743256</v>
      </c>
      <c r="J15" s="15">
        <v>2048116.6835358078</v>
      </c>
      <c r="K15" s="15">
        <v>101645.93056148221</v>
      </c>
      <c r="L15" s="14">
        <v>0</v>
      </c>
      <c r="M15" s="9">
        <v>82.073682168853153</v>
      </c>
      <c r="N15" s="9">
        <v>1</v>
      </c>
    </row>
    <row r="16" spans="1:33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255071.29183414666</v>
      </c>
      <c r="F16" s="15">
        <v>318441.06384249154</v>
      </c>
      <c r="G16" s="15">
        <v>2742247.7078544958</v>
      </c>
      <c r="H16" s="15">
        <v>2196540.4113762402</v>
      </c>
      <c r="I16" s="15">
        <v>2201542.044808472</v>
      </c>
      <c r="J16" s="15">
        <v>2196540.4113762402</v>
      </c>
      <c r="K16" s="15">
        <v>-5001.6334322318435</v>
      </c>
      <c r="L16" s="14">
        <v>0</v>
      </c>
      <c r="M16" s="9">
        <v>-127.3183196634585</v>
      </c>
      <c r="N16" s="9">
        <v>1.2</v>
      </c>
    </row>
    <row r="17" spans="1:14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303148.36528291792</v>
      </c>
      <c r="F17" s="15">
        <v>396272.38032894093</v>
      </c>
      <c r="G17" s="15">
        <v>3138520.0881834365</v>
      </c>
      <c r="H17" s="15">
        <v>2400967.8225634391</v>
      </c>
      <c r="I17" s="15">
        <v>2504690.4100913899</v>
      </c>
      <c r="J17" s="15">
        <v>2400967.8225634391</v>
      </c>
      <c r="K17" s="15">
        <v>-103722.58752795076</v>
      </c>
      <c r="L17" s="14">
        <v>0</v>
      </c>
      <c r="M17" s="9">
        <v>-140.34722331220857</v>
      </c>
      <c r="N17" s="9">
        <v>1.2</v>
      </c>
    </row>
    <row r="18" spans="1:14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476818.04021216277</v>
      </c>
      <c r="F18" s="15">
        <v>685083.41082246881</v>
      </c>
      <c r="G18" s="15">
        <v>3823603.4990059054</v>
      </c>
      <c r="H18" s="15">
        <v>2661227.9587321887</v>
      </c>
      <c r="I18" s="15">
        <v>2981508.4503035527</v>
      </c>
      <c r="J18" s="15">
        <v>2661227.9587321887</v>
      </c>
      <c r="K18" s="15">
        <v>-320280.49157136399</v>
      </c>
      <c r="L18" s="14">
        <v>0</v>
      </c>
      <c r="M18" s="9">
        <v>-112.42427728939072</v>
      </c>
      <c r="N18" s="9">
        <v>1.2</v>
      </c>
    </row>
    <row r="19" spans="1:14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473436.41347239545</v>
      </c>
      <c r="F19" s="15">
        <v>689135.99646880978</v>
      </c>
      <c r="G19" s="15">
        <v>4512739.4954747148</v>
      </c>
      <c r="H19" s="15">
        <v>3100251.9279508772</v>
      </c>
      <c r="I19" s="15">
        <v>3454944.8637759481</v>
      </c>
      <c r="J19" s="15">
        <v>3100251.9279508772</v>
      </c>
      <c r="K19" s="15">
        <v>-354692.93582507083</v>
      </c>
      <c r="L19" s="14">
        <v>0</v>
      </c>
      <c r="M19" s="9">
        <v>-146.0933885866429</v>
      </c>
      <c r="N19" s="9">
        <v>1.2</v>
      </c>
    </row>
    <row r="20" spans="1:14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313410.87349421479</v>
      </c>
      <c r="F20" s="15">
        <v>435292.8625560918</v>
      </c>
      <c r="G20" s="15">
        <v>4948032.3580308063</v>
      </c>
      <c r="H20" s="15">
        <v>3562583.4393465216</v>
      </c>
      <c r="I20" s="15">
        <v>3768355.7372701629</v>
      </c>
      <c r="J20" s="15">
        <v>3562583.4393465216</v>
      </c>
      <c r="K20" s="15">
        <v>-205772.29792364128</v>
      </c>
      <c r="L20" s="14">
        <v>0</v>
      </c>
      <c r="M20" s="9">
        <v>-12.858623413630797</v>
      </c>
      <c r="N20" s="9">
        <v>1</v>
      </c>
    </row>
    <row r="21" spans="1:14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287547.36968948861</v>
      </c>
      <c r="F21" s="15">
        <v>397714.20978151012</v>
      </c>
      <c r="G21" s="15">
        <v>5345746.5678123161</v>
      </c>
      <c r="H21" s="15">
        <v>3864974.714998242</v>
      </c>
      <c r="I21" s="15">
        <v>4055903.1069596517</v>
      </c>
      <c r="J21" s="15">
        <v>3864974.714998242</v>
      </c>
      <c r="K21" s="15">
        <v>-190928.39196140971</v>
      </c>
      <c r="L21" s="14">
        <v>0</v>
      </c>
      <c r="M21" s="9">
        <v>-13.703085779356849</v>
      </c>
      <c r="N21" s="9">
        <v>1</v>
      </c>
    </row>
    <row r="22" spans="1:14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147460.08393568356</v>
      </c>
      <c r="F22" s="15">
        <v>186894.91591756771</v>
      </c>
      <c r="G22" s="15">
        <v>5532641.483729884</v>
      </c>
      <c r="H22" s="15">
        <v>4365253.9908399191</v>
      </c>
      <c r="I22" s="15">
        <v>4203363.1908953348</v>
      </c>
      <c r="J22" s="15">
        <v>4365253.9908399191</v>
      </c>
      <c r="K22" s="15">
        <v>161890.79994458426</v>
      </c>
      <c r="L22" s="14">
        <v>0</v>
      </c>
      <c r="M22" s="9">
        <v>100.32182122410893</v>
      </c>
      <c r="N22" s="9">
        <v>1</v>
      </c>
    </row>
    <row r="23" spans="1:14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179887.95398935772</v>
      </c>
      <c r="F23" s="15">
        <v>235764.02528342407</v>
      </c>
      <c r="G23" s="15">
        <v>5768405.5090133082</v>
      </c>
      <c r="H23" s="15">
        <v>4401293.4693913162</v>
      </c>
      <c r="I23" s="15">
        <v>4383251.1448846925</v>
      </c>
      <c r="J23" s="15">
        <v>4401293.4693913162</v>
      </c>
      <c r="K23" s="15">
        <v>18042.32450662367</v>
      </c>
      <c r="L23" s="14">
        <v>0</v>
      </c>
      <c r="M23" s="9">
        <v>-92.003912876830128</v>
      </c>
      <c r="N23" s="9">
        <v>1</v>
      </c>
    </row>
    <row r="24" spans="1:14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153462.94234779794</v>
      </c>
      <c r="F24" s="15">
        <v>199044.01665749171</v>
      </c>
      <c r="G24" s="15">
        <v>5967449.5256708004</v>
      </c>
      <c r="H24" s="15">
        <v>4600903.7493312843</v>
      </c>
      <c r="I24" s="15">
        <v>4536714.0872324901</v>
      </c>
      <c r="J24" s="15">
        <v>4600903.7493312843</v>
      </c>
      <c r="K24" s="15">
        <v>64189.662098794244</v>
      </c>
      <c r="L24" s="14">
        <v>0</v>
      </c>
      <c r="M24" s="9">
        <v>121.19851098278713</v>
      </c>
      <c r="N24" s="9">
        <v>1</v>
      </c>
    </row>
    <row r="25" spans="1:14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170728.87924527752</v>
      </c>
      <c r="F25" s="15">
        <v>227335.39570190487</v>
      </c>
      <c r="G25" s="15">
        <v>6194784.9213727051</v>
      </c>
      <c r="H25" s="15">
        <v>4652283.396195503</v>
      </c>
      <c r="I25" s="15">
        <v>4707442.9664777676</v>
      </c>
      <c r="J25" s="15">
        <v>4652283.396195503</v>
      </c>
      <c r="K25" s="15">
        <v>-55159.570282264613</v>
      </c>
      <c r="L25" s="14">
        <v>0</v>
      </c>
      <c r="M25" s="9">
        <v>-64.205140990854673</v>
      </c>
      <c r="N25" s="9">
        <v>1</v>
      </c>
    </row>
    <row r="26" spans="1:14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342813.94630173902</v>
      </c>
      <c r="F26" s="15">
        <v>476130.46205491282</v>
      </c>
      <c r="G26" s="15">
        <v>6670915.3834276181</v>
      </c>
      <c r="H26" s="15">
        <v>4803059.2669243049</v>
      </c>
      <c r="I26" s="15">
        <v>5050256.9127795063</v>
      </c>
      <c r="J26" s="15">
        <v>4803059.2669243049</v>
      </c>
      <c r="K26" s="15">
        <v>-247197.64585520141</v>
      </c>
      <c r="L26" s="14">
        <v>0</v>
      </c>
      <c r="M26" s="9">
        <v>-122.69771180703479</v>
      </c>
      <c r="N26" s="9">
        <v>1.2</v>
      </c>
    </row>
    <row r="27" spans="1:14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212836.78984509152</v>
      </c>
      <c r="F27" s="15">
        <v>281903.03468782775</v>
      </c>
      <c r="G27" s="15">
        <v>6952818.4181154454</v>
      </c>
      <c r="H27" s="15">
        <v>5249377.8725235397</v>
      </c>
      <c r="I27" s="15">
        <v>5263093.7026245976</v>
      </c>
      <c r="J27" s="15">
        <v>5249377.8725235397</v>
      </c>
      <c r="K27" s="15">
        <v>-13715.830101057887</v>
      </c>
      <c r="L27" s="14">
        <v>0</v>
      </c>
      <c r="M27" s="9">
        <v>24.912007435828137</v>
      </c>
      <c r="N27" s="9">
        <v>1</v>
      </c>
    </row>
    <row r="28" spans="1:14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185507.43469307973</v>
      </c>
      <c r="F28" s="15">
        <v>243767.98969283653</v>
      </c>
      <c r="G28" s="15">
        <v>7196586.4078082815</v>
      </c>
      <c r="H28" s="15">
        <v>5476602.095056911</v>
      </c>
      <c r="I28" s="15">
        <v>5448601.137317677</v>
      </c>
      <c r="J28" s="15">
        <v>5476602.095056911</v>
      </c>
      <c r="K28" s="15">
        <v>28000.957739233971</v>
      </c>
      <c r="L28" s="14">
        <v>0</v>
      </c>
      <c r="M28" s="9">
        <v>132.15337272513426</v>
      </c>
      <c r="N28" s="9">
        <v>1</v>
      </c>
    </row>
    <row r="29" spans="1:14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256090.62418715825</v>
      </c>
      <c r="F29" s="15">
        <v>358670.34870577598</v>
      </c>
      <c r="G29" s="15">
        <v>7555256.7565140575</v>
      </c>
      <c r="H29" s="15">
        <v>5394453.2232774766</v>
      </c>
      <c r="I29" s="15">
        <v>5704691.7615048354</v>
      </c>
      <c r="J29" s="15">
        <v>5394453.2232774766</v>
      </c>
      <c r="K29" s="15">
        <v>-310238.53822735883</v>
      </c>
      <c r="L29" s="14">
        <v>0</v>
      </c>
      <c r="M29" s="9">
        <v>19.588439525500419</v>
      </c>
      <c r="N29" s="9">
        <v>1</v>
      </c>
    </row>
    <row r="30" spans="1:14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348430.6415648465</v>
      </c>
      <c r="F30" s="15">
        <v>508657.8691271703</v>
      </c>
      <c r="G30" s="15">
        <v>8063914.6256412277</v>
      </c>
      <c r="H30" s="15">
        <v>5523781.5377901113</v>
      </c>
      <c r="I30" s="15">
        <v>6053122.4030696824</v>
      </c>
      <c r="J30" s="15">
        <v>5523781.5377901113</v>
      </c>
      <c r="K30" s="15">
        <v>-529340.86527957115</v>
      </c>
      <c r="L30" s="14">
        <v>0</v>
      </c>
      <c r="M30" s="9">
        <v>-38.600823638801678</v>
      </c>
      <c r="N30" s="9">
        <v>1</v>
      </c>
    </row>
    <row r="31" spans="1:14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364192.9241091304</v>
      </c>
      <c r="F31" s="15">
        <v>549310.60470490914</v>
      </c>
      <c r="G31" s="15">
        <v>8613225.2303461377</v>
      </c>
      <c r="H31" s="15">
        <v>5710568.2209347375</v>
      </c>
      <c r="I31" s="15">
        <v>6417315.3271788126</v>
      </c>
      <c r="J31" s="15">
        <v>5710568.2209347375</v>
      </c>
      <c r="K31" s="15">
        <v>-706747.10624407511</v>
      </c>
      <c r="L31" s="14">
        <v>0</v>
      </c>
      <c r="M31" s="9">
        <v>11.750560187063723</v>
      </c>
      <c r="N31" s="9">
        <v>1</v>
      </c>
    </row>
    <row r="32" spans="1:14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483701.42205316125</v>
      </c>
      <c r="F32" s="15">
        <v>743012.91097841063</v>
      </c>
      <c r="G32" s="15">
        <v>9356238.1413245481</v>
      </c>
      <c r="H32" s="15">
        <v>6090911.2441495769</v>
      </c>
      <c r="I32" s="15">
        <v>6901016.7492319737</v>
      </c>
      <c r="J32" s="15">
        <v>6090911.2441495769</v>
      </c>
      <c r="K32" s="15">
        <v>-810105.50508239679</v>
      </c>
      <c r="L32" s="14">
        <v>0</v>
      </c>
      <c r="M32" s="9">
        <v>-113.41457128255375</v>
      </c>
      <c r="N32" s="9">
        <v>1.2</v>
      </c>
    </row>
    <row r="33" spans="1:14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393870.26905276586</v>
      </c>
      <c r="F33" s="15">
        <v>610651.59798452829</v>
      </c>
      <c r="G33" s="15">
        <v>9966889.7393090762</v>
      </c>
      <c r="H33" s="15">
        <v>6428643.6917510191</v>
      </c>
      <c r="I33" s="15">
        <v>7294887.0182847399</v>
      </c>
      <c r="J33" s="15">
        <v>6428643.6917510191</v>
      </c>
      <c r="K33" s="15">
        <v>-866243.32653372083</v>
      </c>
      <c r="L33" s="14">
        <v>0</v>
      </c>
      <c r="M33" s="9">
        <v>134.00503901876459</v>
      </c>
      <c r="N33" s="9">
        <v>1</v>
      </c>
    </row>
    <row r="34" spans="1:14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677634.49411774508</v>
      </c>
      <c r="F34" s="15">
        <v>1207904.646683011</v>
      </c>
      <c r="G34" s="15">
        <v>11174794.385992087</v>
      </c>
      <c r="H34" s="15">
        <v>6269059.5333133023</v>
      </c>
      <c r="I34" s="15">
        <v>7972521.5124024851</v>
      </c>
      <c r="J34" s="15">
        <v>6269059.5333133023</v>
      </c>
      <c r="K34" s="15">
        <v>-1703461.9790891828</v>
      </c>
      <c r="L34" s="14">
        <v>0</v>
      </c>
      <c r="M34" s="9">
        <v>-202.99979347003418</v>
      </c>
      <c r="N34" s="9">
        <v>1.2</v>
      </c>
    </row>
    <row r="35" spans="1:14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366041.1327042802</v>
      </c>
      <c r="F35" s="15">
        <v>573732.17263077828</v>
      </c>
      <c r="G35" s="15">
        <v>11748526.558622865</v>
      </c>
      <c r="H35" s="15">
        <v>7495560.0788526041</v>
      </c>
      <c r="I35" s="15">
        <v>8338562.6451067654</v>
      </c>
      <c r="J35" s="15">
        <v>7495560.0788526041</v>
      </c>
      <c r="K35" s="15">
        <v>-843002.5662541613</v>
      </c>
      <c r="L35" s="14">
        <v>0</v>
      </c>
      <c r="M35" s="9">
        <v>102.81793481326457</v>
      </c>
      <c r="N35" s="9">
        <v>1</v>
      </c>
    </row>
    <row r="36" spans="1:14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329957.88035550242</v>
      </c>
      <c r="F36" s="15">
        <v>510770.69075749943</v>
      </c>
      <c r="G36" s="15">
        <v>12259297.249380365</v>
      </c>
      <c r="H36" s="15">
        <v>7919506.3621496465</v>
      </c>
      <c r="I36" s="15">
        <v>8668520.5254622679</v>
      </c>
      <c r="J36" s="15">
        <v>7919506.3621496465</v>
      </c>
      <c r="K36" s="15">
        <v>-749014.16331262141</v>
      </c>
      <c r="L36" s="14">
        <v>0</v>
      </c>
      <c r="M36" s="9">
        <v>-98.887766665906639</v>
      </c>
      <c r="N36" s="9">
        <v>1</v>
      </c>
    </row>
    <row r="37" spans="1:14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284335.14001448749</v>
      </c>
      <c r="F37" s="15">
        <v>428215.58860920183</v>
      </c>
      <c r="G37" s="15">
        <v>12687512.837989567</v>
      </c>
      <c r="H37" s="15">
        <v>8424508.2037815619</v>
      </c>
      <c r="I37" s="15">
        <v>8952855.6654767562</v>
      </c>
      <c r="J37" s="15">
        <v>8424508.2037815619</v>
      </c>
      <c r="K37" s="15">
        <v>-528347.46169519424</v>
      </c>
      <c r="L37" s="14">
        <v>0</v>
      </c>
      <c r="M37" s="9">
        <v>191.90436156354073</v>
      </c>
      <c r="N37" s="9">
        <v>1</v>
      </c>
    </row>
    <row r="38" spans="1:14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256588.26308475045</v>
      </c>
      <c r="F38" s="15">
        <v>394751.18845592643</v>
      </c>
      <c r="G38" s="15">
        <v>13082264.026445493</v>
      </c>
      <c r="H38" s="15">
        <v>8503471.3052840903</v>
      </c>
      <c r="I38" s="15">
        <v>9209443.9285615068</v>
      </c>
      <c r="J38" s="15">
        <v>8503471.3052840903</v>
      </c>
      <c r="K38" s="15">
        <v>-705972.62327741645</v>
      </c>
      <c r="L38" s="14">
        <v>0</v>
      </c>
      <c r="M38" s="9">
        <v>-76.574709137121957</v>
      </c>
      <c r="N38" s="9">
        <v>1</v>
      </c>
    </row>
    <row r="39" spans="1:14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329209.02794768271</v>
      </c>
      <c r="F39" s="15">
        <v>517624.27601940202</v>
      </c>
      <c r="G39" s="15">
        <v>13599888.302464895</v>
      </c>
      <c r="H39" s="15">
        <v>8649528.6555758659</v>
      </c>
      <c r="I39" s="15">
        <v>9538652.9565091897</v>
      </c>
      <c r="J39" s="15">
        <v>8649528.6555758659</v>
      </c>
      <c r="K39" s="15">
        <v>-889124.3009333238</v>
      </c>
      <c r="L39" s="14">
        <v>0</v>
      </c>
      <c r="M39" s="9">
        <v>-109.41232702522433</v>
      </c>
      <c r="N39" s="9">
        <v>1.2</v>
      </c>
    </row>
    <row r="40" spans="1:14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268277.3952402196</v>
      </c>
      <c r="F40" s="15">
        <v>423818.93897167547</v>
      </c>
      <c r="G40" s="15">
        <v>14023707.241436571</v>
      </c>
      <c r="H40" s="15">
        <v>8877006.9111881889</v>
      </c>
      <c r="I40" s="15">
        <v>9806930.351749409</v>
      </c>
      <c r="J40" s="15">
        <v>8877006.9111881889</v>
      </c>
      <c r="K40" s="15">
        <v>-929923.44056122005</v>
      </c>
      <c r="L40" s="14">
        <v>0</v>
      </c>
      <c r="M40" s="9">
        <v>-35.422966834096719</v>
      </c>
      <c r="N40" s="9">
        <v>1</v>
      </c>
    </row>
    <row r="41" spans="1:14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105159.5377060835</v>
      </c>
      <c r="F41" s="15">
        <v>172392.68072128922</v>
      </c>
      <c r="G41" s="15">
        <v>14196099.922157859</v>
      </c>
      <c r="H41" s="15">
        <v>8659621.1555931326</v>
      </c>
      <c r="I41" s="15">
        <v>9912089.8894554917</v>
      </c>
      <c r="J41" s="15">
        <v>8659621.1555931326</v>
      </c>
      <c r="K41" s="15">
        <v>-1252468.7338623591</v>
      </c>
      <c r="L41" s="14">
        <v>0</v>
      </c>
      <c r="M41" s="9">
        <v>170.37062431435149</v>
      </c>
      <c r="N41" s="9">
        <v>1</v>
      </c>
    </row>
    <row r="42" spans="1:14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534.58334992613857</v>
      </c>
      <c r="F42" s="15">
        <v>696.9795779660526</v>
      </c>
      <c r="G42" s="15">
        <v>14196796.901735825</v>
      </c>
      <c r="H42" s="15">
        <v>10888943.50118335</v>
      </c>
      <c r="I42" s="15">
        <v>9912624.4728054181</v>
      </c>
      <c r="J42" s="15">
        <v>10888943.50118335</v>
      </c>
      <c r="K42" s="15">
        <v>976319.02837793157</v>
      </c>
      <c r="L42" s="14">
        <v>0</v>
      </c>
      <c r="M42" s="9">
        <v>265.35751850843906</v>
      </c>
      <c r="N42" s="9">
        <v>1</v>
      </c>
    </row>
    <row r="43" spans="1:14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1724.9199251330979</v>
      </c>
      <c r="F43" s="15">
        <v>2219.9741350105646</v>
      </c>
      <c r="G43" s="15">
        <v>14199016.875870837</v>
      </c>
      <c r="H43" s="15">
        <v>11032636.254734635</v>
      </c>
      <c r="I43" s="15">
        <v>9914349.3927305508</v>
      </c>
      <c r="J43" s="15">
        <v>11032636.254734635</v>
      </c>
      <c r="K43" s="15">
        <v>1118286.8620040845</v>
      </c>
      <c r="L43" s="14">
        <v>0</v>
      </c>
      <c r="M43" s="9">
        <v>15.433066648351565</v>
      </c>
      <c r="N43" s="9">
        <v>1</v>
      </c>
    </row>
    <row r="44" spans="1:14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3012.6166526625288</v>
      </c>
      <c r="F44" s="15">
        <v>3857.3835886907341</v>
      </c>
      <c r="G44" s="15">
        <v>14202874.259459527</v>
      </c>
      <c r="H44" s="15">
        <v>11092445.053991303</v>
      </c>
      <c r="I44" s="15">
        <v>9917362.0093832128</v>
      </c>
      <c r="J44" s="15">
        <v>11092445.053991303</v>
      </c>
      <c r="K44" s="15">
        <v>1175083.0446080901</v>
      </c>
      <c r="L44" s="14">
        <v>0</v>
      </c>
      <c r="M44" s="9">
        <v>-59.010045260336092</v>
      </c>
      <c r="N44" s="9">
        <v>1</v>
      </c>
    </row>
    <row r="45" spans="1:14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2399.2152197068949</v>
      </c>
      <c r="F45" s="15">
        <v>3040.8305406285012</v>
      </c>
      <c r="G45" s="15">
        <v>14205915.090000156</v>
      </c>
      <c r="H45" s="15">
        <v>11208466.646992989</v>
      </c>
      <c r="I45" s="15">
        <v>9919761.2246029191</v>
      </c>
      <c r="J45" s="15">
        <v>11208466.646992989</v>
      </c>
      <c r="K45" s="15">
        <v>1288705.4223900698</v>
      </c>
      <c r="L45" s="14">
        <v>0</v>
      </c>
      <c r="M45" s="9">
        <v>-30.986086283622882</v>
      </c>
      <c r="N45" s="9">
        <v>1</v>
      </c>
    </row>
    <row r="46" spans="1:14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5136.0855205209327</v>
      </c>
      <c r="F46" s="15">
        <v>6576.2937277333249</v>
      </c>
      <c r="G46" s="15">
        <v>14212491.38372789</v>
      </c>
      <c r="H46" s="15">
        <v>11099956.028219154</v>
      </c>
      <c r="I46" s="15">
        <v>9924897.3101234399</v>
      </c>
      <c r="J46" s="15">
        <v>11099956.028219154</v>
      </c>
      <c r="K46" s="15">
        <v>1175058.7180957142</v>
      </c>
      <c r="L46" s="14">
        <v>0</v>
      </c>
      <c r="M46" s="9">
        <v>63.311229058108523</v>
      </c>
      <c r="N46" s="9">
        <v>1</v>
      </c>
    </row>
    <row r="47" spans="1:14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-1054.5417431386754</v>
      </c>
      <c r="F47" s="15">
        <v>-1275.1411307969533</v>
      </c>
      <c r="G47" s="15">
        <v>14211216.242597092</v>
      </c>
      <c r="H47" s="15">
        <v>11752676.144343849</v>
      </c>
      <c r="I47" s="15">
        <v>9924897.3101234399</v>
      </c>
      <c r="J47" s="15">
        <v>11753730.686086988</v>
      </c>
      <c r="K47" s="15">
        <v>1828833.3759635482</v>
      </c>
      <c r="L47" s="14">
        <v>1054.5417431386754</v>
      </c>
      <c r="M47" s="9">
        <v>-39.803160451219114</v>
      </c>
      <c r="N47" s="9">
        <v>1</v>
      </c>
    </row>
    <row r="48" spans="1:14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-11.050952879581011</v>
      </c>
      <c r="F48" s="15">
        <v>-13.576109013712481</v>
      </c>
      <c r="G48" s="15">
        <v>14211202.666488077</v>
      </c>
      <c r="H48" s="15">
        <v>11567919.119602744</v>
      </c>
      <c r="I48" s="15">
        <v>9924897.3101234399</v>
      </c>
      <c r="J48" s="15">
        <v>11568984.712298762</v>
      </c>
      <c r="K48" s="15">
        <v>1644087.4021753222</v>
      </c>
      <c r="L48" s="14">
        <v>1065.5926960182564</v>
      </c>
      <c r="M48" s="9">
        <v>-119.64106934981089</v>
      </c>
      <c r="N48" s="9">
        <v>1</v>
      </c>
    </row>
    <row r="49" spans="1:14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9239.1347107527126</v>
      </c>
      <c r="F49" s="15">
        <v>12014.479564667186</v>
      </c>
      <c r="G49" s="15">
        <v>14223217.146052744</v>
      </c>
      <c r="H49" s="15">
        <v>10937653.897146501</v>
      </c>
      <c r="I49" s="15">
        <v>9934136.4448341932</v>
      </c>
      <c r="J49" s="15">
        <v>10938719.489842519</v>
      </c>
      <c r="K49" s="15">
        <v>1004583.0450083259</v>
      </c>
      <c r="L49" s="14">
        <v>1065.5926960182564</v>
      </c>
      <c r="M49" s="9">
        <v>80.163519018203786</v>
      </c>
      <c r="N49" s="9">
        <v>1</v>
      </c>
    </row>
    <row r="50" spans="1:14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23072.497797135398</v>
      </c>
      <c r="F50" s="15">
        <v>29504.472688463273</v>
      </c>
      <c r="G50" s="15">
        <v>14252721.618741207</v>
      </c>
      <c r="H50" s="15">
        <v>11145628.380614124</v>
      </c>
      <c r="I50" s="15">
        <v>9957208.9426313285</v>
      </c>
      <c r="J50" s="15">
        <v>11146693.973310143</v>
      </c>
      <c r="K50" s="15">
        <v>1189485.0306788143</v>
      </c>
      <c r="L50" s="14">
        <v>1065.5926960182564</v>
      </c>
      <c r="M50" s="9">
        <v>-112.23623009437114</v>
      </c>
      <c r="N50" s="9">
        <v>1.2</v>
      </c>
    </row>
    <row r="51" spans="1:14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5403.0564312410688</v>
      </c>
      <c r="F51" s="15">
        <v>6654.0105747686748</v>
      </c>
      <c r="G51" s="15">
        <v>14259375.629315976</v>
      </c>
      <c r="H51" s="15">
        <v>11578612.677833965</v>
      </c>
      <c r="I51" s="15">
        <v>9962611.9990625698</v>
      </c>
      <c r="J51" s="15">
        <v>11579678.270529984</v>
      </c>
      <c r="K51" s="15">
        <v>1617066.2714674138</v>
      </c>
      <c r="L51" s="14">
        <v>1065.5926960182564</v>
      </c>
      <c r="M51" s="9">
        <v>116.62513925726178</v>
      </c>
      <c r="N51" s="9">
        <v>1</v>
      </c>
    </row>
    <row r="52" spans="1:14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173.38018734075604</v>
      </c>
      <c r="F52" s="15">
        <v>205.18364671053826</v>
      </c>
      <c r="G52" s="15">
        <v>14259580.812962687</v>
      </c>
      <c r="H52" s="15">
        <v>12049346.194923351</v>
      </c>
      <c r="I52" s="15">
        <v>9962785.3792499099</v>
      </c>
      <c r="J52" s="15">
        <v>12050411.787619369</v>
      </c>
      <c r="K52" s="15">
        <v>2087626.4083694592</v>
      </c>
      <c r="L52" s="14">
        <v>1065.5926960182564</v>
      </c>
      <c r="M52" s="9">
        <v>21.060721400501365</v>
      </c>
      <c r="N52" s="9">
        <v>1</v>
      </c>
    </row>
    <row r="53" spans="1:14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-97165.397148624164</v>
      </c>
      <c r="F53" s="15">
        <v>-96298.714139785108</v>
      </c>
      <c r="G53" s="15">
        <v>14163282.098822901</v>
      </c>
      <c r="H53" s="15">
        <v>14290750.840789963</v>
      </c>
      <c r="I53" s="15">
        <v>9962785.3792499099</v>
      </c>
      <c r="J53" s="15">
        <v>14388981.830634605</v>
      </c>
      <c r="K53" s="15">
        <v>4426196.4513846952</v>
      </c>
      <c r="L53" s="14">
        <v>98230.989844642419</v>
      </c>
      <c r="M53" s="9">
        <v>143.9725445834176</v>
      </c>
      <c r="N53" s="9">
        <v>1.2</v>
      </c>
    </row>
    <row r="54" spans="1:14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-249451.86126807026</v>
      </c>
      <c r="F54" s="15">
        <v>-229275.59532307627</v>
      </c>
      <c r="G54" s="15">
        <v>13934006.503499825</v>
      </c>
      <c r="H54" s="15">
        <v>15160199.899695065</v>
      </c>
      <c r="I54" s="15">
        <v>9962785.3792499099</v>
      </c>
      <c r="J54" s="15">
        <v>15507882.750807777</v>
      </c>
      <c r="K54" s="15">
        <v>5545097.3715578672</v>
      </c>
      <c r="L54" s="14">
        <v>347682.8511127127</v>
      </c>
      <c r="M54" s="9">
        <v>121.58175372392238</v>
      </c>
      <c r="N54" s="9">
        <v>1.2</v>
      </c>
    </row>
    <row r="55" spans="1:14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-165332.38013883011</v>
      </c>
      <c r="F55" s="15">
        <v>-154084.23783061208</v>
      </c>
      <c r="G55" s="15">
        <v>13779922.265669212</v>
      </c>
      <c r="H55" s="15">
        <v>14785855.960268283</v>
      </c>
      <c r="I55" s="15">
        <v>9962785.3792499099</v>
      </c>
      <c r="J55" s="15">
        <v>15298871.191519827</v>
      </c>
      <c r="K55" s="15">
        <v>5336085.8122699168</v>
      </c>
      <c r="L55" s="14">
        <v>513015.23125154281</v>
      </c>
      <c r="M55" s="9">
        <v>57.419730839413582</v>
      </c>
      <c r="N55" s="9">
        <v>1</v>
      </c>
    </row>
    <row r="56" spans="1:14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-63583.378859762786</v>
      </c>
      <c r="F56" s="15">
        <v>-61137.866530757026</v>
      </c>
      <c r="G56" s="15">
        <v>13718784.399138454</v>
      </c>
      <c r="H56" s="15">
        <v>14267535.251773899</v>
      </c>
      <c r="I56" s="15">
        <v>9962785.3792499099</v>
      </c>
      <c r="J56" s="15">
        <v>14844133.861885205</v>
      </c>
      <c r="K56" s="15">
        <v>4881348.482635295</v>
      </c>
      <c r="L56" s="14">
        <v>576598.61011130561</v>
      </c>
      <c r="M56" s="9">
        <v>-25.623704638394841</v>
      </c>
      <c r="N56" s="9">
        <v>1</v>
      </c>
    </row>
    <row r="57" spans="1:14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-109430.44453916258</v>
      </c>
      <c r="F57" s="15">
        <v>-102848.16114684439</v>
      </c>
      <c r="G57" s="15">
        <v>13615936.237991611</v>
      </c>
      <c r="H57" s="15">
        <v>14487356.300059929</v>
      </c>
      <c r="I57" s="15">
        <v>9962785.3792499099</v>
      </c>
      <c r="J57" s="15">
        <v>15173385.354710398</v>
      </c>
      <c r="K57" s="15">
        <v>5210599.9754604883</v>
      </c>
      <c r="L57" s="14">
        <v>686029.05465046817</v>
      </c>
      <c r="M57" s="9">
        <v>38.003913332402767</v>
      </c>
      <c r="N57" s="9">
        <v>1</v>
      </c>
    </row>
    <row r="58" spans="1:14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-129990.80506332006</v>
      </c>
      <c r="F58" s="15">
        <v>-121260.07632959579</v>
      </c>
      <c r="G58" s="15">
        <v>13494676.161662014</v>
      </c>
      <c r="H58" s="15">
        <v>14466293.205648409</v>
      </c>
      <c r="I58" s="15">
        <v>9962785.3792499099</v>
      </c>
      <c r="J58" s="15">
        <v>15282313.065362198</v>
      </c>
      <c r="K58" s="15">
        <v>5319527.6861122884</v>
      </c>
      <c r="L58" s="14">
        <v>816019.85971378826</v>
      </c>
      <c r="M58" s="9">
        <v>-130.04693515337254</v>
      </c>
      <c r="N58" s="9">
        <v>1</v>
      </c>
    </row>
    <row r="59" spans="1:14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-119930.28329170092</v>
      </c>
      <c r="F59" s="15">
        <v>-111563.04927624203</v>
      </c>
      <c r="G59" s="15">
        <v>13383113.112385772</v>
      </c>
      <c r="H59" s="15">
        <v>14386847.233971268</v>
      </c>
      <c r="I59" s="15">
        <v>9962785.3792499099</v>
      </c>
      <c r="J59" s="15">
        <v>15322797.376976756</v>
      </c>
      <c r="K59" s="15">
        <v>5360011.9977268465</v>
      </c>
      <c r="L59" s="14">
        <v>935950.14300548914</v>
      </c>
      <c r="M59" s="9">
        <v>38.965935849742465</v>
      </c>
      <c r="N59" s="9">
        <v>1</v>
      </c>
    </row>
    <row r="60" spans="1:14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-76925.150887958705</v>
      </c>
      <c r="F60" s="15">
        <v>-73401.863070603576</v>
      </c>
      <c r="G60" s="15">
        <v>13309711.249315169</v>
      </c>
      <c r="H60" s="15">
        <v>13948577.097340312</v>
      </c>
      <c r="I60" s="15">
        <v>9962785.3792499099</v>
      </c>
      <c r="J60" s="15">
        <v>14961452.391233759</v>
      </c>
      <c r="K60" s="15">
        <v>4998667.0119838491</v>
      </c>
      <c r="L60" s="14">
        <v>1012875.2938934478</v>
      </c>
      <c r="M60" s="9">
        <v>-89.784897005371036</v>
      </c>
      <c r="N60" s="9">
        <v>1</v>
      </c>
    </row>
    <row r="61" spans="1:14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-271948.26049911132</v>
      </c>
      <c r="F61" s="15">
        <v>-231052.03901647267</v>
      </c>
      <c r="G61" s="15">
        <v>13078659.210298697</v>
      </c>
      <c r="H61" s="15">
        <v>15393582.489215072</v>
      </c>
      <c r="I61" s="15">
        <v>9962785.3792499099</v>
      </c>
      <c r="J61" s="15">
        <v>16678406.043607632</v>
      </c>
      <c r="K61" s="15">
        <v>6715620.6643577218</v>
      </c>
      <c r="L61" s="14">
        <v>1284823.5543925592</v>
      </c>
      <c r="M61" s="9">
        <v>95.218135798121537</v>
      </c>
      <c r="N61" s="9">
        <v>1</v>
      </c>
    </row>
    <row r="62" spans="1:14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-394977.32401696721</v>
      </c>
      <c r="F62" s="15">
        <v>-317250.86144915438</v>
      </c>
      <c r="G62" s="15">
        <v>12761408.348849542</v>
      </c>
      <c r="H62" s="15">
        <v>15887953.455168817</v>
      </c>
      <c r="I62" s="15">
        <v>9962785.3792499099</v>
      </c>
      <c r="J62" s="15">
        <v>17567754.333578344</v>
      </c>
      <c r="K62" s="15">
        <v>7604968.9543284345</v>
      </c>
      <c r="L62" s="14">
        <v>1679800.8784095263</v>
      </c>
      <c r="M62" s="9">
        <v>107.7933992308817</v>
      </c>
      <c r="N62" s="9">
        <v>1.2</v>
      </c>
    </row>
    <row r="63" spans="1:14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-915628.10722505616</v>
      </c>
      <c r="F63" s="15">
        <v>-717576.87366851489</v>
      </c>
      <c r="G63" s="15">
        <v>12043831.475181028</v>
      </c>
      <c r="H63" s="15">
        <v>15367929.237992419</v>
      </c>
      <c r="I63" s="15">
        <v>9962785.3792499099</v>
      </c>
      <c r="J63" s="15">
        <v>17963358.223627001</v>
      </c>
      <c r="K63" s="15">
        <v>8000572.8443770912</v>
      </c>
      <c r="L63" s="14">
        <v>2595428.9856345826</v>
      </c>
      <c r="M63" s="9">
        <v>66.335527216233743</v>
      </c>
      <c r="N63" s="9">
        <v>1</v>
      </c>
    </row>
  </sheetData>
  <phoneticPr fontId="3" type="noConversion"/>
  <conditionalFormatting sqref="H2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I63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1" customWidth="1"/>
    <col min="2" max="2" width="8" style="11" customWidth="1"/>
    <col min="3" max="3" width="6.375" style="11" customWidth="1"/>
    <col min="4" max="6" width="6.875" style="21" customWidth="1"/>
    <col min="7" max="7" width="9.375" style="21" customWidth="1"/>
    <col min="8" max="8" width="9.25" style="21" customWidth="1"/>
    <col min="9" max="9" width="10.75" style="21" customWidth="1"/>
    <col min="10" max="10" width="11.5" style="21" customWidth="1"/>
    <col min="11" max="11" width="12.875" style="21" customWidth="1"/>
    <col min="12" max="12" width="12.625" style="11" customWidth="1"/>
    <col min="13" max="13" width="10.75" style="11" customWidth="1"/>
    <col min="14" max="14" width="10.75" style="21" customWidth="1"/>
    <col min="15" max="15" width="9.5" style="11" bestFit="1" customWidth="1"/>
    <col min="16" max="16" width="9" style="10"/>
    <col min="17" max="17" width="9" style="11"/>
    <col min="18" max="18" width="9.75" style="11" bestFit="1" customWidth="1"/>
    <col min="19" max="20" width="11.375" style="11" customWidth="1"/>
    <col min="21" max="22" width="11.125" style="11" customWidth="1"/>
    <col min="23" max="23" width="10.375" style="11" customWidth="1"/>
    <col min="24" max="24" width="10.25" style="11" customWidth="1"/>
    <col min="25" max="25" width="10.125" style="11" customWidth="1"/>
    <col min="26" max="26" width="9" style="11"/>
    <col min="27" max="27" width="9.75" style="11" bestFit="1" customWidth="1"/>
    <col min="28" max="29" width="9" style="11"/>
    <col min="30" max="30" width="9.75" style="11" bestFit="1" customWidth="1"/>
    <col min="31" max="32" width="9" style="11"/>
    <col min="33" max="33" width="9.75" style="11" bestFit="1" customWidth="1"/>
    <col min="34" max="16384" width="9" style="11"/>
  </cols>
  <sheetData>
    <row r="1" spans="1:35" s="5" customFormat="1" ht="27" customHeight="1">
      <c r="A1" s="25" t="s">
        <v>19</v>
      </c>
      <c r="B1" s="25" t="s">
        <v>8</v>
      </c>
      <c r="C1" s="25" t="s">
        <v>9</v>
      </c>
      <c r="D1" s="26" t="s">
        <v>10</v>
      </c>
      <c r="E1" s="2" t="s">
        <v>29</v>
      </c>
      <c r="F1" s="2" t="s">
        <v>30</v>
      </c>
      <c r="G1" s="3" t="s">
        <v>11</v>
      </c>
      <c r="H1" s="3" t="s">
        <v>12</v>
      </c>
      <c r="I1" s="3" t="s">
        <v>13</v>
      </c>
      <c r="J1" s="3" t="s">
        <v>14</v>
      </c>
      <c r="K1" s="2" t="s">
        <v>15</v>
      </c>
      <c r="L1" s="1" t="s">
        <v>16</v>
      </c>
      <c r="M1" s="27" t="s">
        <v>17</v>
      </c>
      <c r="N1" s="28" t="s">
        <v>18</v>
      </c>
      <c r="O1" s="4" t="s">
        <v>0</v>
      </c>
      <c r="P1" s="6" t="s">
        <v>28</v>
      </c>
    </row>
    <row r="2" spans="1:35" ht="14.1" customHeight="1">
      <c r="A2" s="7"/>
      <c r="B2" s="7"/>
      <c r="C2" s="7"/>
      <c r="D2" s="8"/>
      <c r="E2" s="8"/>
      <c r="F2" s="8"/>
      <c r="G2" s="8">
        <v>3950</v>
      </c>
      <c r="H2" s="8"/>
      <c r="I2" s="8"/>
      <c r="J2" s="8">
        <f>MIN(I:I)</f>
        <v>0</v>
      </c>
      <c r="K2" s="8"/>
      <c r="L2" s="7"/>
      <c r="M2" s="7"/>
      <c r="N2" s="8"/>
      <c r="O2" s="9"/>
    </row>
    <row r="3" spans="1:35" ht="14.1" customHeight="1">
      <c r="A3" s="12">
        <v>44377</v>
      </c>
      <c r="B3" s="13">
        <v>1.0309999999999999</v>
      </c>
      <c r="C3" s="13">
        <v>41.45</v>
      </c>
      <c r="D3" s="14">
        <v>41.041896551724122</v>
      </c>
      <c r="E3" s="14">
        <v>54671327</v>
      </c>
      <c r="F3" s="14">
        <v>147407244.66666666</v>
      </c>
      <c r="G3" s="14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4">
        <v>0</v>
      </c>
      <c r="O3" s="9">
        <v>0</v>
      </c>
      <c r="P3" s="9">
        <v>1</v>
      </c>
      <c r="R3" s="29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30" t="s">
        <v>18</v>
      </c>
      <c r="X3" s="16" t="s">
        <v>24</v>
      </c>
      <c r="Y3" s="16" t="s">
        <v>25</v>
      </c>
      <c r="AA3" s="24">
        <v>44561</v>
      </c>
      <c r="AB3" s="11">
        <v>51416.62008710485</v>
      </c>
      <c r="AC3" s="11">
        <f>-AB3</f>
        <v>-51416.62008710485</v>
      </c>
      <c r="AD3" s="24">
        <v>44561</v>
      </c>
      <c r="AE3" s="11">
        <v>51416.609508268921</v>
      </c>
      <c r="AF3" s="11">
        <f>-AE3</f>
        <v>-51416.609508268921</v>
      </c>
      <c r="AG3" s="24">
        <v>44561</v>
      </c>
      <c r="AH3" s="11">
        <v>51416.609508268921</v>
      </c>
      <c r="AI3" s="11">
        <f>-AH3</f>
        <v>-51416.609508268921</v>
      </c>
    </row>
    <row r="4" spans="1:35" ht="14.1" customHeight="1">
      <c r="A4" s="12">
        <v>44407</v>
      </c>
      <c r="B4" s="13">
        <v>1.006</v>
      </c>
      <c r="C4" s="13">
        <v>39.930000305175781</v>
      </c>
      <c r="D4" s="14">
        <v>40.930499984741189</v>
      </c>
      <c r="E4" s="14">
        <v>9153472</v>
      </c>
      <c r="F4" s="14">
        <v>34298297.880000003</v>
      </c>
      <c r="G4" s="14">
        <v>1055.2231074875715</v>
      </c>
      <c r="H4" s="15">
        <v>1048.929530305737</v>
      </c>
      <c r="I4" s="15">
        <v>1048.929530305737</v>
      </c>
      <c r="J4" s="15">
        <v>1055.2231074875715</v>
      </c>
      <c r="K4" s="15">
        <v>1055.2231074875715</v>
      </c>
      <c r="L4" s="15">
        <v>1055.2231074875715</v>
      </c>
      <c r="M4" s="15">
        <v>0</v>
      </c>
      <c r="N4" s="14">
        <v>0</v>
      </c>
      <c r="O4" s="9">
        <v>-53.501214932625707</v>
      </c>
      <c r="P4" s="9">
        <v>1</v>
      </c>
      <c r="R4" s="24">
        <v>44561</v>
      </c>
      <c r="S4" s="18">
        <v>51416.609508268921</v>
      </c>
      <c r="T4" s="8">
        <v>51416.609508268921</v>
      </c>
      <c r="U4" s="8">
        <v>51825.351028585741</v>
      </c>
      <c r="V4" s="8">
        <v>408.74152031682024</v>
      </c>
      <c r="W4" s="8">
        <v>0</v>
      </c>
      <c r="X4" s="19">
        <v>7.9496008046015879E-3</v>
      </c>
      <c r="Y4" s="19">
        <v>7.9496008046015879E-3</v>
      </c>
      <c r="AA4" s="24">
        <v>44925</v>
      </c>
      <c r="AB4" s="9">
        <v>1285809.4601705973</v>
      </c>
      <c r="AC4" s="9">
        <f>-AB4</f>
        <v>-1285809.4601705973</v>
      </c>
      <c r="AD4" s="24">
        <v>44925</v>
      </c>
      <c r="AE4" s="9">
        <v>1285809.4346860019</v>
      </c>
      <c r="AF4" s="9">
        <f>-AE4</f>
        <v>-1285809.4346860019</v>
      </c>
      <c r="AG4" s="24">
        <v>44925</v>
      </c>
      <c r="AH4" s="9">
        <v>1285809.4346860019</v>
      </c>
      <c r="AI4" s="9">
        <f>-AH4</f>
        <v>-1285809.4346860019</v>
      </c>
    </row>
    <row r="5" spans="1:35" ht="14.1" customHeight="1">
      <c r="A5" s="12">
        <v>44439</v>
      </c>
      <c r="B5" s="13">
        <v>0.96599999999999997</v>
      </c>
      <c r="C5" s="13">
        <v>38.069999694824219</v>
      </c>
      <c r="D5" s="14">
        <v>40.654705834482208</v>
      </c>
      <c r="E5" s="14">
        <v>4459339</v>
      </c>
      <c r="F5" s="14">
        <v>21490456.638297871</v>
      </c>
      <c r="G5" s="14">
        <v>6570.9102549312083</v>
      </c>
      <c r="H5" s="15">
        <v>6802.1845289142948</v>
      </c>
      <c r="I5" s="15">
        <v>7851.1140592200318</v>
      </c>
      <c r="J5" s="15">
        <v>7584.1761812065506</v>
      </c>
      <c r="K5" s="15">
        <v>7626.1333624187801</v>
      </c>
      <c r="L5" s="15">
        <v>7584.1761812065506</v>
      </c>
      <c r="M5" s="15">
        <v>-41.957181212229443</v>
      </c>
      <c r="N5" s="14">
        <v>0</v>
      </c>
      <c r="O5" s="9">
        <v>-120.73806658644138</v>
      </c>
      <c r="P5" s="9">
        <v>1.2</v>
      </c>
      <c r="R5" s="24">
        <v>44925</v>
      </c>
      <c r="S5" s="18">
        <v>1285809.4346860019</v>
      </c>
      <c r="T5" s="8">
        <v>1337226.0441942709</v>
      </c>
      <c r="U5" s="8">
        <v>1307605.6409350643</v>
      </c>
      <c r="V5" s="8">
        <v>-29620.403259206563</v>
      </c>
      <c r="W5" s="8">
        <v>0</v>
      </c>
      <c r="X5" s="19">
        <v>-2.2150632937346038E-2</v>
      </c>
      <c r="Y5" s="19">
        <v>-2.1347346964258551E-2</v>
      </c>
      <c r="AA5" s="24">
        <v>44925</v>
      </c>
      <c r="AB5" s="9"/>
      <c r="AC5" s="9">
        <v>1307605.6737520157</v>
      </c>
      <c r="AD5" s="24">
        <v>45289</v>
      </c>
      <c r="AE5" s="9">
        <v>2098253.5703782365</v>
      </c>
      <c r="AF5" s="9">
        <f>-AE5</f>
        <v>-2098253.5703782365</v>
      </c>
      <c r="AG5" s="24">
        <v>45289</v>
      </c>
      <c r="AH5" s="9">
        <v>2098253.5703782365</v>
      </c>
      <c r="AI5" s="9">
        <f>-AH5</f>
        <v>-2098253.5703782365</v>
      </c>
    </row>
    <row r="6" spans="1:35" ht="14.1" customHeight="1">
      <c r="A6" s="12">
        <v>44469</v>
      </c>
      <c r="B6" s="13">
        <v>0.96099999999999997</v>
      </c>
      <c r="C6" s="13">
        <v>35.020000457763672</v>
      </c>
      <c r="D6" s="14">
        <v>39.730819672131133</v>
      </c>
      <c r="E6" s="14">
        <v>2614711</v>
      </c>
      <c r="F6" s="14">
        <v>16286261.656716418</v>
      </c>
      <c r="G6" s="14">
        <v>14073.180477764858</v>
      </c>
      <c r="H6" s="15">
        <v>14644.308509640852</v>
      </c>
      <c r="I6" s="15">
        <v>22495.422568860886</v>
      </c>
      <c r="J6" s="15">
        <v>21618.10108867531</v>
      </c>
      <c r="K6" s="15">
        <v>21699.313840183637</v>
      </c>
      <c r="L6" s="15">
        <v>21618.10108867531</v>
      </c>
      <c r="M6" s="15">
        <v>-81.212751508326619</v>
      </c>
      <c r="N6" s="14">
        <v>0</v>
      </c>
      <c r="O6" s="9">
        <v>-30.243784697079619</v>
      </c>
      <c r="P6" s="9">
        <v>1</v>
      </c>
      <c r="R6" s="24">
        <v>45289</v>
      </c>
      <c r="S6" s="18">
        <v>2098253.5703782365</v>
      </c>
      <c r="T6" s="8">
        <v>3435479.6145725073</v>
      </c>
      <c r="U6" s="8">
        <v>3148524.074557675</v>
      </c>
      <c r="V6" s="8">
        <v>-286955.54001483228</v>
      </c>
      <c r="W6" s="8">
        <v>0</v>
      </c>
      <c r="X6" s="19">
        <v>-8.3527068185074785E-2</v>
      </c>
      <c r="Y6" s="19">
        <v>-6.0576496447798278E-2</v>
      </c>
      <c r="AA6" s="9"/>
      <c r="AB6" s="9"/>
      <c r="AC6" s="20">
        <v>-2.1347346964258551E-2</v>
      </c>
      <c r="AD6" s="24">
        <v>45289</v>
      </c>
      <c r="AE6" s="9"/>
      <c r="AF6" s="20">
        <v>3148524.074557675</v>
      </c>
      <c r="AG6" s="24">
        <v>45657</v>
      </c>
      <c r="AH6" s="11">
        <v>5412372.6433340618</v>
      </c>
      <c r="AI6" s="11">
        <f>-AH6</f>
        <v>-5412372.6433340618</v>
      </c>
    </row>
    <row r="7" spans="1:35" ht="14.1" customHeight="1">
      <c r="A7" s="12">
        <v>44498</v>
      </c>
      <c r="B7" s="13">
        <v>0.99299997091293335</v>
      </c>
      <c r="C7" s="13">
        <v>36.299999237060547</v>
      </c>
      <c r="D7" s="14">
        <v>39.253623134226025</v>
      </c>
      <c r="E7" s="14">
        <v>3805620</v>
      </c>
      <c r="F7" s="14">
        <v>13885339.653614458</v>
      </c>
      <c r="G7" s="14">
        <v>9444.4439838695889</v>
      </c>
      <c r="H7" s="15">
        <v>9511.0214103900325</v>
      </c>
      <c r="I7" s="15">
        <v>32006.443979250918</v>
      </c>
      <c r="J7" s="15">
        <v>31782.397940422594</v>
      </c>
      <c r="K7" s="15">
        <v>31143.757824053224</v>
      </c>
      <c r="L7" s="15">
        <v>31782.397940422594</v>
      </c>
      <c r="M7" s="15">
        <v>638.64011636936993</v>
      </c>
      <c r="N7" s="14">
        <v>0</v>
      </c>
      <c r="O7" s="9">
        <v>67.867888185983432</v>
      </c>
      <c r="P7" s="9">
        <v>1</v>
      </c>
      <c r="R7" s="24">
        <v>45657</v>
      </c>
      <c r="S7" s="18">
        <v>5412372.6433340618</v>
      </c>
      <c r="T7" s="8">
        <v>8847852.2579065692</v>
      </c>
      <c r="U7" s="8">
        <v>10821028.269999478</v>
      </c>
      <c r="V7" s="8">
        <v>1973176.0120929088</v>
      </c>
      <c r="W7" s="8">
        <v>0</v>
      </c>
      <c r="X7" s="19">
        <v>0.22301186260537412</v>
      </c>
      <c r="Y7" s="19">
        <v>0.13562189669002489</v>
      </c>
      <c r="AA7" s="9"/>
      <c r="AB7" s="9"/>
      <c r="AC7" s="9"/>
      <c r="AF7" s="10">
        <v>-6.0576496447798278E-2</v>
      </c>
      <c r="AG7" s="24">
        <v>45657</v>
      </c>
      <c r="AI7" s="10">
        <v>10821028.269999478</v>
      </c>
    </row>
    <row r="8" spans="1:35" ht="14.1" customHeight="1">
      <c r="A8" s="12">
        <v>44530</v>
      </c>
      <c r="B8" s="13">
        <v>1.0110000371932983</v>
      </c>
      <c r="C8" s="13">
        <v>35.450000762939453</v>
      </c>
      <c r="D8" s="14">
        <v>38.695499993324269</v>
      </c>
      <c r="E8" s="14">
        <v>3040778</v>
      </c>
      <c r="F8" s="14">
        <v>12014868.042857142</v>
      </c>
      <c r="G8" s="14">
        <v>10529.938281581366</v>
      </c>
      <c r="H8" s="15">
        <v>10415.368836992528</v>
      </c>
      <c r="I8" s="15">
        <v>42421.812816243444</v>
      </c>
      <c r="J8" s="15">
        <v>42888.454335029259</v>
      </c>
      <c r="K8" s="15">
        <v>41673.69610563459</v>
      </c>
      <c r="L8" s="15">
        <v>42888.454335029259</v>
      </c>
      <c r="M8" s="15">
        <v>1214.7582293946689</v>
      </c>
      <c r="N8" s="14">
        <v>0</v>
      </c>
      <c r="O8" s="9">
        <v>63.430477831424852</v>
      </c>
      <c r="P8" s="9">
        <v>1</v>
      </c>
      <c r="AI8" s="10">
        <v>0.13562189669002489</v>
      </c>
    </row>
    <row r="9" spans="1:35" ht="14.1" customHeight="1">
      <c r="A9" s="12">
        <v>44561</v>
      </c>
      <c r="B9" s="13">
        <v>0.99199998378753662</v>
      </c>
      <c r="C9" s="13">
        <v>34.630001068115234</v>
      </c>
      <c r="D9" s="14">
        <v>38.2285792249669</v>
      </c>
      <c r="E9" s="14">
        <v>1988017</v>
      </c>
      <c r="F9" s="14">
        <v>10437349.492675781</v>
      </c>
      <c r="G9" s="14">
        <v>9742.9134026343309</v>
      </c>
      <c r="H9" s="15">
        <v>9821.4854454282304</v>
      </c>
      <c r="I9" s="15">
        <v>52243.298261671676</v>
      </c>
      <c r="J9" s="15">
        <v>51825.351028585741</v>
      </c>
      <c r="K9" s="15">
        <v>51416.609508268921</v>
      </c>
      <c r="L9" s="15">
        <v>51825.351028585741</v>
      </c>
      <c r="M9" s="15">
        <v>408.74152031682024</v>
      </c>
      <c r="N9" s="14">
        <v>0</v>
      </c>
      <c r="O9" s="9">
        <v>-25.534304137796351</v>
      </c>
      <c r="P9" s="9">
        <v>1</v>
      </c>
      <c r="AA9" s="17"/>
      <c r="AB9" s="9"/>
      <c r="AC9" s="9"/>
    </row>
    <row r="10" spans="1:35" ht="14.1" customHeight="1">
      <c r="A10" s="12">
        <v>44589</v>
      </c>
      <c r="B10" s="13">
        <v>0.89099997282028198</v>
      </c>
      <c r="C10" s="13">
        <v>31.020000457763672</v>
      </c>
      <c r="D10" s="14">
        <v>37.709801948471814</v>
      </c>
      <c r="E10" s="14">
        <v>2257005</v>
      </c>
      <c r="F10" s="14">
        <v>9461572.5990646258</v>
      </c>
      <c r="G10" s="14">
        <v>50602.735963392326</v>
      </c>
      <c r="H10" s="15">
        <v>56793.19585523611</v>
      </c>
      <c r="I10" s="15">
        <v>109036.49411690779</v>
      </c>
      <c r="J10" s="15">
        <v>97151.513294583681</v>
      </c>
      <c r="K10" s="15">
        <v>102019.34547166125</v>
      </c>
      <c r="L10" s="15">
        <v>97151.513294583681</v>
      </c>
      <c r="M10" s="15">
        <v>-4867.8321770775656</v>
      </c>
      <c r="N10" s="14">
        <v>0</v>
      </c>
      <c r="O10" s="9">
        <v>-185.45991285326798</v>
      </c>
      <c r="P10" s="9">
        <v>1.2</v>
      </c>
      <c r="AA10" s="17"/>
      <c r="AB10" s="9"/>
      <c r="AC10" s="9"/>
    </row>
    <row r="11" spans="1:35" ht="14.1" customHeight="1">
      <c r="A11" s="12">
        <v>44620</v>
      </c>
      <c r="B11" s="13">
        <v>0.88200002908706665</v>
      </c>
      <c r="C11" s="13">
        <v>30.969999313354492</v>
      </c>
      <c r="D11" s="14">
        <v>37.189128403969853</v>
      </c>
      <c r="E11" s="14">
        <v>906904</v>
      </c>
      <c r="F11" s="14">
        <v>8699501.0544478521</v>
      </c>
      <c r="G11" s="14">
        <v>15926.605071131393</v>
      </c>
      <c r="H11" s="15">
        <v>18057.374768588808</v>
      </c>
      <c r="I11" s="15">
        <v>127093.8688854966</v>
      </c>
      <c r="J11" s="15">
        <v>112096.79605379584</v>
      </c>
      <c r="K11" s="15">
        <v>117945.95054279263</v>
      </c>
      <c r="L11" s="15">
        <v>112096.79605379584</v>
      </c>
      <c r="M11" s="15">
        <v>-5849.1544889967918</v>
      </c>
      <c r="N11" s="14">
        <v>0</v>
      </c>
      <c r="O11" s="9">
        <v>53.846247309070314</v>
      </c>
      <c r="P11" s="9">
        <v>1</v>
      </c>
      <c r="AA11" s="17"/>
      <c r="AB11" s="9"/>
      <c r="AC11" s="9"/>
    </row>
    <row r="12" spans="1:35" ht="14.1" customHeight="1">
      <c r="A12" s="12">
        <v>44651</v>
      </c>
      <c r="B12" s="13">
        <v>0.79199999570846558</v>
      </c>
      <c r="C12" s="13">
        <v>27.639999389648438</v>
      </c>
      <c r="D12" s="14">
        <v>36.340041473831867</v>
      </c>
      <c r="E12" s="14">
        <v>1401901</v>
      </c>
      <c r="F12" s="14">
        <v>7836928.591733871</v>
      </c>
      <c r="G12" s="14">
        <v>53482.445635684089</v>
      </c>
      <c r="H12" s="15">
        <v>67528.340815005417</v>
      </c>
      <c r="I12" s="15">
        <v>194622.20970050202</v>
      </c>
      <c r="J12" s="15">
        <v>154140.78924756969</v>
      </c>
      <c r="K12" s="15">
        <v>171428.39617847672</v>
      </c>
      <c r="L12" s="15">
        <v>154140.78924756969</v>
      </c>
      <c r="M12" s="15">
        <v>-17287.60693090703</v>
      </c>
      <c r="N12" s="14">
        <v>0</v>
      </c>
      <c r="O12" s="9">
        <v>-13.27465112839349</v>
      </c>
      <c r="P12" s="9">
        <v>1</v>
      </c>
      <c r="AA12" s="17"/>
    </row>
    <row r="13" spans="1:35" ht="14.1" customHeight="1">
      <c r="A13" s="12">
        <v>44680</v>
      </c>
      <c r="B13" s="13">
        <v>0.71899998188018799</v>
      </c>
      <c r="C13" s="13">
        <v>25.129999160766602</v>
      </c>
      <c r="D13" s="14">
        <v>35.566115372584406</v>
      </c>
      <c r="E13" s="14">
        <v>2631500</v>
      </c>
      <c r="F13" s="14">
        <v>7310293.186280488</v>
      </c>
      <c r="G13" s="14">
        <v>154861.50942852328</v>
      </c>
      <c r="H13" s="15">
        <v>215384.58043289484</v>
      </c>
      <c r="I13" s="15">
        <v>410006.79013339686</v>
      </c>
      <c r="J13" s="15">
        <v>294794.8746766664</v>
      </c>
      <c r="K13" s="15">
        <v>326289.90560699999</v>
      </c>
      <c r="L13" s="15">
        <v>294794.8746766664</v>
      </c>
      <c r="M13" s="15">
        <v>-31495.030930333596</v>
      </c>
      <c r="N13" s="14">
        <v>0</v>
      </c>
      <c r="O13" s="9">
        <v>-29.745409510831923</v>
      </c>
      <c r="P13" s="9">
        <v>1</v>
      </c>
      <c r="AC13" s="10"/>
    </row>
    <row r="14" spans="1:35" ht="14.1" customHeight="1">
      <c r="A14" s="12">
        <v>44712</v>
      </c>
      <c r="B14" s="13">
        <v>0.74699997901916504</v>
      </c>
      <c r="C14" s="13">
        <v>24.129999160766602</v>
      </c>
      <c r="D14" s="14">
        <v>34.740071662711408</v>
      </c>
      <c r="E14" s="14">
        <v>1147010</v>
      </c>
      <c r="F14" s="14">
        <v>6847440.4204799104</v>
      </c>
      <c r="G14" s="14">
        <v>74485.672104213299</v>
      </c>
      <c r="H14" s="15">
        <v>99713.084600103175</v>
      </c>
      <c r="I14" s="15">
        <v>509719.87473350007</v>
      </c>
      <c r="J14" s="15">
        <v>380760.73573157599</v>
      </c>
      <c r="K14" s="15">
        <v>400775.57771121326</v>
      </c>
      <c r="L14" s="15">
        <v>380760.73573157599</v>
      </c>
      <c r="M14" s="15">
        <v>-20014.841979637276</v>
      </c>
      <c r="N14" s="14">
        <v>0</v>
      </c>
      <c r="O14" s="9">
        <v>121.48316506417596</v>
      </c>
      <c r="P14" s="9">
        <v>1</v>
      </c>
    </row>
    <row r="15" spans="1:35" ht="14.1" customHeight="1">
      <c r="A15" s="12">
        <v>44742</v>
      </c>
      <c r="B15" s="13">
        <v>0.84500002861022949</v>
      </c>
      <c r="C15" s="13">
        <v>27.809999465942383</v>
      </c>
      <c r="D15" s="14">
        <v>34.118899975077305</v>
      </c>
      <c r="E15" s="14">
        <v>2764909</v>
      </c>
      <c r="F15" s="14">
        <v>6486059.213010204</v>
      </c>
      <c r="G15" s="14">
        <v>67019.994211272453</v>
      </c>
      <c r="H15" s="15">
        <v>79313.599931470002</v>
      </c>
      <c r="I15" s="15">
        <v>589033.47466497007</v>
      </c>
      <c r="J15" s="15">
        <v>497733.30294428259</v>
      </c>
      <c r="K15" s="15">
        <v>467795.57192248572</v>
      </c>
      <c r="L15" s="15">
        <v>497733.30294428259</v>
      </c>
      <c r="M15" s="15">
        <v>29937.731021796877</v>
      </c>
      <c r="N15" s="14">
        <v>0</v>
      </c>
      <c r="O15" s="9">
        <v>82.073682168853153</v>
      </c>
      <c r="P15" s="9">
        <v>1</v>
      </c>
    </row>
    <row r="16" spans="1:35" ht="14.1" customHeight="1">
      <c r="A16" s="12">
        <v>44771</v>
      </c>
      <c r="B16" s="13">
        <v>0.80099999904632568</v>
      </c>
      <c r="C16" s="13">
        <v>26.329999923706055</v>
      </c>
      <c r="D16" s="14">
        <v>33.665700900829464</v>
      </c>
      <c r="E16" s="14">
        <v>2184000</v>
      </c>
      <c r="F16" s="14">
        <v>6139372.2173402254</v>
      </c>
      <c r="G16" s="14">
        <v>90738.219095489127</v>
      </c>
      <c r="H16" s="15">
        <v>113281.17253872968</v>
      </c>
      <c r="I16" s="15">
        <v>702314.64720369969</v>
      </c>
      <c r="J16" s="15">
        <v>562554.03174038406</v>
      </c>
      <c r="K16" s="15">
        <v>558533.79101797484</v>
      </c>
      <c r="L16" s="15">
        <v>562554.03174038406</v>
      </c>
      <c r="M16" s="15">
        <v>4020.2407224092167</v>
      </c>
      <c r="N16" s="14">
        <v>0</v>
      </c>
      <c r="O16" s="9">
        <v>-127.3183196634585</v>
      </c>
      <c r="P16" s="9">
        <v>1.2</v>
      </c>
    </row>
    <row r="17" spans="1:16" ht="14.1" customHeight="1">
      <c r="A17" s="12">
        <v>44804</v>
      </c>
      <c r="B17" s="13">
        <v>0.76499998569488525</v>
      </c>
      <c r="C17" s="13">
        <v>25.180000305175781</v>
      </c>
      <c r="D17" s="14">
        <v>33.177209276154976</v>
      </c>
      <c r="E17" s="14">
        <v>719700</v>
      </c>
      <c r="F17" s="14">
        <v>5816280.4526384082</v>
      </c>
      <c r="G17" s="14">
        <v>37511.237683723812</v>
      </c>
      <c r="H17" s="15">
        <v>49034.298542699449</v>
      </c>
      <c r="I17" s="15">
        <v>751348.94574639911</v>
      </c>
      <c r="J17" s="15">
        <v>574781.93274786242</v>
      </c>
      <c r="K17" s="15">
        <v>596045.02870169864</v>
      </c>
      <c r="L17" s="15">
        <v>574781.93274786242</v>
      </c>
      <c r="M17" s="15">
        <v>-21263.095953836222</v>
      </c>
      <c r="N17" s="14">
        <v>0</v>
      </c>
      <c r="O17" s="9">
        <v>-140.34722331220857</v>
      </c>
      <c r="P17" s="9">
        <v>1.2</v>
      </c>
    </row>
    <row r="18" spans="1:16" ht="14.1" customHeight="1">
      <c r="A18" s="12">
        <v>44834</v>
      </c>
      <c r="B18" s="13">
        <v>0.69599997997283936</v>
      </c>
      <c r="C18" s="13">
        <v>22.610000610351563</v>
      </c>
      <c r="D18" s="14">
        <v>32.639682721540886</v>
      </c>
      <c r="E18" s="14">
        <v>2128200</v>
      </c>
      <c r="F18" s="14">
        <v>5555987.6610887097</v>
      </c>
      <c r="G18" s="14">
        <v>182643.34175657245</v>
      </c>
      <c r="H18" s="15">
        <v>262418.602028839</v>
      </c>
      <c r="I18" s="15">
        <v>1013767.5477752381</v>
      </c>
      <c r="J18" s="15">
        <v>705582.19294868014</v>
      </c>
      <c r="K18" s="15">
        <v>778688.37045827112</v>
      </c>
      <c r="L18" s="15">
        <v>705582.19294868014</v>
      </c>
      <c r="M18" s="15">
        <v>-73106.177509590983</v>
      </c>
      <c r="N18" s="14">
        <v>0</v>
      </c>
      <c r="O18" s="9">
        <v>-112.42427728939072</v>
      </c>
      <c r="P18" s="9">
        <v>1.2</v>
      </c>
    </row>
    <row r="19" spans="1:16" ht="12.75">
      <c r="A19" s="12">
        <v>44865</v>
      </c>
      <c r="B19" s="13">
        <v>0.68699997663497925</v>
      </c>
      <c r="C19" s="13">
        <v>22.239999771118164</v>
      </c>
      <c r="D19" s="14">
        <v>32.234052997346801</v>
      </c>
      <c r="E19" s="14">
        <v>3400007.75</v>
      </c>
      <c r="F19" s="14">
        <v>5444602.8119248468</v>
      </c>
      <c r="G19" s="14">
        <v>295648.28336289077</v>
      </c>
      <c r="H19" s="15">
        <v>430346.86087038444</v>
      </c>
      <c r="I19" s="15">
        <v>1444114.4086456224</v>
      </c>
      <c r="J19" s="15">
        <v>992106.56499777944</v>
      </c>
      <c r="K19" s="15">
        <v>1074336.6538211619</v>
      </c>
      <c r="L19" s="15">
        <v>992106.56499777944</v>
      </c>
      <c r="M19" s="15">
        <v>-82230.08882338251</v>
      </c>
      <c r="N19" s="14">
        <v>0</v>
      </c>
      <c r="O19" s="9">
        <v>-146.0933885866429</v>
      </c>
      <c r="P19" s="9">
        <v>1.2</v>
      </c>
    </row>
    <row r="20" spans="1:16" ht="12.75">
      <c r="A20" s="12">
        <v>44895</v>
      </c>
      <c r="B20" s="13">
        <v>0.72000002861022949</v>
      </c>
      <c r="C20" s="13">
        <v>22.809999465942383</v>
      </c>
      <c r="D20" s="14">
        <v>31.717553840474388</v>
      </c>
      <c r="E20" s="14">
        <v>2516800</v>
      </c>
      <c r="F20" s="14">
        <v>5287757.6291307472</v>
      </c>
      <c r="G20" s="14">
        <v>149173.34373737345</v>
      </c>
      <c r="H20" s="15">
        <v>207185.19140244107</v>
      </c>
      <c r="I20" s="15">
        <v>1651299.6000480636</v>
      </c>
      <c r="J20" s="15">
        <v>1188935.7592786662</v>
      </c>
      <c r="K20" s="15">
        <v>1223509.9975585353</v>
      </c>
      <c r="L20" s="15">
        <v>1188935.7592786662</v>
      </c>
      <c r="M20" s="15">
        <v>-34574.238279869081</v>
      </c>
      <c r="N20" s="14">
        <v>0</v>
      </c>
      <c r="O20" s="9">
        <v>-12.858623413630797</v>
      </c>
      <c r="P20" s="9">
        <v>1</v>
      </c>
    </row>
    <row r="21" spans="1:16" ht="12.75">
      <c r="A21" s="12">
        <v>44925</v>
      </c>
      <c r="B21" s="13">
        <v>0.72299998998641968</v>
      </c>
      <c r="C21" s="13">
        <v>22.739999771118164</v>
      </c>
      <c r="D21" s="14">
        <v>31.2721039929989</v>
      </c>
      <c r="E21" s="14">
        <v>2041800</v>
      </c>
      <c r="F21" s="14">
        <v>5162984.7923986483</v>
      </c>
      <c r="G21" s="14">
        <v>113716.04663573549</v>
      </c>
      <c r="H21" s="15">
        <v>157283.60748368953</v>
      </c>
      <c r="I21" s="15">
        <v>1808583.207531753</v>
      </c>
      <c r="J21" s="15">
        <v>1307605.6409350643</v>
      </c>
      <c r="K21" s="15">
        <v>1337226.0441942709</v>
      </c>
      <c r="L21" s="15">
        <v>1307605.6409350643</v>
      </c>
      <c r="M21" s="15">
        <v>-29620.403259206563</v>
      </c>
      <c r="N21" s="14">
        <v>0</v>
      </c>
      <c r="O21" s="9">
        <v>-13.703085779356849</v>
      </c>
      <c r="P21" s="9">
        <v>1</v>
      </c>
    </row>
    <row r="22" spans="1:16" ht="12.75">
      <c r="A22" s="12">
        <v>44957</v>
      </c>
      <c r="B22" s="13">
        <v>0.78899997472763062</v>
      </c>
      <c r="C22" s="13">
        <v>24.899999618530273</v>
      </c>
      <c r="D22" s="14">
        <v>31.009964169913562</v>
      </c>
      <c r="E22" s="14">
        <v>2396100</v>
      </c>
      <c r="F22" s="14">
        <v>5058906.2336463733</v>
      </c>
      <c r="G22" s="14">
        <v>69842.98399688222</v>
      </c>
      <c r="H22" s="15">
        <v>88520.895100145732</v>
      </c>
      <c r="I22" s="15">
        <v>1897104.1026318988</v>
      </c>
      <c r="J22" s="15">
        <v>1496815.0890322526</v>
      </c>
      <c r="K22" s="15">
        <v>1407069.028191153</v>
      </c>
      <c r="L22" s="15">
        <v>1496815.0890322526</v>
      </c>
      <c r="M22" s="15">
        <v>89746.060841099592</v>
      </c>
      <c r="N22" s="14">
        <v>0</v>
      </c>
      <c r="O22" s="9">
        <v>100.32182122410893</v>
      </c>
      <c r="P22" s="9">
        <v>1</v>
      </c>
    </row>
    <row r="23" spans="1:16" ht="12.75">
      <c r="A23" s="12">
        <v>44985</v>
      </c>
      <c r="B23" s="13">
        <v>0.7630000114440918</v>
      </c>
      <c r="C23" s="13">
        <v>23.979999542236328</v>
      </c>
      <c r="D23" s="14">
        <v>30.72842559388133</v>
      </c>
      <c r="E23" s="14">
        <v>699600</v>
      </c>
      <c r="F23" s="14">
        <v>4885493.1924261088</v>
      </c>
      <c r="G23" s="14">
        <v>25759.858350853305</v>
      </c>
      <c r="H23" s="15">
        <v>33761.281735892655</v>
      </c>
      <c r="I23" s="15">
        <v>1930865.3843677915</v>
      </c>
      <c r="J23" s="15">
        <v>1473250.3103696257</v>
      </c>
      <c r="K23" s="15">
        <v>1432828.8865420062</v>
      </c>
      <c r="L23" s="15">
        <v>1473250.3103696257</v>
      </c>
      <c r="M23" s="15">
        <v>40421.423827619525</v>
      </c>
      <c r="N23" s="14">
        <v>0</v>
      </c>
      <c r="O23" s="9">
        <v>-92.003912876830128</v>
      </c>
      <c r="P23" s="9">
        <v>1</v>
      </c>
    </row>
    <row r="24" spans="1:16" ht="12.75">
      <c r="A24" s="12">
        <v>45016</v>
      </c>
      <c r="B24" s="13">
        <v>0.77100002765655518</v>
      </c>
      <c r="C24" s="13">
        <v>24.159999847412109</v>
      </c>
      <c r="D24" s="14">
        <v>30.393087189136843</v>
      </c>
      <c r="E24" s="14">
        <v>1673001</v>
      </c>
      <c r="F24" s="14">
        <v>4738143.9705710951</v>
      </c>
      <c r="G24" s="14">
        <v>54186.545956699294</v>
      </c>
      <c r="H24" s="15">
        <v>70280.861236021767</v>
      </c>
      <c r="I24" s="15">
        <v>2001146.2456038133</v>
      </c>
      <c r="J24" s="15">
        <v>1542883.8107053516</v>
      </c>
      <c r="K24" s="15">
        <v>1487015.4324987056</v>
      </c>
      <c r="L24" s="15">
        <v>1542883.8107053516</v>
      </c>
      <c r="M24" s="15">
        <v>55868.37820664607</v>
      </c>
      <c r="N24" s="14">
        <v>0</v>
      </c>
      <c r="O24" s="9">
        <v>121.19851098278713</v>
      </c>
      <c r="P24" s="9">
        <v>1</v>
      </c>
    </row>
    <row r="25" spans="1:16" ht="12.75">
      <c r="A25" s="12">
        <v>45044</v>
      </c>
      <c r="B25" s="13">
        <v>0.75099998712539673</v>
      </c>
      <c r="C25" s="13">
        <v>23.579999923706055</v>
      </c>
      <c r="D25" s="14">
        <v>30.1543821056874</v>
      </c>
      <c r="E25" s="14">
        <v>1925900</v>
      </c>
      <c r="F25" s="14">
        <v>4625994.8803013396</v>
      </c>
      <c r="G25" s="14">
        <v>71078.061486540464</v>
      </c>
      <c r="H25" s="15">
        <v>94644.55753002876</v>
      </c>
      <c r="I25" s="15">
        <v>2095790.8031338421</v>
      </c>
      <c r="J25" s="15">
        <v>1573938.8661710403</v>
      </c>
      <c r="K25" s="15">
        <v>1558093.4939852459</v>
      </c>
      <c r="L25" s="15">
        <v>1573938.8661710403</v>
      </c>
      <c r="M25" s="15">
        <v>15845.372185794404</v>
      </c>
      <c r="N25" s="14">
        <v>0</v>
      </c>
      <c r="O25" s="9">
        <v>-64.205140990854673</v>
      </c>
      <c r="P25" s="9">
        <v>1</v>
      </c>
    </row>
    <row r="26" spans="1:16" ht="12.75">
      <c r="A26" s="12">
        <v>45077</v>
      </c>
      <c r="B26" s="13">
        <v>0.72000002861022949</v>
      </c>
      <c r="C26" s="13">
        <v>21.329999923706055</v>
      </c>
      <c r="D26" s="14">
        <v>29.834329254302094</v>
      </c>
      <c r="E26" s="14">
        <v>1602700</v>
      </c>
      <c r="F26" s="14">
        <v>4484713.805488782</v>
      </c>
      <c r="G26" s="14">
        <v>122511.25390997293</v>
      </c>
      <c r="H26" s="15">
        <v>170154.512558074</v>
      </c>
      <c r="I26" s="15">
        <v>2265945.3156919163</v>
      </c>
      <c r="J26" s="15">
        <v>1631480.6921273952</v>
      </c>
      <c r="K26" s="15">
        <v>1680604.7478952189</v>
      </c>
      <c r="L26" s="15">
        <v>1631480.6921273952</v>
      </c>
      <c r="M26" s="15">
        <v>-49124.055767823709</v>
      </c>
      <c r="N26" s="14">
        <v>0</v>
      </c>
      <c r="O26" s="9">
        <v>-122.69771180703479</v>
      </c>
      <c r="P26" s="9">
        <v>1.2</v>
      </c>
    </row>
    <row r="27" spans="1:16" ht="12.75">
      <c r="A27" s="12">
        <v>45107</v>
      </c>
      <c r="B27" s="13">
        <v>0.75499999523162842</v>
      </c>
      <c r="C27" s="13">
        <v>22.200000762939453</v>
      </c>
      <c r="D27" s="14">
        <v>29.540486551111261</v>
      </c>
      <c r="E27" s="14">
        <v>2280700</v>
      </c>
      <c r="F27" s="14">
        <v>4412683.3111552252</v>
      </c>
      <c r="G27" s="14">
        <v>110004.91818041205</v>
      </c>
      <c r="H27" s="15">
        <v>145701.87930486456</v>
      </c>
      <c r="I27" s="15">
        <v>2411647.1949967807</v>
      </c>
      <c r="J27" s="15">
        <v>1820793.6207229395</v>
      </c>
      <c r="K27" s="15">
        <v>1790609.666075631</v>
      </c>
      <c r="L27" s="15">
        <v>1820793.6207229395</v>
      </c>
      <c r="M27" s="15">
        <v>30183.954647308448</v>
      </c>
      <c r="N27" s="14">
        <v>0</v>
      </c>
      <c r="O27" s="9">
        <v>24.912007435828137</v>
      </c>
      <c r="P27" s="9">
        <v>1</v>
      </c>
    </row>
    <row r="28" spans="1:16" ht="12.75">
      <c r="A28" s="12">
        <v>45138</v>
      </c>
      <c r="B28" s="13">
        <v>0.76099997758865356</v>
      </c>
      <c r="C28" s="13">
        <v>22.409999847412109</v>
      </c>
      <c r="D28" s="14">
        <v>29.26302162741802</v>
      </c>
      <c r="E28" s="14">
        <v>2111506</v>
      </c>
      <c r="F28" s="14">
        <v>4325606.2786714146</v>
      </c>
      <c r="G28" s="14">
        <v>90553.794350269542</v>
      </c>
      <c r="H28" s="15">
        <v>118993.16296592186</v>
      </c>
      <c r="I28" s="15">
        <v>2530640.3579627024</v>
      </c>
      <c r="J28" s="15">
        <v>1925817.2556945588</v>
      </c>
      <c r="K28" s="15">
        <v>1881163.4604259005</v>
      </c>
      <c r="L28" s="15">
        <v>1925817.2556945588</v>
      </c>
      <c r="M28" s="15">
        <v>44653.795268658316</v>
      </c>
      <c r="N28" s="14">
        <v>0</v>
      </c>
      <c r="O28" s="9">
        <v>132.15337272513426</v>
      </c>
      <c r="P28" s="9">
        <v>1</v>
      </c>
    </row>
    <row r="29" spans="1:16" ht="12.75">
      <c r="A29" s="12">
        <v>45169</v>
      </c>
      <c r="B29" s="13">
        <v>0.71399998664855957</v>
      </c>
      <c r="C29" s="13">
        <v>20.899999618530273</v>
      </c>
      <c r="D29" s="14">
        <v>28.951898116056832</v>
      </c>
      <c r="E29" s="14">
        <v>3152600</v>
      </c>
      <c r="F29" s="14">
        <v>4215152.2814262221</v>
      </c>
      <c r="G29" s="14">
        <v>191535.50047763943</v>
      </c>
      <c r="H29" s="15">
        <v>268257.0084863542</v>
      </c>
      <c r="I29" s="15">
        <v>2798897.3664490567</v>
      </c>
      <c r="J29" s="15">
        <v>1998412.682275315</v>
      </c>
      <c r="K29" s="15">
        <v>2072698.96090354</v>
      </c>
      <c r="L29" s="15">
        <v>1998412.682275315</v>
      </c>
      <c r="M29" s="15">
        <v>-74286.278628224973</v>
      </c>
      <c r="N29" s="14">
        <v>0</v>
      </c>
      <c r="O29" s="9">
        <v>19.588439525500419</v>
      </c>
      <c r="P29" s="9">
        <v>1</v>
      </c>
    </row>
    <row r="30" spans="1:16" ht="12.75">
      <c r="A30" s="12">
        <v>45197</v>
      </c>
      <c r="B30" s="13">
        <v>0.68500000238418579</v>
      </c>
      <c r="C30" s="13">
        <v>19.25</v>
      </c>
      <c r="D30" s="14">
        <v>28.642033273139454</v>
      </c>
      <c r="E30" s="14">
        <v>1644900</v>
      </c>
      <c r="F30" s="14">
        <v>4176288.16796875</v>
      </c>
      <c r="G30" s="14">
        <v>137235.15697643414</v>
      </c>
      <c r="H30" s="15">
        <v>200343.29415880074</v>
      </c>
      <c r="I30" s="15">
        <v>2999240.6606078576</v>
      </c>
      <c r="J30" s="15">
        <v>2054479.8596671293</v>
      </c>
      <c r="K30" s="15">
        <v>2209934.1178799742</v>
      </c>
      <c r="L30" s="15">
        <v>2054479.8596671293</v>
      </c>
      <c r="M30" s="15">
        <v>-155454.25821284484</v>
      </c>
      <c r="N30" s="14">
        <v>0</v>
      </c>
      <c r="O30" s="9">
        <v>-38.600823638801678</v>
      </c>
      <c r="P30" s="9">
        <v>1</v>
      </c>
    </row>
    <row r="31" spans="1:16" ht="12.75">
      <c r="A31" s="12">
        <v>45230</v>
      </c>
      <c r="B31" s="13">
        <v>0.66299998760223389</v>
      </c>
      <c r="C31" s="13">
        <v>18.770000457763672</v>
      </c>
      <c r="D31" s="14">
        <v>28.372122112939287</v>
      </c>
      <c r="E31" s="14">
        <v>3279702</v>
      </c>
      <c r="F31" s="14">
        <v>4151158.042563708</v>
      </c>
      <c r="G31" s="14">
        <v>287737.60221590794</v>
      </c>
      <c r="H31" s="15">
        <v>433993.37495694769</v>
      </c>
      <c r="I31" s="15">
        <v>3433234.0355648054</v>
      </c>
      <c r="J31" s="15">
        <v>2276234.1230150335</v>
      </c>
      <c r="K31" s="15">
        <v>2497671.7200958822</v>
      </c>
      <c r="L31" s="15">
        <v>2276234.1230150335</v>
      </c>
      <c r="M31" s="15">
        <v>-221437.59708084865</v>
      </c>
      <c r="N31" s="14">
        <v>0</v>
      </c>
      <c r="O31" s="9">
        <v>11.750560187063723</v>
      </c>
      <c r="P31" s="9">
        <v>1</v>
      </c>
    </row>
    <row r="32" spans="1:16" ht="12.75">
      <c r="A32" s="12">
        <v>45260</v>
      </c>
      <c r="B32" s="13">
        <v>0.65100002288818359</v>
      </c>
      <c r="C32" s="13">
        <v>17.930000305175781</v>
      </c>
      <c r="D32" s="14">
        <v>28.031817642334733</v>
      </c>
      <c r="E32" s="14">
        <v>3444800</v>
      </c>
      <c r="F32" s="14">
        <v>4128629.2469860404</v>
      </c>
      <c r="G32" s="14">
        <v>403585.44180374639</v>
      </c>
      <c r="H32" s="15">
        <v>619946.8934167251</v>
      </c>
      <c r="I32" s="15">
        <v>4053180.9289815305</v>
      </c>
      <c r="J32" s="15">
        <v>2638620.8775369255</v>
      </c>
      <c r="K32" s="15">
        <v>2901257.1618996286</v>
      </c>
      <c r="L32" s="15">
        <v>2638620.8775369255</v>
      </c>
      <c r="M32" s="15">
        <v>-262636.2843627031</v>
      </c>
      <c r="N32" s="14">
        <v>0</v>
      </c>
      <c r="O32" s="9">
        <v>-113.41457128255375</v>
      </c>
      <c r="P32" s="9">
        <v>1.2</v>
      </c>
    </row>
    <row r="33" spans="1:16" ht="12.75">
      <c r="A33" s="12">
        <v>45289</v>
      </c>
      <c r="B33" s="13">
        <v>0.64499998092651367</v>
      </c>
      <c r="C33" s="13">
        <v>17.709999084472656</v>
      </c>
      <c r="D33" s="14">
        <v>27.695688453026897</v>
      </c>
      <c r="E33" s="14">
        <v>5609700</v>
      </c>
      <c r="F33" s="14">
        <v>4135906.376174428</v>
      </c>
      <c r="G33" s="14">
        <v>534222.45267287875</v>
      </c>
      <c r="H33" s="15">
        <v>828251.88910159667</v>
      </c>
      <c r="I33" s="15">
        <v>4881432.818083127</v>
      </c>
      <c r="J33" s="15">
        <v>3148524.074557675</v>
      </c>
      <c r="K33" s="15">
        <v>3435479.6145725073</v>
      </c>
      <c r="L33" s="15">
        <v>3148524.074557675</v>
      </c>
      <c r="M33" s="15">
        <v>-286955.54001483228</v>
      </c>
      <c r="N33" s="14">
        <v>0</v>
      </c>
      <c r="O33" s="9">
        <v>134.00503901876459</v>
      </c>
      <c r="P33" s="9">
        <v>1</v>
      </c>
    </row>
    <row r="34" spans="1:16" ht="12.75">
      <c r="A34" s="12">
        <v>45322</v>
      </c>
      <c r="B34" s="13">
        <v>0.56099998950958252</v>
      </c>
      <c r="C34" s="13">
        <v>15.380000114440918</v>
      </c>
      <c r="D34" s="14">
        <v>27.336624376243282</v>
      </c>
      <c r="E34" s="14">
        <v>10787006</v>
      </c>
      <c r="F34" s="14">
        <v>4203114.608389196</v>
      </c>
      <c r="G34" s="14">
        <v>1739102.554868575</v>
      </c>
      <c r="H34" s="15">
        <v>3100004.6121014571</v>
      </c>
      <c r="I34" s="15">
        <v>7981437.4301845841</v>
      </c>
      <c r="J34" s="15">
        <v>4477586.3146049408</v>
      </c>
      <c r="K34" s="15">
        <v>5174582.1694410825</v>
      </c>
      <c r="L34" s="15">
        <v>4477586.3146049408</v>
      </c>
      <c r="M34" s="15">
        <v>-696995.85483614169</v>
      </c>
      <c r="N34" s="14">
        <v>0</v>
      </c>
      <c r="O34" s="9">
        <v>-202.99979347003418</v>
      </c>
      <c r="P34" s="9">
        <v>1.2</v>
      </c>
    </row>
    <row r="35" spans="1:16" ht="12.75">
      <c r="A35" s="12">
        <v>45351</v>
      </c>
      <c r="B35" s="13">
        <v>0.6380000114440918</v>
      </c>
      <c r="C35" s="13">
        <v>17.479999542236328</v>
      </c>
      <c r="D35" s="14">
        <v>27.106454818762419</v>
      </c>
      <c r="E35" s="14">
        <v>12736000</v>
      </c>
      <c r="F35" s="14">
        <v>4305005.2464849772</v>
      </c>
      <c r="G35" s="14">
        <v>1082902.2496379393</v>
      </c>
      <c r="H35" s="15">
        <v>1697338.9188298383</v>
      </c>
      <c r="I35" s="15">
        <v>9678776.3490144219</v>
      </c>
      <c r="J35" s="15">
        <v>6175059.4214360062</v>
      </c>
      <c r="K35" s="15">
        <v>6257484.4190790216</v>
      </c>
      <c r="L35" s="15">
        <v>6175059.4214360062</v>
      </c>
      <c r="M35" s="15">
        <v>-82424.997643015347</v>
      </c>
      <c r="N35" s="14">
        <v>0</v>
      </c>
      <c r="O35" s="9">
        <v>102.81793481326457</v>
      </c>
      <c r="P35" s="9">
        <v>1</v>
      </c>
    </row>
    <row r="36" spans="1:16" ht="12.75">
      <c r="A36" s="12">
        <v>45380</v>
      </c>
      <c r="B36" s="13">
        <v>0.64600002765655518</v>
      </c>
      <c r="C36" s="13">
        <v>17.700000762939453</v>
      </c>
      <c r="D36" s="14">
        <v>26.839674750359887</v>
      </c>
      <c r="E36" s="14">
        <v>8545319</v>
      </c>
      <c r="F36" s="14">
        <v>4423306.3268190296</v>
      </c>
      <c r="G36" s="14">
        <v>637440.66900952836</v>
      </c>
      <c r="H36" s="15">
        <v>986750.21937990165</v>
      </c>
      <c r="I36" s="15">
        <v>10665526.568394324</v>
      </c>
      <c r="J36" s="15">
        <v>6889930.4581544576</v>
      </c>
      <c r="K36" s="15">
        <v>6894925.0880885497</v>
      </c>
      <c r="L36" s="15">
        <v>6889930.4581544576</v>
      </c>
      <c r="M36" s="15">
        <v>-4994.6299340920523</v>
      </c>
      <c r="N36" s="14">
        <v>0</v>
      </c>
      <c r="O36" s="9">
        <v>-98.887766665906639</v>
      </c>
      <c r="P36" s="9">
        <v>1</v>
      </c>
    </row>
    <row r="37" spans="1:16" ht="12.75">
      <c r="A37" s="12">
        <v>45412</v>
      </c>
      <c r="B37" s="13">
        <v>0.66399997472763062</v>
      </c>
      <c r="C37" s="13">
        <v>18.110000610351563</v>
      </c>
      <c r="D37" s="14">
        <v>26.594314356937268</v>
      </c>
      <c r="E37" s="14">
        <v>5195700</v>
      </c>
      <c r="F37" s="14">
        <v>4505504.5858242754</v>
      </c>
      <c r="G37" s="14">
        <v>327892.26130662102</v>
      </c>
      <c r="H37" s="15">
        <v>493813.66534105781</v>
      </c>
      <c r="I37" s="15">
        <v>11159340.233735383</v>
      </c>
      <c r="J37" s="15">
        <v>7409801.6331773251</v>
      </c>
      <c r="K37" s="15">
        <v>7222817.3493951708</v>
      </c>
      <c r="L37" s="15">
        <v>7409801.6331773251</v>
      </c>
      <c r="M37" s="15">
        <v>186984.28378215432</v>
      </c>
      <c r="N37" s="14">
        <v>0</v>
      </c>
      <c r="O37" s="9">
        <v>191.90436156354073</v>
      </c>
      <c r="P37" s="9">
        <v>1</v>
      </c>
    </row>
    <row r="38" spans="1:16" ht="12.75">
      <c r="A38" s="12">
        <v>45443</v>
      </c>
      <c r="B38" s="13">
        <v>0.64999997615814209</v>
      </c>
      <c r="C38" s="13">
        <v>18.329999919999999</v>
      </c>
      <c r="D38" s="14">
        <v>26.389717901760058</v>
      </c>
      <c r="E38" s="14">
        <v>6567000</v>
      </c>
      <c r="F38" s="14">
        <v>4606710.9436179576</v>
      </c>
      <c r="G38" s="14">
        <v>365774.00759471167</v>
      </c>
      <c r="H38" s="15">
        <v>562729.26309418888</v>
      </c>
      <c r="I38" s="15">
        <v>11722069.496829571</v>
      </c>
      <c r="J38" s="15">
        <v>7619344.8934633061</v>
      </c>
      <c r="K38" s="15">
        <v>7588591.3569898829</v>
      </c>
      <c r="L38" s="15">
        <v>7619344.8934633061</v>
      </c>
      <c r="M38" s="15">
        <v>30753.536473423243</v>
      </c>
      <c r="N38" s="14">
        <v>0</v>
      </c>
      <c r="O38" s="9">
        <v>-76.574709137121957</v>
      </c>
      <c r="P38" s="9">
        <v>1</v>
      </c>
    </row>
    <row r="39" spans="1:16" ht="12.75">
      <c r="A39" s="12">
        <v>45471</v>
      </c>
      <c r="B39" s="13">
        <v>0.63599997758865356</v>
      </c>
      <c r="C39" s="13">
        <v>17.86000061</v>
      </c>
      <c r="D39" s="14">
        <v>26.193870144829649</v>
      </c>
      <c r="E39" s="14">
        <v>8456200</v>
      </c>
      <c r="F39" s="14">
        <v>4684454.1679955423</v>
      </c>
      <c r="G39" s="14">
        <v>594275.72184410866</v>
      </c>
      <c r="H39" s="15">
        <v>934395.82198927226</v>
      </c>
      <c r="I39" s="15">
        <v>12656465.318818843</v>
      </c>
      <c r="J39" s="15">
        <v>8049511.6591203548</v>
      </c>
      <c r="K39" s="15">
        <v>8182867.0788339917</v>
      </c>
      <c r="L39" s="15">
        <v>8049511.6591203548</v>
      </c>
      <c r="M39" s="15">
        <v>-133355.41971363686</v>
      </c>
      <c r="N39" s="14">
        <v>0</v>
      </c>
      <c r="O39" s="9">
        <v>-109.41232702522433</v>
      </c>
      <c r="P39" s="9">
        <v>1.2</v>
      </c>
    </row>
    <row r="40" spans="1:16" ht="12.75">
      <c r="A40" s="12">
        <v>45504</v>
      </c>
      <c r="B40" s="13">
        <v>0.63300001621246338</v>
      </c>
      <c r="C40" s="13">
        <v>17.709999079999999</v>
      </c>
      <c r="D40" s="14">
        <v>25.951256745485065</v>
      </c>
      <c r="E40" s="14">
        <v>9012202</v>
      </c>
      <c r="F40" s="14">
        <v>4764694.1608626992</v>
      </c>
      <c r="G40" s="14">
        <v>507434.47455627128</v>
      </c>
      <c r="H40" s="15">
        <v>801634.22047362686</v>
      </c>
      <c r="I40" s="15">
        <v>13458099.53929247</v>
      </c>
      <c r="J40" s="15">
        <v>8518977.2265610788</v>
      </c>
      <c r="K40" s="15">
        <v>8690301.5533902626</v>
      </c>
      <c r="L40" s="15">
        <v>8518977.2265610788</v>
      </c>
      <c r="M40" s="15">
        <v>-171324.32682918385</v>
      </c>
      <c r="N40" s="14">
        <v>0</v>
      </c>
      <c r="O40" s="9">
        <v>-35.422966834096719</v>
      </c>
      <c r="P40" s="9">
        <v>1</v>
      </c>
    </row>
    <row r="41" spans="1:16" ht="12.75">
      <c r="A41" s="12">
        <v>45534</v>
      </c>
      <c r="B41" s="13">
        <v>0.61000001430511475</v>
      </c>
      <c r="C41" s="13">
        <v>20.56999969</v>
      </c>
      <c r="D41" s="14">
        <v>25.729715551720684</v>
      </c>
      <c r="E41" s="14">
        <v>6956200</v>
      </c>
      <c r="F41" s="14">
        <v>4772486.4689518735</v>
      </c>
      <c r="G41" s="14">
        <v>153276.65797483371</v>
      </c>
      <c r="H41" s="15">
        <v>251273.20390219952</v>
      </c>
      <c r="I41" s="15">
        <v>13709372.743194669</v>
      </c>
      <c r="J41" s="15">
        <v>8362717.5694628982</v>
      </c>
      <c r="K41" s="15">
        <v>8843578.2113650963</v>
      </c>
      <c r="L41" s="15">
        <v>8362717.5694628982</v>
      </c>
      <c r="M41" s="15">
        <v>-480860.64190219808</v>
      </c>
      <c r="N41" s="14">
        <v>0</v>
      </c>
      <c r="O41" s="9">
        <v>170.37062431435149</v>
      </c>
      <c r="P41" s="9">
        <v>1</v>
      </c>
    </row>
    <row r="42" spans="1:16" ht="12.75">
      <c r="A42" s="12">
        <v>45565</v>
      </c>
      <c r="B42" s="13">
        <v>0.76700001955032349</v>
      </c>
      <c r="C42" s="13">
        <v>25.239999770000001</v>
      </c>
      <c r="D42" s="14">
        <v>25.607882301446285</v>
      </c>
      <c r="E42" s="14">
        <v>12479809</v>
      </c>
      <c r="F42" s="14">
        <v>4825138.2799101509</v>
      </c>
      <c r="G42" s="14">
        <v>1382.6542815230166</v>
      </c>
      <c r="H42" s="15">
        <v>1802.678287196966</v>
      </c>
      <c r="I42" s="15">
        <v>13711175.421481866</v>
      </c>
      <c r="J42" s="15">
        <v>10516471.816334506</v>
      </c>
      <c r="K42" s="15">
        <v>8844960.8656466193</v>
      </c>
      <c r="L42" s="15">
        <v>10516471.816334506</v>
      </c>
      <c r="M42" s="15">
        <v>1671510.9506878871</v>
      </c>
      <c r="N42" s="14">
        <v>0</v>
      </c>
      <c r="O42" s="9">
        <v>265.35751850843906</v>
      </c>
      <c r="P42" s="9">
        <v>1</v>
      </c>
    </row>
    <row r="43" spans="1:16" ht="12.75">
      <c r="A43" s="12">
        <v>45596</v>
      </c>
      <c r="B43" s="13">
        <v>0.77700001001358032</v>
      </c>
      <c r="C43" s="13">
        <v>24.940000529999999</v>
      </c>
      <c r="D43" s="14">
        <v>25.600824703771881</v>
      </c>
      <c r="E43" s="14">
        <v>1578400</v>
      </c>
      <c r="F43" s="14">
        <v>4778839.6069281753</v>
      </c>
      <c r="G43" s="14">
        <v>569.72274312846628</v>
      </c>
      <c r="H43" s="15">
        <v>733.23389419069474</v>
      </c>
      <c r="I43" s="15">
        <v>13711908.655376056</v>
      </c>
      <c r="J43" s="15">
        <v>10654153.162532493</v>
      </c>
      <c r="K43" s="15">
        <v>8845530.5883897487</v>
      </c>
      <c r="L43" s="15">
        <v>10654153.162532493</v>
      </c>
      <c r="M43" s="15">
        <v>1808622.5741427448</v>
      </c>
      <c r="N43" s="14">
        <v>0</v>
      </c>
      <c r="O43" s="9">
        <v>15.433066648351565</v>
      </c>
      <c r="P43" s="9">
        <v>1</v>
      </c>
    </row>
    <row r="44" spans="1:16" ht="12.75">
      <c r="A44" s="12">
        <v>45625</v>
      </c>
      <c r="B44" s="13">
        <v>0.78100001811981201</v>
      </c>
      <c r="C44" s="13">
        <v>24.719999309999999</v>
      </c>
      <c r="D44" s="14">
        <v>25.593319274370291</v>
      </c>
      <c r="E44" s="14">
        <v>1693501</v>
      </c>
      <c r="F44" s="14">
        <v>4743142.4693134017</v>
      </c>
      <c r="G44" s="14">
        <v>1075.6306281980965</v>
      </c>
      <c r="H44" s="15">
        <v>1377.2478914758306</v>
      </c>
      <c r="I44" s="15">
        <v>13713285.903267533</v>
      </c>
      <c r="J44" s="15">
        <v>10710076.538934106</v>
      </c>
      <c r="K44" s="15">
        <v>8846606.2190179471</v>
      </c>
      <c r="L44" s="15">
        <v>10710076.538934106</v>
      </c>
      <c r="M44" s="15">
        <v>1863470.3199161589</v>
      </c>
      <c r="N44" s="14">
        <v>0</v>
      </c>
      <c r="O44" s="9">
        <v>-59.010045260336092</v>
      </c>
      <c r="P44" s="9">
        <v>1</v>
      </c>
    </row>
    <row r="45" spans="1:16" ht="12.75">
      <c r="A45" s="12">
        <v>45657</v>
      </c>
      <c r="B45" s="13">
        <v>0.78899997472763062</v>
      </c>
      <c r="C45" s="13">
        <v>24.799999239999998</v>
      </c>
      <c r="D45" s="14">
        <v>25.579355550139105</v>
      </c>
      <c r="E45" s="14">
        <v>2431000</v>
      </c>
      <c r="F45" s="14">
        <v>4680826.7802620027</v>
      </c>
      <c r="G45" s="14">
        <v>1246.0388886215089</v>
      </c>
      <c r="H45" s="15">
        <v>1579.263534262662</v>
      </c>
      <c r="I45" s="15">
        <v>13714865.166801795</v>
      </c>
      <c r="J45" s="15">
        <v>10821028.269999478</v>
      </c>
      <c r="K45" s="15">
        <v>8847852.2579065692</v>
      </c>
      <c r="L45" s="15">
        <v>10821028.269999478</v>
      </c>
      <c r="M45" s="15">
        <v>1973176.0120929088</v>
      </c>
      <c r="N45" s="14">
        <v>0</v>
      </c>
      <c r="O45" s="9">
        <v>-30.986086283622882</v>
      </c>
      <c r="P45" s="9">
        <v>1</v>
      </c>
    </row>
    <row r="46" spans="1:16" ht="12.75">
      <c r="A46" s="12">
        <v>45684</v>
      </c>
      <c r="B46" s="13">
        <v>0.78100001811981201</v>
      </c>
      <c r="C46" s="13">
        <v>24.409999849999998</v>
      </c>
      <c r="D46" s="14">
        <v>25.550295783221614</v>
      </c>
      <c r="E46" s="14">
        <v>851700</v>
      </c>
      <c r="F46" s="14">
        <v>4623625.5848982222</v>
      </c>
      <c r="G46" s="14">
        <v>946.09824206255894</v>
      </c>
      <c r="H46" s="15">
        <v>1211.3933676214326</v>
      </c>
      <c r="I46" s="15">
        <v>13716076.560169417</v>
      </c>
      <c r="J46" s="15">
        <v>10712256.042025045</v>
      </c>
      <c r="K46" s="15">
        <v>8848798.3561486322</v>
      </c>
      <c r="L46" s="15">
        <v>10712256.042025045</v>
      </c>
      <c r="M46" s="15">
        <v>1863457.6858764123</v>
      </c>
      <c r="N46" s="14">
        <v>0</v>
      </c>
      <c r="O46" s="9">
        <v>63.311229058108523</v>
      </c>
      <c r="P46" s="9">
        <v>1</v>
      </c>
    </row>
    <row r="47" spans="1:16" ht="12.75">
      <c r="A47" s="12">
        <v>45716</v>
      </c>
      <c r="B47" s="13">
        <v>0.82700002193450928</v>
      </c>
      <c r="C47" s="13">
        <v>26.079999923706055</v>
      </c>
      <c r="D47" s="14">
        <v>25.563306017026612</v>
      </c>
      <c r="E47" s="14">
        <v>1283704</v>
      </c>
      <c r="F47" s="14">
        <v>4583555.4425912919</v>
      </c>
      <c r="G47" s="14">
        <v>-295.3426593807647</v>
      </c>
      <c r="H47" s="15">
        <v>-357.12533439830196</v>
      </c>
      <c r="I47" s="15">
        <v>13715719.434835019</v>
      </c>
      <c r="J47" s="15">
        <v>11342900.273456136</v>
      </c>
      <c r="K47" s="15">
        <v>8848798.3561486322</v>
      </c>
      <c r="L47" s="15">
        <v>11343195.616115516</v>
      </c>
      <c r="M47" s="15">
        <v>2494397.2599668838</v>
      </c>
      <c r="N47" s="14">
        <v>295.3426593807647</v>
      </c>
      <c r="O47" s="9">
        <v>-39.803160451219114</v>
      </c>
      <c r="P47" s="9">
        <v>1</v>
      </c>
    </row>
    <row r="48" spans="1:16" ht="12.75">
      <c r="A48" s="12">
        <v>45747</v>
      </c>
      <c r="B48" s="13">
        <v>0.81400001049041748</v>
      </c>
      <c r="C48" s="13">
        <v>25.629999160000001</v>
      </c>
      <c r="D48" s="14">
        <v>25.577105780548813</v>
      </c>
      <c r="E48" s="14">
        <v>2900300</v>
      </c>
      <c r="F48" s="14">
        <v>4549765.5046995059</v>
      </c>
      <c r="G48" s="14">
        <v>-7.0445561652667319</v>
      </c>
      <c r="H48" s="15">
        <v>-8.6542457917445699</v>
      </c>
      <c r="I48" s="15">
        <v>13715710.780589227</v>
      </c>
      <c r="J48" s="15">
        <v>11164588.719283162</v>
      </c>
      <c r="K48" s="15">
        <v>8848798.3561486322</v>
      </c>
      <c r="L48" s="15">
        <v>11164891.106498707</v>
      </c>
      <c r="M48" s="15">
        <v>2316092.7503500748</v>
      </c>
      <c r="N48" s="14">
        <v>302.38721554603143</v>
      </c>
      <c r="O48" s="9">
        <v>-119.64106934981089</v>
      </c>
      <c r="P48" s="9">
        <v>1</v>
      </c>
    </row>
    <row r="49" spans="1:16" ht="12.75">
      <c r="A49" s="12">
        <v>45777</v>
      </c>
      <c r="B49" s="13">
        <v>0.76899999380111694</v>
      </c>
      <c r="C49" s="13">
        <v>24.010000229999999</v>
      </c>
      <c r="D49" s="14">
        <v>25.539386200172402</v>
      </c>
      <c r="E49" s="14">
        <v>1839402</v>
      </c>
      <c r="F49" s="14">
        <v>4515206.3014686154</v>
      </c>
      <c r="G49" s="14">
        <v>3763.8330854783617</v>
      </c>
      <c r="H49" s="15">
        <v>4894.4513859798353</v>
      </c>
      <c r="I49" s="15">
        <v>13720605.231975207</v>
      </c>
      <c r="J49" s="15">
        <v>10551145.338336507</v>
      </c>
      <c r="K49" s="15">
        <v>8852562.1892341115</v>
      </c>
      <c r="L49" s="15">
        <v>10551447.725552052</v>
      </c>
      <c r="M49" s="15">
        <v>1698885.5363179408</v>
      </c>
      <c r="N49" s="14">
        <v>302.38721554603143</v>
      </c>
      <c r="O49" s="9">
        <v>80.163519018203786</v>
      </c>
      <c r="P49" s="9">
        <v>1</v>
      </c>
    </row>
    <row r="50" spans="1:16" ht="12.75">
      <c r="A50" s="12">
        <v>45807</v>
      </c>
      <c r="B50" s="13">
        <v>0.78200000524520874</v>
      </c>
      <c r="C50" s="13">
        <v>23.299999239999998</v>
      </c>
      <c r="D50" s="14">
        <v>25.506266578519043</v>
      </c>
      <c r="E50" s="14">
        <v>2171902</v>
      </c>
      <c r="F50" s="14">
        <v>4456684.012585436</v>
      </c>
      <c r="G50" s="14">
        <v>11244.055887534907</v>
      </c>
      <c r="H50" s="15">
        <v>14378.587995033518</v>
      </c>
      <c r="I50" s="15">
        <v>13734983.819970241</v>
      </c>
      <c r="J50" s="15">
        <v>10740757.419259585</v>
      </c>
      <c r="K50" s="15">
        <v>8863806.2451216467</v>
      </c>
      <c r="L50" s="15">
        <v>10741059.806475131</v>
      </c>
      <c r="M50" s="15">
        <v>1877253.5613534842</v>
      </c>
      <c r="N50" s="14">
        <v>302.38721554603143</v>
      </c>
      <c r="O50" s="9">
        <v>-112.23623009437114</v>
      </c>
      <c r="P50" s="9">
        <v>1.2</v>
      </c>
    </row>
    <row r="51" spans="1:16" ht="12.75">
      <c r="A51" s="12">
        <v>45838</v>
      </c>
      <c r="B51" s="13">
        <v>0.81199997663497925</v>
      </c>
      <c r="C51" s="13">
        <v>24.299999239999998</v>
      </c>
      <c r="D51" s="14">
        <v>25.46955573186175</v>
      </c>
      <c r="E51" s="14">
        <v>667200</v>
      </c>
      <c r="F51" s="14">
        <v>4413310.9153900621</v>
      </c>
      <c r="G51" s="14">
        <v>816.82875284245119</v>
      </c>
      <c r="H51" s="15">
        <v>1005.94676889953</v>
      </c>
      <c r="I51" s="15">
        <v>13735989.766739141</v>
      </c>
      <c r="J51" s="15">
        <v>11153623.369650496</v>
      </c>
      <c r="K51" s="15">
        <v>8864623.0738744885</v>
      </c>
      <c r="L51" s="15">
        <v>11153925.756866042</v>
      </c>
      <c r="M51" s="15">
        <v>2289302.6829915531</v>
      </c>
      <c r="N51" s="14">
        <v>302.38721554603143</v>
      </c>
      <c r="O51" s="9">
        <v>116.62513925726178</v>
      </c>
      <c r="P51" s="9">
        <v>1</v>
      </c>
    </row>
    <row r="52" spans="1:16" ht="12.75">
      <c r="A52" s="12">
        <v>45869</v>
      </c>
      <c r="B52" s="13">
        <v>0.84500002861022949</v>
      </c>
      <c r="C52" s="13">
        <v>25.25</v>
      </c>
      <c r="D52" s="14">
        <v>25.459508277435798</v>
      </c>
      <c r="E52" s="14">
        <v>2249304</v>
      </c>
      <c r="F52" s="14">
        <v>4371430.3934544772</v>
      </c>
      <c r="G52" s="14">
        <v>89.212160278304367</v>
      </c>
      <c r="H52" s="15">
        <v>105.5765174647763</v>
      </c>
      <c r="I52" s="15">
        <v>13736095.343256606</v>
      </c>
      <c r="J52" s="15">
        <v>11607000.958044672</v>
      </c>
      <c r="K52" s="15">
        <v>8864712.2860347666</v>
      </c>
      <c r="L52" s="15">
        <v>11607303.345260218</v>
      </c>
      <c r="M52" s="15">
        <v>2742591.0592254512</v>
      </c>
      <c r="N52" s="14">
        <v>302.38721554603143</v>
      </c>
      <c r="O52" s="9">
        <v>21.060721400501365</v>
      </c>
      <c r="P52" s="9">
        <v>1</v>
      </c>
    </row>
    <row r="53" spans="1:16" ht="12.75">
      <c r="A53" s="12">
        <v>45898</v>
      </c>
      <c r="B53" s="13">
        <v>1.0089999437332153</v>
      </c>
      <c r="C53" s="13">
        <v>30.020000459999999</v>
      </c>
      <c r="D53" s="14">
        <v>25.492415128467428</v>
      </c>
      <c r="E53" s="14">
        <v>4079918</v>
      </c>
      <c r="F53" s="14">
        <v>4339325.9928879309</v>
      </c>
      <c r="G53" s="14">
        <v>-91356.780627580432</v>
      </c>
      <c r="H53" s="15">
        <v>-90541.908545175917</v>
      </c>
      <c r="I53" s="15">
        <v>13645553.43471143</v>
      </c>
      <c r="J53" s="15">
        <v>13768362.647832416</v>
      </c>
      <c r="K53" s="15">
        <v>8864712.2860347666</v>
      </c>
      <c r="L53" s="15">
        <v>13860021.815675542</v>
      </c>
      <c r="M53" s="15">
        <v>4995309.5296407752</v>
      </c>
      <c r="N53" s="14">
        <v>91659.167843126459</v>
      </c>
      <c r="O53" s="9">
        <v>143.9725445834176</v>
      </c>
      <c r="P53" s="9">
        <v>1.2</v>
      </c>
    </row>
    <row r="54" spans="1:16" ht="12.75">
      <c r="A54" s="12">
        <v>45930</v>
      </c>
      <c r="B54" s="13">
        <v>1.0880000591278076</v>
      </c>
      <c r="C54" s="13">
        <v>32.849998470000003</v>
      </c>
      <c r="D54" s="14">
        <v>25.595553284386586</v>
      </c>
      <c r="E54" s="14">
        <v>3128893</v>
      </c>
      <c r="F54" s="14">
        <v>4342592.1135788327</v>
      </c>
      <c r="G54" s="14">
        <v>-179733.24736579991</v>
      </c>
      <c r="H54" s="15">
        <v>-165195.99043945145</v>
      </c>
      <c r="I54" s="15">
        <v>13480357.444271978</v>
      </c>
      <c r="J54" s="15">
        <v>14666629.696431894</v>
      </c>
      <c r="K54" s="15">
        <v>8864712.2860347666</v>
      </c>
      <c r="L54" s="15">
        <v>14938022.11164082</v>
      </c>
      <c r="M54" s="15">
        <v>6073309.8256060537</v>
      </c>
      <c r="N54" s="14">
        <v>271392.41520892637</v>
      </c>
      <c r="O54" s="9">
        <v>121.58175372392238</v>
      </c>
      <c r="P54" s="9">
        <v>1.2</v>
      </c>
    </row>
    <row r="55" spans="1:16" ht="12.75">
      <c r="A55" s="12">
        <v>45961</v>
      </c>
      <c r="B55" s="13">
        <v>1.0729999542236328</v>
      </c>
      <c r="C55" s="13">
        <v>32.159999849999998</v>
      </c>
      <c r="D55" s="14">
        <v>25.690355441740447</v>
      </c>
      <c r="E55" s="14">
        <v>2090603.875</v>
      </c>
      <c r="F55" s="14">
        <v>4311119.1384309772</v>
      </c>
      <c r="G55" s="14">
        <v>-80175.124714138117</v>
      </c>
      <c r="H55" s="15">
        <v>-74720.529482360216</v>
      </c>
      <c r="I55" s="15">
        <v>13405636.914789617</v>
      </c>
      <c r="J55" s="15">
        <v>14384247.795907902</v>
      </c>
      <c r="K55" s="15">
        <v>8864712.2860347666</v>
      </c>
      <c r="L55" s="15">
        <v>14735815.335830966</v>
      </c>
      <c r="M55" s="15">
        <v>5871103.0497961994</v>
      </c>
      <c r="N55" s="14">
        <v>351567.53992306447</v>
      </c>
      <c r="O55" s="9">
        <v>57.419730839413582</v>
      </c>
      <c r="P55" s="9">
        <v>1</v>
      </c>
    </row>
    <row r="56" spans="1:16" ht="12.75">
      <c r="A56" s="12">
        <v>45989</v>
      </c>
      <c r="B56" s="13">
        <v>1.0399999618530273</v>
      </c>
      <c r="C56" s="13">
        <v>29.780000690000001</v>
      </c>
      <c r="D56" s="14">
        <v>25.767886790921306</v>
      </c>
      <c r="E56" s="14">
        <v>1227301</v>
      </c>
      <c r="F56" s="14">
        <v>4256467.9943261174</v>
      </c>
      <c r="G56" s="14">
        <v>-18333.497294467583</v>
      </c>
      <c r="H56" s="15">
        <v>-17628.363429746423</v>
      </c>
      <c r="I56" s="15">
        <v>13388008.551359871</v>
      </c>
      <c r="J56" s="15">
        <v>13923528.382702271</v>
      </c>
      <c r="K56" s="15">
        <v>8864712.2860347666</v>
      </c>
      <c r="L56" s="15">
        <v>14293429.419919802</v>
      </c>
      <c r="M56" s="15">
        <v>5428717.1338850353</v>
      </c>
      <c r="N56" s="14">
        <v>369901.03721753205</v>
      </c>
      <c r="O56" s="9">
        <v>-25.623704638394841</v>
      </c>
      <c r="P56" s="9">
        <v>1</v>
      </c>
    </row>
    <row r="57" spans="1:16" ht="12.75">
      <c r="A57" s="12">
        <v>46022</v>
      </c>
      <c r="B57" s="13">
        <v>1.0640000104904175</v>
      </c>
      <c r="C57" s="13">
        <v>31.129999160000001</v>
      </c>
      <c r="D57" s="14">
        <v>25.866548769817285</v>
      </c>
      <c r="E57" s="14">
        <v>1780809</v>
      </c>
      <c r="F57" s="14">
        <v>4200498.0933511853</v>
      </c>
      <c r="G57" s="14">
        <v>-46393.241034391052</v>
      </c>
      <c r="H57" s="15">
        <v>-43602.669715207558</v>
      </c>
      <c r="I57" s="15">
        <v>13344405.881644664</v>
      </c>
      <c r="J57" s="15">
        <v>14198447.998058312</v>
      </c>
      <c r="K57" s="15">
        <v>8864712.2860347666</v>
      </c>
      <c r="L57" s="15">
        <v>14614742.276310235</v>
      </c>
      <c r="M57" s="15">
        <v>5750029.9902754687</v>
      </c>
      <c r="N57" s="14">
        <v>416294.2782519231</v>
      </c>
      <c r="O57" s="9">
        <v>38.003913332402767</v>
      </c>
      <c r="P57" s="9">
        <v>1</v>
      </c>
    </row>
    <row r="58" spans="1:16" ht="12.75">
      <c r="A58" s="12">
        <v>46052</v>
      </c>
      <c r="B58" s="13">
        <v>1.0720000267028809</v>
      </c>
      <c r="C58" s="13">
        <v>31.709999079999999</v>
      </c>
      <c r="D58" s="14">
        <v>25.973356806597167</v>
      </c>
      <c r="E58" s="14">
        <v>3570901.25</v>
      </c>
      <c r="F58" s="14">
        <v>4177049.6174183078</v>
      </c>
      <c r="G58" s="14">
        <v>-111127.31971233143</v>
      </c>
      <c r="H58" s="15">
        <v>-103663.54192557483</v>
      </c>
      <c r="I58" s="15">
        <v>13240742.339719089</v>
      </c>
      <c r="J58" s="15">
        <v>14194076.141744828</v>
      </c>
      <c r="K58" s="15">
        <v>8864712.2860347666</v>
      </c>
      <c r="L58" s="15">
        <v>14721497.739709083</v>
      </c>
      <c r="M58" s="15">
        <v>5856785.4536743164</v>
      </c>
      <c r="N58" s="14">
        <v>527421.59796425456</v>
      </c>
      <c r="O58" s="9">
        <v>-130.04693515337254</v>
      </c>
      <c r="P58" s="9">
        <v>1</v>
      </c>
    </row>
    <row r="59" spans="1:16" ht="12.75">
      <c r="A59" s="12">
        <v>46080</v>
      </c>
      <c r="B59" s="13">
        <v>1.0750000476837158</v>
      </c>
      <c r="C59" s="13">
        <v>31.549999239999998</v>
      </c>
      <c r="D59" s="14">
        <v>26.039818023753689</v>
      </c>
      <c r="E59" s="14">
        <v>1968100</v>
      </c>
      <c r="F59" s="14">
        <v>4145840.7151027853</v>
      </c>
      <c r="G59" s="14">
        <v>-56932.913434554059</v>
      </c>
      <c r="H59" s="15">
        <v>-52960.847357380524</v>
      </c>
      <c r="I59" s="15">
        <v>13187781.492361708</v>
      </c>
      <c r="J59" s="15">
        <v>14176865.733131262</v>
      </c>
      <c r="K59" s="15">
        <v>8864712.2860347666</v>
      </c>
      <c r="L59" s="15">
        <v>14761220.244530071</v>
      </c>
      <c r="M59" s="15">
        <v>5896507.958495304</v>
      </c>
      <c r="N59" s="14">
        <v>584354.51139880856</v>
      </c>
      <c r="O59" s="9">
        <v>38.965935849742465</v>
      </c>
      <c r="P59" s="9">
        <v>1</v>
      </c>
    </row>
    <row r="60" spans="1:16" ht="12.75">
      <c r="A60" s="12">
        <v>46112</v>
      </c>
      <c r="B60" s="13">
        <v>1.0479999780654907</v>
      </c>
      <c r="C60" s="13">
        <v>30.549999239999998</v>
      </c>
      <c r="D60" s="14">
        <v>26.136981933917117</v>
      </c>
      <c r="E60" s="14">
        <v>2017527</v>
      </c>
      <c r="F60" s="14">
        <v>4111894.0858900696</v>
      </c>
      <c r="G60" s="14">
        <v>-37743.814809844756</v>
      </c>
      <c r="H60" s="15">
        <v>-36015.091221200484</v>
      </c>
      <c r="I60" s="15">
        <v>13151766.401140507</v>
      </c>
      <c r="J60" s="15">
        <v>13783050.899917709</v>
      </c>
      <c r="K60" s="15">
        <v>8864712.2860347666</v>
      </c>
      <c r="L60" s="15">
        <v>14405149.226126362</v>
      </c>
      <c r="M60" s="15">
        <v>5540436.9400915951</v>
      </c>
      <c r="N60" s="14">
        <v>622098.32620865328</v>
      </c>
      <c r="O60" s="9">
        <v>-89.784897005371036</v>
      </c>
      <c r="P60" s="9">
        <v>1</v>
      </c>
    </row>
    <row r="61" spans="1:16" ht="12.75">
      <c r="A61" s="12">
        <v>46142</v>
      </c>
      <c r="B61" s="13">
        <v>1.1770000457763672</v>
      </c>
      <c r="C61" s="13">
        <v>34.549999239999998</v>
      </c>
      <c r="D61" s="14">
        <v>26.252550181051159</v>
      </c>
      <c r="E61" s="14">
        <v>1531906</v>
      </c>
      <c r="F61" s="14">
        <v>4074387.1456824956</v>
      </c>
      <c r="G61" s="14">
        <v>-102248.30313182416</v>
      </c>
      <c r="H61" s="15">
        <v>-86871.961899015572</v>
      </c>
      <c r="I61" s="15">
        <v>13064894.439241491</v>
      </c>
      <c r="J61" s="15">
        <v>15377381.35305064</v>
      </c>
      <c r="K61" s="15">
        <v>8864712.2860347666</v>
      </c>
      <c r="L61" s="15">
        <v>16101727.982391117</v>
      </c>
      <c r="M61" s="15">
        <v>7237015.6963563506</v>
      </c>
      <c r="N61" s="14">
        <v>724346.6293404774</v>
      </c>
      <c r="O61" s="9">
        <v>95.218135798121537</v>
      </c>
      <c r="P61" s="9">
        <v>1</v>
      </c>
    </row>
    <row r="62" spans="1:16" ht="12.75">
      <c r="A62" s="12">
        <v>46171</v>
      </c>
      <c r="B62" s="13">
        <v>1.2450000047683716</v>
      </c>
      <c r="C62" s="13">
        <v>35.509998320000001</v>
      </c>
      <c r="D62" s="14">
        <v>26.381551060434539</v>
      </c>
      <c r="E62" s="14">
        <v>2806705</v>
      </c>
      <c r="F62" s="14">
        <v>4047711.4584993706</v>
      </c>
      <c r="G62" s="14">
        <v>-273879.41101316386</v>
      </c>
      <c r="H62" s="15">
        <v>-219983.46181863532</v>
      </c>
      <c r="I62" s="15">
        <v>12844910.977422856</v>
      </c>
      <c r="J62" s="15">
        <v>15991914.228140764</v>
      </c>
      <c r="K62" s="15">
        <v>8864712.2860347666</v>
      </c>
      <c r="L62" s="15">
        <v>16990140.268494405</v>
      </c>
      <c r="M62" s="15">
        <v>8125427.9824596383</v>
      </c>
      <c r="N62" s="14">
        <v>998226.04035364126</v>
      </c>
      <c r="O62" s="9">
        <v>107.7933992308817</v>
      </c>
      <c r="P62" s="9">
        <v>1.2</v>
      </c>
    </row>
    <row r="63" spans="1:16" ht="12.75">
      <c r="A63" s="12">
        <v>46203</v>
      </c>
      <c r="B63" s="13">
        <v>1.2760000228881836</v>
      </c>
      <c r="C63" s="13">
        <v>41.799999239999998</v>
      </c>
      <c r="D63" s="14">
        <v>26.574869220600849</v>
      </c>
      <c r="E63" s="14">
        <v>3094800</v>
      </c>
      <c r="F63" s="14">
        <v>4026308.4497372219</v>
      </c>
      <c r="G63" s="14">
        <v>-703792.54386857653</v>
      </c>
      <c r="H63" s="15">
        <v>-551561.54486233124</v>
      </c>
      <c r="I63" s="15">
        <v>12293349.432560524</v>
      </c>
      <c r="J63" s="15">
        <v>15686314.157319667</v>
      </c>
      <c r="K63" s="15">
        <v>8864712.2860347666</v>
      </c>
      <c r="L63" s="15">
        <v>17388332.741541885</v>
      </c>
      <c r="M63" s="15">
        <v>8523620.4555071183</v>
      </c>
      <c r="N63" s="14">
        <v>1702018.5842222178</v>
      </c>
      <c r="O63" s="9">
        <v>66.335527216233743</v>
      </c>
      <c r="P63" s="9">
        <v>1</v>
      </c>
    </row>
  </sheetData>
  <phoneticPr fontId="3" type="noConversion"/>
  <conditionalFormatting sqref="J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模型二 (1)PE副本</vt:lpstr>
      <vt:lpstr>模型二 (1)PE副本计算CCI月线</vt:lpstr>
      <vt:lpstr>模型二 (1)PE副本计算CCI日线</vt:lpstr>
      <vt:lpstr>模型二 (2)PE副本计算CCI日线</vt:lpstr>
      <vt:lpstr>模型二 (2)PE副本成交量计算CCI日线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2019-11-28T11:05:10Z</dcterms:created>
  <dcterms:modified xsi:type="dcterms:W3CDTF">2026-08-01T03:00:48Z</dcterms:modified>
</cp:coreProperties>
</file>