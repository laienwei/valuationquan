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480" yWindow="30" windowWidth="15600" windowHeight="7620"/>
  </bookViews>
  <sheets>
    <sheet name="模型四 (1)PE副本SAR值非智能计算" sheetId="4" r:id="rId1"/>
  </sheets>
  <definedNames>
    <definedName name="_xlnm._FilterDatabase" localSheetId="0" hidden="1">'模型四 (1)PE副本SAR值非智能计算'!$P$1:$P$24</definedName>
    <definedName name="金额" localSheetId="0">OFFSET('模型四 (1)PE副本SAR值非智能计算'!K1,0,0,COUNTA('模型四 (1)PE副本SAR值非智能计算'!K:K)-1)</definedName>
    <definedName name="买卖" localSheetId="0">OFFSET('模型四 (1)PE副本SAR值非智能计算'!E1,0,0,COUNTA('模型四 (1)PE副本SAR值非智能计算'!E:E)-2)</definedName>
    <definedName name="时间" localSheetId="0">OFFSET('模型四 (1)PE副本SAR值非智能计算'!A1,0,0,COUNTA('模型四 (1)PE副本SAR值非智能计算'!A:A)-1)</definedName>
    <definedName name="指数" localSheetId="0">OFFSET('模型四 (1)PE副本SAR值非智能计算'!B1,0,0,COUNTA('模型四 (1)PE副本SAR值非智能计算'!B:B)-1)</definedName>
    <definedName name="资产" localSheetId="0">OFFSET('模型四 (1)PE副本SAR值非智能计算'!J1,0,0,COUNTA('模型四 (1)PE副本SAR值非智能计算'!J:J)-1)</definedName>
    <definedName name="资金" localSheetId="0">OFFSET('模型四 (1)PE副本SAR值非智能计算'!I1,0,0,COUNTA('模型四 (1)PE副本SAR值非智能计算'!I:I)-1)</definedName>
  </definedNames>
  <calcPr calcId="145621"/>
</workbook>
</file>

<file path=xl/calcChain.xml><?xml version="1.0" encoding="utf-8"?>
<calcChain xmlns="http://schemas.openxmlformats.org/spreadsheetml/2006/main">
  <c r="AG6" i="4" l="1"/>
  <c r="AG5" i="4"/>
  <c r="AG4" i="4"/>
  <c r="AG3" i="4"/>
  <c r="AD5" i="4" l="1"/>
  <c r="AD4" i="4"/>
  <c r="AD3" i="4"/>
  <c r="AA4" i="4" l="1"/>
  <c r="AA3" i="4"/>
  <c r="H2" i="4" l="1"/>
</calcChain>
</file>

<file path=xl/sharedStrings.xml><?xml version="1.0" encoding="utf-8"?>
<sst xmlns="http://schemas.openxmlformats.org/spreadsheetml/2006/main" count="21" uniqueCount="20">
  <si>
    <t>日期</t>
    <phoneticPr fontId="4" type="noConversion"/>
  </si>
  <si>
    <t>深创100ETF</t>
    <phoneticPr fontId="1" type="noConversion"/>
  </si>
  <si>
    <t>PE</t>
    <phoneticPr fontId="1" type="noConversion"/>
  </si>
  <si>
    <t>PE均值</t>
    <phoneticPr fontId="4" type="noConversion"/>
  </si>
  <si>
    <t>买卖金额</t>
    <phoneticPr fontId="1" type="noConversion"/>
  </si>
  <si>
    <t>买卖份数</t>
    <phoneticPr fontId="1" type="noConversion"/>
  </si>
  <si>
    <t>持有份数</t>
    <phoneticPr fontId="4" type="noConversion"/>
  </si>
  <si>
    <t>市值</t>
    <phoneticPr fontId="4" type="noConversion"/>
  </si>
  <si>
    <t>累计投入资金</t>
    <phoneticPr fontId="4" type="noConversion"/>
  </si>
  <si>
    <t>总资产</t>
    <phoneticPr fontId="1" type="noConversion"/>
  </si>
  <si>
    <t>利润</t>
    <phoneticPr fontId="5" type="noConversion"/>
  </si>
  <si>
    <t>回收资金</t>
    <phoneticPr fontId="4" type="noConversion"/>
  </si>
  <si>
    <t>SAR</t>
    <phoneticPr fontId="1" type="noConversion"/>
  </si>
  <si>
    <t>日期</t>
    <phoneticPr fontId="4" type="noConversion"/>
  </si>
  <si>
    <t>每年投入本金</t>
    <phoneticPr fontId="4" type="noConversion"/>
  </si>
  <si>
    <t>累计投入本金</t>
    <phoneticPr fontId="4" type="noConversion"/>
  </si>
  <si>
    <t>总资产</t>
    <phoneticPr fontId="4" type="noConversion"/>
  </si>
  <si>
    <t>盈利金额</t>
    <phoneticPr fontId="4" type="noConversion"/>
  </si>
  <si>
    <t>绝对收益率</t>
    <phoneticPr fontId="4" type="noConversion"/>
  </si>
  <si>
    <t>年化收益率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</si>
</sst>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0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等线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theme="1"/>
      <name val="Tahoma"/>
      <family val="2"/>
    </font>
    <font>
      <sz val="10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b/>
      <sz val="10"/>
      <name val="宋体"/>
      <family val="3"/>
      <charset val="134"/>
    </font>
    <font>
      <sz val="10"/>
      <color indexed="8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8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176" fontId="3" fillId="2" borderId="1" xfId="1" applyNumberFormat="1" applyFont="1" applyFill="1" applyBorder="1" applyAlignment="1">
      <alignment horizontal="center" vertical="center" wrapText="1"/>
    </xf>
    <xf numFmtId="176" fontId="3" fillId="2" borderId="1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0" borderId="1" xfId="1" applyFont="1" applyBorder="1"/>
    <xf numFmtId="176" fontId="7" fillId="0" borderId="1" xfId="1" applyNumberFormat="1" applyFont="1" applyBorder="1"/>
    <xf numFmtId="0" fontId="7" fillId="0" borderId="0" xfId="1" applyFont="1"/>
    <xf numFmtId="10" fontId="8" fillId="0" borderId="0" xfId="1" applyNumberFormat="1" applyFont="1"/>
    <xf numFmtId="0" fontId="8" fillId="0" borderId="0" xfId="1" applyFont="1"/>
    <xf numFmtId="177" fontId="9" fillId="3" borderId="1" xfId="1" applyNumberFormat="1" applyFont="1" applyFill="1" applyBorder="1" applyAlignment="1" applyProtection="1">
      <alignment horizontal="center"/>
    </xf>
    <xf numFmtId="0" fontId="10" fillId="0" borderId="1" xfId="1" applyFont="1" applyBorder="1"/>
    <xf numFmtId="176" fontId="10" fillId="0" borderId="1" xfId="1" applyNumberFormat="1" applyFont="1" applyBorder="1"/>
    <xf numFmtId="176" fontId="10" fillId="4" borderId="1" xfId="1" applyNumberFormat="1" applyFont="1" applyFill="1" applyBorder="1"/>
    <xf numFmtId="0" fontId="11" fillId="0" borderId="1" xfId="1" applyFont="1" applyFill="1" applyBorder="1" applyAlignment="1">
      <alignment horizontal="center"/>
    </xf>
    <xf numFmtId="177" fontId="12" fillId="4" borderId="1" xfId="1" applyNumberFormat="1" applyFont="1" applyFill="1" applyBorder="1" applyAlignment="1" applyProtection="1">
      <alignment horizontal="center"/>
    </xf>
    <xf numFmtId="178" fontId="7" fillId="0" borderId="1" xfId="1" applyNumberFormat="1" applyFont="1" applyBorder="1"/>
    <xf numFmtId="10" fontId="7" fillId="0" borderId="1" xfId="1" applyNumberFormat="1" applyFont="1" applyBorder="1"/>
    <xf numFmtId="10" fontId="7" fillId="0" borderId="0" xfId="1" applyNumberFormat="1" applyFont="1"/>
    <xf numFmtId="176" fontId="8" fillId="0" borderId="0" xfId="1" applyNumberFormat="1" applyFont="1"/>
    <xf numFmtId="177" fontId="13" fillId="3" borderId="1" xfId="1" applyNumberFormat="1" applyFont="1" applyFill="1" applyBorder="1" applyAlignment="1" applyProtection="1">
      <alignment horizont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76" fontId="3" fillId="2" borderId="0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 applyAlignment="1">
      <alignment horizontal="center"/>
    </xf>
  </cellXfs>
  <cellStyles count="2">
    <cellStyle name="常规" xfId="0" builtinId="0"/>
    <cellStyle name="常规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(1)PE副本SAR值非智能计算'!$I$1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(1)PE副本SAR值非智能计算'!时间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'模型四 (1)PE副本SAR值非智能计算'!资金</c:f>
              <c:numCache>
                <c:formatCode>0.00_ </c:formatCode>
                <c:ptCount val="62"/>
                <c:pt idx="0">
                  <c:v>0</c:v>
                </c:pt>
                <c:pt idx="1">
                  <c:v>3953.9484548014116</c:v>
                </c:pt>
                <c:pt idx="2">
                  <c:v>30342.736476924936</c:v>
                </c:pt>
                <c:pt idx="3">
                  <c:v>205658.0960735089</c:v>
                </c:pt>
                <c:pt idx="4">
                  <c:v>274576.85966817412</c:v>
                </c:pt>
                <c:pt idx="5">
                  <c:v>357789.65517815872</c:v>
                </c:pt>
                <c:pt idx="6">
                  <c:v>460092.79671082116</c:v>
                </c:pt>
                <c:pt idx="7">
                  <c:v>636868.90045189066</c:v>
                </c:pt>
                <c:pt idx="8">
                  <c:v>789645.28870255675</c:v>
                </c:pt>
                <c:pt idx="9">
                  <c:v>1088623.6811554795</c:v>
                </c:pt>
                <c:pt idx="10">
                  <c:v>1518828.1414224168</c:v>
                </c:pt>
                <c:pt idx="11">
                  <c:v>1963494.0134836917</c:v>
                </c:pt>
                <c:pt idx="12">
                  <c:v>2120712.8047386352</c:v>
                </c:pt>
                <c:pt idx="13">
                  <c:v>2333272.2146004243</c:v>
                </c:pt>
                <c:pt idx="14">
                  <c:v>2585895.8523361892</c:v>
                </c:pt>
                <c:pt idx="15">
                  <c:v>2983244.2191796582</c:v>
                </c:pt>
                <c:pt idx="16">
                  <c:v>3377774.563739988</c:v>
                </c:pt>
                <c:pt idx="17">
                  <c:v>3691185.4372342029</c:v>
                </c:pt>
                <c:pt idx="18">
                  <c:v>3978732.8069236916</c:v>
                </c:pt>
                <c:pt idx="19">
                  <c:v>4126192.8908593752</c:v>
                </c:pt>
                <c:pt idx="20">
                  <c:v>4306080.8448487334</c:v>
                </c:pt>
                <c:pt idx="21">
                  <c:v>4459543.787068801</c:v>
                </c:pt>
                <c:pt idx="22">
                  <c:v>4630272.6665043449</c:v>
                </c:pt>
                <c:pt idx="23">
                  <c:v>4915950.9553354559</c:v>
                </c:pt>
                <c:pt idx="24">
                  <c:v>5128787.7453484293</c:v>
                </c:pt>
                <c:pt idx="25">
                  <c:v>5314295.1798980944</c:v>
                </c:pt>
                <c:pt idx="26">
                  <c:v>5570385.8039889373</c:v>
                </c:pt>
                <c:pt idx="27">
                  <c:v>5918816.445550561</c:v>
                </c:pt>
                <c:pt idx="28">
                  <c:v>6283009.3694882477</c:v>
                </c:pt>
                <c:pt idx="29">
                  <c:v>6686093.8874773122</c:v>
                </c:pt>
                <c:pt idx="30">
                  <c:v>7079964.156877039</c:v>
                </c:pt>
                <c:pt idx="31">
                  <c:v>7644659.5690554995</c:v>
                </c:pt>
                <c:pt idx="32">
                  <c:v>8010700.7019223478</c:v>
                </c:pt>
                <c:pt idx="33">
                  <c:v>8340658.5824809633</c:v>
                </c:pt>
                <c:pt idx="34">
                  <c:v>8909328.8625392579</c:v>
                </c:pt>
                <c:pt idx="35">
                  <c:v>9422505.3887087591</c:v>
                </c:pt>
                <c:pt idx="36">
                  <c:v>9971187.101954896</c:v>
                </c:pt>
                <c:pt idx="37">
                  <c:v>10239464.497195115</c:v>
                </c:pt>
                <c:pt idx="38">
                  <c:v>10344624.034901198</c:v>
                </c:pt>
                <c:pt idx="39">
                  <c:v>10345693.201601051</c:v>
                </c:pt>
                <c:pt idx="40">
                  <c:v>10349143.041451316</c:v>
                </c:pt>
                <c:pt idx="41">
                  <c:v>10355168.274756642</c:v>
                </c:pt>
                <c:pt idx="42">
                  <c:v>10359966.705196057</c:v>
                </c:pt>
                <c:pt idx="43">
                  <c:v>10370238.876237098</c:v>
                </c:pt>
                <c:pt idx="44">
                  <c:v>10370238.876237098</c:v>
                </c:pt>
                <c:pt idx="45">
                  <c:v>10370238.876237098</c:v>
                </c:pt>
                <c:pt idx="46">
                  <c:v>10388717.145658603</c:v>
                </c:pt>
                <c:pt idx="47">
                  <c:v>10427171.308653828</c:v>
                </c:pt>
                <c:pt idx="48">
                  <c:v>10437977.42151631</c:v>
                </c:pt>
                <c:pt idx="49">
                  <c:v>10438324.181890992</c:v>
                </c:pt>
                <c:pt idx="50">
                  <c:v>10438324.181890992</c:v>
                </c:pt>
                <c:pt idx="51">
                  <c:v>10438324.181890992</c:v>
                </c:pt>
                <c:pt idx="52">
                  <c:v>10438324.181890992</c:v>
                </c:pt>
                <c:pt idx="53">
                  <c:v>10438324.181890992</c:v>
                </c:pt>
                <c:pt idx="54">
                  <c:v>10438324.181890992</c:v>
                </c:pt>
                <c:pt idx="55">
                  <c:v>10438324.181890992</c:v>
                </c:pt>
                <c:pt idx="56">
                  <c:v>10438324.181890992</c:v>
                </c:pt>
                <c:pt idx="57">
                  <c:v>10438324.181890992</c:v>
                </c:pt>
                <c:pt idx="58">
                  <c:v>10438324.181890992</c:v>
                </c:pt>
                <c:pt idx="59">
                  <c:v>10438324.181890992</c:v>
                </c:pt>
                <c:pt idx="60">
                  <c:v>10438324.181890992</c:v>
                </c:pt>
                <c:pt idx="61">
                  <c:v>10438324.181890992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'模型四 (1)PE副本SAR值非智能计算'!$J$1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(1)PE副本SAR值非智能计算'!时间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'模型四 (1)PE副本SAR值非智能计算'!资产</c:f>
              <c:numCache>
                <c:formatCode>0.00_ </c:formatCode>
                <c:ptCount val="62"/>
                <c:pt idx="0">
                  <c:v>0</c:v>
                </c:pt>
                <c:pt idx="1">
                  <c:v>3953.9484548014116</c:v>
                </c:pt>
                <c:pt idx="2">
                  <c:v>30185.521826634624</c:v>
                </c:pt>
                <c:pt idx="3">
                  <c:v>205344.64166221116</c:v>
                </c:pt>
                <c:pt idx="4">
                  <c:v>281101.09782744606</c:v>
                </c:pt>
                <c:pt idx="5">
                  <c:v>369409.40042765293</c:v>
                </c:pt>
                <c:pt idx="6">
                  <c:v>464770.11062648369</c:v>
                </c:pt>
                <c:pt idx="7">
                  <c:v>594225.86453115556</c:v>
                </c:pt>
                <c:pt idx="8">
                  <c:v>741000.00866426725</c:v>
                </c:pt>
                <c:pt idx="9">
                  <c:v>964366.12978613726</c:v>
                </c:pt>
                <c:pt idx="10">
                  <c:v>1305683.2905690172</c:v>
                </c:pt>
                <c:pt idx="11">
                  <c:v>1801196.3522292967</c:v>
                </c:pt>
                <c:pt idx="12">
                  <c:v>2194716.7991730236</c:v>
                </c:pt>
                <c:pt idx="13">
                  <c:v>2292995.0246816785</c:v>
                </c:pt>
                <c:pt idx="14">
                  <c:v>2442562.6679085684</c:v>
                </c:pt>
                <c:pt idx="15">
                  <c:v>2619601.4383942583</c:v>
                </c:pt>
                <c:pt idx="16">
                  <c:v>2980257.6128858882</c:v>
                </c:pt>
                <c:pt idx="17">
                  <c:v>3436825.1959430273</c:v>
                </c:pt>
                <c:pt idx="18">
                  <c:v>3738692.4856809187</c:v>
                </c:pt>
                <c:pt idx="19">
                  <c:v>4227443.9256671816</c:v>
                </c:pt>
                <c:pt idx="20">
                  <c:v>4268024.6675257552</c:v>
                </c:pt>
                <c:pt idx="21">
                  <c:v>4466237.6307461848</c:v>
                </c:pt>
                <c:pt idx="22">
                  <c:v>4521110.5692835022</c:v>
                </c:pt>
                <c:pt idx="23">
                  <c:v>4620165.3661133135</c:v>
                </c:pt>
                <c:pt idx="24">
                  <c:v>5057593.3049786557</c:v>
                </c:pt>
                <c:pt idx="25">
                  <c:v>5283293.4160720743</c:v>
                </c:pt>
                <c:pt idx="26">
                  <c:v>5213083.4488329813</c:v>
                </c:pt>
                <c:pt idx="27">
                  <c:v>5349778.3189492244</c:v>
                </c:pt>
                <c:pt idx="28">
                  <c:v>5542153.4302045703</c:v>
                </c:pt>
                <c:pt idx="29">
                  <c:v>5844927.7719554286</c:v>
                </c:pt>
                <c:pt idx="30">
                  <c:v>6184927.3644555239</c:v>
                </c:pt>
                <c:pt idx="31">
                  <c:v>5944143.9225380206</c:v>
                </c:pt>
                <c:pt idx="32">
                  <c:v>7126048.1943996148</c:v>
                </c:pt>
                <c:pt idx="33">
                  <c:v>7545361.0907315928</c:v>
                </c:pt>
                <c:pt idx="34">
                  <c:v>8324273.0030666078</c:v>
                </c:pt>
                <c:pt idx="35">
                  <c:v>8661937.7603045385</c:v>
                </c:pt>
                <c:pt idx="36">
                  <c:v>9024054.6724717319</c:v>
                </c:pt>
                <c:pt idx="37">
                  <c:v>9249766.3186113238</c:v>
                </c:pt>
                <c:pt idx="38">
                  <c:v>9018836.3815595061</c:v>
                </c:pt>
                <c:pt idx="39">
                  <c:v>11341147.066300172</c:v>
                </c:pt>
                <c:pt idx="40">
                  <c:v>11492460.478007823</c:v>
                </c:pt>
                <c:pt idx="41">
                  <c:v>11557649.076152453</c:v>
                </c:pt>
                <c:pt idx="42">
                  <c:v>11680835.07247209</c:v>
                </c:pt>
                <c:pt idx="43">
                  <c:v>11572671.024608156</c:v>
                </c:pt>
                <c:pt idx="44">
                  <c:v>12254288.052684262</c:v>
                </c:pt>
                <c:pt idx="45">
                  <c:v>12061690.153542675</c:v>
                </c:pt>
                <c:pt idx="46">
                  <c:v>11413484.948960992</c:v>
                </c:pt>
                <c:pt idx="47">
                  <c:v>11644849.034862332</c:v>
                </c:pt>
                <c:pt idx="48">
                  <c:v>12102306.298671745</c:v>
                </c:pt>
                <c:pt idx="49">
                  <c:v>12594409.732861409</c:v>
                </c:pt>
                <c:pt idx="50">
                  <c:v>15038353.570811914</c:v>
                </c:pt>
                <c:pt idx="51">
                  <c:v>16202942.179760782</c:v>
                </c:pt>
                <c:pt idx="52">
                  <c:v>15987548.466847729</c:v>
                </c:pt>
                <c:pt idx="53">
                  <c:v>15523855.279351614</c:v>
                </c:pt>
                <c:pt idx="54">
                  <c:v>15858152.82628401</c:v>
                </c:pt>
                <c:pt idx="55">
                  <c:v>15967939.768014949</c:v>
                </c:pt>
                <c:pt idx="56">
                  <c:v>16008382.510111498</c:v>
                </c:pt>
                <c:pt idx="57">
                  <c:v>15650423.858476061</c:v>
                </c:pt>
                <c:pt idx="58">
                  <c:v>17341729.54692129</c:v>
                </c:pt>
                <c:pt idx="59">
                  <c:v>18201846.466008939</c:v>
                </c:pt>
                <c:pt idx="60">
                  <c:v>18577567.752458461</c:v>
                </c:pt>
                <c:pt idx="61">
                  <c:v>16771822.603890486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'模型四 (1)PE副本SAR值非智能计算'!$K$1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(1)PE副本SAR值非智能计算'!时间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'模型四 (1)PE副本SAR值非智能计算'!金额</c:f>
              <c:numCache>
                <c:formatCode>0.00_ 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-157.21465029031242</c:v>
                </c:pt>
                <c:pt idx="3">
                  <c:v>-313.45441129774554</c:v>
                </c:pt>
                <c:pt idx="4">
                  <c:v>6524.2381592719466</c:v>
                </c:pt>
                <c:pt idx="5">
                  <c:v>11619.745249494212</c:v>
                </c:pt>
                <c:pt idx="6">
                  <c:v>4677.3139156625257</c:v>
                </c:pt>
                <c:pt idx="7">
                  <c:v>-42643.035920735099</c:v>
                </c:pt>
                <c:pt idx="8">
                  <c:v>-48645.280038289493</c:v>
                </c:pt>
                <c:pt idx="9">
                  <c:v>-124257.55136934225</c:v>
                </c:pt>
                <c:pt idx="10">
                  <c:v>-213144.85085339961</c:v>
                </c:pt>
                <c:pt idx="11">
                  <c:v>-162297.66125439503</c:v>
                </c:pt>
                <c:pt idx="12">
                  <c:v>74003.994434388354</c:v>
                </c:pt>
                <c:pt idx="13">
                  <c:v>-40277.189918745775</c:v>
                </c:pt>
                <c:pt idx="14">
                  <c:v>-143333.18442762084</c:v>
                </c:pt>
                <c:pt idx="15">
                  <c:v>-363642.78078539995</c:v>
                </c:pt>
                <c:pt idx="16">
                  <c:v>-397516.95085409982</c:v>
                </c:pt>
                <c:pt idx="17">
                  <c:v>-254360.2412911756</c:v>
                </c:pt>
                <c:pt idx="18">
                  <c:v>-240040.32124277297</c:v>
                </c:pt>
                <c:pt idx="19">
                  <c:v>101251.03480780637</c:v>
                </c:pt>
                <c:pt idx="20">
                  <c:v>-38056.177322978154</c:v>
                </c:pt>
                <c:pt idx="21">
                  <c:v>6693.8436773838475</c:v>
                </c:pt>
                <c:pt idx="22">
                  <c:v>-109162.09722084273</c:v>
                </c:pt>
                <c:pt idx="23">
                  <c:v>-295785.58922214247</c:v>
                </c:pt>
                <c:pt idx="24">
                  <c:v>-71194.440369773656</c:v>
                </c:pt>
                <c:pt idx="25">
                  <c:v>-31001.763826020062</c:v>
                </c:pt>
                <c:pt idx="26">
                  <c:v>-357302.355155956</c:v>
                </c:pt>
                <c:pt idx="27">
                  <c:v>-569038.12660133652</c:v>
                </c:pt>
                <c:pt idx="28">
                  <c:v>-740855.93928367738</c:v>
                </c:pt>
                <c:pt idx="29">
                  <c:v>-841166.11552188359</c:v>
                </c:pt>
                <c:pt idx="30">
                  <c:v>-895036.7924215151</c:v>
                </c:pt>
                <c:pt idx="31">
                  <c:v>-1700515.6465174789</c:v>
                </c:pt>
                <c:pt idx="32">
                  <c:v>-884652.50752273295</c:v>
                </c:pt>
                <c:pt idx="33">
                  <c:v>-795297.49174937047</c:v>
                </c:pt>
                <c:pt idx="34">
                  <c:v>-585055.8594726501</c:v>
                </c:pt>
                <c:pt idx="35">
                  <c:v>-760567.62840422057</c:v>
                </c:pt>
                <c:pt idx="36">
                  <c:v>-947132.4294831641</c:v>
                </c:pt>
                <c:pt idx="37">
                  <c:v>-989698.17858379148</c:v>
                </c:pt>
                <c:pt idx="38">
                  <c:v>-1325787.6533416919</c:v>
                </c:pt>
                <c:pt idx="39">
                  <c:v>995453.86469912156</c:v>
                </c:pt>
                <c:pt idx="40">
                  <c:v>1143317.4365565069</c:v>
                </c:pt>
                <c:pt idx="41">
                  <c:v>1202480.8013958111</c:v>
                </c:pt>
                <c:pt idx="42">
                  <c:v>1320868.3672760334</c:v>
                </c:pt>
                <c:pt idx="43">
                  <c:v>1202432.1483710576</c:v>
                </c:pt>
                <c:pt idx="44">
                  <c:v>1884049.1764471643</c:v>
                </c:pt>
                <c:pt idx="45">
                  <c:v>1691451.277305577</c:v>
                </c:pt>
                <c:pt idx="46">
                  <c:v>1024767.8033023886</c:v>
                </c:pt>
                <c:pt idx="47">
                  <c:v>1217677.7262085043</c:v>
                </c:pt>
                <c:pt idx="48">
                  <c:v>1664328.8771554343</c:v>
                </c:pt>
                <c:pt idx="49">
                  <c:v>2156085.5509704165</c:v>
                </c:pt>
                <c:pt idx="50">
                  <c:v>4600029.3889209218</c:v>
                </c:pt>
                <c:pt idx="51">
                  <c:v>5764617.9978697896</c:v>
                </c:pt>
                <c:pt idx="52">
                  <c:v>5549224.2849567365</c:v>
                </c:pt>
                <c:pt idx="53">
                  <c:v>5085531.097460622</c:v>
                </c:pt>
                <c:pt idx="54">
                  <c:v>5419828.6443930175</c:v>
                </c:pt>
                <c:pt idx="55">
                  <c:v>5529615.5861239564</c:v>
                </c:pt>
                <c:pt idx="56">
                  <c:v>5570058.3282205053</c:v>
                </c:pt>
                <c:pt idx="57">
                  <c:v>5212099.6765850689</c:v>
                </c:pt>
                <c:pt idx="58">
                  <c:v>6903405.365030298</c:v>
                </c:pt>
                <c:pt idx="59">
                  <c:v>7763522.2841179464</c:v>
                </c:pt>
                <c:pt idx="60">
                  <c:v>8139243.5705674682</c:v>
                </c:pt>
                <c:pt idx="61">
                  <c:v>6333498.4219994936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352640"/>
        <c:axId val="494354816"/>
      </c:lineChart>
      <c:dateAx>
        <c:axId val="49435264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354816"/>
        <c:crosses val="autoZero"/>
        <c:auto val="1"/>
        <c:lblOffset val="100"/>
        <c:baseTimeUnit val="months"/>
      </c:dateAx>
      <c:valAx>
        <c:axId val="4943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35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'模型四 (1)PE副本SAR值非智能计算'!买卖</c:f>
              <c:numCache>
                <c:formatCode>0.00_ </c:formatCode>
                <c:ptCount val="62"/>
                <c:pt idx="0">
                  <c:v>0</c:v>
                </c:pt>
                <c:pt idx="1">
                  <c:v>3953.9484548014116</c:v>
                </c:pt>
                <c:pt idx="2">
                  <c:v>26388.788022123525</c:v>
                </c:pt>
                <c:pt idx="3">
                  <c:v>175315.35959658396</c:v>
                </c:pt>
                <c:pt idx="4">
                  <c:v>68918.763594665201</c:v>
                </c:pt>
                <c:pt idx="5">
                  <c:v>83212.795509984615</c:v>
                </c:pt>
                <c:pt idx="6">
                  <c:v>102303.14153266246</c:v>
                </c:pt>
                <c:pt idx="7">
                  <c:v>176776.10374106947</c:v>
                </c:pt>
                <c:pt idx="8">
                  <c:v>152776.38825066606</c:v>
                </c:pt>
                <c:pt idx="9">
                  <c:v>298978.39245292288</c:v>
                </c:pt>
                <c:pt idx="10">
                  <c:v>430204.46026693727</c:v>
                </c:pt>
                <c:pt idx="11">
                  <c:v>444665.872061275</c:v>
                </c:pt>
                <c:pt idx="12">
                  <c:v>157218.79125494338</c:v>
                </c:pt>
                <c:pt idx="13">
                  <c:v>212559.40986178888</c:v>
                </c:pt>
                <c:pt idx="14">
                  <c:v>252623.63773576493</c:v>
                </c:pt>
                <c:pt idx="15">
                  <c:v>397348.36684346898</c:v>
                </c:pt>
                <c:pt idx="16">
                  <c:v>394530.34456032957</c:v>
                </c:pt>
                <c:pt idx="17">
                  <c:v>313410.87349421479</c:v>
                </c:pt>
                <c:pt idx="18">
                  <c:v>287547.36968948861</c:v>
                </c:pt>
                <c:pt idx="19">
                  <c:v>147460.08393568356</c:v>
                </c:pt>
                <c:pt idx="20">
                  <c:v>179887.95398935772</c:v>
                </c:pt>
                <c:pt idx="21">
                  <c:v>153462.94222006755</c:v>
                </c:pt>
                <c:pt idx="22">
                  <c:v>170728.87943554402</c:v>
                </c:pt>
                <c:pt idx="23">
                  <c:v>285678.28883111075</c:v>
                </c:pt>
                <c:pt idx="24">
                  <c:v>212836.79001297336</c:v>
                </c:pt>
                <c:pt idx="25">
                  <c:v>185507.43454966496</c:v>
                </c:pt>
                <c:pt idx="26">
                  <c:v>256090.62409084282</c:v>
                </c:pt>
                <c:pt idx="27">
                  <c:v>348430.64156162366</c:v>
                </c:pt>
                <c:pt idx="28">
                  <c:v>364192.92393768637</c:v>
                </c:pt>
                <c:pt idx="29">
                  <c:v>403084.5179890641</c:v>
                </c:pt>
                <c:pt idx="30">
                  <c:v>393870.26939972723</c:v>
                </c:pt>
                <c:pt idx="31">
                  <c:v>564695.41217846051</c:v>
                </c:pt>
                <c:pt idx="32">
                  <c:v>366041.13286684826</c:v>
                </c:pt>
                <c:pt idx="33">
                  <c:v>329957.88055861578</c:v>
                </c:pt>
                <c:pt idx="34">
                  <c:v>568670.28005829395</c:v>
                </c:pt>
                <c:pt idx="35">
                  <c:v>513176.5261695009</c:v>
                </c:pt>
                <c:pt idx="36">
                  <c:v>548681.71324613784</c:v>
                </c:pt>
                <c:pt idx="37">
                  <c:v>268277.3952402196</c:v>
                </c:pt>
                <c:pt idx="38">
                  <c:v>105159.5377060835</c:v>
                </c:pt>
                <c:pt idx="39">
                  <c:v>1069.1666998522771</c:v>
                </c:pt>
                <c:pt idx="40">
                  <c:v>3449.8398502661958</c:v>
                </c:pt>
                <c:pt idx="41">
                  <c:v>6025.2333053250577</c:v>
                </c:pt>
                <c:pt idx="42">
                  <c:v>4798.4304394137898</c:v>
                </c:pt>
                <c:pt idx="43">
                  <c:v>10272.171041041865</c:v>
                </c:pt>
                <c:pt idx="44">
                  <c:v>-2109.0834862773509</c:v>
                </c:pt>
                <c:pt idx="45">
                  <c:v>-22.101905759162022</c:v>
                </c:pt>
                <c:pt idx="46">
                  <c:v>18478.269421505425</c:v>
                </c:pt>
                <c:pt idx="47">
                  <c:v>38454.162995225663</c:v>
                </c:pt>
                <c:pt idx="48">
                  <c:v>10806.112862482138</c:v>
                </c:pt>
                <c:pt idx="49">
                  <c:v>346.76037468151208</c:v>
                </c:pt>
                <c:pt idx="50">
                  <c:v>-161942.32858104029</c:v>
                </c:pt>
                <c:pt idx="51">
                  <c:v>-415753.10211345047</c:v>
                </c:pt>
                <c:pt idx="52">
                  <c:v>-330664.76027766021</c:v>
                </c:pt>
                <c:pt idx="53">
                  <c:v>-127166.75771952557</c:v>
                </c:pt>
                <c:pt idx="54">
                  <c:v>-218860.88907832516</c:v>
                </c:pt>
                <c:pt idx="55">
                  <c:v>-259981.61012664012</c:v>
                </c:pt>
                <c:pt idx="56">
                  <c:v>-239860.56658340184</c:v>
                </c:pt>
                <c:pt idx="57">
                  <c:v>-153850.30177591741</c:v>
                </c:pt>
                <c:pt idx="58">
                  <c:v>-543896.52099822264</c:v>
                </c:pt>
                <c:pt idx="59">
                  <c:v>-658295.54002827872</c:v>
                </c:pt>
                <c:pt idx="60">
                  <c:v>-1831256.2144501123</c:v>
                </c:pt>
                <c:pt idx="61">
                  <c:v>-629148.78444833402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4371584"/>
        <c:axId val="494369024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(1)PE副本SAR值非智能计算'!时间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'模型四 (1)PE副本SAR值非智能计算'!指数</c:f>
              <c:numCache>
                <c:formatCode>General</c:formatCode>
                <c:ptCount val="62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365312"/>
        <c:axId val="494367488"/>
      </c:lineChart>
      <c:dateAx>
        <c:axId val="49436531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367488"/>
        <c:crosses val="autoZero"/>
        <c:auto val="1"/>
        <c:lblOffset val="100"/>
        <c:baseTimeUnit val="months"/>
      </c:dateAx>
      <c:valAx>
        <c:axId val="49436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365312"/>
        <c:crosses val="autoZero"/>
        <c:crossBetween val="between"/>
      </c:valAx>
      <c:valAx>
        <c:axId val="494369024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371584"/>
        <c:crosses val="max"/>
        <c:crossBetween val="between"/>
      </c:valAx>
      <c:catAx>
        <c:axId val="494371584"/>
        <c:scaling>
          <c:orientation val="minMax"/>
        </c:scaling>
        <c:delete val="1"/>
        <c:axPos val="b"/>
        <c:majorTickMark val="out"/>
        <c:minorTickMark val="none"/>
        <c:tickLblPos val="nextTo"/>
        <c:crossAx val="49436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4</xdr:row>
      <xdr:rowOff>152400</xdr:rowOff>
    </xdr:from>
    <xdr:to>
      <xdr:col>21</xdr:col>
      <xdr:colOff>676275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781049</xdr:colOff>
      <xdr:row>5</xdr:row>
      <xdr:rowOff>0</xdr:rowOff>
    </xdr:from>
    <xdr:to>
      <xdr:col>30</xdr:col>
      <xdr:colOff>38099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64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0" customWidth="1"/>
    <col min="2" max="2" width="8" style="10" customWidth="1"/>
    <col min="3" max="3" width="6.375" style="10" customWidth="1"/>
    <col min="4" max="4" width="6.875" style="20" customWidth="1"/>
    <col min="5" max="5" width="9.375" style="20" customWidth="1"/>
    <col min="6" max="6" width="9.25" style="20" customWidth="1"/>
    <col min="7" max="7" width="10.75" style="20" customWidth="1"/>
    <col min="8" max="8" width="11.5" style="20" customWidth="1"/>
    <col min="9" max="9" width="12.75" style="20" customWidth="1"/>
    <col min="10" max="10" width="12.625" style="10" customWidth="1"/>
    <col min="11" max="11" width="10.75" style="10" customWidth="1"/>
    <col min="12" max="12" width="10.75" style="20" customWidth="1"/>
    <col min="13" max="13" width="9.5" style="10" bestFit="1" customWidth="1"/>
    <col min="14" max="14" width="9" style="9"/>
    <col min="15" max="15" width="9" style="10"/>
    <col min="16" max="16" width="9.75" style="10" bestFit="1" customWidth="1"/>
    <col min="17" max="18" width="11.375" style="10" customWidth="1"/>
    <col min="19" max="20" width="11.125" style="10" customWidth="1"/>
    <col min="21" max="21" width="10.375" style="10" customWidth="1"/>
    <col min="22" max="22" width="10.25" style="10" customWidth="1"/>
    <col min="23" max="23" width="10.125" style="10" customWidth="1"/>
    <col min="24" max="24" width="9" style="10"/>
    <col min="25" max="25" width="9.75" style="10" bestFit="1" customWidth="1"/>
    <col min="26" max="27" width="9" style="10"/>
    <col min="28" max="28" width="9.75" style="10" bestFit="1" customWidth="1"/>
    <col min="29" max="30" width="9" style="10"/>
    <col min="31" max="31" width="9.75" style="10" bestFit="1" customWidth="1"/>
    <col min="32" max="16384" width="9" style="10"/>
  </cols>
  <sheetData>
    <row r="1" spans="1:33" s="4" customFormat="1" ht="27" customHeight="1">
      <c r="A1" s="22" t="s">
        <v>0</v>
      </c>
      <c r="B1" s="22" t="s">
        <v>1</v>
      </c>
      <c r="C1" s="22" t="s">
        <v>2</v>
      </c>
      <c r="D1" s="2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1" t="s">
        <v>9</v>
      </c>
      <c r="K1" s="24" t="s">
        <v>10</v>
      </c>
      <c r="L1" s="25" t="s">
        <v>11</v>
      </c>
      <c r="M1" s="4" t="s">
        <v>12</v>
      </c>
      <c r="N1" s="5"/>
    </row>
    <row r="2" spans="1:33" ht="14.1" customHeight="1">
      <c r="A2" s="6"/>
      <c r="B2" s="6"/>
      <c r="C2" s="6"/>
      <c r="D2" s="7"/>
      <c r="E2" s="7">
        <v>3950</v>
      </c>
      <c r="F2" s="7"/>
      <c r="G2" s="7"/>
      <c r="H2" s="7">
        <f>MIN(G:G)</f>
        <v>0</v>
      </c>
      <c r="I2" s="7"/>
      <c r="J2" s="6"/>
      <c r="K2" s="6"/>
      <c r="L2" s="7"/>
      <c r="M2" s="8"/>
    </row>
    <row r="3" spans="1:33" ht="14.1" customHeight="1">
      <c r="A3" s="11">
        <v>44377</v>
      </c>
      <c r="B3" s="12">
        <v>1.0309999999999999</v>
      </c>
      <c r="C3" s="12">
        <v>41.45</v>
      </c>
      <c r="D3" s="13">
        <v>41.041896551724122</v>
      </c>
      <c r="E3" s="13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3">
        <v>0</v>
      </c>
      <c r="M3" s="8"/>
      <c r="P3" s="26" t="s">
        <v>13</v>
      </c>
      <c r="Q3" s="15" t="s">
        <v>14</v>
      </c>
      <c r="R3" s="15" t="s">
        <v>15</v>
      </c>
      <c r="S3" s="15" t="s">
        <v>16</v>
      </c>
      <c r="T3" s="15" t="s">
        <v>17</v>
      </c>
      <c r="U3" s="27" t="s">
        <v>11</v>
      </c>
      <c r="V3" s="15" t="s">
        <v>18</v>
      </c>
      <c r="W3" s="15" t="s">
        <v>19</v>
      </c>
      <c r="Y3" s="21">
        <v>44561</v>
      </c>
      <c r="Z3" s="10">
        <v>460092.79671082116</v>
      </c>
      <c r="AA3" s="10">
        <f>-Z3</f>
        <v>-460092.79671082116</v>
      </c>
      <c r="AB3" s="21">
        <v>44561</v>
      </c>
      <c r="AC3" s="10">
        <v>460092.79671082116</v>
      </c>
      <c r="AD3" s="10">
        <f>-AC3</f>
        <v>-460092.79671082116</v>
      </c>
      <c r="AE3" s="21">
        <v>44561</v>
      </c>
      <c r="AF3" s="10">
        <v>460092.79671082116</v>
      </c>
      <c r="AG3" s="10">
        <f>-AF3</f>
        <v>-460092.79671082116</v>
      </c>
    </row>
    <row r="4" spans="1:33" ht="14.1" customHeight="1">
      <c r="A4" s="11">
        <v>44407</v>
      </c>
      <c r="B4" s="12">
        <v>1.006</v>
      </c>
      <c r="C4" s="12">
        <v>39.930000305175781</v>
      </c>
      <c r="D4" s="13">
        <v>40.930499984741189</v>
      </c>
      <c r="E4" s="13">
        <v>3953.9484548014116</v>
      </c>
      <c r="F4" s="14">
        <v>3930.3662572578642</v>
      </c>
      <c r="G4" s="14">
        <v>3930.3662572578642</v>
      </c>
      <c r="H4" s="14">
        <v>3953.9484548014116</v>
      </c>
      <c r="I4" s="14">
        <v>3953.9484548014116</v>
      </c>
      <c r="J4" s="14">
        <v>3953.9484548014116</v>
      </c>
      <c r="K4" s="14">
        <v>0</v>
      </c>
      <c r="L4" s="13">
        <v>0</v>
      </c>
      <c r="M4" s="8"/>
      <c r="P4" s="21">
        <v>44561</v>
      </c>
      <c r="Q4" s="17">
        <v>460092.79671082116</v>
      </c>
      <c r="R4" s="7">
        <v>460092.79671082116</v>
      </c>
      <c r="S4" s="7">
        <v>464770.11062648369</v>
      </c>
      <c r="T4" s="7">
        <v>4677.3139156625257</v>
      </c>
      <c r="U4" s="7">
        <v>0</v>
      </c>
      <c r="V4" s="18">
        <v>1.0166022917768748E-2</v>
      </c>
      <c r="W4" s="18">
        <v>1.0166022917768748E-2</v>
      </c>
      <c r="Y4" s="21">
        <v>44925</v>
      </c>
      <c r="Z4" s="8">
        <v>3518640.0102128703</v>
      </c>
      <c r="AA4" s="8">
        <f>-Z4</f>
        <v>-3518640.0102128703</v>
      </c>
      <c r="AB4" s="21">
        <v>44925</v>
      </c>
      <c r="AC4" s="8">
        <v>3518640.0102128703</v>
      </c>
      <c r="AD4" s="8">
        <f>-AC4</f>
        <v>-3518640.0102128703</v>
      </c>
      <c r="AE4" s="21">
        <v>44925</v>
      </c>
      <c r="AF4" s="8">
        <v>3518640.0102128703</v>
      </c>
      <c r="AG4" s="8">
        <f>-AF4</f>
        <v>-3518640.0102128703</v>
      </c>
    </row>
    <row r="5" spans="1:33" ht="14.1" customHeight="1">
      <c r="A5" s="11">
        <v>44439</v>
      </c>
      <c r="B5" s="12">
        <v>0.96599999999999997</v>
      </c>
      <c r="C5" s="12">
        <v>38.069999694824219</v>
      </c>
      <c r="D5" s="13">
        <v>40.654705834482208</v>
      </c>
      <c r="E5" s="13">
        <v>26388.788022123525</v>
      </c>
      <c r="F5" s="14">
        <v>27317.585944227252</v>
      </c>
      <c r="G5" s="14">
        <v>31247.952201485117</v>
      </c>
      <c r="H5" s="14">
        <v>30185.521826634624</v>
      </c>
      <c r="I5" s="14">
        <v>30342.736476924936</v>
      </c>
      <c r="J5" s="14">
        <v>30185.521826634624</v>
      </c>
      <c r="K5" s="14">
        <v>-157.21465029031242</v>
      </c>
      <c r="L5" s="13">
        <v>0</v>
      </c>
      <c r="M5" s="8"/>
      <c r="P5" s="21">
        <v>44925</v>
      </c>
      <c r="Q5" s="17">
        <v>3518640.0102128703</v>
      </c>
      <c r="R5" s="7">
        <v>3978732.8069236916</v>
      </c>
      <c r="S5" s="7">
        <v>3738692.4856809187</v>
      </c>
      <c r="T5" s="7">
        <v>-240040.32124277297</v>
      </c>
      <c r="U5" s="7">
        <v>0</v>
      </c>
      <c r="V5" s="18">
        <v>-6.0330847254950318E-2</v>
      </c>
      <c r="W5" s="18">
        <v>-5.4384002055657077E-2</v>
      </c>
      <c r="Y5" s="21">
        <v>44925</v>
      </c>
      <c r="Z5" s="8"/>
      <c r="AA5" s="8">
        <v>3738692.4856809187</v>
      </c>
      <c r="AB5" s="21">
        <v>45289</v>
      </c>
      <c r="AC5" s="8">
        <v>3101231.3499533474</v>
      </c>
      <c r="AD5" s="8">
        <f>-AC5</f>
        <v>-3101231.3499533474</v>
      </c>
      <c r="AE5" s="21">
        <v>45289</v>
      </c>
      <c r="AF5" s="8">
        <v>3101231.3499533474</v>
      </c>
      <c r="AG5" s="8">
        <f>-AF5</f>
        <v>-3101231.3499533474</v>
      </c>
    </row>
    <row r="6" spans="1:33" ht="14.1" customHeight="1">
      <c r="A6" s="11">
        <v>44469</v>
      </c>
      <c r="B6" s="12">
        <v>0.96099999999999997</v>
      </c>
      <c r="C6" s="12">
        <v>35.020000457763672</v>
      </c>
      <c r="D6" s="13">
        <v>39.730819672131133</v>
      </c>
      <c r="E6" s="13">
        <v>175315.35959658396</v>
      </c>
      <c r="F6" s="14">
        <v>182430.13485596667</v>
      </c>
      <c r="G6" s="14">
        <v>213678.08705745178</v>
      </c>
      <c r="H6" s="14">
        <v>205344.64166221116</v>
      </c>
      <c r="I6" s="14">
        <v>205658.0960735089</v>
      </c>
      <c r="J6" s="14">
        <v>205344.64166221116</v>
      </c>
      <c r="K6" s="14">
        <v>-313.45441129774554</v>
      </c>
      <c r="L6" s="13">
        <v>0</v>
      </c>
      <c r="M6" s="8">
        <v>1</v>
      </c>
      <c r="P6" s="21">
        <v>45289</v>
      </c>
      <c r="Q6" s="17">
        <v>3101231.3499533474</v>
      </c>
      <c r="R6" s="7">
        <v>7079964.156877039</v>
      </c>
      <c r="S6" s="7">
        <v>6184927.3644555239</v>
      </c>
      <c r="T6" s="7">
        <v>-895036.7924215151</v>
      </c>
      <c r="U6" s="7">
        <v>0</v>
      </c>
      <c r="V6" s="18">
        <v>-0.12641826605183187</v>
      </c>
      <c r="W6" s="18">
        <v>-8.0432995871083768E-2</v>
      </c>
      <c r="Y6" s="8"/>
      <c r="Z6" s="8"/>
      <c r="AA6" s="19">
        <v>-5.4384002055657077E-2</v>
      </c>
      <c r="AB6" s="21">
        <v>45289</v>
      </c>
      <c r="AC6" s="8"/>
      <c r="AD6" s="19">
        <v>6184927.3644555239</v>
      </c>
      <c r="AE6" s="21">
        <v>45657</v>
      </c>
      <c r="AF6" s="10">
        <v>3280002.5483190175</v>
      </c>
      <c r="AG6" s="10">
        <f>-AF6</f>
        <v>-3280002.5483190175</v>
      </c>
    </row>
    <row r="7" spans="1:33" ht="14.1" customHeight="1">
      <c r="A7" s="11">
        <v>44498</v>
      </c>
      <c r="B7" s="12">
        <v>0.99299997091293335</v>
      </c>
      <c r="C7" s="12">
        <v>36.299999237060547</v>
      </c>
      <c r="D7" s="13">
        <v>39.253623134226025</v>
      </c>
      <c r="E7" s="13">
        <v>68918.763594665201</v>
      </c>
      <c r="F7" s="14">
        <v>69404.597798027549</v>
      </c>
      <c r="G7" s="14">
        <v>283082.68485547934</v>
      </c>
      <c r="H7" s="14">
        <v>281101.09782744606</v>
      </c>
      <c r="I7" s="14">
        <v>274576.85966817412</v>
      </c>
      <c r="J7" s="14">
        <v>281101.09782744606</v>
      </c>
      <c r="K7" s="14">
        <v>6524.2381592719466</v>
      </c>
      <c r="L7" s="13">
        <v>0</v>
      </c>
      <c r="M7" s="8">
        <v>1</v>
      </c>
      <c r="P7" s="21">
        <v>45657</v>
      </c>
      <c r="Q7" s="17">
        <v>3280002.5483190175</v>
      </c>
      <c r="R7" s="7">
        <v>10359966.705196057</v>
      </c>
      <c r="S7" s="7">
        <v>11680835.07247209</v>
      </c>
      <c r="T7" s="7">
        <v>1320868.3672760334</v>
      </c>
      <c r="U7" s="7">
        <v>0</v>
      </c>
      <c r="V7" s="18">
        <v>0.12749735639725077</v>
      </c>
      <c r="W7" s="18">
        <v>5.7816253801587836E-2</v>
      </c>
      <c r="Y7" s="8"/>
      <c r="Z7" s="8"/>
      <c r="AA7" s="8"/>
      <c r="AD7" s="9">
        <v>-8.0432995871083768E-2</v>
      </c>
      <c r="AE7" s="21">
        <v>45657</v>
      </c>
      <c r="AG7" s="9">
        <v>11680835.07247209</v>
      </c>
    </row>
    <row r="8" spans="1:33" ht="14.1" customHeight="1">
      <c r="A8" s="11">
        <v>44530</v>
      </c>
      <c r="B8" s="12">
        <v>1.0110000371932983</v>
      </c>
      <c r="C8" s="12">
        <v>35.450000762939453</v>
      </c>
      <c r="D8" s="13">
        <v>38.695499993324269</v>
      </c>
      <c r="E8" s="13">
        <v>83212.795509984615</v>
      </c>
      <c r="F8" s="14">
        <v>82307.410928487167</v>
      </c>
      <c r="G8" s="14">
        <v>365390.09578396648</v>
      </c>
      <c r="H8" s="14">
        <v>369409.40042765293</v>
      </c>
      <c r="I8" s="14">
        <v>357789.65517815872</v>
      </c>
      <c r="J8" s="14">
        <v>369409.40042765293</v>
      </c>
      <c r="K8" s="14">
        <v>11619.745249494212</v>
      </c>
      <c r="L8" s="13">
        <v>0</v>
      </c>
      <c r="M8" s="8">
        <v>1</v>
      </c>
      <c r="AG8" s="9">
        <v>5.7816253801587836E-2</v>
      </c>
    </row>
    <row r="9" spans="1:33" ht="14.1" customHeight="1">
      <c r="A9" s="11">
        <v>44561</v>
      </c>
      <c r="B9" s="12">
        <v>0.99199998378753662</v>
      </c>
      <c r="C9" s="12">
        <v>34.630001068115234</v>
      </c>
      <c r="D9" s="13">
        <v>38.2285792249669</v>
      </c>
      <c r="E9" s="13">
        <v>102303.14153266246</v>
      </c>
      <c r="F9" s="14">
        <v>103128.1685530485</v>
      </c>
      <c r="G9" s="14">
        <v>468518.26433701499</v>
      </c>
      <c r="H9" s="14">
        <v>464770.11062648369</v>
      </c>
      <c r="I9" s="14">
        <v>460092.79671082116</v>
      </c>
      <c r="J9" s="14">
        <v>464770.11062648369</v>
      </c>
      <c r="K9" s="14">
        <v>4677.3139156625257</v>
      </c>
      <c r="L9" s="13">
        <v>0</v>
      </c>
      <c r="M9" s="8">
        <v>1</v>
      </c>
      <c r="Y9" s="16"/>
      <c r="Z9" s="8"/>
      <c r="AA9" s="8"/>
    </row>
    <row r="10" spans="1:33" ht="14.1" customHeight="1">
      <c r="A10" s="11">
        <v>44589</v>
      </c>
      <c r="B10" s="12">
        <v>0.89099997282028198</v>
      </c>
      <c r="C10" s="12">
        <v>31.020000457763672</v>
      </c>
      <c r="D10" s="13">
        <v>37.709801948471814</v>
      </c>
      <c r="E10" s="13">
        <v>176776.10374106947</v>
      </c>
      <c r="F10" s="14">
        <v>198401.91821950354</v>
      </c>
      <c r="G10" s="14">
        <v>666920.18255651859</v>
      </c>
      <c r="H10" s="14">
        <v>594225.86453115556</v>
      </c>
      <c r="I10" s="14">
        <v>636868.90045189066</v>
      </c>
      <c r="J10" s="14">
        <v>594225.86453115556</v>
      </c>
      <c r="K10" s="14">
        <v>-42643.035920735099</v>
      </c>
      <c r="L10" s="13">
        <v>0</v>
      </c>
      <c r="M10" s="8">
        <v>0</v>
      </c>
      <c r="Y10" s="16"/>
      <c r="Z10" s="8"/>
      <c r="AA10" s="8"/>
    </row>
    <row r="11" spans="1:33" ht="14.1" customHeight="1">
      <c r="A11" s="11">
        <v>44620</v>
      </c>
      <c r="B11" s="12">
        <v>0.88200002908706665</v>
      </c>
      <c r="C11" s="12">
        <v>30.969999313354492</v>
      </c>
      <c r="D11" s="13">
        <v>37.189128403969853</v>
      </c>
      <c r="E11" s="13">
        <v>152776.38825066606</v>
      </c>
      <c r="F11" s="14">
        <v>173215.85398222785</v>
      </c>
      <c r="G11" s="14">
        <v>840136.03653874644</v>
      </c>
      <c r="H11" s="14">
        <v>741000.00866426725</v>
      </c>
      <c r="I11" s="14">
        <v>789645.28870255675</v>
      </c>
      <c r="J11" s="14">
        <v>741000.00866426725</v>
      </c>
      <c r="K11" s="14">
        <v>-48645.280038289493</v>
      </c>
      <c r="L11" s="13">
        <v>0</v>
      </c>
      <c r="M11" s="8">
        <v>0</v>
      </c>
      <c r="Y11" s="16"/>
      <c r="Z11" s="8"/>
      <c r="AA11" s="8"/>
    </row>
    <row r="12" spans="1:33" ht="14.1" customHeight="1">
      <c r="A12" s="11">
        <v>44651</v>
      </c>
      <c r="B12" s="12">
        <v>0.79199999570846558</v>
      </c>
      <c r="C12" s="12">
        <v>27.639999389648438</v>
      </c>
      <c r="D12" s="13">
        <v>36.340041473831867</v>
      </c>
      <c r="E12" s="13">
        <v>298978.39245292288</v>
      </c>
      <c r="F12" s="14">
        <v>377497.97231435409</v>
      </c>
      <c r="G12" s="14">
        <v>1217634.0088531005</v>
      </c>
      <c r="H12" s="14">
        <v>964366.12978613726</v>
      </c>
      <c r="I12" s="14">
        <v>1088623.6811554795</v>
      </c>
      <c r="J12" s="14">
        <v>964366.12978613726</v>
      </c>
      <c r="K12" s="14">
        <v>-124257.55136934225</v>
      </c>
      <c r="L12" s="13">
        <v>0</v>
      </c>
      <c r="M12" s="8">
        <v>0</v>
      </c>
      <c r="Y12" s="16"/>
    </row>
    <row r="13" spans="1:33" ht="14.1" customHeight="1">
      <c r="A13" s="11">
        <v>44680</v>
      </c>
      <c r="B13" s="12">
        <v>0.71899998188018799</v>
      </c>
      <c r="C13" s="12">
        <v>25.129999160766602</v>
      </c>
      <c r="D13" s="13">
        <v>35.566115372584406</v>
      </c>
      <c r="E13" s="13">
        <v>430204.46026693727</v>
      </c>
      <c r="F13" s="14">
        <v>598337.23380903399</v>
      </c>
      <c r="G13" s="14">
        <v>1815971.2426621346</v>
      </c>
      <c r="H13" s="14">
        <v>1305683.2905690172</v>
      </c>
      <c r="I13" s="14">
        <v>1518828.1414224168</v>
      </c>
      <c r="J13" s="14">
        <v>1305683.2905690172</v>
      </c>
      <c r="K13" s="14">
        <v>-213144.85085339961</v>
      </c>
      <c r="L13" s="13">
        <v>0</v>
      </c>
      <c r="M13" s="8">
        <v>0</v>
      </c>
      <c r="AA13" s="9"/>
    </row>
    <row r="14" spans="1:33" ht="14.1" customHeight="1">
      <c r="A14" s="11">
        <v>44712</v>
      </c>
      <c r="B14" s="12">
        <v>0.74699997901916504</v>
      </c>
      <c r="C14" s="12">
        <v>24.129999160766602</v>
      </c>
      <c r="D14" s="13">
        <v>34.740071662711408</v>
      </c>
      <c r="E14" s="13">
        <v>444665.872061275</v>
      </c>
      <c r="F14" s="14">
        <v>595268.92175436951</v>
      </c>
      <c r="G14" s="14">
        <v>2411240.1644165041</v>
      </c>
      <c r="H14" s="14">
        <v>1801196.3522292967</v>
      </c>
      <c r="I14" s="14">
        <v>1963494.0134836917</v>
      </c>
      <c r="J14" s="14">
        <v>1801196.3522292967</v>
      </c>
      <c r="K14" s="14">
        <v>-162297.66125439503</v>
      </c>
      <c r="L14" s="13">
        <v>0</v>
      </c>
      <c r="M14" s="8">
        <v>0</v>
      </c>
    </row>
    <row r="15" spans="1:33" ht="14.1" customHeight="1">
      <c r="A15" s="11">
        <v>44742</v>
      </c>
      <c r="B15" s="12">
        <v>0.84500002861022949</v>
      </c>
      <c r="C15" s="12">
        <v>27.809999465942383</v>
      </c>
      <c r="D15" s="13">
        <v>34.118899975077305</v>
      </c>
      <c r="E15" s="13">
        <v>157218.79125494338</v>
      </c>
      <c r="F15" s="14">
        <v>186057.73483051939</v>
      </c>
      <c r="G15" s="14">
        <v>2597297.8992470233</v>
      </c>
      <c r="H15" s="14">
        <v>2194716.7991730236</v>
      </c>
      <c r="I15" s="14">
        <v>2120712.8047386352</v>
      </c>
      <c r="J15" s="14">
        <v>2194716.7991730236</v>
      </c>
      <c r="K15" s="14">
        <v>74003.994434388354</v>
      </c>
      <c r="L15" s="13">
        <v>0</v>
      </c>
      <c r="M15" s="8">
        <v>0</v>
      </c>
    </row>
    <row r="16" spans="1:33" ht="14.1" customHeight="1">
      <c r="A16" s="11">
        <v>44771</v>
      </c>
      <c r="B16" s="12">
        <v>0.80099999904632568</v>
      </c>
      <c r="C16" s="12">
        <v>26.329999923706055</v>
      </c>
      <c r="D16" s="13">
        <v>33.665700900829464</v>
      </c>
      <c r="E16" s="13">
        <v>212559.40986178888</v>
      </c>
      <c r="F16" s="14">
        <v>265367.55320207629</v>
      </c>
      <c r="G16" s="14">
        <v>2862665.4524490996</v>
      </c>
      <c r="H16" s="14">
        <v>2292995.0246816785</v>
      </c>
      <c r="I16" s="14">
        <v>2333272.2146004243</v>
      </c>
      <c r="J16" s="14">
        <v>2292995.0246816785</v>
      </c>
      <c r="K16" s="14">
        <v>-40277.189918745775</v>
      </c>
      <c r="L16" s="13">
        <v>0</v>
      </c>
      <c r="M16" s="8">
        <v>0</v>
      </c>
    </row>
    <row r="17" spans="1:13" ht="14.1" customHeight="1">
      <c r="A17" s="11">
        <v>44804</v>
      </c>
      <c r="B17" s="12">
        <v>0.76499998569488525</v>
      </c>
      <c r="C17" s="12">
        <v>25.180000305175781</v>
      </c>
      <c r="D17" s="13">
        <v>33.177209276154976</v>
      </c>
      <c r="E17" s="13">
        <v>252623.63773576493</v>
      </c>
      <c r="F17" s="14">
        <v>330226.98360745073</v>
      </c>
      <c r="G17" s="14">
        <v>3192892.4360565506</v>
      </c>
      <c r="H17" s="14">
        <v>2442562.6679085684</v>
      </c>
      <c r="I17" s="14">
        <v>2585895.8523361892</v>
      </c>
      <c r="J17" s="14">
        <v>2442562.6679085684</v>
      </c>
      <c r="K17" s="14">
        <v>-143333.18442762084</v>
      </c>
      <c r="L17" s="13">
        <v>0</v>
      </c>
      <c r="M17" s="8">
        <v>0</v>
      </c>
    </row>
    <row r="18" spans="1:13" ht="14.1" customHeight="1">
      <c r="A18" s="11">
        <v>44834</v>
      </c>
      <c r="B18" s="12">
        <v>0.69599997997283936</v>
      </c>
      <c r="C18" s="12">
        <v>22.610000610351563</v>
      </c>
      <c r="D18" s="13">
        <v>32.639682721540886</v>
      </c>
      <c r="E18" s="13">
        <v>397348.36684346898</v>
      </c>
      <c r="F18" s="14">
        <v>570902.84235205734</v>
      </c>
      <c r="G18" s="14">
        <v>3763795.2784086079</v>
      </c>
      <c r="H18" s="14">
        <v>2619601.4383942583</v>
      </c>
      <c r="I18" s="14">
        <v>2983244.2191796582</v>
      </c>
      <c r="J18" s="14">
        <v>2619601.4383942583</v>
      </c>
      <c r="K18" s="14">
        <v>-363642.78078539995</v>
      </c>
      <c r="L18" s="13">
        <v>0</v>
      </c>
      <c r="M18" s="8">
        <v>0</v>
      </c>
    </row>
    <row r="19" spans="1:13" ht="12.75">
      <c r="A19" s="11">
        <v>44865</v>
      </c>
      <c r="B19" s="12">
        <v>0.68699997663497925</v>
      </c>
      <c r="C19" s="12">
        <v>22.239999771118164</v>
      </c>
      <c r="D19" s="13">
        <v>32.234052997346801</v>
      </c>
      <c r="E19" s="13">
        <v>394530.34456032957</v>
      </c>
      <c r="F19" s="14">
        <v>574279.9970573415</v>
      </c>
      <c r="G19" s="14">
        <v>4338075.2754659494</v>
      </c>
      <c r="H19" s="14">
        <v>2980257.6128858882</v>
      </c>
      <c r="I19" s="14">
        <v>3377774.563739988</v>
      </c>
      <c r="J19" s="14">
        <v>2980257.6128858882</v>
      </c>
      <c r="K19" s="14">
        <v>-397516.95085409982</v>
      </c>
      <c r="L19" s="13">
        <v>0</v>
      </c>
      <c r="M19" s="8">
        <v>0</v>
      </c>
    </row>
    <row r="20" spans="1:13" ht="12.75">
      <c r="A20" s="11">
        <v>44895</v>
      </c>
      <c r="B20" s="12">
        <v>0.72000002861022949</v>
      </c>
      <c r="C20" s="12">
        <v>22.809999465942383</v>
      </c>
      <c r="D20" s="13">
        <v>31.717553840474388</v>
      </c>
      <c r="E20" s="13">
        <v>313410.87349421479</v>
      </c>
      <c r="F20" s="14">
        <v>435292.8625560918</v>
      </c>
      <c r="G20" s="14">
        <v>4773368.1380220409</v>
      </c>
      <c r="H20" s="14">
        <v>3436825.1959430273</v>
      </c>
      <c r="I20" s="14">
        <v>3691185.4372342029</v>
      </c>
      <c r="J20" s="14">
        <v>3436825.1959430273</v>
      </c>
      <c r="K20" s="14">
        <v>-254360.2412911756</v>
      </c>
      <c r="L20" s="13">
        <v>0</v>
      </c>
      <c r="M20" s="8">
        <v>0</v>
      </c>
    </row>
    <row r="21" spans="1:13" ht="12.75">
      <c r="A21" s="11">
        <v>44925</v>
      </c>
      <c r="B21" s="12">
        <v>0.72299998998641968</v>
      </c>
      <c r="C21" s="12">
        <v>22.739999771118164</v>
      </c>
      <c r="D21" s="13">
        <v>31.2721039929989</v>
      </c>
      <c r="E21" s="13">
        <v>287547.36968948861</v>
      </c>
      <c r="F21" s="14">
        <v>397714.20978151012</v>
      </c>
      <c r="G21" s="14">
        <v>5171082.3478035508</v>
      </c>
      <c r="H21" s="14">
        <v>3738692.4856809187</v>
      </c>
      <c r="I21" s="14">
        <v>3978732.8069236916</v>
      </c>
      <c r="J21" s="14">
        <v>3738692.4856809187</v>
      </c>
      <c r="K21" s="14">
        <v>-240040.32124277297</v>
      </c>
      <c r="L21" s="13">
        <v>0</v>
      </c>
      <c r="M21" s="8">
        <v>0</v>
      </c>
    </row>
    <row r="22" spans="1:13" ht="12.75">
      <c r="A22" s="11">
        <v>44957</v>
      </c>
      <c r="B22" s="12">
        <v>0.78899997472763062</v>
      </c>
      <c r="C22" s="12">
        <v>24.899999618530273</v>
      </c>
      <c r="D22" s="13">
        <v>31.009964169913562</v>
      </c>
      <c r="E22" s="13">
        <v>147460.08393568356</v>
      </c>
      <c r="F22" s="14">
        <v>186894.91591756771</v>
      </c>
      <c r="G22" s="14">
        <v>5357977.2637211187</v>
      </c>
      <c r="H22" s="14">
        <v>4227443.9256671816</v>
      </c>
      <c r="I22" s="14">
        <v>4126192.8908593752</v>
      </c>
      <c r="J22" s="14">
        <v>4227443.9256671816</v>
      </c>
      <c r="K22" s="14">
        <v>101251.03480780637</v>
      </c>
      <c r="L22" s="13">
        <v>0</v>
      </c>
      <c r="M22" s="8">
        <v>0</v>
      </c>
    </row>
    <row r="23" spans="1:13" ht="12.75">
      <c r="A23" s="11">
        <v>44985</v>
      </c>
      <c r="B23" s="12">
        <v>0.7630000114440918</v>
      </c>
      <c r="C23" s="12">
        <v>23.979999542236328</v>
      </c>
      <c r="D23" s="13">
        <v>30.72842559388133</v>
      </c>
      <c r="E23" s="13">
        <v>179887.95398935772</v>
      </c>
      <c r="F23" s="14">
        <v>235764.02528342407</v>
      </c>
      <c r="G23" s="14">
        <v>5593741.2890045429</v>
      </c>
      <c r="H23" s="14">
        <v>4268024.6675257552</v>
      </c>
      <c r="I23" s="14">
        <v>4306080.8448487334</v>
      </c>
      <c r="J23" s="14">
        <v>4268024.6675257552</v>
      </c>
      <c r="K23" s="14">
        <v>-38056.177322978154</v>
      </c>
      <c r="L23" s="13">
        <v>0</v>
      </c>
      <c r="M23" s="8">
        <v>0</v>
      </c>
    </row>
    <row r="24" spans="1:13" ht="12.75">
      <c r="A24" s="11">
        <v>45016</v>
      </c>
      <c r="B24" s="12">
        <v>0.77100002765655518</v>
      </c>
      <c r="C24" s="12">
        <v>24.159999849999998</v>
      </c>
      <c r="D24" s="13">
        <v>30.393087189130767</v>
      </c>
      <c r="E24" s="13">
        <v>153462.94222006755</v>
      </c>
      <c r="F24" s="14">
        <v>199044.01649182325</v>
      </c>
      <c r="G24" s="14">
        <v>5792785.3054963658</v>
      </c>
      <c r="H24" s="14">
        <v>4466237.6307461848</v>
      </c>
      <c r="I24" s="14">
        <v>4459543.787068801</v>
      </c>
      <c r="J24" s="14">
        <v>4466237.6307461848</v>
      </c>
      <c r="K24" s="14">
        <v>6693.8436773838475</v>
      </c>
      <c r="L24" s="13">
        <v>0</v>
      </c>
      <c r="M24" s="8">
        <v>0</v>
      </c>
    </row>
    <row r="25" spans="1:13" ht="12.75">
      <c r="A25" s="11">
        <v>45044</v>
      </c>
      <c r="B25" s="12">
        <v>0.75099998712539673</v>
      </c>
      <c r="C25" s="12">
        <v>23.579999919999999</v>
      </c>
      <c r="D25" s="13">
        <v>30.154382105644711</v>
      </c>
      <c r="E25" s="13">
        <v>170728.87943554402</v>
      </c>
      <c r="F25" s="14">
        <v>227335.39595525572</v>
      </c>
      <c r="G25" s="14">
        <v>6020120.7014516219</v>
      </c>
      <c r="H25" s="14">
        <v>4521110.5692835022</v>
      </c>
      <c r="I25" s="14">
        <v>4630272.6665043449</v>
      </c>
      <c r="J25" s="14">
        <v>4521110.5692835022</v>
      </c>
      <c r="K25" s="14">
        <v>-109162.09722084273</v>
      </c>
      <c r="L25" s="13">
        <v>0</v>
      </c>
      <c r="M25" s="8">
        <v>0</v>
      </c>
    </row>
    <row r="26" spans="1:13" ht="12.75">
      <c r="A26" s="11">
        <v>45077</v>
      </c>
      <c r="B26" s="12">
        <v>0.72000002861022949</v>
      </c>
      <c r="C26" s="12">
        <v>21.329999919999999</v>
      </c>
      <c r="D26" s="13">
        <v>29.834329254262499</v>
      </c>
      <c r="E26" s="13">
        <v>285678.28883111075</v>
      </c>
      <c r="F26" s="14">
        <v>396775.38538788323</v>
      </c>
      <c r="G26" s="14">
        <v>6416896.0868395055</v>
      </c>
      <c r="H26" s="14">
        <v>4620165.3661133135</v>
      </c>
      <c r="I26" s="14">
        <v>4915950.9553354559</v>
      </c>
      <c r="J26" s="14">
        <v>4620165.3661133135</v>
      </c>
      <c r="K26" s="14">
        <v>-295785.58922214247</v>
      </c>
      <c r="L26" s="13">
        <v>0</v>
      </c>
      <c r="M26" s="8">
        <v>0</v>
      </c>
    </row>
    <row r="27" spans="1:13" ht="12.75">
      <c r="A27" s="11">
        <v>45107</v>
      </c>
      <c r="B27" s="12">
        <v>0.75499999523162842</v>
      </c>
      <c r="C27" s="12">
        <v>22.200000760000002</v>
      </c>
      <c r="D27" s="13">
        <v>29.540486551066831</v>
      </c>
      <c r="E27" s="13">
        <v>212836.79001297336</v>
      </c>
      <c r="F27" s="14">
        <v>281903.03491018777</v>
      </c>
      <c r="G27" s="14">
        <v>6698799.1217496935</v>
      </c>
      <c r="H27" s="14">
        <v>5057593.3049786557</v>
      </c>
      <c r="I27" s="14">
        <v>5128787.7453484293</v>
      </c>
      <c r="J27" s="14">
        <v>5057593.3049786557</v>
      </c>
      <c r="K27" s="14">
        <v>-71194.440369773656</v>
      </c>
      <c r="L27" s="13">
        <v>0</v>
      </c>
      <c r="M27" s="8">
        <v>0</v>
      </c>
    </row>
    <row r="28" spans="1:13" ht="12.75">
      <c r="A28" s="11">
        <v>45138</v>
      </c>
      <c r="B28" s="12">
        <v>0.76099997758865356</v>
      </c>
      <c r="C28" s="12">
        <v>22.409999849999998</v>
      </c>
      <c r="D28" s="13">
        <v>29.263021627356892</v>
      </c>
      <c r="E28" s="13">
        <v>185507.43454966496</v>
      </c>
      <c r="F28" s="14">
        <v>243767.98950438085</v>
      </c>
      <c r="G28" s="14">
        <v>6942567.1112540746</v>
      </c>
      <c r="H28" s="14">
        <v>5283293.4160720743</v>
      </c>
      <c r="I28" s="14">
        <v>5314295.1798980944</v>
      </c>
      <c r="J28" s="14">
        <v>5283293.4160720743</v>
      </c>
      <c r="K28" s="14">
        <v>-31001.763826020062</v>
      </c>
      <c r="L28" s="13">
        <v>0</v>
      </c>
      <c r="M28" s="8">
        <v>0</v>
      </c>
    </row>
    <row r="29" spans="1:13" ht="12.75">
      <c r="A29" s="11">
        <v>45169</v>
      </c>
      <c r="B29" s="12">
        <v>0.71399998664855957</v>
      </c>
      <c r="C29" s="12">
        <v>20.899999619999999</v>
      </c>
      <c r="D29" s="13">
        <v>28.951898116012401</v>
      </c>
      <c r="E29" s="13">
        <v>256090.62409084282</v>
      </c>
      <c r="F29" s="14">
        <v>358670.34857088042</v>
      </c>
      <c r="G29" s="14">
        <v>7301237.4598249551</v>
      </c>
      <c r="H29" s="14">
        <v>5213083.4488329813</v>
      </c>
      <c r="I29" s="14">
        <v>5570385.8039889373</v>
      </c>
      <c r="J29" s="14">
        <v>5213083.4488329813</v>
      </c>
      <c r="K29" s="14">
        <v>-357302.355155956</v>
      </c>
      <c r="L29" s="13">
        <v>0</v>
      </c>
      <c r="M29" s="8">
        <v>0</v>
      </c>
    </row>
    <row r="30" spans="1:13" ht="12.75">
      <c r="A30" s="11">
        <v>45197</v>
      </c>
      <c r="B30" s="12">
        <v>0.68500000238418579</v>
      </c>
      <c r="C30" s="12">
        <v>19.25</v>
      </c>
      <c r="D30" s="13">
        <v>28.642033273096018</v>
      </c>
      <c r="E30" s="13">
        <v>348430.64156162366</v>
      </c>
      <c r="F30" s="14">
        <v>508657.86912246537</v>
      </c>
      <c r="G30" s="14">
        <v>7809895.3289474202</v>
      </c>
      <c r="H30" s="14">
        <v>5349778.3189492244</v>
      </c>
      <c r="I30" s="14">
        <v>5918816.445550561</v>
      </c>
      <c r="J30" s="14">
        <v>5349778.3189492244</v>
      </c>
      <c r="K30" s="14">
        <v>-569038.12660133652</v>
      </c>
      <c r="L30" s="13">
        <v>0</v>
      </c>
      <c r="M30" s="8">
        <v>0</v>
      </c>
    </row>
    <row r="31" spans="1:13" ht="12.75">
      <c r="A31" s="11">
        <v>45230</v>
      </c>
      <c r="B31" s="12">
        <v>0.66299998760223389</v>
      </c>
      <c r="C31" s="12">
        <v>18.770000459999999</v>
      </c>
      <c r="D31" s="13">
        <v>28.372122112915513</v>
      </c>
      <c r="E31" s="13">
        <v>364192.92393768637</v>
      </c>
      <c r="F31" s="14">
        <v>549310.60444632091</v>
      </c>
      <c r="G31" s="14">
        <v>8359205.933393741</v>
      </c>
      <c r="H31" s="14">
        <v>5542153.4302045703</v>
      </c>
      <c r="I31" s="14">
        <v>6283009.3694882477</v>
      </c>
      <c r="J31" s="14">
        <v>5542153.4302045703</v>
      </c>
      <c r="K31" s="14">
        <v>-740855.93928367738</v>
      </c>
      <c r="L31" s="13">
        <v>0</v>
      </c>
      <c r="M31" s="8">
        <v>0</v>
      </c>
    </row>
    <row r="32" spans="1:13" ht="12.75">
      <c r="A32" s="11">
        <v>45260</v>
      </c>
      <c r="B32" s="12">
        <v>0.65100002288818359</v>
      </c>
      <c r="C32" s="12">
        <v>17.93000031</v>
      </c>
      <c r="D32" s="13">
        <v>28.031817642289916</v>
      </c>
      <c r="E32" s="13">
        <v>403084.5179890641</v>
      </c>
      <c r="F32" s="14">
        <v>619177.42521846003</v>
      </c>
      <c r="G32" s="14">
        <v>8978383.3586122002</v>
      </c>
      <c r="H32" s="14">
        <v>5844927.7719554286</v>
      </c>
      <c r="I32" s="14">
        <v>6686093.8874773122</v>
      </c>
      <c r="J32" s="14">
        <v>5844927.7719554286</v>
      </c>
      <c r="K32" s="14">
        <v>-841166.11552188359</v>
      </c>
      <c r="L32" s="13">
        <v>0</v>
      </c>
      <c r="M32" s="8">
        <v>0</v>
      </c>
    </row>
    <row r="33" spans="1:13" ht="12.75">
      <c r="A33" s="11">
        <v>45289</v>
      </c>
      <c r="B33" s="12">
        <v>0.64499998092651367</v>
      </c>
      <c r="C33" s="12">
        <v>17.709999079999999</v>
      </c>
      <c r="D33" s="13">
        <v>27.695688452952449</v>
      </c>
      <c r="E33" s="13">
        <v>393870.26939972723</v>
      </c>
      <c r="F33" s="14">
        <v>610651.59852245299</v>
      </c>
      <c r="G33" s="14">
        <v>9589034.9571346529</v>
      </c>
      <c r="H33" s="14">
        <v>6184927.3644555239</v>
      </c>
      <c r="I33" s="14">
        <v>7079964.156877039</v>
      </c>
      <c r="J33" s="14">
        <v>6184927.3644555239</v>
      </c>
      <c r="K33" s="14">
        <v>-895036.7924215151</v>
      </c>
      <c r="L33" s="13">
        <v>0</v>
      </c>
      <c r="M33" s="8">
        <v>0</v>
      </c>
    </row>
    <row r="34" spans="1:13" ht="12.75">
      <c r="A34" s="11">
        <v>45322</v>
      </c>
      <c r="B34" s="12">
        <v>0.56099998950958252</v>
      </c>
      <c r="C34" s="12">
        <v>15.380000109999999</v>
      </c>
      <c r="D34" s="13">
        <v>27.336624376181831</v>
      </c>
      <c r="E34" s="13">
        <v>564695.41217846051</v>
      </c>
      <c r="F34" s="14">
        <v>1006587.2063065607</v>
      </c>
      <c r="G34" s="14">
        <v>10595622.163441213</v>
      </c>
      <c r="H34" s="14">
        <v>5944143.9225380206</v>
      </c>
      <c r="I34" s="14">
        <v>7644659.5690554995</v>
      </c>
      <c r="J34" s="14">
        <v>5944143.9225380206</v>
      </c>
      <c r="K34" s="14">
        <v>-1700515.6465174789</v>
      </c>
      <c r="L34" s="13">
        <v>0</v>
      </c>
      <c r="M34" s="8">
        <v>0</v>
      </c>
    </row>
    <row r="35" spans="1:13" ht="12.75">
      <c r="A35" s="11">
        <v>45351</v>
      </c>
      <c r="B35" s="12">
        <v>0.6380000114440918</v>
      </c>
      <c r="C35" s="12">
        <v>17.479999540000001</v>
      </c>
      <c r="D35" s="13">
        <v>27.106454818663767</v>
      </c>
      <c r="E35" s="13">
        <v>366041.13286684826</v>
      </c>
      <c r="F35" s="14">
        <v>573732.17288558721</v>
      </c>
      <c r="G35" s="14">
        <v>11169354.3363268</v>
      </c>
      <c r="H35" s="14">
        <v>7126048.1943996148</v>
      </c>
      <c r="I35" s="14">
        <v>8010700.7019223478</v>
      </c>
      <c r="J35" s="14">
        <v>7126048.1943996148</v>
      </c>
      <c r="K35" s="14">
        <v>-884652.50752273295</v>
      </c>
      <c r="L35" s="13">
        <v>0</v>
      </c>
      <c r="M35" s="8">
        <v>0</v>
      </c>
    </row>
    <row r="36" spans="1:13" ht="12.75">
      <c r="A36" s="11">
        <v>45380</v>
      </c>
      <c r="B36" s="12">
        <v>0.64600002765655518</v>
      </c>
      <c r="C36" s="12">
        <v>17.700000760000002</v>
      </c>
      <c r="D36" s="13">
        <v>26.839674750233506</v>
      </c>
      <c r="E36" s="13">
        <v>329957.88055861578</v>
      </c>
      <c r="F36" s="14">
        <v>510770.69107191637</v>
      </c>
      <c r="G36" s="14">
        <v>11680125.027398717</v>
      </c>
      <c r="H36" s="14">
        <v>7545361.0907315928</v>
      </c>
      <c r="I36" s="14">
        <v>8340658.5824809633</v>
      </c>
      <c r="J36" s="14">
        <v>7545361.0907315928</v>
      </c>
      <c r="K36" s="14">
        <v>-795297.49174937047</v>
      </c>
      <c r="L36" s="13">
        <v>0</v>
      </c>
      <c r="M36" s="8">
        <v>0</v>
      </c>
    </row>
    <row r="37" spans="1:13" ht="12.75">
      <c r="A37" s="11">
        <v>45412</v>
      </c>
      <c r="B37" s="12">
        <v>0.66399997472763062</v>
      </c>
      <c r="C37" s="12">
        <v>18.11000061</v>
      </c>
      <c r="D37" s="13">
        <v>26.594314356804418</v>
      </c>
      <c r="E37" s="13">
        <v>568670.28005829395</v>
      </c>
      <c r="F37" s="14">
        <v>856431.17726255872</v>
      </c>
      <c r="G37" s="14">
        <v>12536556.204661276</v>
      </c>
      <c r="H37" s="14">
        <v>8324273.0030666078</v>
      </c>
      <c r="I37" s="14">
        <v>8909328.8625392579</v>
      </c>
      <c r="J37" s="14">
        <v>8324273.0030666078</v>
      </c>
      <c r="K37" s="14">
        <v>-585055.8594726501</v>
      </c>
      <c r="L37" s="13">
        <v>0</v>
      </c>
      <c r="M37" s="8">
        <v>1</v>
      </c>
    </row>
    <row r="38" spans="1:13" ht="12.75">
      <c r="A38" s="11">
        <v>45443</v>
      </c>
      <c r="B38" s="12">
        <v>0.64999997615814209</v>
      </c>
      <c r="C38" s="12">
        <v>18.329999919999999</v>
      </c>
      <c r="D38" s="13">
        <v>26.389717901760058</v>
      </c>
      <c r="E38" s="13">
        <v>513176.5261695009</v>
      </c>
      <c r="F38" s="14">
        <v>789502.37691185286</v>
      </c>
      <c r="G38" s="14">
        <v>13326058.581573129</v>
      </c>
      <c r="H38" s="14">
        <v>8661937.7603045385</v>
      </c>
      <c r="I38" s="14">
        <v>9422505.3887087591</v>
      </c>
      <c r="J38" s="14">
        <v>8661937.7603045385</v>
      </c>
      <c r="K38" s="14">
        <v>-760567.62840422057</v>
      </c>
      <c r="L38" s="13">
        <v>0</v>
      </c>
      <c r="M38" s="8">
        <v>1</v>
      </c>
    </row>
    <row r="39" spans="1:13" ht="12.75">
      <c r="A39" s="11">
        <v>45471</v>
      </c>
      <c r="B39" s="12">
        <v>0.63599997758865356</v>
      </c>
      <c r="C39" s="12">
        <v>17.86000061</v>
      </c>
      <c r="D39" s="13">
        <v>26.193870144829649</v>
      </c>
      <c r="E39" s="13">
        <v>548681.71324613784</v>
      </c>
      <c r="F39" s="14">
        <v>862707.12669900339</v>
      </c>
      <c r="G39" s="14">
        <v>14188765.708272133</v>
      </c>
      <c r="H39" s="14">
        <v>9024054.6724717319</v>
      </c>
      <c r="I39" s="14">
        <v>9971187.101954896</v>
      </c>
      <c r="J39" s="14">
        <v>9024054.6724717319</v>
      </c>
      <c r="K39" s="14">
        <v>-947132.4294831641</v>
      </c>
      <c r="L39" s="13">
        <v>0</v>
      </c>
      <c r="M39" s="8">
        <v>1</v>
      </c>
    </row>
    <row r="40" spans="1:13" ht="12.75">
      <c r="A40" s="11">
        <v>45504</v>
      </c>
      <c r="B40" s="12">
        <v>0.63300001621246338</v>
      </c>
      <c r="C40" s="12">
        <v>17.709999079999999</v>
      </c>
      <c r="D40" s="13">
        <v>25.951256745485065</v>
      </c>
      <c r="E40" s="13">
        <v>268277.3952402196</v>
      </c>
      <c r="F40" s="14">
        <v>423818.93897167547</v>
      </c>
      <c r="G40" s="14">
        <v>14612584.647243809</v>
      </c>
      <c r="H40" s="14">
        <v>9249766.3186113238</v>
      </c>
      <c r="I40" s="14">
        <v>10239464.497195115</v>
      </c>
      <c r="J40" s="14">
        <v>9249766.3186113238</v>
      </c>
      <c r="K40" s="14">
        <v>-989698.17858379148</v>
      </c>
      <c r="L40" s="13">
        <v>0</v>
      </c>
      <c r="M40" s="8">
        <v>0</v>
      </c>
    </row>
    <row r="41" spans="1:13" ht="12.75">
      <c r="A41" s="11">
        <v>45534</v>
      </c>
      <c r="B41" s="12">
        <v>0.61000001430511475</v>
      </c>
      <c r="C41" s="12">
        <v>20.56999969</v>
      </c>
      <c r="D41" s="13">
        <v>25.729715551720684</v>
      </c>
      <c r="E41" s="13">
        <v>105159.5377060835</v>
      </c>
      <c r="F41" s="14">
        <v>172392.68072128922</v>
      </c>
      <c r="G41" s="14">
        <v>14784977.327965098</v>
      </c>
      <c r="H41" s="14">
        <v>9018836.3815595061</v>
      </c>
      <c r="I41" s="14">
        <v>10344624.034901198</v>
      </c>
      <c r="J41" s="14">
        <v>9018836.3815595061</v>
      </c>
      <c r="K41" s="14">
        <v>-1325787.6533416919</v>
      </c>
      <c r="L41" s="13">
        <v>0</v>
      </c>
      <c r="M41" s="8">
        <v>0</v>
      </c>
    </row>
    <row r="42" spans="1:13" ht="12.75">
      <c r="A42" s="11">
        <v>45565</v>
      </c>
      <c r="B42" s="12">
        <v>0.76700001955032349</v>
      </c>
      <c r="C42" s="12">
        <v>25.239999770000001</v>
      </c>
      <c r="D42" s="13">
        <v>25.607882301446285</v>
      </c>
      <c r="E42" s="13">
        <v>1069.1666998522771</v>
      </c>
      <c r="F42" s="14">
        <v>1393.9591559321052</v>
      </c>
      <c r="G42" s="14">
        <v>14786371.28712103</v>
      </c>
      <c r="H42" s="14">
        <v>11341147.066300172</v>
      </c>
      <c r="I42" s="14">
        <v>10345693.201601051</v>
      </c>
      <c r="J42" s="14">
        <v>11341147.066300172</v>
      </c>
      <c r="K42" s="14">
        <v>995453.86469912156</v>
      </c>
      <c r="L42" s="13">
        <v>0</v>
      </c>
      <c r="M42" s="8">
        <v>1</v>
      </c>
    </row>
    <row r="43" spans="1:13" ht="12.75">
      <c r="A43" s="11">
        <v>45596</v>
      </c>
      <c r="B43" s="12">
        <v>0.77700001001358032</v>
      </c>
      <c r="C43" s="12">
        <v>24.940000529999999</v>
      </c>
      <c r="D43" s="13">
        <v>25.600824703771881</v>
      </c>
      <c r="E43" s="13">
        <v>3449.8398502661958</v>
      </c>
      <c r="F43" s="14">
        <v>4439.9482700211292</v>
      </c>
      <c r="G43" s="14">
        <v>14790811.235391051</v>
      </c>
      <c r="H43" s="14">
        <v>11492460.478007823</v>
      </c>
      <c r="I43" s="14">
        <v>10349143.041451316</v>
      </c>
      <c r="J43" s="14">
        <v>11492460.478007823</v>
      </c>
      <c r="K43" s="14">
        <v>1143317.4365565069</v>
      </c>
      <c r="L43" s="13">
        <v>0</v>
      </c>
      <c r="M43" s="8">
        <v>1</v>
      </c>
    </row>
    <row r="44" spans="1:13" ht="12.75">
      <c r="A44" s="11">
        <v>45625</v>
      </c>
      <c r="B44" s="12">
        <v>0.78100001811981201</v>
      </c>
      <c r="C44" s="12">
        <v>24.719999309999999</v>
      </c>
      <c r="D44" s="13">
        <v>25.593319274370291</v>
      </c>
      <c r="E44" s="13">
        <v>6025.2333053250577</v>
      </c>
      <c r="F44" s="14">
        <v>7714.7671773814682</v>
      </c>
      <c r="G44" s="14">
        <v>14798526.002568431</v>
      </c>
      <c r="H44" s="14">
        <v>11557649.076152453</v>
      </c>
      <c r="I44" s="14">
        <v>10355168.274756642</v>
      </c>
      <c r="J44" s="14">
        <v>11557649.076152453</v>
      </c>
      <c r="K44" s="14">
        <v>1202480.8013958111</v>
      </c>
      <c r="L44" s="13">
        <v>0</v>
      </c>
      <c r="M44" s="8">
        <v>1</v>
      </c>
    </row>
    <row r="45" spans="1:13" ht="12.75">
      <c r="A45" s="11">
        <v>45657</v>
      </c>
      <c r="B45" s="12">
        <v>0.78899997472763062</v>
      </c>
      <c r="C45" s="12">
        <v>24.799999239999998</v>
      </c>
      <c r="D45" s="13">
        <v>25.579355550139105</v>
      </c>
      <c r="E45" s="13">
        <v>4798.4304394137898</v>
      </c>
      <c r="F45" s="14">
        <v>6081.6610812570025</v>
      </c>
      <c r="G45" s="14">
        <v>14804607.663649688</v>
      </c>
      <c r="H45" s="14">
        <v>11680835.07247209</v>
      </c>
      <c r="I45" s="14">
        <v>10359966.705196057</v>
      </c>
      <c r="J45" s="14">
        <v>11680835.07247209</v>
      </c>
      <c r="K45" s="14">
        <v>1320868.3672760334</v>
      </c>
      <c r="L45" s="13">
        <v>0</v>
      </c>
      <c r="M45" s="8">
        <v>1</v>
      </c>
    </row>
    <row r="46" spans="1:13" ht="12.75">
      <c r="A46" s="11">
        <v>45684</v>
      </c>
      <c r="B46" s="12">
        <v>0.78100001811981201</v>
      </c>
      <c r="C46" s="12">
        <v>24.409999849999998</v>
      </c>
      <c r="D46" s="13">
        <v>25.550295783221614</v>
      </c>
      <c r="E46" s="13">
        <v>10272.171041041865</v>
      </c>
      <c r="F46" s="14">
        <v>13152.58745546665</v>
      </c>
      <c r="G46" s="14">
        <v>14817760.251105154</v>
      </c>
      <c r="H46" s="14">
        <v>11572671.024608156</v>
      </c>
      <c r="I46" s="14">
        <v>10370238.876237098</v>
      </c>
      <c r="J46" s="14">
        <v>11572671.024608156</v>
      </c>
      <c r="K46" s="14">
        <v>1202432.1483710576</v>
      </c>
      <c r="L46" s="13">
        <v>0</v>
      </c>
      <c r="M46" s="8">
        <v>1</v>
      </c>
    </row>
    <row r="47" spans="1:13" ht="12.75">
      <c r="A47" s="11">
        <v>45716</v>
      </c>
      <c r="B47" s="12">
        <v>0.82700002193450928</v>
      </c>
      <c r="C47" s="12">
        <v>26.079999923706055</v>
      </c>
      <c r="D47" s="13">
        <v>25.563306017026612</v>
      </c>
      <c r="E47" s="13">
        <v>-2109.0834862773509</v>
      </c>
      <c r="F47" s="14">
        <v>-2550.2822615939067</v>
      </c>
      <c r="G47" s="14">
        <v>14815209.968843561</v>
      </c>
      <c r="H47" s="14">
        <v>12252178.969197985</v>
      </c>
      <c r="I47" s="14">
        <v>10370238.876237098</v>
      </c>
      <c r="J47" s="14">
        <v>12254288.052684262</v>
      </c>
      <c r="K47" s="14">
        <v>1884049.1764471643</v>
      </c>
      <c r="L47" s="13">
        <v>2109.0834862773509</v>
      </c>
      <c r="M47" s="8">
        <v>1</v>
      </c>
    </row>
    <row r="48" spans="1:13" ht="12.75">
      <c r="A48" s="11">
        <v>45747</v>
      </c>
      <c r="B48" s="12">
        <v>0.81400001049041748</v>
      </c>
      <c r="C48" s="12">
        <v>25.629999160000001</v>
      </c>
      <c r="D48" s="13">
        <v>25.577105780548813</v>
      </c>
      <c r="E48" s="13">
        <v>-22.101905759162022</v>
      </c>
      <c r="F48" s="14">
        <v>-27.152218027424961</v>
      </c>
      <c r="G48" s="14">
        <v>14815182.816625534</v>
      </c>
      <c r="H48" s="14">
        <v>12059558.968150638</v>
      </c>
      <c r="I48" s="14">
        <v>10370238.876237098</v>
      </c>
      <c r="J48" s="14">
        <v>12061690.153542675</v>
      </c>
      <c r="K48" s="14">
        <v>1691451.277305577</v>
      </c>
      <c r="L48" s="13">
        <v>2131.1853920365129</v>
      </c>
      <c r="M48" s="8">
        <v>1</v>
      </c>
    </row>
    <row r="49" spans="1:13" ht="12.75">
      <c r="A49" s="11">
        <v>45777</v>
      </c>
      <c r="B49" s="12">
        <v>0.76899999380111694</v>
      </c>
      <c r="C49" s="12">
        <v>24.010000229999999</v>
      </c>
      <c r="D49" s="13">
        <v>25.539386200172402</v>
      </c>
      <c r="E49" s="13">
        <v>18478.269421505425</v>
      </c>
      <c r="F49" s="14">
        <v>24028.959129334373</v>
      </c>
      <c r="G49" s="14">
        <v>14839211.775754867</v>
      </c>
      <c r="H49" s="14">
        <v>11411353.763568955</v>
      </c>
      <c r="I49" s="14">
        <v>10388717.145658603</v>
      </c>
      <c r="J49" s="14">
        <v>11413484.948960992</v>
      </c>
      <c r="K49" s="14">
        <v>1024767.8033023886</v>
      </c>
      <c r="L49" s="13">
        <v>2131.1853920365129</v>
      </c>
      <c r="M49" s="8">
        <v>1</v>
      </c>
    </row>
    <row r="50" spans="1:13" ht="12.75">
      <c r="A50" s="11">
        <v>45807</v>
      </c>
      <c r="B50" s="12">
        <v>0.78200000524520874</v>
      </c>
      <c r="C50" s="12">
        <v>23.299999239999998</v>
      </c>
      <c r="D50" s="13">
        <v>25.506266578519043</v>
      </c>
      <c r="E50" s="13">
        <v>38454.162995225663</v>
      </c>
      <c r="F50" s="14">
        <v>49174.121147438789</v>
      </c>
      <c r="G50" s="14">
        <v>14888385.896902306</v>
      </c>
      <c r="H50" s="14">
        <v>11642717.849470295</v>
      </c>
      <c r="I50" s="14">
        <v>10427171.308653828</v>
      </c>
      <c r="J50" s="14">
        <v>11644849.034862332</v>
      </c>
      <c r="K50" s="14">
        <v>1217677.7262085043</v>
      </c>
      <c r="L50" s="13">
        <v>2131.1853920365129</v>
      </c>
      <c r="M50" s="8">
        <v>1</v>
      </c>
    </row>
    <row r="51" spans="1:13" ht="12.75">
      <c r="A51" s="11">
        <v>45838</v>
      </c>
      <c r="B51" s="12">
        <v>0.81199997663497925</v>
      </c>
      <c r="C51" s="12">
        <v>24.299999239999998</v>
      </c>
      <c r="D51" s="13">
        <v>25.46955573186175</v>
      </c>
      <c r="E51" s="13">
        <v>10806.112862482138</v>
      </c>
      <c r="F51" s="14">
        <v>13308.02114953735</v>
      </c>
      <c r="G51" s="14">
        <v>14901693.918051843</v>
      </c>
      <c r="H51" s="14">
        <v>12100175.113279708</v>
      </c>
      <c r="I51" s="14">
        <v>10437977.42151631</v>
      </c>
      <c r="J51" s="14">
        <v>12102306.298671745</v>
      </c>
      <c r="K51" s="14">
        <v>1664328.8771554343</v>
      </c>
      <c r="L51" s="13">
        <v>2131.1853920365129</v>
      </c>
      <c r="M51" s="8">
        <v>1</v>
      </c>
    </row>
    <row r="52" spans="1:13" ht="12.75">
      <c r="A52" s="11">
        <v>45869</v>
      </c>
      <c r="B52" s="12">
        <v>0.84500002861022949</v>
      </c>
      <c r="C52" s="12">
        <v>25.25</v>
      </c>
      <c r="D52" s="13">
        <v>25.459508277435798</v>
      </c>
      <c r="E52" s="13">
        <v>346.76037468151208</v>
      </c>
      <c r="F52" s="14">
        <v>410.36729342107651</v>
      </c>
      <c r="G52" s="14">
        <v>14902104.285345264</v>
      </c>
      <c r="H52" s="14">
        <v>12592278.547469372</v>
      </c>
      <c r="I52" s="14">
        <v>10438324.181890992</v>
      </c>
      <c r="J52" s="14">
        <v>12594409.732861409</v>
      </c>
      <c r="K52" s="14">
        <v>2156085.5509704165</v>
      </c>
      <c r="L52" s="13">
        <v>2131.1853920365129</v>
      </c>
      <c r="M52" s="8">
        <v>1</v>
      </c>
    </row>
    <row r="53" spans="1:13" ht="12.75">
      <c r="A53" s="11">
        <v>45898</v>
      </c>
      <c r="B53" s="12">
        <v>1.0089999437332153</v>
      </c>
      <c r="C53" s="12">
        <v>30.020000459999999</v>
      </c>
      <c r="D53" s="13">
        <v>25.492415128467428</v>
      </c>
      <c r="E53" s="13">
        <v>-161942.32858104029</v>
      </c>
      <c r="F53" s="14">
        <v>-160497.85689964186</v>
      </c>
      <c r="G53" s="14">
        <v>14741606.428445622</v>
      </c>
      <c r="H53" s="14">
        <v>14874280.056838838</v>
      </c>
      <c r="I53" s="14">
        <v>10438324.181890992</v>
      </c>
      <c r="J53" s="14">
        <v>15038353.570811914</v>
      </c>
      <c r="K53" s="14">
        <v>4600029.3889209218</v>
      </c>
      <c r="L53" s="13">
        <v>164073.5139730768</v>
      </c>
      <c r="M53" s="8">
        <v>1</v>
      </c>
    </row>
    <row r="54" spans="1:13" ht="12.75">
      <c r="A54" s="11">
        <v>45930</v>
      </c>
      <c r="B54" s="12">
        <v>1.0880000591278076</v>
      </c>
      <c r="C54" s="12">
        <v>32.849998470000003</v>
      </c>
      <c r="D54" s="13">
        <v>25.595553284386586</v>
      </c>
      <c r="E54" s="13">
        <v>-415753.10211345047</v>
      </c>
      <c r="F54" s="14">
        <v>-382125.99220512714</v>
      </c>
      <c r="G54" s="14">
        <v>14359480.436240494</v>
      </c>
      <c r="H54" s="14">
        <v>15623115.563674254</v>
      </c>
      <c r="I54" s="14">
        <v>10438324.181890992</v>
      </c>
      <c r="J54" s="14">
        <v>16202942.179760782</v>
      </c>
      <c r="K54" s="14">
        <v>5764617.9978697896</v>
      </c>
      <c r="L54" s="13">
        <v>579826.61608652724</v>
      </c>
      <c r="M54" s="8">
        <v>1</v>
      </c>
    </row>
    <row r="55" spans="1:13" ht="12.75">
      <c r="A55" s="11">
        <v>45961</v>
      </c>
      <c r="B55" s="12">
        <v>1.0729999542236328</v>
      </c>
      <c r="C55" s="12">
        <v>32.159999849999998</v>
      </c>
      <c r="D55" s="13">
        <v>25.690355441740447</v>
      </c>
      <c r="E55" s="13">
        <v>-330664.76027766021</v>
      </c>
      <c r="F55" s="14">
        <v>-308168.47566122416</v>
      </c>
      <c r="G55" s="14">
        <v>14051311.96057927</v>
      </c>
      <c r="H55" s="14">
        <v>15077057.090483541</v>
      </c>
      <c r="I55" s="14">
        <v>10438324.181890992</v>
      </c>
      <c r="J55" s="14">
        <v>15987548.466847729</v>
      </c>
      <c r="K55" s="14">
        <v>5549224.2849567365</v>
      </c>
      <c r="L55" s="13">
        <v>910491.37636418745</v>
      </c>
      <c r="M55" s="8">
        <v>1</v>
      </c>
    </row>
    <row r="56" spans="1:13" ht="12.75">
      <c r="A56" s="11">
        <v>45989</v>
      </c>
      <c r="B56" s="12">
        <v>1.0399999618530273</v>
      </c>
      <c r="C56" s="12">
        <v>29.780000690000001</v>
      </c>
      <c r="D56" s="13">
        <v>25.767886790921306</v>
      </c>
      <c r="E56" s="13">
        <v>-127166.75771952557</v>
      </c>
      <c r="F56" s="14">
        <v>-122275.73306151405</v>
      </c>
      <c r="G56" s="14">
        <v>13929036.227517756</v>
      </c>
      <c r="H56" s="14">
        <v>14486197.145267902</v>
      </c>
      <c r="I56" s="14">
        <v>10438324.181890992</v>
      </c>
      <c r="J56" s="14">
        <v>15523855.279351614</v>
      </c>
      <c r="K56" s="14">
        <v>5085531.097460622</v>
      </c>
      <c r="L56" s="13">
        <v>1037658.1340837131</v>
      </c>
      <c r="M56" s="8">
        <v>1</v>
      </c>
    </row>
    <row r="57" spans="1:13" ht="12.75">
      <c r="A57" s="11">
        <v>46022</v>
      </c>
      <c r="B57" s="12">
        <v>1.0640000104904175</v>
      </c>
      <c r="C57" s="12">
        <v>31.129999160000001</v>
      </c>
      <c r="D57" s="13">
        <v>25.866548769817285</v>
      </c>
      <c r="E57" s="13">
        <v>-218860.88907832516</v>
      </c>
      <c r="F57" s="14">
        <v>-205696.32229368878</v>
      </c>
      <c r="G57" s="14">
        <v>13723339.905224066</v>
      </c>
      <c r="H57" s="14">
        <v>14601633.803121971</v>
      </c>
      <c r="I57" s="14">
        <v>10438324.181890992</v>
      </c>
      <c r="J57" s="14">
        <v>15858152.82628401</v>
      </c>
      <c r="K57" s="14">
        <v>5419828.6443930175</v>
      </c>
      <c r="L57" s="13">
        <v>1256519.0231620383</v>
      </c>
      <c r="M57" s="8">
        <v>1</v>
      </c>
    </row>
    <row r="58" spans="1:13" ht="12.75">
      <c r="A58" s="11">
        <v>46052</v>
      </c>
      <c r="B58" s="12">
        <v>1.0720000267028809</v>
      </c>
      <c r="C58" s="12">
        <v>31.709999079999999</v>
      </c>
      <c r="D58" s="13">
        <v>25.973356806597167</v>
      </c>
      <c r="E58" s="13">
        <v>-259981.61012664012</v>
      </c>
      <c r="F58" s="14">
        <v>-242520.15265919158</v>
      </c>
      <c r="G58" s="14">
        <v>13480819.752564875</v>
      </c>
      <c r="H58" s="14">
        <v>14451439.134726271</v>
      </c>
      <c r="I58" s="14">
        <v>10438324.181890992</v>
      </c>
      <c r="J58" s="14">
        <v>15967939.768014949</v>
      </c>
      <c r="K58" s="14">
        <v>5529615.5861239564</v>
      </c>
      <c r="L58" s="13">
        <v>1516500.6332886785</v>
      </c>
      <c r="M58" s="8">
        <v>1</v>
      </c>
    </row>
    <row r="59" spans="1:13" ht="12.75">
      <c r="A59" s="11">
        <v>46080</v>
      </c>
      <c r="B59" s="12">
        <v>1.0750000476837158</v>
      </c>
      <c r="C59" s="12">
        <v>31.549999239999998</v>
      </c>
      <c r="D59" s="13">
        <v>26.039818023753689</v>
      </c>
      <c r="E59" s="13">
        <v>-239860.56658340184</v>
      </c>
      <c r="F59" s="14">
        <v>-223126.09855248407</v>
      </c>
      <c r="G59" s="14">
        <v>13257693.654012391</v>
      </c>
      <c r="H59" s="14">
        <v>14252021.310239417</v>
      </c>
      <c r="I59" s="14">
        <v>10438324.181890992</v>
      </c>
      <c r="J59" s="14">
        <v>16008382.510111498</v>
      </c>
      <c r="K59" s="14">
        <v>5570058.3282205053</v>
      </c>
      <c r="L59" s="13">
        <v>1756361.1998720802</v>
      </c>
      <c r="M59" s="8">
        <v>1</v>
      </c>
    </row>
    <row r="60" spans="1:13" ht="12.75">
      <c r="A60" s="11">
        <v>46112</v>
      </c>
      <c r="B60" s="12">
        <v>1.0479999780654907</v>
      </c>
      <c r="C60" s="12">
        <v>30.549999239999998</v>
      </c>
      <c r="D60" s="13">
        <v>26.136981933917117</v>
      </c>
      <c r="E60" s="13">
        <v>-153850.30177591741</v>
      </c>
      <c r="F60" s="14">
        <v>-146803.72614120715</v>
      </c>
      <c r="G60" s="14">
        <v>13110889.927871184</v>
      </c>
      <c r="H60" s="14">
        <v>13740212.356828064</v>
      </c>
      <c r="I60" s="14">
        <v>10438324.181890992</v>
      </c>
      <c r="J60" s="14">
        <v>15650423.858476061</v>
      </c>
      <c r="K60" s="14">
        <v>5212099.6765850689</v>
      </c>
      <c r="L60" s="13">
        <v>1910211.5016479976</v>
      </c>
      <c r="M60" s="8">
        <v>1</v>
      </c>
    </row>
    <row r="61" spans="1:13" ht="12.75">
      <c r="A61" s="11">
        <v>46142</v>
      </c>
      <c r="B61" s="12">
        <v>1.1770000457763672</v>
      </c>
      <c r="C61" s="12">
        <v>34.549999239999998</v>
      </c>
      <c r="D61" s="13">
        <v>26.252550181051159</v>
      </c>
      <c r="E61" s="13">
        <v>-543896.52099822264</v>
      </c>
      <c r="F61" s="14">
        <v>-462104.07803294534</v>
      </c>
      <c r="G61" s="14">
        <v>12648785.849838238</v>
      </c>
      <c r="H61" s="14">
        <v>14887621.524275072</v>
      </c>
      <c r="I61" s="14">
        <v>10438324.181890992</v>
      </c>
      <c r="J61" s="14">
        <v>17341729.54692129</v>
      </c>
      <c r="K61" s="14">
        <v>6903405.365030298</v>
      </c>
      <c r="L61" s="13">
        <v>2454108.0226462204</v>
      </c>
      <c r="M61" s="8">
        <v>1</v>
      </c>
    </row>
    <row r="62" spans="1:13" ht="12.75">
      <c r="A62" s="11">
        <v>46171</v>
      </c>
      <c r="B62" s="12">
        <v>1.2450000047683716</v>
      </c>
      <c r="C62" s="12">
        <v>35.509998320000001</v>
      </c>
      <c r="D62" s="13">
        <v>26.381551060434539</v>
      </c>
      <c r="E62" s="13">
        <v>-658295.54002827872</v>
      </c>
      <c r="F62" s="14">
        <v>-528751.43574859062</v>
      </c>
      <c r="G62" s="14">
        <v>12120034.414089648</v>
      </c>
      <c r="H62" s="14">
        <v>15089442.903334439</v>
      </c>
      <c r="I62" s="14">
        <v>10438324.181890992</v>
      </c>
      <c r="J62" s="14">
        <v>18201846.466008939</v>
      </c>
      <c r="K62" s="14">
        <v>7763522.2841179464</v>
      </c>
      <c r="L62" s="13">
        <v>3112403.5626744991</v>
      </c>
      <c r="M62" s="8">
        <v>1</v>
      </c>
    </row>
    <row r="63" spans="1:13" ht="12.75">
      <c r="A63" s="11">
        <v>46203</v>
      </c>
      <c r="B63" s="12">
        <v>1.2760000228881836</v>
      </c>
      <c r="C63" s="12">
        <v>41.799999239999998</v>
      </c>
      <c r="D63" s="13">
        <v>26.574869220600849</v>
      </c>
      <c r="E63" s="13">
        <v>-1831256.2144501123</v>
      </c>
      <c r="F63" s="14">
        <v>-1435153.7473370298</v>
      </c>
      <c r="G63" s="14">
        <v>10684880.666752618</v>
      </c>
      <c r="H63" s="14">
        <v>13633907.975333851</v>
      </c>
      <c r="I63" s="14">
        <v>10438324.181890992</v>
      </c>
      <c r="J63" s="14">
        <v>18577567.752458461</v>
      </c>
      <c r="K63" s="14">
        <v>8139243.5705674682</v>
      </c>
      <c r="L63" s="13">
        <v>4943659.7771246117</v>
      </c>
      <c r="M63" s="8">
        <v>1</v>
      </c>
    </row>
    <row r="64" spans="1:13" ht="12.75">
      <c r="A64" s="11">
        <v>46234</v>
      </c>
      <c r="B64" s="12">
        <v>1.1069999933242798</v>
      </c>
      <c r="C64" s="12">
        <v>35.700000760000002</v>
      </c>
      <c r="D64" s="13">
        <v>26.77592732691858</v>
      </c>
      <c r="E64" s="13">
        <v>-629148.78444833402</v>
      </c>
      <c r="F64" s="14">
        <v>-568336.7554131808</v>
      </c>
      <c r="G64" s="14">
        <v>10116543.911339438</v>
      </c>
      <c r="H64" s="14">
        <v>11199014.042317541</v>
      </c>
      <c r="I64" s="14">
        <v>10438324.181890992</v>
      </c>
      <c r="J64" s="14">
        <v>16771822.603890486</v>
      </c>
      <c r="K64" s="14">
        <v>6333498.4219994936</v>
      </c>
      <c r="L64" s="13">
        <v>5572808.5615729457</v>
      </c>
      <c r="M64" s="8">
        <v>1</v>
      </c>
    </row>
  </sheetData>
  <phoneticPr fontId="1" type="noConversion"/>
  <conditionalFormatting sqref="H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模型四 (1)PE副本SAR值非智能计算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2019-11-28T13:26:28Z</dcterms:created>
  <dcterms:modified xsi:type="dcterms:W3CDTF">2026-08-25T03:48:19Z</dcterms:modified>
</cp:coreProperties>
</file>