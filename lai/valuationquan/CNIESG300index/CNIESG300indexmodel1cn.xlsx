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模型一!$L$1:$L$146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J189" i="5" l="1"/>
  <c r="D1207" i="6" l="1"/>
  <c r="A1207" i="6"/>
  <c r="D1206" i="6" l="1"/>
  <c r="A1206" i="6"/>
  <c r="D1205" i="6" l="1"/>
  <c r="A1205" i="6"/>
  <c r="D1204" i="6" l="1"/>
  <c r="A1204" i="6"/>
  <c r="D1203" i="6" l="1"/>
  <c r="A1203" i="6"/>
  <c r="D1202" i="6" l="1"/>
  <c r="A1202" i="6"/>
  <c r="D1201" i="6" l="1"/>
  <c r="A1201" i="6"/>
  <c r="D1200" i="6" l="1"/>
  <c r="A1200" i="6"/>
  <c r="D1199" i="6" l="1"/>
  <c r="A1199" i="6"/>
  <c r="D1198" i="6" l="1"/>
  <c r="A1198" i="6"/>
  <c r="D1197" i="6" l="1"/>
  <c r="A1197" i="6"/>
  <c r="D1196" i="6" l="1"/>
  <c r="A1196" i="6"/>
  <c r="D1195" i="6" l="1"/>
  <c r="A1195" i="6"/>
  <c r="D1194" i="6" l="1"/>
  <c r="A1194" i="6"/>
  <c r="D1193" i="6" l="1"/>
  <c r="A1193" i="6"/>
  <c r="D1192" i="6" l="1"/>
  <c r="A1192" i="6"/>
  <c r="D1191" i="6" l="1"/>
  <c r="A1191" i="6"/>
  <c r="D1190" i="6" l="1"/>
  <c r="A1190" i="6"/>
  <c r="D1189" i="6" l="1"/>
  <c r="A1189" i="6"/>
  <c r="D1188" i="6" l="1"/>
  <c r="A1188" i="6"/>
  <c r="D1187" i="6" l="1"/>
  <c r="A1187" i="6"/>
  <c r="D1186" i="6" l="1"/>
  <c r="A1186" i="6"/>
  <c r="J188" i="5" l="1"/>
  <c r="D1185" i="6" l="1"/>
  <c r="A1185" i="6"/>
  <c r="D1184" i="6" l="1"/>
  <c r="A1184" i="6"/>
  <c r="D1183" i="6" l="1"/>
  <c r="A1183" i="6"/>
  <c r="D1182" i="6" l="1"/>
  <c r="A1182" i="6"/>
  <c r="D1181" i="6" l="1"/>
  <c r="A1181" i="6"/>
  <c r="D1180" i="6" l="1"/>
  <c r="A1180" i="6"/>
  <c r="D1179" i="6" l="1"/>
  <c r="A1179" i="6"/>
  <c r="D1178" i="6" l="1"/>
  <c r="A1178" i="6"/>
  <c r="D1177" i="6" l="1"/>
  <c r="A1177" i="6"/>
  <c r="D1176" i="6" l="1"/>
  <c r="A1176" i="6"/>
  <c r="D1175" i="6" l="1"/>
  <c r="A1175" i="6"/>
  <c r="D1174" i="6" l="1"/>
  <c r="A1174" i="6"/>
  <c r="D1173" i="6" l="1"/>
  <c r="A1173" i="6"/>
  <c r="D1172" i="6" l="1"/>
  <c r="A1172" i="6"/>
  <c r="J187" i="5" l="1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53" i="6" l="1"/>
  <c r="A1153" i="6"/>
  <c r="D1152" i="6" l="1"/>
  <c r="A1152" i="6"/>
  <c r="J186" i="5" l="1"/>
  <c r="D1151" i="6" l="1"/>
  <c r="A1151" i="6"/>
  <c r="D1130" i="6" l="1"/>
  <c r="A1130" i="6"/>
  <c r="A1131" i="6" s="1"/>
  <c r="D1129" i="6"/>
  <c r="A1129" i="6"/>
  <c r="A1132" i="6" l="1"/>
  <c r="D1131" i="6"/>
  <c r="J185" i="5"/>
  <c r="A1133" i="6" l="1"/>
  <c r="D1132" i="6"/>
  <c r="D1128" i="6"/>
  <c r="A1128" i="6"/>
  <c r="A1134" i="6" l="1"/>
  <c r="D1133" i="6"/>
  <c r="D1127" i="6"/>
  <c r="A1127" i="6"/>
  <c r="A1135" i="6" l="1"/>
  <c r="D1134" i="6"/>
  <c r="D1126" i="6"/>
  <c r="A1126" i="6"/>
  <c r="A1136" i="6" l="1"/>
  <c r="D1135" i="6"/>
  <c r="D1125" i="6"/>
  <c r="A1125" i="6"/>
  <c r="A1137" i="6" l="1"/>
  <c r="D1136" i="6"/>
  <c r="D1124" i="6"/>
  <c r="A1124" i="6"/>
  <c r="A1138" i="6" l="1"/>
  <c r="D1137" i="6"/>
  <c r="D1123" i="6"/>
  <c r="A1123" i="6"/>
  <c r="A1139" i="6" l="1"/>
  <c r="D1138" i="6"/>
  <c r="D1122" i="6"/>
  <c r="A1122" i="6"/>
  <c r="A1140" i="6" l="1"/>
  <c r="D1139" i="6"/>
  <c r="D1121" i="6"/>
  <c r="A1121" i="6"/>
  <c r="A1141" i="6" l="1"/>
  <c r="D1140" i="6"/>
  <c r="D1120" i="6"/>
  <c r="A1120" i="6"/>
  <c r="A1142" i="6" l="1"/>
  <c r="D1141" i="6"/>
  <c r="D1119" i="6"/>
  <c r="A1119" i="6"/>
  <c r="A1143" i="6" l="1"/>
  <c r="D1142" i="6"/>
  <c r="D1118" i="6"/>
  <c r="A1118" i="6"/>
  <c r="A1144" i="6" l="1"/>
  <c r="D1143" i="6"/>
  <c r="D1117" i="6"/>
  <c r="A1117" i="6"/>
  <c r="A1145" i="6" l="1"/>
  <c r="D1144" i="6"/>
  <c r="D1116" i="6"/>
  <c r="A1116" i="6"/>
  <c r="A1146" i="6" l="1"/>
  <c r="D1145" i="6"/>
  <c r="D1115" i="6"/>
  <c r="A1115" i="6"/>
  <c r="A1147" i="6" l="1"/>
  <c r="D1146" i="6"/>
  <c r="D1114" i="6"/>
  <c r="A1114" i="6"/>
  <c r="A1148" i="6" l="1"/>
  <c r="D1147" i="6"/>
  <c r="D1113" i="6"/>
  <c r="A1113" i="6"/>
  <c r="A1149" i="6" l="1"/>
  <c r="D1148" i="6"/>
  <c r="D1112" i="6"/>
  <c r="A1112" i="6"/>
  <c r="A1150" i="6" l="1"/>
  <c r="D1150" i="6" s="1"/>
  <c r="D1149" i="6"/>
  <c r="D1111" i="6"/>
  <c r="A1111" i="6"/>
  <c r="D1110" i="6" l="1"/>
  <c r="A1110" i="6"/>
  <c r="D1109" i="6" l="1"/>
  <c r="A1109" i="6"/>
  <c r="J184" i="5" l="1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D1094" i="6" l="1"/>
  <c r="A1094" i="6"/>
  <c r="D1093" i="6" l="1"/>
  <c r="A1093" i="6"/>
  <c r="D1092" i="6" l="1"/>
  <c r="A1092" i="6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1" i="6" s="1"/>
  <c r="D1090" i="6"/>
</calcChain>
</file>

<file path=xl/sharedStrings.xml><?xml version="1.0" encoding="utf-8"?>
<sst xmlns="http://schemas.openxmlformats.org/spreadsheetml/2006/main" count="961" uniqueCount="958">
  <si>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</si>
  <si>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</si>
  <si>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</si>
  <si>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</si>
  <si>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</si>
  <si>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</si>
  <si>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</si>
  <si>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</si>
  <si>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</si>
  <si>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</si>
  <si>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</si>
  <si>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</si>
  <si>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</si>
  <si>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</si>
  <si>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</si>
  <si>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</si>
  <si>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</si>
  <si>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</si>
  <si>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</si>
  <si>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</si>
  <si>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</si>
  <si>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</si>
  <si>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</si>
  <si>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</si>
  <si>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</si>
  <si>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</si>
  <si>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</si>
  <si>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</si>
  <si>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</si>
  <si>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</si>
  <si>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</si>
  <si>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</si>
  <si>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</si>
  <si>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</si>
  <si>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</si>
  <si>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</si>
  <si>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</si>
  <si>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</si>
  <si>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</si>
  <si>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</si>
  <si>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</si>
  <si>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</si>
  <si>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</si>
  <si>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</si>
  <si>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</si>
  <si>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</si>
  <si>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</si>
  <si>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</si>
  <si>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</si>
  <si>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</si>
  <si>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</si>
  <si>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</si>
  <si>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</si>
  <si>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</si>
  <si>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</si>
  <si>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</si>
  <si>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</si>
  <si>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</si>
  <si>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</si>
  <si>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</si>
  <si>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</si>
  <si>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</si>
  <si>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</si>
  <si>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</si>
  <si>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</si>
  <si>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</si>
  <si>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</si>
  <si>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</si>
  <si>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</si>
  <si>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</si>
  <si>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</si>
  <si>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</si>
  <si>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</si>
  <si>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</si>
  <si>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</si>
  <si>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</si>
  <si>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</si>
  <si>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</si>
  <si>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</si>
  <si>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</si>
  <si>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</si>
  <si>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</si>
  <si>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</si>
  <si>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</si>
  <si>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</si>
  <si>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</si>
  <si>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</si>
  <si>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</si>
  <si>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</si>
  <si>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</si>
  <si>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</si>
  <si>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</si>
  <si>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</si>
  <si>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</si>
  <si>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</si>
  <si>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</si>
  <si>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</si>
  <si>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</si>
  <si>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</si>
  <si>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</si>
  <si>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</si>
  <si>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</si>
  <si>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</si>
  <si>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</si>
  <si>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</si>
  <si>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</si>
  <si>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</si>
  <si>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</si>
  <si>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</si>
  <si>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</si>
  <si>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</si>
  <si>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</si>
  <si>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</si>
  <si>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</si>
  <si>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</si>
  <si>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</si>
  <si>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</si>
  <si>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</si>
  <si>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</si>
  <si>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</si>
  <si>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</si>
  <si>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</si>
  <si>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</si>
  <si>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</si>
  <si>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</si>
  <si>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</si>
  <si>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</si>
  <si>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</si>
  <si>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</si>
  <si>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</si>
  <si>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</si>
  <si>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</si>
  <si>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</si>
  <si>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</si>
  <si>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</si>
  <si>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</si>
  <si>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</si>
  <si>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</si>
  <si>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</si>
  <si>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</si>
  <si>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</si>
  <si>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</si>
  <si>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</si>
  <si>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</si>
  <si>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</si>
  <si>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</si>
  <si>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</si>
  <si>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</si>
  <si>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</si>
  <si>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</si>
  <si>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</si>
  <si>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</si>
  <si>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</si>
  <si>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</si>
  <si>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</si>
  <si>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</si>
  <si>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</si>
  <si>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</si>
  <si>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</si>
  <si>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</si>
  <si>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</si>
  <si>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</si>
  <si>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</si>
  <si>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</si>
  <si>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</si>
  <si>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</si>
  <si>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</si>
  <si>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</si>
  <si>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</si>
  <si>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</si>
  <si>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</si>
  <si>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</si>
  <si>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</si>
  <si>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</si>
  <si>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</si>
  <si>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</si>
  <si>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</si>
  <si>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</si>
  <si>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</si>
  <si>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</si>
  <si>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</si>
  <si>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</si>
  <si>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</si>
  <si>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</si>
  <si>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</si>
  <si>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</si>
  <si>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</si>
  <si>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</si>
  <si>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</si>
  <si>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</si>
  <si>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</si>
  <si>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</si>
  <si>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</si>
  <si>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</si>
  <si>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</si>
  <si>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</si>
  <si>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</si>
  <si>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</si>
  <si>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</si>
  <si>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</si>
  <si>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</si>
  <si>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</si>
  <si>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</si>
  <si>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</si>
  <si>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</si>
  <si>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</si>
  <si>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</si>
  <si>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</si>
  <si>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</si>
  <si>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</si>
  <si>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</si>
  <si>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</si>
  <si>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</si>
  <si>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</si>
  <si>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</si>
  <si>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</si>
  <si>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</si>
  <si>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</si>
  <si>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</si>
  <si>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</si>
  <si>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</si>
  <si>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</si>
  <si>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</si>
  <si>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</si>
  <si>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</si>
  <si>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</si>
  <si>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</si>
  <si>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</si>
  <si>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</si>
  <si>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</si>
  <si>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</si>
  <si>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</si>
  <si>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</si>
  <si>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</si>
  <si>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</si>
  <si>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</si>
  <si>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</si>
  <si>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</si>
  <si>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</si>
  <si>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</si>
  <si>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</si>
  <si>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</si>
  <si>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</si>
  <si>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</si>
  <si>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</si>
  <si>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</si>
  <si>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</si>
  <si>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</si>
  <si>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</si>
  <si>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</si>
  <si>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</si>
  <si>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</si>
  <si>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</si>
  <si>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</si>
  <si>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</si>
  <si>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</si>
  <si>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</si>
  <si>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</si>
  <si>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</si>
  <si>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</si>
  <si>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</si>
  <si>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</si>
  <si>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</si>
  <si>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</si>
  <si>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</si>
  <si>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</si>
  <si>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</si>
  <si>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</si>
  <si>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</si>
  <si>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</si>
  <si>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</si>
  <si>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</si>
  <si>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</si>
  <si>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</si>
  <si>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</si>
  <si>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</si>
  <si>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</si>
  <si>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</si>
  <si>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</si>
  <si>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</si>
  <si>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</si>
  <si>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</si>
  <si>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</si>
  <si>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</si>
  <si>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</si>
  <si>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</si>
  <si>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</si>
  <si>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</si>
  <si>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</si>
  <si>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</si>
  <si>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</si>
  <si>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</si>
  <si>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</si>
  <si>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</si>
  <si>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</si>
  <si>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</si>
  <si>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</si>
  <si>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</si>
  <si>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</si>
  <si>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</si>
  <si>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</si>
  <si>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</si>
  <si>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</si>
  <si>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</si>
  <si>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</si>
  <si>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</si>
  <si>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</si>
  <si>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</si>
  <si>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</si>
  <si>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</si>
  <si>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</si>
  <si>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</si>
  <si>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</si>
  <si>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</si>
  <si>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</si>
  <si>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</si>
  <si>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</si>
  <si>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</si>
  <si>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</si>
  <si>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</si>
  <si>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</si>
  <si>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</si>
  <si>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</si>
  <si>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</si>
  <si>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</si>
  <si>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</si>
  <si>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</si>
  <si>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</si>
  <si>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</si>
  <si>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</si>
  <si>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</si>
  <si>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</si>
  <si>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</si>
  <si>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</si>
  <si>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</si>
  <si>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</si>
  <si>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</si>
  <si>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</si>
  <si>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</si>
  <si>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</si>
  <si>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</si>
  <si>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</si>
  <si>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</si>
  <si>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</si>
  <si>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</si>
  <si>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</si>
  <si>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</si>
  <si>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</si>
  <si>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</si>
  <si>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</si>
  <si>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</si>
  <si>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</si>
  <si>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</si>
  <si>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</si>
  <si>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</si>
  <si>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</si>
  <si>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</si>
  <si>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</si>
  <si>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</si>
  <si>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</si>
  <si>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</si>
  <si>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</si>
  <si>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</si>
  <si>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</si>
  <si>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</si>
  <si>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</si>
  <si>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</si>
  <si>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</si>
  <si>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</si>
  <si>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</si>
  <si>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</si>
  <si>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</si>
  <si>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</si>
  <si>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</si>
  <si>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</si>
  <si>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</si>
  <si>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</si>
  <si>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</si>
  <si>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</si>
  <si>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</si>
  <si>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</si>
  <si>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</si>
  <si>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</si>
  <si>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</si>
  <si>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</si>
  <si>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</si>
  <si>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</si>
  <si>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</si>
  <si>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</si>
  <si>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</si>
  <si>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</si>
  <si>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</si>
  <si>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</si>
  <si>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</si>
  <si>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</si>
  <si>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</si>
  <si>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</si>
  <si>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</si>
  <si>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</si>
  <si>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</si>
  <si>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</si>
  <si>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</si>
  <si>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</si>
  <si>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</si>
  <si>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</si>
  <si>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</si>
  <si>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</si>
  <si>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</si>
  <si>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</si>
  <si>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</si>
  <si>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</si>
  <si>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</si>
  <si>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</si>
  <si>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</si>
  <si>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</si>
  <si>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</si>
  <si>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</si>
  <si>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</si>
  <si>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</si>
  <si>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</si>
  <si>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</si>
  <si>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</si>
  <si>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</si>
  <si>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</si>
  <si>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</si>
  <si>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</si>
  <si>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</si>
  <si>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</si>
  <si>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</si>
  <si>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</si>
  <si>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</si>
  <si>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</si>
  <si>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</si>
  <si>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</si>
  <si>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</si>
  <si>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</si>
  <si>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</si>
  <si>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</si>
  <si>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</si>
  <si>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</si>
  <si>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</si>
  <si>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</si>
  <si>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</si>
  <si>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</si>
  <si>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</si>
  <si>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</si>
  <si>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</si>
  <si>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</si>
  <si>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</si>
  <si>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</si>
  <si>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</si>
  <si>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</si>
  <si>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</si>
  <si>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</si>
  <si>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</si>
  <si>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</si>
  <si>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</si>
  <si>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</si>
  <si>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</si>
  <si>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</si>
  <si>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</si>
  <si>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</si>
  <si>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</si>
  <si>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</si>
  <si>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</si>
  <si>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</si>
  <si>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</si>
  <si>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</si>
  <si>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</si>
  <si>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</si>
  <si>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</si>
  <si>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</si>
  <si>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</si>
  <si>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</si>
  <si>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</si>
  <si>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</si>
  <si>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</si>
  <si>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</si>
  <si>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</si>
  <si>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</si>
  <si>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</si>
  <si>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</si>
  <si>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</si>
  <si>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</si>
  <si>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</si>
  <si>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</si>
  <si>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</si>
  <si>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</si>
  <si>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</si>
  <si>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</si>
  <si>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</si>
  <si>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</si>
  <si>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</si>
  <si>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</si>
  <si>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</si>
  <si>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</si>
  <si>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</si>
  <si>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</si>
  <si>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</si>
  <si>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</si>
  <si>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</si>
  <si>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</si>
  <si>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</si>
  <si>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</si>
  <si>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</si>
  <si>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</si>
  <si>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</si>
  <si>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</si>
  <si>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</si>
  <si>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</si>
  <si>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</si>
  <si>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</si>
  <si>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</si>
  <si>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</si>
  <si>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</si>
  <si>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</si>
  <si>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</si>
  <si>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</si>
  <si>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</si>
  <si>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</si>
  <si>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</si>
  <si>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</si>
  <si>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</si>
  <si>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</si>
  <si>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</si>
  <si>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</si>
  <si>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</si>
  <si>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</si>
  <si>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</si>
  <si>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</si>
  <si>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</si>
  <si>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</si>
  <si>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</si>
  <si>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</si>
  <si>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</si>
  <si>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</si>
  <si>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</si>
  <si>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</si>
  <si>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</si>
  <si>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</si>
  <si>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</si>
  <si>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</si>
  <si>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</si>
  <si>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</si>
  <si>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</si>
  <si>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</si>
  <si>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</si>
  <si>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</si>
  <si>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</si>
  <si>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</si>
  <si>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</si>
  <si>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</si>
  <si>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</si>
  <si>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</si>
  <si>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</si>
  <si>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</si>
  <si>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</si>
  <si>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</si>
  <si>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</si>
  <si>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</si>
  <si>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</si>
  <si>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</si>
  <si>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</si>
  <si>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</si>
  <si>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</si>
  <si>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</si>
  <si>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</si>
  <si>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</si>
  <si>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</si>
  <si>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</si>
  <si>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</si>
  <si>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</si>
  <si>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</si>
  <si>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</si>
  <si>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</si>
  <si>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</si>
  <si>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</si>
  <si>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</si>
  <si>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</si>
  <si>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</si>
  <si>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</si>
  <si>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</si>
  <si>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</si>
  <si>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</si>
  <si>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</si>
  <si>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</si>
  <si>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</si>
  <si>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</si>
  <si>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</si>
  <si>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</si>
  <si>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</si>
  <si>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</si>
  <si>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</si>
  <si>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</si>
  <si>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</si>
  <si>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</si>
  <si>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</si>
  <si>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</si>
  <si>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</si>
  <si>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</si>
  <si>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</si>
  <si>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</si>
  <si>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</si>
  <si>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</si>
  <si>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</si>
  <si>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</si>
  <si>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</si>
  <si>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</si>
  <si>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</si>
  <si>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</si>
  <si>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</si>
  <si>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</si>
  <si>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</si>
  <si>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</si>
  <si>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</si>
  <si>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</si>
  <si>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</si>
  <si>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</si>
  <si>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</si>
  <si>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</si>
  <si>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</si>
  <si>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</si>
  <si>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</si>
  <si>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</si>
  <si>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</si>
  <si>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</si>
  <si>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</si>
  <si>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</si>
  <si>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</si>
  <si>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</si>
  <si>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</si>
  <si>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</si>
  <si>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</si>
  <si>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</si>
  <si>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</si>
  <si>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</si>
  <si>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</si>
  <si>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</si>
  <si>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</si>
  <si>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</si>
  <si>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</si>
  <si>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</si>
  <si>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</si>
  <si>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</si>
  <si>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</si>
  <si>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</si>
  <si>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</si>
  <si>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</si>
  <si>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</si>
  <si>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</si>
  <si>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</si>
  <si>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</si>
  <si>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</si>
  <si>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</si>
  <si>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</si>
  <si>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</si>
  <si>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</si>
  <si>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</si>
  <si>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</si>
  <si>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</si>
  <si>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</si>
  <si>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</si>
  <si>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</si>
  <si>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</si>
  <si>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</si>
  <si>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</si>
  <si>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</si>
  <si>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</si>
  <si>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</si>
  <si>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</si>
  <si>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</si>
  <si>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</si>
  <si>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</si>
  <si>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</si>
  <si>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</si>
  <si>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</si>
  <si>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</si>
  <si>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</si>
  <si>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</si>
  <si>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</si>
  <si>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</si>
  <si>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</si>
  <si>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</si>
  <si>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</si>
  <si>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</si>
  <si>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</si>
  <si>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</si>
  <si>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</si>
  <si>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</si>
  <si>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</si>
  <si>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</si>
  <si>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</si>
  <si>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</si>
  <si>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</si>
  <si>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</si>
  <si>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</si>
  <si>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</si>
  <si>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</si>
  <si>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</si>
  <si>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</si>
  <si>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</si>
  <si>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</si>
  <si>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</si>
  <si>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</si>
  <si>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</si>
  <si>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</si>
  <si>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</si>
  <si>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</si>
  <si>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</si>
  <si>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</si>
  <si>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</si>
  <si>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</si>
  <si>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</si>
  <si>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</si>
  <si>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</si>
  <si>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</si>
  <si>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</si>
  <si>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</si>
  <si>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</si>
  <si>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</si>
  <si>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</si>
  <si>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</si>
  <si>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</si>
  <si>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</si>
  <si>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</si>
  <si>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</si>
  <si>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</si>
  <si>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</si>
  <si>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</si>
  <si>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</si>
  <si>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</si>
  <si>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</si>
  <si>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</si>
  <si>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</si>
  <si>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</si>
  <si>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</si>
  <si>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</si>
  <si>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</si>
  <si>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</si>
  <si>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</si>
  <si>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</si>
  <si>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</si>
  <si>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</si>
  <si>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</si>
  <si>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</si>
  <si>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</si>
  <si>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</si>
  <si>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</si>
  <si>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</si>
  <si>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</si>
  <si>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</si>
  <si>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</si>
  <si>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</si>
  <si>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</si>
  <si>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</si>
  <si>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</si>
  <si>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</si>
  <si>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</si>
  <si>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</si>
  <si>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</si>
  <si>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</si>
  <si>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</si>
  <si>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</si>
  <si>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</si>
  <si>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</si>
  <si>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</si>
  <si>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</si>
  <si>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</si>
  <si>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</si>
  <si>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</si>
  <si>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</si>
  <si>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</si>
  <si>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</si>
  <si>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</si>
  <si>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</si>
  <si>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</si>
  <si>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</si>
  <si>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</si>
  <si>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</si>
  <si>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</si>
  <si>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</si>
  <si>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</si>
  <si>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</si>
  <si>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</si>
  <si>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</si>
  <si>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</si>
  <si>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</si>
  <si>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</si>
  <si>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</si>
  <si>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</si>
  <si>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</si>
  <si>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</si>
  <si>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</si>
  <si>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</si>
  <si>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</si>
  <si>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</si>
  <si>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</si>
  <si>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</si>
  <si>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</si>
  <si>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</si>
  <si>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</si>
  <si>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</si>
  <si>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</si>
  <si>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</si>
  <si>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</si>
  <si>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</si>
  <si>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</si>
  <si>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</si>
  <si>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</si>
  <si>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</si>
  <si>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</si>
  <si>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</si>
  <si>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</si>
  <si>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</si>
  <si>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</si>
  <si>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</si>
  <si>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</si>
  <si>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</si>
  <si>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</si>
  <si>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</si>
  <si>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</si>
  <si>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</si>
  <si>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</si>
  <si>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</si>
  <si>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</si>
  <si>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</si>
  <si>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</si>
  <si>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</si>
  <si>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</si>
  <si>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</si>
  <si>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</si>
  <si>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</si>
  <si>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</si>
  <si>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</si>
  <si>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</si>
  <si>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</si>
  <si>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</si>
  <si>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</si>
  <si>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</si>
  <si>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</si>
  <si>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</si>
  <si>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</si>
  <si>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</si>
  <si>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</si>
  <si>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</si>
  <si>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</si>
  <si>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</si>
  <si>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</si>
  <si>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</si>
  <si>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</si>
  <si>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</si>
  <si>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</si>
  <si>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</si>
  <si>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</si>
  <si>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</si>
  <si>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</si>
  <si>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</si>
  <si>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</si>
  <si>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</si>
  <si>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</si>
  <si>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</si>
  <si>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</si>
  <si>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</si>
  <si>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</si>
  <si>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</si>
  <si>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</si>
  <si>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</si>
  <si>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</si>
  <si>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</si>
  <si>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</si>
  <si>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</si>
  <si>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</si>
  <si>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</si>
  <si>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</si>
  <si>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</si>
  <si>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</si>
  <si>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</si>
  <si>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</si>
  <si>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</si>
  <si>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</si>
  <si>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</si>
  <si>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</si>
  <si>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</si>
  <si>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</si>
  <si>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</si>
  <si>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</si>
  <si>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</si>
  <si>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</si>
  <si>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</si>
  <si>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</si>
  <si>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</si>
  <si>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</si>
  <si>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</si>
  <si>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</si>
  <si>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</si>
  <si>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</si>
  <si>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</si>
  <si>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</si>
  <si>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</si>
  <si>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</si>
  <si>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</si>
  <si>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</si>
  <si>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</si>
  <si>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</si>
  <si>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</si>
  <si>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</si>
  <si>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</si>
  <si>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</si>
  <si>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</si>
  <si>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</si>
  <si>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</si>
  <si>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</si>
  <si>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</si>
  <si>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</si>
  <si>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</si>
  <si>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</si>
  <si>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</si>
  <si>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</si>
  <si>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</si>
  <si>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</si>
  <si>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</si>
  <si>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</si>
  <si>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</si>
  <si>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</si>
  <si>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</si>
  <si>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</si>
  <si>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</si>
  <si>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</si>
  <si>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</si>
  <si>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</si>
  <si>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</si>
  <si>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</si>
  <si>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</si>
  <si>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</si>
  <si>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</si>
  <si>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</si>
  <si>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</si>
  <si>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</si>
  <si>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</si>
  <si>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</si>
  <si>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</si>
  <si>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</si>
  <si>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</si>
  <si>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>日期</t>
    <phoneticPr fontId="1" type="noConversion"/>
  </si>
  <si>
    <t>ESG300指数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</si>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</sst>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7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87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  <c:pt idx="185">
                  <c:v>372000</c:v>
                </c:pt>
                <c:pt idx="186">
                  <c:v>374000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7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87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  <c:pt idx="185">
                  <c:v>615439.812291938</c:v>
                </c:pt>
                <c:pt idx="186">
                  <c:v>583459.30829098867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7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87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  <c:pt idx="185">
                  <c:v>243439.812291938</c:v>
                </c:pt>
                <c:pt idx="186">
                  <c:v>209459.30829098867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8086016"/>
        <c:axId val="368096384"/>
      </c:lineChart>
      <c:dateAx>
        <c:axId val="3680860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68096384"/>
        <c:crosses val="autoZero"/>
        <c:auto val="1"/>
        <c:lblOffset val="100"/>
        <c:baseTimeUnit val="days"/>
      </c:dateAx>
      <c:valAx>
        <c:axId val="36809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68086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9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943</v>
      </c>
      <c r="B1" s="33" t="s">
        <v>944</v>
      </c>
      <c r="C1" s="12" t="s">
        <v>945</v>
      </c>
      <c r="D1" s="12" t="s">
        <v>946</v>
      </c>
      <c r="E1" s="12" t="s">
        <v>947</v>
      </c>
      <c r="F1" s="12" t="s">
        <v>948</v>
      </c>
      <c r="G1" s="34" t="s">
        <v>949</v>
      </c>
      <c r="H1" s="11" t="s">
        <v>950</v>
      </c>
      <c r="I1" s="33" t="s">
        <v>951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957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943</v>
      </c>
      <c r="M3" s="36" t="s">
        <v>952</v>
      </c>
      <c r="N3" s="36" t="s">
        <v>953</v>
      </c>
      <c r="O3" s="36" t="s">
        <v>950</v>
      </c>
      <c r="P3" s="36" t="s">
        <v>954</v>
      </c>
      <c r="Q3" s="36" t="s">
        <v>955</v>
      </c>
      <c r="R3" s="36" t="s">
        <v>956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  <row r="188" spans="1:10" ht="12.75">
      <c r="A188" s="13">
        <v>46080</v>
      </c>
      <c r="B188" s="14">
        <v>2.9916479492187502</v>
      </c>
      <c r="C188" s="15">
        <v>2000</v>
      </c>
      <c r="D188" s="16">
        <v>668.52785954386354</v>
      </c>
      <c r="E188" s="16">
        <v>205719.33019480325</v>
      </c>
      <c r="F188" s="16">
        <v>615439.812291938</v>
      </c>
      <c r="G188" s="16">
        <v>372000</v>
      </c>
      <c r="H188" s="16">
        <v>615439.812291938</v>
      </c>
      <c r="I188" s="16">
        <v>243439.812291938</v>
      </c>
      <c r="J188" s="31">
        <f>VLOOKUP(A188,myPEPB!B:C,2)</f>
        <v>15.64000034</v>
      </c>
    </row>
    <row r="189" spans="1:10" ht="12.75">
      <c r="A189" s="13">
        <v>46112</v>
      </c>
      <c r="B189" s="14">
        <v>2.8264689941406251</v>
      </c>
      <c r="C189" s="15">
        <v>2000</v>
      </c>
      <c r="D189" s="16">
        <v>707.59665297799972</v>
      </c>
      <c r="E189" s="16">
        <v>206426.92684778126</v>
      </c>
      <c r="F189" s="16">
        <v>583459.30829098867</v>
      </c>
      <c r="G189" s="16">
        <v>374000</v>
      </c>
      <c r="H189" s="16">
        <v>583459.30829098867</v>
      </c>
      <c r="I189" s="16">
        <v>209459.30829098867</v>
      </c>
      <c r="J189" s="31">
        <f>VLOOKUP(A189,myPEPB!B:C,2)</f>
        <v>15.079999920000001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07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182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183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184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185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186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187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188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189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190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191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192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193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194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195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196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197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198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199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200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201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202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203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204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205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206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207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208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209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210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211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212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213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214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215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216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217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218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219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220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221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222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223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224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225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226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227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228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229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230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231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232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233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234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235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236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237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238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239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240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241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242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243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244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245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246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247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248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249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250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251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252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253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254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255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256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257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258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259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260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261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262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263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264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265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266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267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268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269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270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271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272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273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274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275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276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277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278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279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280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281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282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283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284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285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286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287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288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289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290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291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292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293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294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295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296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297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298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299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300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301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302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303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304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305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306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307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308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309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310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311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312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313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314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315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316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317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318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319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320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321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322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323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324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325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326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327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328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329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330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331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332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333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334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335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336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337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338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339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340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341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342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343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344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345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346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347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348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349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350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351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352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353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354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355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356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357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358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359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360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361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362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363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364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365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366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367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368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369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370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371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372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373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374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375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376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377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378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379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380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381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382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383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384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385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386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387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388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389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390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391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392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393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394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395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396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397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398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399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400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401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402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403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404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405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406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407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408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409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410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411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412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413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414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415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416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417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418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419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420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421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422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423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424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425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426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427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428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429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430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431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432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433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434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435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436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437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438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439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440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441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442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443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444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445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446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447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448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449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450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451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452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453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454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455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456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457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458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459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460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461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462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463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464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465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466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467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468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469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470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471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472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473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474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475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476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477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478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479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480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481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482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483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484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485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486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487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488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489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490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491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492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493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494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495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496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497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498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499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500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501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502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503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504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505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506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507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508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509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510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511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512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513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514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515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516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517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518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519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520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521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522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523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524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525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526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527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528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529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530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531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532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533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534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535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536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537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538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539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540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541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542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543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544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545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546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547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548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549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550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551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552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553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554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555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556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557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558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559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560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561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562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563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564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565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566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567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568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569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570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571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572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573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574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575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576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577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578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579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580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581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582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583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584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585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586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587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588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589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590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591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592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593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594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595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596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597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598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599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600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601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602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603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604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605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606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607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608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609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610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611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612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613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614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615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616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617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618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619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620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621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622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623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624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625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626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627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628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629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630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631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632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633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634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635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636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637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638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639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640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641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642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643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644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645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646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647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648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649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650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651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652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653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654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655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656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657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658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659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660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661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662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663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664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665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666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667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668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669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670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671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672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673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674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675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676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677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678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679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680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681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682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683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684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685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686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687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688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689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690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691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692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693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694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695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696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697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698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699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700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701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702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703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704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705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706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707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708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709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710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711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712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713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714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715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716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717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718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719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720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721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722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723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724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725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726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727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728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729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730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731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732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733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734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735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736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737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738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739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740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741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742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743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744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745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746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747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748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749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750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751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752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753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754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755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756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757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758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759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760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761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762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763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764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765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766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767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768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769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770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771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772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773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774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775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776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777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778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779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780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781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782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783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784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785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786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787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788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789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790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791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792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793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794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795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796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797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798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799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800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801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802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803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804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805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806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807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808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809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810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811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812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813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814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815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816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817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818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819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820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821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822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823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824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825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826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827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828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829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830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831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832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833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834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835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836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837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838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839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840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841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842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843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844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845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846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847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848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849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850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851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852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853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854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855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856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857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858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859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860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861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862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863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864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865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866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867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868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869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870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871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872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873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874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875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876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877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878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879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880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881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882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883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884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885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886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887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888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889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890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891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892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207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893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894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895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896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897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898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899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900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901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902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903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904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905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906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907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908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909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910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911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912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913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914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915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916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917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918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919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920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921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922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  <row r="1186" spans="1:4">
      <c r="A1186" s="17">
        <f t="shared" si="8"/>
        <v>1184</v>
      </c>
      <c r="B1186" s="37" t="s">
        <v>923</v>
      </c>
      <c r="C1186" s="38">
        <v>15.80000019</v>
      </c>
      <c r="D1186" s="17">
        <f>SUM(C$3:C1186)/A1186</f>
        <v>12.450205920438398</v>
      </c>
    </row>
    <row r="1187" spans="1:4">
      <c r="A1187" s="17">
        <f t="shared" si="8"/>
        <v>1185</v>
      </c>
      <c r="B1187" s="37" t="s">
        <v>924</v>
      </c>
      <c r="C1187" s="38">
        <v>15.760000229999999</v>
      </c>
      <c r="D1187" s="17">
        <f>SUM(C$3:C1187)/A1187</f>
        <v>12.452998995805117</v>
      </c>
    </row>
    <row r="1188" spans="1:4">
      <c r="A1188" s="17">
        <f t="shared" si="8"/>
        <v>1186</v>
      </c>
      <c r="B1188" s="37" t="s">
        <v>925</v>
      </c>
      <c r="C1188" s="38">
        <v>15.579999920000001</v>
      </c>
      <c r="D1188" s="17">
        <f>SUM(C$3:C1188)/A1188</f>
        <v>12.455635590176277</v>
      </c>
    </row>
    <row r="1189" spans="1:4">
      <c r="A1189" s="17">
        <f t="shared" si="8"/>
        <v>1187</v>
      </c>
      <c r="B1189" s="37" t="s">
        <v>926</v>
      </c>
      <c r="C1189" s="38">
        <v>15.649999619999999</v>
      </c>
      <c r="D1189" s="17">
        <f>SUM(C$3:C1189)/A1189</f>
        <v>12.45832671404302</v>
      </c>
    </row>
    <row r="1190" spans="1:4">
      <c r="A1190" s="17">
        <f t="shared" si="8"/>
        <v>1188</v>
      </c>
      <c r="B1190" s="37" t="s">
        <v>927</v>
      </c>
      <c r="C1190" s="38">
        <v>15.65999985</v>
      </c>
      <c r="D1190" s="17">
        <f>SUM(C$3:C1190)/A1190</f>
        <v>12.461021725100222</v>
      </c>
    </row>
    <row r="1191" spans="1:4">
      <c r="A1191" s="17">
        <f t="shared" si="8"/>
        <v>1189</v>
      </c>
      <c r="B1191" s="37" t="s">
        <v>928</v>
      </c>
      <c r="C1191" s="38">
        <v>15.579999920000001</v>
      </c>
      <c r="D1191" s="17">
        <f>SUM(C$3:C1191)/A1191</f>
        <v>12.46364491954505</v>
      </c>
    </row>
    <row r="1192" spans="1:4">
      <c r="A1192" s="17">
        <f t="shared" si="8"/>
        <v>1190</v>
      </c>
      <c r="B1192" s="37" t="s">
        <v>929</v>
      </c>
      <c r="C1192" s="38">
        <v>15.579999920000001</v>
      </c>
      <c r="D1192" s="17">
        <f>SUM(C$3:C1192)/A1192</f>
        <v>12.466263705259719</v>
      </c>
    </row>
    <row r="1193" spans="1:4">
      <c r="A1193" s="17">
        <f t="shared" si="8"/>
        <v>1191</v>
      </c>
      <c r="B1193" s="37" t="s">
        <v>930</v>
      </c>
      <c r="C1193" s="38">
        <v>15.81999969</v>
      </c>
      <c r="D1193" s="17">
        <f>SUM(C$3:C1193)/A1193</f>
        <v>12.46907960449124</v>
      </c>
    </row>
    <row r="1194" spans="1:4">
      <c r="A1194" s="17">
        <f t="shared" si="8"/>
        <v>1192</v>
      </c>
      <c r="B1194" s="37" t="s">
        <v>931</v>
      </c>
      <c r="C1194" s="38">
        <v>15.80000019</v>
      </c>
      <c r="D1194" s="17">
        <f>SUM(C$3:C1194)/A1194</f>
        <v>12.471874000955593</v>
      </c>
    </row>
    <row r="1195" spans="1:4">
      <c r="A1195" s="17">
        <f t="shared" si="8"/>
        <v>1193</v>
      </c>
      <c r="B1195" s="37" t="s">
        <v>932</v>
      </c>
      <c r="C1195" s="38">
        <v>15.72000027</v>
      </c>
      <c r="D1195" s="17">
        <f>SUM(C$3:C1195)/A1195</f>
        <v>12.474596654995025</v>
      </c>
    </row>
    <row r="1196" spans="1:4">
      <c r="A1196" s="17">
        <f t="shared" si="8"/>
        <v>1194</v>
      </c>
      <c r="B1196" s="37" t="s">
        <v>933</v>
      </c>
      <c r="C1196" s="38">
        <v>15.72999954</v>
      </c>
      <c r="D1196" s="17">
        <f>SUM(C$3:C1196)/A1196</f>
        <v>12.477323123072919</v>
      </c>
    </row>
    <row r="1197" spans="1:4">
      <c r="A1197" s="17">
        <f t="shared" si="8"/>
        <v>1195</v>
      </c>
      <c r="B1197" s="37" t="s">
        <v>934</v>
      </c>
      <c r="C1197" s="38">
        <v>15.64000034</v>
      </c>
      <c r="D1197" s="17">
        <f>SUM(C$3:C1197)/A1197</f>
        <v>12.479969714886247</v>
      </c>
    </row>
    <row r="1198" spans="1:4">
      <c r="A1198" s="17">
        <f t="shared" si="8"/>
        <v>1196</v>
      </c>
      <c r="B1198" s="37" t="s">
        <v>935</v>
      </c>
      <c r="C1198" s="38">
        <v>15.68000031</v>
      </c>
      <c r="D1198" s="17">
        <f>SUM(C$3:C1198)/A1198</f>
        <v>12.482645325751728</v>
      </c>
    </row>
    <row r="1199" spans="1:4">
      <c r="A1199" s="17">
        <f t="shared" si="8"/>
        <v>1197</v>
      </c>
      <c r="B1199" s="37" t="s">
        <v>936</v>
      </c>
      <c r="C1199" s="38">
        <v>15.5</v>
      </c>
      <c r="D1199" s="17">
        <f>SUM(C$3:C1199)/A1199</f>
        <v>12.485166089890615</v>
      </c>
    </row>
    <row r="1200" spans="1:4">
      <c r="A1200" s="17">
        <f t="shared" si="8"/>
        <v>1198</v>
      </c>
      <c r="B1200" s="37" t="s">
        <v>937</v>
      </c>
      <c r="C1200" s="38">
        <v>15.5</v>
      </c>
      <c r="D1200" s="17">
        <f>SUM(C$3:C1200)/A1200</f>
        <v>12.487682645742124</v>
      </c>
    </row>
    <row r="1201" spans="1:4">
      <c r="A1201" s="17">
        <f t="shared" si="8"/>
        <v>1199</v>
      </c>
      <c r="B1201" s="37" t="s">
        <v>938</v>
      </c>
      <c r="C1201" s="38">
        <v>14.94999981</v>
      </c>
      <c r="D1201" s="17">
        <f>SUM(C$3:C1201)/A1201</f>
        <v>12.489736288080955</v>
      </c>
    </row>
    <row r="1202" spans="1:4">
      <c r="A1202" s="17">
        <f t="shared" si="8"/>
        <v>1200</v>
      </c>
      <c r="B1202" s="37" t="s">
        <v>939</v>
      </c>
      <c r="C1202" s="38">
        <v>15.09000015</v>
      </c>
      <c r="D1202" s="17">
        <f>SUM(C$3:C1202)/A1202</f>
        <v>12.491903174632554</v>
      </c>
    </row>
    <row r="1203" spans="1:4">
      <c r="A1203" s="17">
        <f t="shared" si="8"/>
        <v>1201</v>
      </c>
      <c r="B1203" s="37" t="s">
        <v>940</v>
      </c>
      <c r="C1203" s="38">
        <v>15.260000229999999</v>
      </c>
      <c r="D1203" s="17">
        <f>SUM(C$3:C1203)/A1203</f>
        <v>12.494208001489646</v>
      </c>
    </row>
    <row r="1204" spans="1:4">
      <c r="A1204" s="17">
        <f t="shared" si="8"/>
        <v>1202</v>
      </c>
      <c r="B1204" s="37" t="s">
        <v>941</v>
      </c>
      <c r="C1204" s="38">
        <v>15.100000380000001</v>
      </c>
      <c r="D1204" s="17">
        <f>SUM(C$3:C1204)/A1204</f>
        <v>12.496375882004214</v>
      </c>
    </row>
    <row r="1205" spans="1:4">
      <c r="A1205" s="17">
        <f t="shared" si="8"/>
        <v>1203</v>
      </c>
      <c r="B1205" s="37" t="s">
        <v>942</v>
      </c>
      <c r="C1205" s="38">
        <v>15.18000031</v>
      </c>
      <c r="D1205" s="17">
        <f>SUM(C$3:C1205)/A1205</f>
        <v>12.49860665875234</v>
      </c>
    </row>
    <row r="1206" spans="1:4">
      <c r="A1206" s="17">
        <f t="shared" si="8"/>
        <v>1204</v>
      </c>
      <c r="B1206" s="37">
        <v>46111</v>
      </c>
      <c r="C1206" s="38">
        <v>15.18000031</v>
      </c>
      <c r="D1206" s="17">
        <f>SUM(C$3:C1206)/A1206</f>
        <v>12.50083372989125</v>
      </c>
    </row>
    <row r="1207" spans="1:4">
      <c r="A1207" s="17">
        <f t="shared" si="8"/>
        <v>1205</v>
      </c>
      <c r="B1207" s="37">
        <v>46112</v>
      </c>
      <c r="C1207" s="38">
        <v>15.079999920000001</v>
      </c>
      <c r="D1207" s="17">
        <f>SUM(C$3:C1207)/A1207</f>
        <v>12.502974116771009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2026-04-30T10:14:57Z</dcterms:modified>
</cp:coreProperties>
</file>