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94" i="5" l="1"/>
  <c r="D1311" i="6" l="1"/>
  <c r="A1311" i="6"/>
  <c r="D1310" i="6" l="1"/>
  <c r="A1310" i="6"/>
  <c r="D1309" i="6" l="1"/>
  <c r="A1309" i="6"/>
  <c r="D1308" i="6" l="1"/>
  <c r="A1308" i="6"/>
  <c r="D1307" i="6" l="1"/>
  <c r="A1307" i="6"/>
  <c r="D1306" i="6" l="1"/>
  <c r="A1306" i="6"/>
  <c r="D1305" i="6" l="1"/>
  <c r="A1305" i="6"/>
  <c r="D1304" i="6" l="1"/>
  <c r="A1304" i="6"/>
  <c r="D1303" i="6" l="1"/>
  <c r="A1303" i="6"/>
  <c r="D1302" i="6" l="1"/>
  <c r="A1302" i="6"/>
  <c r="D1301" i="6" l="1"/>
  <c r="A1301" i="6"/>
  <c r="D1300" i="6" l="1"/>
  <c r="A1300" i="6"/>
  <c r="D1299" i="6" l="1"/>
  <c r="A1299" i="6"/>
  <c r="D1298" i="6" l="1"/>
  <c r="A1298" i="6"/>
  <c r="D1297" i="6" l="1"/>
  <c r="A1297" i="6"/>
  <c r="D1296" i="6" l="1"/>
  <c r="A1296" i="6"/>
  <c r="D1295" i="6" l="1"/>
  <c r="A1295" i="6"/>
  <c r="D1294" i="6" l="1"/>
  <c r="A1294" i="6"/>
  <c r="D1293" i="6" l="1"/>
  <c r="A1293" i="6"/>
  <c r="D1292" i="6" l="1"/>
  <c r="A1292" i="6"/>
  <c r="D1291" i="6" l="1"/>
  <c r="A1291" i="6"/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<sst xmlns="http://schemas.openxmlformats.org/spreadsheetml/2006/main" count="1036" uniqueCount="1034">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</sst>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9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  <c:pt idx="191">
                  <c:v>384000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92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  <c:pt idx="191">
                  <c:v>602302.47047829011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92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  <c:pt idx="191">
                  <c:v>46265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92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  <c:pt idx="191">
                  <c:v>218302.47047829011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6389632"/>
        <c:axId val="376391552"/>
      </c:lineChart>
      <c:dateAx>
        <c:axId val="37638963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6391552"/>
        <c:crosses val="autoZero"/>
        <c:auto val="1"/>
        <c:lblOffset val="100"/>
        <c:baseTimeUnit val="days"/>
      </c:dateAx>
      <c:valAx>
        <c:axId val="37639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63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1018</v>
      </c>
      <c r="B1" s="33" t="s">
        <v>1019</v>
      </c>
      <c r="C1" s="12" t="s">
        <v>1020</v>
      </c>
      <c r="D1" s="12" t="s">
        <v>1021</v>
      </c>
      <c r="E1" s="12" t="s">
        <v>1022</v>
      </c>
      <c r="F1" s="12" t="s">
        <v>1023</v>
      </c>
      <c r="G1" s="34" t="s">
        <v>1024</v>
      </c>
      <c r="H1" s="11" t="s">
        <v>1025</v>
      </c>
      <c r="I1" s="33" t="s">
        <v>1026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1033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1027</v>
      </c>
      <c r="M3" s="36" t="s">
        <v>1028</v>
      </c>
      <c r="N3" s="36" t="s">
        <v>1029</v>
      </c>
      <c r="O3" s="36" t="s">
        <v>1025</v>
      </c>
      <c r="P3" s="36" t="s">
        <v>1030</v>
      </c>
      <c r="Q3" s="36" t="s">
        <v>1031</v>
      </c>
      <c r="R3" s="36" t="s">
        <v>1032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  <row r="194" spans="1:10" ht="12.75">
      <c r="A194" s="13">
        <v>46265</v>
      </c>
      <c r="B194" s="14">
        <v>2.8709189453124999</v>
      </c>
      <c r="C194" s="15">
        <v>2000</v>
      </c>
      <c r="D194" s="16">
        <v>696.64105399614471</v>
      </c>
      <c r="E194" s="16">
        <v>209794.31392923894</v>
      </c>
      <c r="F194" s="16">
        <v>602302.47047829011</v>
      </c>
      <c r="G194" s="16">
        <v>384000</v>
      </c>
      <c r="H194" s="16">
        <v>602302.47047829011</v>
      </c>
      <c r="I194" s="16">
        <v>218302.47047829011</v>
      </c>
      <c r="J194" s="31">
        <f>VLOOKUP(A194,myPEPB!B:C,2)</f>
        <v>15.97000027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31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311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962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963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964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965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966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967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968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969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970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971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972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973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974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975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976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977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978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979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980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981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982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983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984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985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986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987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988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989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990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991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992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993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994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995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996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997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998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999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1000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1001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1002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1003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1004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1005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1006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1007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1008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1009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1010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1011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1012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1013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1014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1015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1016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1017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  <row r="1291" spans="1:4">
      <c r="A1291" s="17">
        <f t="shared" si="9"/>
        <v>1289</v>
      </c>
      <c r="B1291" s="37">
        <v>46237</v>
      </c>
      <c r="C1291" s="38">
        <v>15.670000079999999</v>
      </c>
      <c r="D1291" s="17">
        <f>SUM(C$3:C1291)/A1291</f>
        <v>12.725650278657149</v>
      </c>
    </row>
    <row r="1292" spans="1:4">
      <c r="A1292" s="17">
        <f t="shared" si="9"/>
        <v>1290</v>
      </c>
      <c r="B1292" s="37">
        <v>46238</v>
      </c>
      <c r="C1292" s="38">
        <v>15.72999954</v>
      </c>
      <c r="D1292" s="17">
        <f>SUM(C$3:C1292)/A1292</f>
        <v>12.727979231572919</v>
      </c>
    </row>
    <row r="1293" spans="1:4">
      <c r="A1293" s="17">
        <f t="shared" si="9"/>
        <v>1291</v>
      </c>
      <c r="B1293" s="37">
        <v>46239</v>
      </c>
      <c r="C1293" s="38">
        <v>15.869999890000001</v>
      </c>
      <c r="D1293" s="17">
        <f>SUM(C$3:C1293)/A1293</f>
        <v>12.730413019844358</v>
      </c>
    </row>
    <row r="1294" spans="1:4">
      <c r="A1294" s="17">
        <f t="shared" si="9"/>
        <v>1292</v>
      </c>
      <c r="B1294" s="37">
        <v>46240</v>
      </c>
      <c r="C1294" s="38">
        <v>15.850000380000001</v>
      </c>
      <c r="D1294" s="17">
        <f>SUM(C$3:C1294)/A1294</f>
        <v>12.732827561144788</v>
      </c>
    </row>
    <row r="1295" spans="1:4">
      <c r="A1295" s="17">
        <f t="shared" si="9"/>
        <v>1293</v>
      </c>
      <c r="B1295" s="37">
        <v>46241</v>
      </c>
      <c r="C1295" s="38">
        <v>15.97999954</v>
      </c>
      <c r="D1295" s="17">
        <f>SUM(C$3:C1295)/A1295</f>
        <v>12.735338908382881</v>
      </c>
    </row>
    <row r="1296" spans="1:4">
      <c r="A1296" s="17">
        <f t="shared" si="9"/>
        <v>1294</v>
      </c>
      <c r="B1296" s="37">
        <v>46244</v>
      </c>
      <c r="C1296" s="38">
        <v>16.049999239999998</v>
      </c>
      <c r="D1296" s="17">
        <f>SUM(C$3:C1296)/A1296</f>
        <v>12.737900469690157</v>
      </c>
    </row>
    <row r="1297" spans="1:4">
      <c r="A1297" s="17">
        <f t="shared" si="9"/>
        <v>1295</v>
      </c>
      <c r="B1297" s="37">
        <v>46245</v>
      </c>
      <c r="C1297" s="38">
        <v>15.920000079999999</v>
      </c>
      <c r="D1297" s="17">
        <f>SUM(C$3:C1297)/A1297</f>
        <v>12.74035768946646</v>
      </c>
    </row>
    <row r="1298" spans="1:4">
      <c r="A1298" s="17">
        <f t="shared" si="9"/>
        <v>1296</v>
      </c>
      <c r="B1298" s="37">
        <v>46246</v>
      </c>
      <c r="C1298" s="38">
        <v>15.94999981</v>
      </c>
      <c r="D1298" s="17">
        <f>SUM(C$3:C1298)/A1298</f>
        <v>12.742834265176748</v>
      </c>
    </row>
    <row r="1299" spans="1:4">
      <c r="A1299" s="17">
        <f t="shared" si="9"/>
        <v>1297</v>
      </c>
      <c r="B1299" s="37">
        <v>46247</v>
      </c>
      <c r="C1299" s="38">
        <v>15.87199974</v>
      </c>
      <c r="D1299" s="17">
        <f>SUM(C$3:C1299)/A1299</f>
        <v>12.745246883121871</v>
      </c>
    </row>
    <row r="1300" spans="1:4">
      <c r="A1300" s="17">
        <f t="shared" si="9"/>
        <v>1298</v>
      </c>
      <c r="B1300" s="37">
        <v>46248</v>
      </c>
      <c r="C1300" s="38">
        <v>15.85999966</v>
      </c>
      <c r="D1300" s="17">
        <f>SUM(C$3:C1300)/A1300</f>
        <v>12.74764653857401</v>
      </c>
    </row>
    <row r="1301" spans="1:4">
      <c r="A1301" s="17">
        <f t="shared" si="9"/>
        <v>1299</v>
      </c>
      <c r="B1301" s="37">
        <v>46251</v>
      </c>
      <c r="C1301" s="38">
        <v>16.030000690000001</v>
      </c>
      <c r="D1301" s="17">
        <f>SUM(C$3:C1301)/A1301</f>
        <v>12.750173370099356</v>
      </c>
    </row>
    <row r="1302" spans="1:4">
      <c r="A1302" s="17">
        <f t="shared" si="9"/>
        <v>1300</v>
      </c>
      <c r="B1302" s="37">
        <v>46252</v>
      </c>
      <c r="C1302" s="38">
        <v>16.030000690000001</v>
      </c>
      <c r="D1302" s="17">
        <f>SUM(C$3:C1302)/A1302</f>
        <v>12.752696314191587</v>
      </c>
    </row>
    <row r="1303" spans="1:4">
      <c r="A1303" s="17">
        <f t="shared" si="9"/>
        <v>1301</v>
      </c>
      <c r="B1303" s="37">
        <v>46253</v>
      </c>
      <c r="C1303" s="38">
        <v>15.72000027</v>
      </c>
      <c r="D1303" s="17">
        <f>SUM(C$3:C1303)/A1303</f>
        <v>12.754977101244476</v>
      </c>
    </row>
    <row r="1304" spans="1:4">
      <c r="A1304" s="17">
        <f t="shared" si="9"/>
        <v>1302</v>
      </c>
      <c r="B1304" s="37">
        <v>46254</v>
      </c>
      <c r="C1304" s="38">
        <v>15.760000229999999</v>
      </c>
      <c r="D1304" s="17">
        <f>SUM(C$3:C1304)/A1304</f>
        <v>12.75728510671971</v>
      </c>
    </row>
    <row r="1305" spans="1:4">
      <c r="A1305" s="17">
        <f t="shared" si="9"/>
        <v>1303</v>
      </c>
      <c r="B1305" s="37">
        <v>46255</v>
      </c>
      <c r="C1305" s="38">
        <v>15.81999969</v>
      </c>
      <c r="D1305" s="17">
        <f>SUM(C$3:C1305)/A1305</f>
        <v>12.759635616760601</v>
      </c>
    </row>
    <row r="1306" spans="1:4">
      <c r="A1306" s="17">
        <f t="shared" si="9"/>
        <v>1304</v>
      </c>
      <c r="B1306" s="37">
        <v>46258</v>
      </c>
      <c r="C1306" s="38">
        <v>15.72000027</v>
      </c>
      <c r="D1306" s="17">
        <f>SUM(C$3:C1306)/A1306</f>
        <v>12.761905835052964</v>
      </c>
    </row>
    <row r="1307" spans="1:4">
      <c r="A1307" s="17">
        <f t="shared" si="9"/>
        <v>1305</v>
      </c>
      <c r="B1307" s="37">
        <v>46259</v>
      </c>
      <c r="C1307" s="38">
        <v>15.72000027</v>
      </c>
      <c r="D1307" s="17">
        <f>SUM(C$3:C1307)/A1307</f>
        <v>12.764172574083576</v>
      </c>
    </row>
    <row r="1308" spans="1:4">
      <c r="A1308" s="17">
        <f t="shared" si="9"/>
        <v>1306</v>
      </c>
      <c r="B1308" s="37">
        <v>46260</v>
      </c>
      <c r="C1308" s="38">
        <v>15.81999969</v>
      </c>
      <c r="D1308" s="17">
        <f>SUM(C$3:C1308)/A1308</f>
        <v>12.766512411078917</v>
      </c>
    </row>
    <row r="1309" spans="1:4">
      <c r="A1309" s="17">
        <f t="shared" si="9"/>
        <v>1307</v>
      </c>
      <c r="B1309" s="37">
        <v>46261</v>
      </c>
      <c r="C1309" s="38">
        <v>15.93000031</v>
      </c>
      <c r="D1309" s="17">
        <f>SUM(C$3:C1309)/A1309</f>
        <v>12.768932830282376</v>
      </c>
    </row>
    <row r="1310" spans="1:4">
      <c r="A1310" s="17">
        <f t="shared" si="9"/>
        <v>1308</v>
      </c>
      <c r="B1310" s="37">
        <v>46262</v>
      </c>
      <c r="C1310" s="38">
        <v>15.90999985</v>
      </c>
      <c r="D1310" s="17">
        <f>SUM(C$3:C1310)/A1310</f>
        <v>12.77133425766748</v>
      </c>
    </row>
    <row r="1311" spans="1:4">
      <c r="A1311" s="17">
        <f t="shared" si="9"/>
        <v>1309</v>
      </c>
      <c r="B1311" s="37">
        <v>46265</v>
      </c>
      <c r="C1311" s="38">
        <v>15.97000027</v>
      </c>
      <c r="D1311" s="17">
        <f>SUM(C$3:C1311)/A1311</f>
        <v>12.773777852787674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2026-09-29T12:14:01Z</dcterms:modified>
</cp:coreProperties>
</file>