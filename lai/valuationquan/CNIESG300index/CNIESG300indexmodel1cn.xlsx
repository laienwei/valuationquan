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600" yWindow="120" windowWidth="15600" windowHeight="7620"/>
  </bookViews>
  <sheets>
    <sheet name="模型一" sheetId="5" r:id="rId1"/>
    <sheet name="myPEPB" sheetId="6" r:id="rId2"/>
  </sheets>
  <definedNames>
    <definedName name="_xlnm._FilterDatabase" localSheetId="0" hidden="1">模型一!$L$1:$L$146</definedName>
    <definedName name="金额" localSheetId="0">OFFSET(模型一!I1,0,0,COUNTA(模型一!I:I)-1)</definedName>
    <definedName name="时间" localSheetId="0">OFFSET(模型一!A1,0,0,COUNTA(模型一!A:A)-1)</definedName>
    <definedName name="资产" localSheetId="0">OFFSET(模型一!H1,0,0,COUNTA(模型一!H:H)-1)</definedName>
    <definedName name="资金" localSheetId="0">OFFSET(模型一!G1,0,0,COUNTA(模型一!G:G)-1)</definedName>
  </definedNames>
  <calcPr calcId="145621"/>
</workbook>
</file>

<file path=xl/calcChain.xml><?xml version="1.0" encoding="utf-8"?>
<calcChain xmlns="http://schemas.openxmlformats.org/spreadsheetml/2006/main">
  <c r="D1290" i="6" l="1"/>
  <c r="A1290" i="6"/>
  <c r="D1289" i="6" l="1"/>
  <c r="A1289" i="6"/>
  <c r="D1288" i="6" l="1"/>
  <c r="A1288" i="6"/>
  <c r="D1287" i="6" l="1"/>
  <c r="A1287" i="6"/>
  <c r="D1286" i="6" l="1"/>
  <c r="A1286" i="6"/>
  <c r="D1285" i="6" l="1"/>
  <c r="A1285" i="6"/>
  <c r="D1284" i="6" l="1"/>
  <c r="A1284" i="6"/>
  <c r="D1283" i="6" l="1"/>
  <c r="A1283" i="6"/>
  <c r="D1282" i="6" l="1"/>
  <c r="A1282" i="6"/>
  <c r="D1281" i="6" l="1"/>
  <c r="A1281" i="6"/>
  <c r="D1280" i="6" l="1"/>
  <c r="A1280" i="6"/>
  <c r="D1279" i="6" l="1"/>
  <c r="A1279" i="6"/>
  <c r="D1278" i="6" l="1"/>
  <c r="A1278" i="6"/>
  <c r="D1277" i="6" l="1"/>
  <c r="A1277" i="6"/>
  <c r="D1276" i="6" l="1"/>
  <c r="A1276" i="6"/>
  <c r="D1275" i="6" l="1"/>
  <c r="A1275" i="6"/>
  <c r="D1274" i="6" l="1"/>
  <c r="A1274" i="6"/>
  <c r="D1273" i="6" l="1"/>
  <c r="A1273" i="6"/>
  <c r="D1272" i="6" l="1"/>
  <c r="A1272" i="6"/>
  <c r="D1271" i="6" l="1"/>
  <c r="A1271" i="6"/>
  <c r="D1270" i="6" l="1"/>
  <c r="A1270" i="6"/>
  <c r="D1269" i="6" l="1"/>
  <c r="A1269" i="6"/>
  <c r="D1268" i="6" l="1"/>
  <c r="A1268" i="6"/>
  <c r="J192" i="5" l="1"/>
  <c r="D1267" i="6" l="1"/>
  <c r="A1267" i="6"/>
  <c r="D1266" i="6" l="1"/>
  <c r="A1266" i="6"/>
  <c r="D1265" i="6" l="1"/>
  <c r="A1265" i="6"/>
  <c r="D1264" i="6" l="1"/>
  <c r="A1264" i="6"/>
  <c r="D1263" i="6" l="1"/>
  <c r="A1263" i="6"/>
  <c r="D1262" i="6" l="1"/>
  <c r="A1262" i="6"/>
  <c r="D1261" i="6" l="1"/>
  <c r="A1261" i="6"/>
  <c r="D1260" i="6" l="1"/>
  <c r="A1260" i="6"/>
  <c r="D1259" i="6" l="1"/>
  <c r="A1259" i="6"/>
  <c r="D1258" i="6" l="1"/>
  <c r="A1258" i="6"/>
  <c r="D1257" i="6" l="1"/>
  <c r="A1257" i="6"/>
  <c r="D1256" i="6" l="1"/>
  <c r="A1256" i="6"/>
  <c r="D1255" i="6" l="1"/>
  <c r="A1255" i="6"/>
  <c r="D1254" i="6" l="1"/>
  <c r="A1254" i="6"/>
  <c r="D1253" i="6" l="1"/>
  <c r="A1253" i="6"/>
  <c r="D1252" i="6" l="1"/>
  <c r="A1252" i="6"/>
  <c r="D1251" i="6" l="1"/>
  <c r="A1251" i="6"/>
  <c r="D1250" i="6" l="1"/>
  <c r="A1250" i="6"/>
  <c r="D1249" i="6" l="1"/>
  <c r="A1249" i="6"/>
  <c r="D1248" i="6" l="1"/>
  <c r="A1248" i="6"/>
  <c r="D1247" i="6" l="1"/>
  <c r="A1247" i="6"/>
  <c r="J191" i="5" l="1"/>
  <c r="D1246" i="6" l="1"/>
  <c r="A1246" i="6"/>
  <c r="D1245" i="6" l="1"/>
  <c r="A1245" i="6"/>
  <c r="D1244" i="6" l="1"/>
  <c r="A1244" i="6"/>
  <c r="D1243" i="6" l="1"/>
  <c r="A1243" i="6"/>
  <c r="D1242" i="6" l="1"/>
  <c r="A1242" i="6"/>
  <c r="D1241" i="6" l="1"/>
  <c r="A1241" i="6"/>
  <c r="D1240" i="6" l="1"/>
  <c r="A1240" i="6"/>
  <c r="D1239" i="6" l="1"/>
  <c r="A1239" i="6"/>
  <c r="D1238" i="6" l="1"/>
  <c r="A1238" i="6"/>
  <c r="D1237" i="6" l="1"/>
  <c r="A1237" i="6"/>
  <c r="D1236" i="6" l="1"/>
  <c r="A1236" i="6"/>
  <c r="D1235" i="6" l="1"/>
  <c r="A1235" i="6"/>
  <c r="D1234" i="6" l="1"/>
  <c r="A1234" i="6"/>
  <c r="D1233" i="6" l="1"/>
  <c r="A1233" i="6"/>
  <c r="D1232" i="6" l="1"/>
  <c r="A1232" i="6"/>
  <c r="D1231" i="6" l="1"/>
  <c r="A1231" i="6"/>
  <c r="D1230" i="6" l="1"/>
  <c r="A1230" i="6"/>
  <c r="D1229" i="6" l="1"/>
  <c r="A1229" i="6"/>
  <c r="J190" i="5" l="1"/>
  <c r="D1228" i="6" l="1"/>
  <c r="A1228" i="6"/>
  <c r="D1223" i="6" l="1"/>
  <c r="D1224" i="6"/>
  <c r="D1225" i="6"/>
  <c r="D1226" i="6"/>
  <c r="D1227" i="6"/>
  <c r="A1223" i="6"/>
  <c r="A1224" i="6"/>
  <c r="A1225" i="6" s="1"/>
  <c r="A1226" i="6" s="1"/>
  <c r="A1227" i="6" s="1"/>
  <c r="J189" i="5" l="1"/>
  <c r="J188" i="5" l="1"/>
  <c r="J187" i="5" l="1"/>
  <c r="J186" i="5" l="1"/>
  <c r="J185" i="5" l="1"/>
  <c r="J184" i="5" l="1"/>
  <c r="J183" i="5" l="1"/>
  <c r="J182" i="5" l="1"/>
  <c r="J181" i="5" l="1"/>
  <c r="J180" i="5" l="1"/>
  <c r="J179" i="5" l="1"/>
  <c r="J178" i="5" l="1"/>
  <c r="J177" i="5" l="1"/>
  <c r="J176" i="5" l="1"/>
  <c r="J175" i="5" l="1"/>
  <c r="Y59" i="5" l="1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J174" i="5" l="1"/>
  <c r="J173" i="5" l="1"/>
  <c r="J172" i="5" l="1"/>
  <c r="J171" i="5" l="1"/>
  <c r="J170" i="5" l="1"/>
  <c r="J169" i="5" l="1"/>
  <c r="J168" i="5" l="1"/>
  <c r="V58" i="5" l="1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J167" i="5" l="1"/>
  <c r="J166" i="5" l="1"/>
  <c r="J165" i="5" l="1"/>
  <c r="J164" i="5" l="1"/>
  <c r="J163" i="5" l="1"/>
  <c r="J162" i="5" l="1"/>
  <c r="J161" i="5" l="1"/>
  <c r="J160" i="5" l="1"/>
  <c r="J159" i="5" l="1"/>
  <c r="J158" i="5" l="1"/>
  <c r="J157" i="5" l="1"/>
  <c r="J156" i="5" l="1"/>
  <c r="J155" i="5" l="1"/>
  <c r="J154" i="5" l="1"/>
  <c r="J153" i="5" l="1"/>
  <c r="AB42" i="5" l="1"/>
  <c r="AB41" i="5"/>
  <c r="AB40" i="5"/>
  <c r="AB39" i="5"/>
  <c r="AB38" i="5"/>
  <c r="AB37" i="5"/>
  <c r="AB36" i="5"/>
  <c r="AB35" i="5"/>
  <c r="AB34" i="5"/>
  <c r="AB33" i="5"/>
  <c r="AB32" i="5"/>
  <c r="AB31" i="5"/>
  <c r="AB30" i="5"/>
  <c r="J152" i="5"/>
  <c r="J151" i="5" l="1"/>
  <c r="J150" i="5" l="1"/>
  <c r="J149" i="5" l="1"/>
  <c r="J148" i="5" l="1"/>
  <c r="J147" i="5" l="1"/>
  <c r="J146" i="5" l="1"/>
  <c r="J145" i="5" l="1"/>
  <c r="J144" i="5" l="1"/>
  <c r="J143" i="5" l="1"/>
  <c r="J142" i="5" l="1"/>
  <c r="J141" i="5" l="1"/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3" i="5"/>
  <c r="X30" i="5" l="1"/>
  <c r="Y30" i="5" s="1"/>
  <c r="U30" i="5"/>
  <c r="V30" i="5" s="1"/>
  <c r="X18" i="5"/>
  <c r="Y18" i="5" s="1"/>
  <c r="AA9" i="5"/>
  <c r="AB9" i="5" s="1"/>
  <c r="U9" i="5"/>
  <c r="V9" i="5" s="1"/>
  <c r="X3" i="5"/>
  <c r="Y3" i="5" s="1"/>
  <c r="AA18" i="5"/>
  <c r="AB18" i="5" s="1"/>
  <c r="U18" i="5"/>
  <c r="V18" i="5" s="1"/>
  <c r="X9" i="5"/>
  <c r="Y9" i="5" s="1"/>
  <c r="U3" i="5"/>
  <c r="V3" i="5" s="1"/>
  <c r="AA3" i="5"/>
  <c r="AB3" i="5" s="1"/>
  <c r="X31" i="5" l="1"/>
  <c r="Y31" i="5" s="1"/>
  <c r="U19" i="5"/>
  <c r="V19" i="5" s="1"/>
  <c r="X10" i="5"/>
  <c r="Y10" i="5" s="1"/>
  <c r="U4" i="5"/>
  <c r="V4" i="5" s="1"/>
  <c r="AA4" i="5"/>
  <c r="AB4" i="5" s="1"/>
  <c r="X4" i="5"/>
  <c r="Y4" i="5" s="1"/>
  <c r="X19" i="5"/>
  <c r="Y19" i="5" s="1"/>
  <c r="U31" i="5"/>
  <c r="V31" i="5" s="1"/>
  <c r="AA19" i="5"/>
  <c r="AB19" i="5" s="1"/>
  <c r="AA10" i="5"/>
  <c r="AB10" i="5" s="1"/>
  <c r="U10" i="5"/>
  <c r="V10" i="5" s="1"/>
  <c r="V5" i="5" l="1"/>
  <c r="U11" i="5" l="1"/>
  <c r="V11" i="5" s="1"/>
  <c r="U20" i="5"/>
  <c r="V20" i="5" s="1"/>
  <c r="X5" i="5"/>
  <c r="Y5" i="5" s="1"/>
  <c r="X11" i="5"/>
  <c r="Y11" i="5" s="1"/>
  <c r="X20" i="5"/>
  <c r="Y20" i="5" s="1"/>
  <c r="AA5" i="5"/>
  <c r="AB5" i="5" s="1"/>
  <c r="AA11" i="5"/>
  <c r="AB11" i="5" s="1"/>
  <c r="AA20" i="5"/>
  <c r="AB20" i="5" s="1"/>
  <c r="X32" i="5"/>
  <c r="Y32" i="5" s="1"/>
  <c r="U32" i="5"/>
  <c r="V32" i="5" s="1"/>
  <c r="Y6" i="5" l="1"/>
  <c r="X33" i="5" l="1"/>
  <c r="Y33" i="5" s="1"/>
  <c r="AA6" i="5"/>
  <c r="AB6" i="5" s="1"/>
  <c r="AA12" i="5"/>
  <c r="AB12" i="5" s="1"/>
  <c r="U21" i="5"/>
  <c r="V21" i="5" s="1"/>
  <c r="X12" i="5"/>
  <c r="Y12" i="5" s="1"/>
  <c r="U12" i="5"/>
  <c r="V12" i="5" s="1"/>
  <c r="X21" i="5"/>
  <c r="Y21" i="5" s="1"/>
  <c r="AA21" i="5"/>
  <c r="AB21" i="5" s="1"/>
  <c r="U33" i="5"/>
  <c r="V33" i="5" s="1"/>
  <c r="AB7" i="5" l="1"/>
  <c r="X34" i="5" l="1"/>
  <c r="Y34" i="5" s="1"/>
  <c r="AA22" i="5"/>
  <c r="AB22" i="5" s="1"/>
  <c r="X13" i="5"/>
  <c r="Y13" i="5" s="1"/>
  <c r="X22" i="5"/>
  <c r="Y22" i="5" s="1"/>
  <c r="U13" i="5"/>
  <c r="V13" i="5" s="1"/>
  <c r="U22" i="5"/>
  <c r="V22" i="5" s="1"/>
  <c r="U34" i="5"/>
  <c r="V34" i="5" s="1"/>
  <c r="AA13" i="5"/>
  <c r="AB13" i="5" s="1"/>
  <c r="V14" i="5" l="1"/>
  <c r="X35" i="5" l="1"/>
  <c r="Y35" i="5" s="1"/>
  <c r="X23" i="5"/>
  <c r="Y23" i="5" s="1"/>
  <c r="X14" i="5"/>
  <c r="Y14" i="5" s="1"/>
  <c r="U23" i="5"/>
  <c r="V23" i="5" s="1"/>
  <c r="U35" i="5"/>
  <c r="V35" i="5" s="1"/>
  <c r="AA14" i="5"/>
  <c r="AB14" i="5" s="1"/>
  <c r="AA23" i="5"/>
  <c r="AB23" i="5" s="1"/>
  <c r="Y15" i="5" l="1"/>
  <c r="X36" i="5" l="1"/>
  <c r="Y36" i="5" s="1"/>
  <c r="U24" i="5"/>
  <c r="V24" i="5" s="1"/>
  <c r="X24" i="5"/>
  <c r="Y24" i="5" s="1"/>
  <c r="AA24" i="5"/>
  <c r="AB24" i="5" s="1"/>
  <c r="U36" i="5"/>
  <c r="V36" i="5" s="1"/>
  <c r="AA15" i="5"/>
  <c r="AB15" i="5" s="1"/>
  <c r="AB16" i="5" l="1"/>
  <c r="X37" i="5" l="1"/>
  <c r="Y37" i="5" s="1"/>
  <c r="X25" i="5"/>
  <c r="Y25" i="5" s="1"/>
  <c r="U25" i="5"/>
  <c r="V25" i="5" s="1"/>
  <c r="U37" i="5"/>
  <c r="V37" i="5" s="1"/>
  <c r="AA25" i="5"/>
  <c r="AB25" i="5" s="1"/>
  <c r="V26" i="5" l="1"/>
  <c r="X38" i="5" l="1"/>
  <c r="Y38" i="5" s="1"/>
  <c r="AA26" i="5"/>
  <c r="AB26" i="5" s="1"/>
  <c r="X26" i="5"/>
  <c r="Y26" i="5" s="1"/>
  <c r="U38" i="5"/>
  <c r="V38" i="5" s="1"/>
  <c r="Y27" i="5" l="1"/>
  <c r="X39" i="5" l="1"/>
  <c r="Y39" i="5" s="1"/>
  <c r="U39" i="5"/>
  <c r="V39" i="5" s="1"/>
  <c r="AA27" i="5"/>
  <c r="AB27" i="5" s="1"/>
  <c r="AB28" i="5" l="1"/>
  <c r="D3" i="6" l="1"/>
  <c r="A4" i="6"/>
  <c r="D4" i="6" s="1"/>
  <c r="A5" i="6" l="1"/>
  <c r="D5" i="6" l="1"/>
  <c r="A6" i="6"/>
  <c r="A7" i="6" l="1"/>
  <c r="D6" i="6"/>
  <c r="U40" i="5"/>
  <c r="V40" i="5" s="1"/>
  <c r="X40" i="5"/>
  <c r="Y40" i="5" s="1"/>
  <c r="A8" i="6" l="1"/>
  <c r="D7" i="6"/>
  <c r="A9" i="6" l="1"/>
  <c r="D8" i="6"/>
  <c r="A10" i="6" l="1"/>
  <c r="D9" i="6"/>
  <c r="V41" i="5"/>
  <c r="A11" i="6" l="1"/>
  <c r="D10" i="6"/>
  <c r="A12" i="6" l="1"/>
  <c r="D11" i="6"/>
  <c r="A13" i="6" l="1"/>
  <c r="D12" i="6"/>
  <c r="A14" i="6" l="1"/>
  <c r="D13" i="6"/>
  <c r="A15" i="6" l="1"/>
  <c r="D14" i="6"/>
  <c r="A16" i="6" l="1"/>
  <c r="D15" i="6"/>
  <c r="A17" i="6" l="1"/>
  <c r="D16" i="6"/>
  <c r="A18" i="6" l="1"/>
  <c r="D17" i="6"/>
  <c r="A19" i="6" l="1"/>
  <c r="D18" i="6"/>
  <c r="A20" i="6" l="1"/>
  <c r="D19" i="6"/>
  <c r="A21" i="6" l="1"/>
  <c r="D20" i="6"/>
  <c r="X41" i="5" l="1"/>
  <c r="Y41" i="5" s="1"/>
  <c r="A22" i="6"/>
  <c r="D21" i="6"/>
  <c r="A23" i="6" l="1"/>
  <c r="D22" i="6"/>
  <c r="A24" i="6" l="1"/>
  <c r="D23" i="6"/>
  <c r="A25" i="6" l="1"/>
  <c r="D24" i="6"/>
  <c r="A26" i="6" l="1"/>
  <c r="D25" i="6"/>
  <c r="A27" i="6" l="1"/>
  <c r="D26" i="6"/>
  <c r="A28" i="6" l="1"/>
  <c r="D27" i="6"/>
  <c r="A29" i="6" l="1"/>
  <c r="D28" i="6"/>
  <c r="A30" i="6" l="1"/>
  <c r="D29" i="6"/>
  <c r="A31" i="6" l="1"/>
  <c r="D30" i="6"/>
  <c r="A32" i="6" l="1"/>
  <c r="D31" i="6"/>
  <c r="A33" i="6" l="1"/>
  <c r="D32" i="6"/>
  <c r="A34" i="6" l="1"/>
  <c r="D33" i="6"/>
  <c r="Y42" i="5"/>
  <c r="A35" i="6" l="1"/>
  <c r="D34" i="6"/>
  <c r="A36" i="6" l="1"/>
  <c r="D35" i="6"/>
  <c r="A37" i="6" l="1"/>
  <c r="D36" i="6"/>
  <c r="A38" i="6" l="1"/>
  <c r="D37" i="6"/>
  <c r="A39" i="6" l="1"/>
  <c r="D38" i="6"/>
  <c r="A40" i="6" l="1"/>
  <c r="D39" i="6"/>
  <c r="A41" i="6" l="1"/>
  <c r="D40" i="6"/>
  <c r="A42" i="6" l="1"/>
  <c r="D41" i="6"/>
  <c r="A43" i="6" l="1"/>
  <c r="D42" i="6"/>
  <c r="A44" i="6" l="1"/>
  <c r="D43" i="6"/>
  <c r="A45" i="6" l="1"/>
  <c r="D44" i="6"/>
  <c r="A46" i="6" l="1"/>
  <c r="D45" i="6"/>
  <c r="A47" i="6" l="1"/>
  <c r="D46" i="6"/>
  <c r="A48" i="6" l="1"/>
  <c r="D47" i="6"/>
  <c r="A49" i="6" l="1"/>
  <c r="D48" i="6"/>
  <c r="A50" i="6" l="1"/>
  <c r="D49" i="6"/>
  <c r="A51" i="6" l="1"/>
  <c r="D50" i="6"/>
  <c r="A52" i="6" l="1"/>
  <c r="D51" i="6"/>
  <c r="A53" i="6" l="1"/>
  <c r="D52" i="6"/>
  <c r="A54" i="6" l="1"/>
  <c r="D53" i="6"/>
  <c r="A55" i="6" l="1"/>
  <c r="D54" i="6"/>
  <c r="A56" i="6" l="1"/>
  <c r="D55" i="6"/>
  <c r="A57" i="6" l="1"/>
  <c r="D56" i="6"/>
  <c r="A58" i="6" l="1"/>
  <c r="D57" i="6"/>
  <c r="A59" i="6" l="1"/>
  <c r="D58" i="6"/>
  <c r="A60" i="6" l="1"/>
  <c r="D59" i="6"/>
  <c r="A61" i="6" l="1"/>
  <c r="D60" i="6"/>
  <c r="A62" i="6" l="1"/>
  <c r="D61" i="6"/>
  <c r="A63" i="6" l="1"/>
  <c r="D62" i="6"/>
  <c r="A64" i="6" l="1"/>
  <c r="D63" i="6"/>
  <c r="A65" i="6" l="1"/>
  <c r="D64" i="6"/>
  <c r="A66" i="6" l="1"/>
  <c r="D65" i="6"/>
  <c r="A67" i="6" l="1"/>
  <c r="D66" i="6"/>
  <c r="A68" i="6" l="1"/>
  <c r="D67" i="6"/>
  <c r="A69" i="6" l="1"/>
  <c r="D68" i="6"/>
  <c r="A70" i="6" l="1"/>
  <c r="D69" i="6"/>
  <c r="A71" i="6" l="1"/>
  <c r="D70" i="6"/>
  <c r="A72" i="6" l="1"/>
  <c r="D71" i="6"/>
  <c r="A73" i="6" l="1"/>
  <c r="D72" i="6"/>
  <c r="A74" i="6" l="1"/>
  <c r="D73" i="6"/>
  <c r="A75" i="6" l="1"/>
  <c r="D74" i="6"/>
  <c r="A76" i="6" l="1"/>
  <c r="D75" i="6"/>
  <c r="A77" i="6" l="1"/>
  <c r="D76" i="6"/>
  <c r="A78" i="6" l="1"/>
  <c r="D77" i="6"/>
  <c r="A79" i="6" l="1"/>
  <c r="D78" i="6"/>
  <c r="A80" i="6" l="1"/>
  <c r="D79" i="6"/>
  <c r="A81" i="6" l="1"/>
  <c r="D80" i="6"/>
  <c r="A82" i="6" l="1"/>
  <c r="D81" i="6"/>
  <c r="A83" i="6" l="1"/>
  <c r="D82" i="6"/>
  <c r="A84" i="6" l="1"/>
  <c r="D83" i="6"/>
  <c r="A85" i="6" l="1"/>
  <c r="D84" i="6"/>
  <c r="A86" i="6" l="1"/>
  <c r="D85" i="6"/>
  <c r="A87" i="6" l="1"/>
  <c r="D86" i="6"/>
  <c r="A88" i="6" l="1"/>
  <c r="D87" i="6"/>
  <c r="A89" i="6" l="1"/>
  <c r="D88" i="6"/>
  <c r="A90" i="6" l="1"/>
  <c r="D89" i="6"/>
  <c r="A91" i="6" l="1"/>
  <c r="D90" i="6"/>
  <c r="A92" i="6" l="1"/>
  <c r="D91" i="6"/>
  <c r="A93" i="6" l="1"/>
  <c r="D92" i="6"/>
  <c r="A94" i="6" l="1"/>
  <c r="D93" i="6"/>
  <c r="A95" i="6" l="1"/>
  <c r="D94" i="6"/>
  <c r="A96" i="6" l="1"/>
  <c r="D95" i="6"/>
  <c r="A97" i="6" l="1"/>
  <c r="D96" i="6"/>
  <c r="A98" i="6" l="1"/>
  <c r="D97" i="6"/>
  <c r="A99" i="6" l="1"/>
  <c r="D98" i="6"/>
  <c r="A100" i="6" l="1"/>
  <c r="D99" i="6"/>
  <c r="A101" i="6" l="1"/>
  <c r="D100" i="6"/>
  <c r="A102" i="6" l="1"/>
  <c r="D101" i="6"/>
  <c r="A103" i="6" l="1"/>
  <c r="D102" i="6"/>
  <c r="A104" i="6" l="1"/>
  <c r="D103" i="6"/>
  <c r="A105" i="6" l="1"/>
  <c r="D104" i="6"/>
  <c r="A106" i="6" l="1"/>
  <c r="D105" i="6"/>
  <c r="A107" i="6" l="1"/>
  <c r="D106" i="6"/>
  <c r="A108" i="6" l="1"/>
  <c r="D107" i="6"/>
  <c r="A109" i="6" l="1"/>
  <c r="D108" i="6"/>
  <c r="A110" i="6" l="1"/>
  <c r="D109" i="6"/>
  <c r="A111" i="6" l="1"/>
  <c r="D110" i="6"/>
  <c r="A112" i="6" l="1"/>
  <c r="D111" i="6"/>
  <c r="A113" i="6" l="1"/>
  <c r="D112" i="6"/>
  <c r="A114" i="6" l="1"/>
  <c r="D113" i="6"/>
  <c r="A115" i="6" l="1"/>
  <c r="D114" i="6"/>
  <c r="A116" i="6" l="1"/>
  <c r="D115" i="6"/>
  <c r="A117" i="6" l="1"/>
  <c r="D116" i="6"/>
  <c r="A118" i="6" l="1"/>
  <c r="D117" i="6"/>
  <c r="A119" i="6" l="1"/>
  <c r="D118" i="6"/>
  <c r="A120" i="6" l="1"/>
  <c r="D119" i="6"/>
  <c r="A121" i="6" l="1"/>
  <c r="D120" i="6"/>
  <c r="A122" i="6" l="1"/>
  <c r="D121" i="6"/>
  <c r="A123" i="6" l="1"/>
  <c r="D122" i="6"/>
  <c r="A124" i="6" l="1"/>
  <c r="D123" i="6"/>
  <c r="A125" i="6" l="1"/>
  <c r="D124" i="6"/>
  <c r="A126" i="6" l="1"/>
  <c r="D125" i="6"/>
  <c r="A127" i="6" l="1"/>
  <c r="D126" i="6"/>
  <c r="A128" i="6" l="1"/>
  <c r="D127" i="6"/>
  <c r="A129" i="6" l="1"/>
  <c r="D128" i="6"/>
  <c r="A130" i="6" l="1"/>
  <c r="D129" i="6"/>
  <c r="A131" i="6" l="1"/>
  <c r="D130" i="6"/>
  <c r="A132" i="6" l="1"/>
  <c r="D131" i="6"/>
  <c r="A133" i="6" l="1"/>
  <c r="D132" i="6"/>
  <c r="A134" i="6" l="1"/>
  <c r="D133" i="6"/>
  <c r="A135" i="6" l="1"/>
  <c r="D134" i="6"/>
  <c r="A136" i="6" l="1"/>
  <c r="D135" i="6"/>
  <c r="A137" i="6" l="1"/>
  <c r="D136" i="6"/>
  <c r="A138" i="6" l="1"/>
  <c r="D137" i="6"/>
  <c r="A139" i="6" l="1"/>
  <c r="D138" i="6"/>
  <c r="A140" i="6" l="1"/>
  <c r="D139" i="6"/>
  <c r="A141" i="6" l="1"/>
  <c r="D140" i="6"/>
  <c r="A142" i="6" l="1"/>
  <c r="D141" i="6"/>
  <c r="A143" i="6" l="1"/>
  <c r="D142" i="6"/>
  <c r="A144" i="6" l="1"/>
  <c r="D143" i="6"/>
  <c r="A145" i="6" l="1"/>
  <c r="D144" i="6"/>
  <c r="A146" i="6" l="1"/>
  <c r="D145" i="6"/>
  <c r="A147" i="6" l="1"/>
  <c r="D146" i="6"/>
  <c r="A148" i="6" l="1"/>
  <c r="D147" i="6"/>
  <c r="A149" i="6" l="1"/>
  <c r="D148" i="6"/>
  <c r="A150" i="6" l="1"/>
  <c r="D149" i="6"/>
  <c r="A151" i="6" l="1"/>
  <c r="D150" i="6"/>
  <c r="A152" i="6" l="1"/>
  <c r="D151" i="6"/>
  <c r="A153" i="6" l="1"/>
  <c r="D152" i="6"/>
  <c r="A154" i="6" l="1"/>
  <c r="D153" i="6"/>
  <c r="A155" i="6" l="1"/>
  <c r="D154" i="6"/>
  <c r="A156" i="6" l="1"/>
  <c r="D155" i="6"/>
  <c r="A157" i="6" l="1"/>
  <c r="D156" i="6"/>
  <c r="A158" i="6" l="1"/>
  <c r="D157" i="6"/>
  <c r="A159" i="6" l="1"/>
  <c r="D158" i="6"/>
  <c r="A160" i="6" l="1"/>
  <c r="D159" i="6"/>
  <c r="A161" i="6" l="1"/>
  <c r="D160" i="6"/>
  <c r="A162" i="6" l="1"/>
  <c r="D161" i="6"/>
  <c r="A163" i="6" l="1"/>
  <c r="D162" i="6"/>
  <c r="A164" i="6" l="1"/>
  <c r="D163" i="6"/>
  <c r="A165" i="6" l="1"/>
  <c r="D164" i="6"/>
  <c r="A166" i="6" l="1"/>
  <c r="D165" i="6"/>
  <c r="A167" i="6" l="1"/>
  <c r="D166" i="6"/>
  <c r="A168" i="6" l="1"/>
  <c r="D167" i="6"/>
  <c r="A169" i="6" l="1"/>
  <c r="D168" i="6"/>
  <c r="A170" i="6" l="1"/>
  <c r="D169" i="6"/>
  <c r="A171" i="6" l="1"/>
  <c r="D170" i="6"/>
  <c r="A172" i="6" l="1"/>
  <c r="D171" i="6"/>
  <c r="A173" i="6" l="1"/>
  <c r="D172" i="6"/>
  <c r="A174" i="6" l="1"/>
  <c r="D173" i="6"/>
  <c r="A175" i="6" l="1"/>
  <c r="D174" i="6"/>
  <c r="A176" i="6" l="1"/>
  <c r="D175" i="6"/>
  <c r="A177" i="6" l="1"/>
  <c r="D176" i="6"/>
  <c r="A178" i="6" l="1"/>
  <c r="D177" i="6"/>
  <c r="A179" i="6" l="1"/>
  <c r="D178" i="6"/>
  <c r="A180" i="6" l="1"/>
  <c r="D179" i="6"/>
  <c r="A181" i="6" l="1"/>
  <c r="D180" i="6"/>
  <c r="A182" i="6" l="1"/>
  <c r="D181" i="6"/>
  <c r="A183" i="6" l="1"/>
  <c r="D182" i="6"/>
  <c r="A184" i="6" l="1"/>
  <c r="D183" i="6"/>
  <c r="A185" i="6" l="1"/>
  <c r="D184" i="6"/>
  <c r="A186" i="6" l="1"/>
  <c r="D185" i="6"/>
  <c r="A187" i="6" l="1"/>
  <c r="D186" i="6"/>
  <c r="A188" i="6" l="1"/>
  <c r="D187" i="6"/>
  <c r="A189" i="6" l="1"/>
  <c r="D188" i="6"/>
  <c r="A190" i="6" l="1"/>
  <c r="D189" i="6"/>
  <c r="A191" i="6" l="1"/>
  <c r="D190" i="6"/>
  <c r="A192" i="6" l="1"/>
  <c r="D191" i="6"/>
  <c r="A193" i="6" l="1"/>
  <c r="D192" i="6"/>
  <c r="A194" i="6" l="1"/>
  <c r="D193" i="6"/>
  <c r="A195" i="6" l="1"/>
  <c r="D194" i="6"/>
  <c r="A196" i="6" l="1"/>
  <c r="D195" i="6"/>
  <c r="A197" i="6" l="1"/>
  <c r="D196" i="6"/>
  <c r="A198" i="6" l="1"/>
  <c r="D197" i="6"/>
  <c r="A199" i="6" l="1"/>
  <c r="D198" i="6"/>
  <c r="A200" i="6" l="1"/>
  <c r="D199" i="6"/>
  <c r="A201" i="6" l="1"/>
  <c r="D200" i="6"/>
  <c r="A202" i="6" l="1"/>
  <c r="D201" i="6"/>
  <c r="A203" i="6" l="1"/>
  <c r="D202" i="6"/>
  <c r="A204" i="6" l="1"/>
  <c r="D203" i="6"/>
  <c r="A205" i="6" l="1"/>
  <c r="D204" i="6"/>
  <c r="A206" i="6" l="1"/>
  <c r="D205" i="6"/>
  <c r="A207" i="6" l="1"/>
  <c r="D206" i="6"/>
  <c r="A208" i="6" l="1"/>
  <c r="D207" i="6"/>
  <c r="A209" i="6" l="1"/>
  <c r="D208" i="6"/>
  <c r="A210" i="6" l="1"/>
  <c r="D209" i="6"/>
  <c r="A211" i="6" l="1"/>
  <c r="D210" i="6"/>
  <c r="A212" i="6" l="1"/>
  <c r="D211" i="6"/>
  <c r="A213" i="6" l="1"/>
  <c r="D212" i="6"/>
  <c r="A214" i="6" l="1"/>
  <c r="D213" i="6"/>
  <c r="A215" i="6" l="1"/>
  <c r="D214" i="6"/>
  <c r="A216" i="6" l="1"/>
  <c r="D215" i="6"/>
  <c r="A217" i="6" l="1"/>
  <c r="D216" i="6"/>
  <c r="A218" i="6" l="1"/>
  <c r="D217" i="6"/>
  <c r="A219" i="6" l="1"/>
  <c r="D218" i="6"/>
  <c r="A220" i="6" l="1"/>
  <c r="D219" i="6"/>
  <c r="A221" i="6" l="1"/>
  <c r="D220" i="6"/>
  <c r="A222" i="6" l="1"/>
  <c r="D221" i="6"/>
  <c r="A223" i="6" l="1"/>
  <c r="D222" i="6"/>
  <c r="A224" i="6" l="1"/>
  <c r="D223" i="6"/>
  <c r="A225" i="6" l="1"/>
  <c r="D224" i="6"/>
  <c r="A226" i="6" l="1"/>
  <c r="D225" i="6"/>
  <c r="A227" i="6" l="1"/>
  <c r="D226" i="6"/>
  <c r="A228" i="6" l="1"/>
  <c r="D227" i="6"/>
  <c r="A229" i="6" l="1"/>
  <c r="D228" i="6"/>
  <c r="A230" i="6" l="1"/>
  <c r="D229" i="6"/>
  <c r="A231" i="6" l="1"/>
  <c r="D230" i="6"/>
  <c r="A232" i="6" l="1"/>
  <c r="D231" i="6"/>
  <c r="A233" i="6" l="1"/>
  <c r="D232" i="6"/>
  <c r="A234" i="6" l="1"/>
  <c r="D233" i="6"/>
  <c r="A235" i="6" l="1"/>
  <c r="D234" i="6"/>
  <c r="A236" i="6" l="1"/>
  <c r="D235" i="6"/>
  <c r="A237" i="6" l="1"/>
  <c r="D236" i="6"/>
  <c r="A238" i="6" l="1"/>
  <c r="D237" i="6"/>
  <c r="A239" i="6" l="1"/>
  <c r="D238" i="6"/>
  <c r="A240" i="6" l="1"/>
  <c r="D239" i="6"/>
  <c r="A241" i="6" l="1"/>
  <c r="D240" i="6"/>
  <c r="D241" i="6" l="1"/>
  <c r="A242" i="6"/>
  <c r="D242" i="6" l="1"/>
  <c r="A243" i="6"/>
  <c r="D243" i="6" l="1"/>
  <c r="A244" i="6"/>
  <c r="D244" i="6" l="1"/>
  <c r="A245" i="6"/>
  <c r="D245" i="6" l="1"/>
  <c r="A246" i="6"/>
  <c r="D246" i="6" l="1"/>
  <c r="A247" i="6"/>
  <c r="D247" i="6" l="1"/>
  <c r="A248" i="6"/>
  <c r="D248" i="6" l="1"/>
  <c r="A249" i="6"/>
  <c r="D249" i="6" l="1"/>
  <c r="A250" i="6"/>
  <c r="D250" i="6" l="1"/>
  <c r="A251" i="6"/>
  <c r="D251" i="6" l="1"/>
  <c r="A252" i="6"/>
  <c r="D252" i="6" l="1"/>
  <c r="A253" i="6"/>
  <c r="D253" i="6" l="1"/>
  <c r="A254" i="6"/>
  <c r="D254" i="6" l="1"/>
  <c r="A255" i="6"/>
  <c r="D255" i="6" l="1"/>
  <c r="A256" i="6"/>
  <c r="D256" i="6" l="1"/>
  <c r="A257" i="6"/>
  <c r="D257" i="6" l="1"/>
  <c r="A258" i="6"/>
  <c r="A259" i="6" l="1"/>
  <c r="D258" i="6"/>
  <c r="A260" i="6" l="1"/>
  <c r="D259" i="6"/>
  <c r="A261" i="6" l="1"/>
  <c r="D260" i="6"/>
  <c r="A262" i="6" l="1"/>
  <c r="D261" i="6"/>
  <c r="A263" i="6" l="1"/>
  <c r="D262" i="6"/>
  <c r="A264" i="6" l="1"/>
  <c r="D263" i="6"/>
  <c r="A265" i="6" l="1"/>
  <c r="D264" i="6"/>
  <c r="A266" i="6" l="1"/>
  <c r="D265" i="6"/>
  <c r="A267" i="6" l="1"/>
  <c r="D266" i="6"/>
  <c r="A268" i="6" l="1"/>
  <c r="D267" i="6"/>
  <c r="A269" i="6" l="1"/>
  <c r="D268" i="6"/>
  <c r="A270" i="6" l="1"/>
  <c r="D269" i="6"/>
  <c r="A271" i="6" l="1"/>
  <c r="D270" i="6"/>
  <c r="A272" i="6" l="1"/>
  <c r="D271" i="6"/>
  <c r="A273" i="6" l="1"/>
  <c r="D272" i="6"/>
  <c r="A274" i="6" l="1"/>
  <c r="D273" i="6"/>
  <c r="A275" i="6" l="1"/>
  <c r="D274" i="6"/>
  <c r="A276" i="6" l="1"/>
  <c r="D275" i="6"/>
  <c r="A277" i="6" l="1"/>
  <c r="D276" i="6"/>
  <c r="A278" i="6" l="1"/>
  <c r="D277" i="6"/>
  <c r="A279" i="6" l="1"/>
  <c r="D278" i="6"/>
  <c r="A280" i="6" l="1"/>
  <c r="D279" i="6"/>
  <c r="A281" i="6" l="1"/>
  <c r="D280" i="6"/>
  <c r="A282" i="6" l="1"/>
  <c r="D281" i="6"/>
  <c r="A283" i="6" l="1"/>
  <c r="D282" i="6"/>
  <c r="A284" i="6" l="1"/>
  <c r="D283" i="6"/>
  <c r="A285" i="6" l="1"/>
  <c r="D284" i="6"/>
  <c r="A286" i="6" l="1"/>
  <c r="D285" i="6"/>
  <c r="A287" i="6" l="1"/>
  <c r="D286" i="6"/>
  <c r="A288" i="6" l="1"/>
  <c r="D287" i="6"/>
  <c r="A289" i="6" l="1"/>
  <c r="D288" i="6"/>
  <c r="A290" i="6" l="1"/>
  <c r="D289" i="6"/>
  <c r="A291" i="6" l="1"/>
  <c r="D290" i="6"/>
  <c r="A292" i="6" l="1"/>
  <c r="D291" i="6"/>
  <c r="A293" i="6" l="1"/>
  <c r="D292" i="6"/>
  <c r="A294" i="6" l="1"/>
  <c r="D293" i="6"/>
  <c r="A295" i="6" l="1"/>
  <c r="D294" i="6"/>
  <c r="A296" i="6" l="1"/>
  <c r="D295" i="6"/>
  <c r="A297" i="6" l="1"/>
  <c r="D296" i="6"/>
  <c r="A298" i="6" l="1"/>
  <c r="D297" i="6"/>
  <c r="A299" i="6" l="1"/>
  <c r="D298" i="6"/>
  <c r="A300" i="6" l="1"/>
  <c r="D299" i="6"/>
  <c r="A301" i="6" l="1"/>
  <c r="D300" i="6"/>
  <c r="A302" i="6" l="1"/>
  <c r="D301" i="6"/>
  <c r="A303" i="6" l="1"/>
  <c r="D302" i="6"/>
  <c r="A304" i="6" l="1"/>
  <c r="D303" i="6"/>
  <c r="A305" i="6" l="1"/>
  <c r="D304" i="6"/>
  <c r="A306" i="6" l="1"/>
  <c r="D305" i="6"/>
  <c r="A307" i="6" l="1"/>
  <c r="D306" i="6"/>
  <c r="A308" i="6" l="1"/>
  <c r="D307" i="6"/>
  <c r="A309" i="6" l="1"/>
  <c r="D308" i="6"/>
  <c r="A310" i="6" l="1"/>
  <c r="D309" i="6"/>
  <c r="A311" i="6" l="1"/>
  <c r="D310" i="6"/>
  <c r="A312" i="6" l="1"/>
  <c r="D311" i="6"/>
  <c r="A313" i="6" l="1"/>
  <c r="D312" i="6"/>
  <c r="A314" i="6" l="1"/>
  <c r="D313" i="6"/>
  <c r="A315" i="6" l="1"/>
  <c r="D314" i="6"/>
  <c r="A316" i="6" l="1"/>
  <c r="D315" i="6"/>
  <c r="A317" i="6" l="1"/>
  <c r="D316" i="6"/>
  <c r="A318" i="6" l="1"/>
  <c r="D317" i="6"/>
  <c r="A319" i="6" l="1"/>
  <c r="D318" i="6"/>
  <c r="A320" i="6" l="1"/>
  <c r="D319" i="6"/>
  <c r="A321" i="6" l="1"/>
  <c r="D320" i="6"/>
  <c r="A322" i="6" l="1"/>
  <c r="D321" i="6"/>
  <c r="A323" i="6" l="1"/>
  <c r="D322" i="6"/>
  <c r="A324" i="6" l="1"/>
  <c r="D323" i="6"/>
  <c r="A325" i="6" l="1"/>
  <c r="D324" i="6"/>
  <c r="A326" i="6" l="1"/>
  <c r="D325" i="6"/>
  <c r="A327" i="6" l="1"/>
  <c r="D326" i="6"/>
  <c r="A328" i="6" l="1"/>
  <c r="D327" i="6"/>
  <c r="A329" i="6" l="1"/>
  <c r="D328" i="6"/>
  <c r="A330" i="6" l="1"/>
  <c r="D329" i="6"/>
  <c r="A331" i="6" l="1"/>
  <c r="D330" i="6"/>
  <c r="A332" i="6" l="1"/>
  <c r="D331" i="6"/>
  <c r="A333" i="6" l="1"/>
  <c r="D332" i="6"/>
  <c r="A334" i="6" l="1"/>
  <c r="D333" i="6"/>
  <c r="A335" i="6" l="1"/>
  <c r="D334" i="6"/>
  <c r="A336" i="6" l="1"/>
  <c r="D335" i="6"/>
  <c r="A337" i="6" l="1"/>
  <c r="D336" i="6"/>
  <c r="A338" i="6" l="1"/>
  <c r="D337" i="6"/>
  <c r="A339" i="6" l="1"/>
  <c r="D338" i="6"/>
  <c r="A340" i="6" l="1"/>
  <c r="D339" i="6"/>
  <c r="A341" i="6" l="1"/>
  <c r="D340" i="6"/>
  <c r="A342" i="6" l="1"/>
  <c r="D341" i="6"/>
  <c r="A343" i="6" l="1"/>
  <c r="D342" i="6"/>
  <c r="D343" i="6" l="1"/>
  <c r="A344" i="6"/>
  <c r="A345" i="6" l="1"/>
  <c r="D344" i="6"/>
  <c r="A346" i="6" l="1"/>
  <c r="D345" i="6"/>
  <c r="A347" i="6" l="1"/>
  <c r="D346" i="6"/>
  <c r="A348" i="6" l="1"/>
  <c r="D347" i="6"/>
  <c r="A349" i="6" l="1"/>
  <c r="D348" i="6"/>
  <c r="A350" i="6" l="1"/>
  <c r="D349" i="6"/>
  <c r="A351" i="6" l="1"/>
  <c r="D350" i="6"/>
  <c r="A352" i="6" l="1"/>
  <c r="D351" i="6"/>
  <c r="A353" i="6" l="1"/>
  <c r="D352" i="6"/>
  <c r="A354" i="6" l="1"/>
  <c r="D353" i="6"/>
  <c r="A355" i="6" l="1"/>
  <c r="D354" i="6"/>
  <c r="A356" i="6" l="1"/>
  <c r="D355" i="6"/>
  <c r="A357" i="6" l="1"/>
  <c r="D356" i="6"/>
  <c r="A358" i="6" l="1"/>
  <c r="D357" i="6"/>
  <c r="A359" i="6" l="1"/>
  <c r="D358" i="6"/>
  <c r="A360" i="6" l="1"/>
  <c r="D359" i="6"/>
  <c r="A361" i="6" l="1"/>
  <c r="D360" i="6"/>
  <c r="A362" i="6" l="1"/>
  <c r="D361" i="6"/>
  <c r="A363" i="6" l="1"/>
  <c r="D362" i="6"/>
  <c r="A364" i="6" l="1"/>
  <c r="D363" i="6"/>
  <c r="A365" i="6" l="1"/>
  <c r="D364" i="6"/>
  <c r="A366" i="6" l="1"/>
  <c r="D365" i="6"/>
  <c r="A367" i="6" l="1"/>
  <c r="D366" i="6"/>
  <c r="A368" i="6" l="1"/>
  <c r="D367" i="6"/>
  <c r="A369" i="6" l="1"/>
  <c r="D368" i="6"/>
  <c r="A370" i="6" l="1"/>
  <c r="D369" i="6"/>
  <c r="A371" i="6" l="1"/>
  <c r="D370" i="6"/>
  <c r="A372" i="6" l="1"/>
  <c r="D371" i="6"/>
  <c r="A373" i="6" l="1"/>
  <c r="D372" i="6"/>
  <c r="A374" i="6" l="1"/>
  <c r="D373" i="6"/>
  <c r="A375" i="6" l="1"/>
  <c r="D374" i="6"/>
  <c r="A376" i="6" l="1"/>
  <c r="D375" i="6"/>
  <c r="A377" i="6" l="1"/>
  <c r="D376" i="6"/>
  <c r="A378" i="6" l="1"/>
  <c r="D377" i="6"/>
  <c r="A379" i="6" l="1"/>
  <c r="D378" i="6"/>
  <c r="A380" i="6" l="1"/>
  <c r="D379" i="6"/>
  <c r="A381" i="6" l="1"/>
  <c r="D380" i="6"/>
  <c r="A382" i="6" l="1"/>
  <c r="D381" i="6"/>
  <c r="A383" i="6" l="1"/>
  <c r="D382" i="6"/>
  <c r="A384" i="6" l="1"/>
  <c r="D383" i="6"/>
  <c r="A385" i="6" l="1"/>
  <c r="D384" i="6"/>
  <c r="A386" i="6" l="1"/>
  <c r="D385" i="6"/>
  <c r="A387" i="6" l="1"/>
  <c r="D386" i="6"/>
  <c r="A388" i="6" l="1"/>
  <c r="D387" i="6"/>
  <c r="A389" i="6" l="1"/>
  <c r="D388" i="6"/>
  <c r="A390" i="6" l="1"/>
  <c r="D389" i="6"/>
  <c r="A391" i="6" l="1"/>
  <c r="D390" i="6"/>
  <c r="A392" i="6" l="1"/>
  <c r="D391" i="6"/>
  <c r="A393" i="6" l="1"/>
  <c r="D392" i="6"/>
  <c r="A394" i="6" l="1"/>
  <c r="D393" i="6"/>
  <c r="A395" i="6" l="1"/>
  <c r="D394" i="6"/>
  <c r="A396" i="6" l="1"/>
  <c r="D395" i="6"/>
  <c r="A397" i="6" l="1"/>
  <c r="D396" i="6"/>
  <c r="A398" i="6" l="1"/>
  <c r="D397" i="6"/>
  <c r="A399" i="6" l="1"/>
  <c r="D398" i="6"/>
  <c r="A400" i="6" l="1"/>
  <c r="D399" i="6"/>
  <c r="A401" i="6" l="1"/>
  <c r="D400" i="6"/>
  <c r="A402" i="6" l="1"/>
  <c r="D401" i="6"/>
  <c r="D402" i="6" l="1"/>
  <c r="A403" i="6"/>
  <c r="A404" i="6" l="1"/>
  <c r="D403" i="6"/>
  <c r="A405" i="6" l="1"/>
  <c r="D404" i="6"/>
  <c r="A406" i="6" l="1"/>
  <c r="D405" i="6"/>
  <c r="A407" i="6" l="1"/>
  <c r="D406" i="6"/>
  <c r="A408" i="6" l="1"/>
  <c r="D407" i="6"/>
  <c r="A409" i="6" l="1"/>
  <c r="D408" i="6"/>
  <c r="A410" i="6" l="1"/>
  <c r="D409" i="6"/>
  <c r="A411" i="6" l="1"/>
  <c r="D410" i="6"/>
  <c r="A412" i="6" l="1"/>
  <c r="D411" i="6"/>
  <c r="A413" i="6" l="1"/>
  <c r="D412" i="6"/>
  <c r="A414" i="6" l="1"/>
  <c r="D413" i="6"/>
  <c r="A415" i="6" l="1"/>
  <c r="D414" i="6"/>
  <c r="A416" i="6" l="1"/>
  <c r="D415" i="6"/>
  <c r="A417" i="6" l="1"/>
  <c r="D416" i="6"/>
  <c r="A418" i="6" l="1"/>
  <c r="D417" i="6"/>
  <c r="A419" i="6" l="1"/>
  <c r="D418" i="6"/>
  <c r="A420" i="6" l="1"/>
  <c r="D419" i="6"/>
  <c r="A421" i="6" l="1"/>
  <c r="D420" i="6"/>
  <c r="A422" i="6" l="1"/>
  <c r="D421" i="6"/>
  <c r="A423" i="6" l="1"/>
  <c r="D422" i="6"/>
  <c r="A424" i="6" l="1"/>
  <c r="D423" i="6"/>
  <c r="A425" i="6" l="1"/>
  <c r="D424" i="6"/>
  <c r="A426" i="6" l="1"/>
  <c r="D425" i="6"/>
  <c r="A427" i="6" l="1"/>
  <c r="D426" i="6"/>
  <c r="A428" i="6" l="1"/>
  <c r="D427" i="6"/>
  <c r="A429" i="6" l="1"/>
  <c r="D428" i="6"/>
  <c r="A430" i="6" l="1"/>
  <c r="D429" i="6"/>
  <c r="A431" i="6" l="1"/>
  <c r="D430" i="6"/>
  <c r="A432" i="6" l="1"/>
  <c r="D431" i="6"/>
  <c r="A433" i="6" l="1"/>
  <c r="D432" i="6"/>
  <c r="A434" i="6" l="1"/>
  <c r="D433" i="6"/>
  <c r="A435" i="6" l="1"/>
  <c r="D434" i="6"/>
  <c r="A436" i="6" l="1"/>
  <c r="D435" i="6"/>
  <c r="A437" i="6" l="1"/>
  <c r="D436" i="6"/>
  <c r="A438" i="6" l="1"/>
  <c r="D437" i="6"/>
  <c r="A439" i="6" l="1"/>
  <c r="D438" i="6"/>
  <c r="A440" i="6" l="1"/>
  <c r="D439" i="6"/>
  <c r="A441" i="6" l="1"/>
  <c r="D440" i="6"/>
  <c r="A442" i="6" l="1"/>
  <c r="D441" i="6"/>
  <c r="A443" i="6" l="1"/>
  <c r="D442" i="6"/>
  <c r="A444" i="6" l="1"/>
  <c r="D443" i="6"/>
  <c r="A445" i="6" l="1"/>
  <c r="D444" i="6"/>
  <c r="A446" i="6" l="1"/>
  <c r="D445" i="6"/>
  <c r="A447" i="6" l="1"/>
  <c r="D446" i="6"/>
  <c r="A448" i="6" l="1"/>
  <c r="D447" i="6"/>
  <c r="A449" i="6" l="1"/>
  <c r="D448" i="6"/>
  <c r="A450" i="6" l="1"/>
  <c r="D449" i="6"/>
  <c r="A451" i="6" l="1"/>
  <c r="D450" i="6"/>
  <c r="A452" i="6" l="1"/>
  <c r="D451" i="6"/>
  <c r="A453" i="6" l="1"/>
  <c r="D452" i="6"/>
  <c r="A454" i="6" l="1"/>
  <c r="D453" i="6"/>
  <c r="A455" i="6" l="1"/>
  <c r="D454" i="6"/>
  <c r="A456" i="6" l="1"/>
  <c r="D455" i="6"/>
  <c r="A457" i="6" l="1"/>
  <c r="D456" i="6"/>
  <c r="A458" i="6" l="1"/>
  <c r="D457" i="6"/>
  <c r="A459" i="6" l="1"/>
  <c r="D458" i="6"/>
  <c r="A460" i="6" l="1"/>
  <c r="D459" i="6"/>
  <c r="D460" i="6" l="1"/>
  <c r="A461" i="6"/>
  <c r="A462" i="6" l="1"/>
  <c r="D461" i="6"/>
  <c r="A463" i="6" l="1"/>
  <c r="D462" i="6"/>
  <c r="A464" i="6" l="1"/>
  <c r="D463" i="6"/>
  <c r="A465" i="6" l="1"/>
  <c r="D464" i="6"/>
  <c r="A466" i="6" l="1"/>
  <c r="D465" i="6"/>
  <c r="A467" i="6" l="1"/>
  <c r="D466" i="6"/>
  <c r="A468" i="6" l="1"/>
  <c r="D467" i="6"/>
  <c r="A469" i="6" l="1"/>
  <c r="D468" i="6"/>
  <c r="A470" i="6" l="1"/>
  <c r="D469" i="6"/>
  <c r="A471" i="6" l="1"/>
  <c r="D470" i="6"/>
  <c r="A472" i="6" l="1"/>
  <c r="D471" i="6"/>
  <c r="A473" i="6" l="1"/>
  <c r="D472" i="6"/>
  <c r="A474" i="6" l="1"/>
  <c r="D473" i="6"/>
  <c r="A475" i="6" l="1"/>
  <c r="D474" i="6"/>
  <c r="A476" i="6" l="1"/>
  <c r="D475" i="6"/>
  <c r="A477" i="6" l="1"/>
  <c r="D476" i="6"/>
  <c r="A478" i="6" l="1"/>
  <c r="D477" i="6"/>
  <c r="A479" i="6" l="1"/>
  <c r="D478" i="6"/>
  <c r="A480" i="6" l="1"/>
  <c r="D479" i="6"/>
  <c r="A481" i="6" l="1"/>
  <c r="D480" i="6"/>
  <c r="A482" i="6" l="1"/>
  <c r="D481" i="6"/>
  <c r="A483" i="6" l="1"/>
  <c r="D482" i="6"/>
  <c r="A484" i="6" l="1"/>
  <c r="D483" i="6"/>
  <c r="A485" i="6" l="1"/>
  <c r="D484" i="6"/>
  <c r="A486" i="6" l="1"/>
  <c r="D485" i="6"/>
  <c r="A487" i="6" l="1"/>
  <c r="D486" i="6"/>
  <c r="A488" i="6" l="1"/>
  <c r="D487" i="6"/>
  <c r="A489" i="6" l="1"/>
  <c r="D488" i="6"/>
  <c r="A490" i="6" l="1"/>
  <c r="D489" i="6"/>
  <c r="A491" i="6" l="1"/>
  <c r="D490" i="6"/>
  <c r="A492" i="6" l="1"/>
  <c r="D491" i="6"/>
  <c r="A493" i="6" l="1"/>
  <c r="D492" i="6"/>
  <c r="A494" i="6" l="1"/>
  <c r="D493" i="6"/>
  <c r="A495" i="6" l="1"/>
  <c r="D494" i="6"/>
  <c r="A496" i="6" l="1"/>
  <c r="D495" i="6"/>
  <c r="A497" i="6" l="1"/>
  <c r="D496" i="6"/>
  <c r="A498" i="6" l="1"/>
  <c r="D497" i="6"/>
  <c r="A499" i="6" l="1"/>
  <c r="D498" i="6"/>
  <c r="A500" i="6" l="1"/>
  <c r="D499" i="6"/>
  <c r="A501" i="6" l="1"/>
  <c r="D500" i="6"/>
  <c r="A502" i="6" l="1"/>
  <c r="D501" i="6"/>
  <c r="A503" i="6" l="1"/>
  <c r="D502" i="6"/>
  <c r="A504" i="6" l="1"/>
  <c r="D503" i="6"/>
  <c r="A505" i="6" l="1"/>
  <c r="D504" i="6"/>
  <c r="A506" i="6" l="1"/>
  <c r="D505" i="6"/>
  <c r="A507" i="6" l="1"/>
  <c r="D506" i="6"/>
  <c r="A508" i="6" l="1"/>
  <c r="D507" i="6"/>
  <c r="A509" i="6" l="1"/>
  <c r="D508" i="6"/>
  <c r="A510" i="6" l="1"/>
  <c r="D509" i="6"/>
  <c r="A511" i="6" l="1"/>
  <c r="D510" i="6"/>
  <c r="A512" i="6" l="1"/>
  <c r="D511" i="6"/>
  <c r="A513" i="6" l="1"/>
  <c r="D512" i="6"/>
  <c r="A514" i="6" l="1"/>
  <c r="D513" i="6"/>
  <c r="A515" i="6" l="1"/>
  <c r="D514" i="6"/>
  <c r="A516" i="6" l="1"/>
  <c r="D515" i="6"/>
  <c r="A517" i="6" l="1"/>
  <c r="D516" i="6"/>
  <c r="A518" i="6" l="1"/>
  <c r="D517" i="6"/>
  <c r="A519" i="6" l="1"/>
  <c r="D518" i="6"/>
  <c r="A520" i="6" l="1"/>
  <c r="D519" i="6"/>
  <c r="A521" i="6" l="1"/>
  <c r="D520" i="6"/>
  <c r="A522" i="6" l="1"/>
  <c r="D521" i="6"/>
  <c r="A523" i="6" l="1"/>
  <c r="D522" i="6"/>
  <c r="A524" i="6" l="1"/>
  <c r="D523" i="6"/>
  <c r="A525" i="6" l="1"/>
  <c r="D524" i="6"/>
  <c r="A526" i="6" l="1"/>
  <c r="D525" i="6"/>
  <c r="A527" i="6" l="1"/>
  <c r="D526" i="6"/>
  <c r="A528" i="6" l="1"/>
  <c r="D527" i="6"/>
  <c r="A529" i="6" l="1"/>
  <c r="D528" i="6"/>
  <c r="A530" i="6" l="1"/>
  <c r="D529" i="6"/>
  <c r="A531" i="6" l="1"/>
  <c r="D530" i="6"/>
  <c r="A532" i="6" l="1"/>
  <c r="D531" i="6"/>
  <c r="A533" i="6" l="1"/>
  <c r="D532" i="6"/>
  <c r="A534" i="6" l="1"/>
  <c r="D533" i="6"/>
  <c r="A535" i="6" l="1"/>
  <c r="D534" i="6"/>
  <c r="A536" i="6" l="1"/>
  <c r="D535" i="6"/>
  <c r="A537" i="6" l="1"/>
  <c r="D536" i="6"/>
  <c r="A538" i="6" l="1"/>
  <c r="D537" i="6"/>
  <c r="A539" i="6" l="1"/>
  <c r="D538" i="6"/>
  <c r="A540" i="6" l="1"/>
  <c r="D539" i="6"/>
  <c r="A541" i="6" l="1"/>
  <c r="D540" i="6"/>
  <c r="A542" i="6" l="1"/>
  <c r="D541" i="6"/>
  <c r="A543" i="6" l="1"/>
  <c r="D542" i="6"/>
  <c r="A544" i="6" l="1"/>
  <c r="D543" i="6"/>
  <c r="A545" i="6" l="1"/>
  <c r="D544" i="6"/>
  <c r="A546" i="6" l="1"/>
  <c r="D545" i="6"/>
  <c r="A547" i="6" l="1"/>
  <c r="D546" i="6"/>
  <c r="A548" i="6" l="1"/>
  <c r="D547" i="6"/>
  <c r="A549" i="6" l="1"/>
  <c r="D548" i="6"/>
  <c r="A550" i="6" l="1"/>
  <c r="D549" i="6"/>
  <c r="A551" i="6" l="1"/>
  <c r="D550" i="6"/>
  <c r="A552" i="6" l="1"/>
  <c r="D551" i="6"/>
  <c r="A553" i="6" l="1"/>
  <c r="D552" i="6"/>
  <c r="A554" i="6" l="1"/>
  <c r="D553" i="6"/>
  <c r="A555" i="6" l="1"/>
  <c r="D554" i="6"/>
  <c r="A556" i="6" l="1"/>
  <c r="D555" i="6"/>
  <c r="A557" i="6" l="1"/>
  <c r="D556" i="6"/>
  <c r="A558" i="6" l="1"/>
  <c r="D557" i="6"/>
  <c r="A559" i="6" l="1"/>
  <c r="D558" i="6"/>
  <c r="A560" i="6" l="1"/>
  <c r="D559" i="6"/>
  <c r="A561" i="6" l="1"/>
  <c r="D560" i="6"/>
  <c r="A562" i="6" l="1"/>
  <c r="D561" i="6"/>
  <c r="A563" i="6" l="1"/>
  <c r="D562" i="6"/>
  <c r="A564" i="6" l="1"/>
  <c r="D563" i="6"/>
  <c r="A565" i="6" l="1"/>
  <c r="D564" i="6"/>
  <c r="A566" i="6" l="1"/>
  <c r="D565" i="6"/>
  <c r="A567" i="6" l="1"/>
  <c r="D566" i="6"/>
  <c r="A568" i="6" l="1"/>
  <c r="D567" i="6"/>
  <c r="A569" i="6" l="1"/>
  <c r="D568" i="6"/>
  <c r="A570" i="6" l="1"/>
  <c r="D569" i="6"/>
  <c r="A571" i="6" l="1"/>
  <c r="D570" i="6"/>
  <c r="A572" i="6" l="1"/>
  <c r="D571" i="6"/>
  <c r="A573" i="6" l="1"/>
  <c r="D572" i="6"/>
  <c r="A574" i="6" l="1"/>
  <c r="D573" i="6"/>
  <c r="A575" i="6" l="1"/>
  <c r="D574" i="6"/>
  <c r="A576" i="6" l="1"/>
  <c r="D575" i="6"/>
  <c r="A577" i="6" l="1"/>
  <c r="D576" i="6"/>
  <c r="A578" i="6" l="1"/>
  <c r="D577" i="6"/>
  <c r="A579" i="6" l="1"/>
  <c r="D578" i="6"/>
  <c r="A580" i="6" l="1"/>
  <c r="D579" i="6"/>
  <c r="A581" i="6" l="1"/>
  <c r="D580" i="6"/>
  <c r="A582" i="6" l="1"/>
  <c r="D581" i="6"/>
  <c r="A583" i="6" l="1"/>
  <c r="D582" i="6"/>
  <c r="A584" i="6" l="1"/>
  <c r="D583" i="6"/>
  <c r="A585" i="6" l="1"/>
  <c r="D584" i="6"/>
  <c r="A586" i="6" l="1"/>
  <c r="D585" i="6"/>
  <c r="A587" i="6" l="1"/>
  <c r="D586" i="6"/>
  <c r="A588" i="6" l="1"/>
  <c r="D587" i="6"/>
  <c r="A589" i="6" l="1"/>
  <c r="D588" i="6"/>
  <c r="A590" i="6" l="1"/>
  <c r="D589" i="6"/>
  <c r="A591" i="6" l="1"/>
  <c r="D590" i="6"/>
  <c r="A592" i="6" l="1"/>
  <c r="D591" i="6"/>
  <c r="A593" i="6" l="1"/>
  <c r="D592" i="6"/>
  <c r="A594" i="6" l="1"/>
  <c r="D593" i="6"/>
  <c r="A595" i="6" l="1"/>
  <c r="D594" i="6"/>
  <c r="A596" i="6" l="1"/>
  <c r="D595" i="6"/>
  <c r="A597" i="6" l="1"/>
  <c r="D596" i="6"/>
  <c r="A598" i="6" l="1"/>
  <c r="D597" i="6"/>
  <c r="A599" i="6" l="1"/>
  <c r="D598" i="6"/>
  <c r="A600" i="6" l="1"/>
  <c r="D599" i="6"/>
  <c r="A601" i="6" l="1"/>
  <c r="D600" i="6"/>
  <c r="A602" i="6" l="1"/>
  <c r="D601" i="6"/>
  <c r="A603" i="6" l="1"/>
  <c r="D602" i="6"/>
  <c r="A604" i="6" l="1"/>
  <c r="D603" i="6"/>
  <c r="A605" i="6" l="1"/>
  <c r="D604" i="6"/>
  <c r="A606" i="6" l="1"/>
  <c r="D605" i="6"/>
  <c r="A607" i="6" l="1"/>
  <c r="D606" i="6"/>
  <c r="A608" i="6" l="1"/>
  <c r="D607" i="6"/>
  <c r="A609" i="6" l="1"/>
  <c r="D608" i="6"/>
  <c r="A610" i="6" l="1"/>
  <c r="D609" i="6"/>
  <c r="A611" i="6" l="1"/>
  <c r="D610" i="6"/>
  <c r="A612" i="6" l="1"/>
  <c r="D611" i="6"/>
  <c r="A613" i="6" l="1"/>
  <c r="D612" i="6"/>
  <c r="A614" i="6" l="1"/>
  <c r="D613" i="6"/>
  <c r="A615" i="6" l="1"/>
  <c r="D614" i="6"/>
  <c r="A616" i="6" l="1"/>
  <c r="D615" i="6"/>
  <c r="A617" i="6" l="1"/>
  <c r="D616" i="6"/>
  <c r="A618" i="6" l="1"/>
  <c r="D617" i="6"/>
  <c r="A619" i="6" l="1"/>
  <c r="D618" i="6"/>
  <c r="A620" i="6" l="1"/>
  <c r="D619" i="6"/>
  <c r="A621" i="6" l="1"/>
  <c r="D620" i="6"/>
  <c r="A622" i="6" l="1"/>
  <c r="D621" i="6"/>
  <c r="A623" i="6" l="1"/>
  <c r="D622" i="6"/>
  <c r="D623" i="6" l="1"/>
  <c r="A624" i="6"/>
  <c r="A625" i="6" l="1"/>
  <c r="D624" i="6"/>
  <c r="A626" i="6" l="1"/>
  <c r="D625" i="6"/>
  <c r="A627" i="6" l="1"/>
  <c r="D626" i="6"/>
  <c r="A628" i="6" l="1"/>
  <c r="D627" i="6"/>
  <c r="A629" i="6" l="1"/>
  <c r="D628" i="6"/>
  <c r="A630" i="6" l="1"/>
  <c r="D629" i="6"/>
  <c r="A631" i="6" l="1"/>
  <c r="D630" i="6"/>
  <c r="A632" i="6" l="1"/>
  <c r="D631" i="6"/>
  <c r="A633" i="6" l="1"/>
  <c r="D632" i="6"/>
  <c r="A634" i="6" l="1"/>
  <c r="D633" i="6"/>
  <c r="A635" i="6" l="1"/>
  <c r="D634" i="6"/>
  <c r="A636" i="6" l="1"/>
  <c r="D635" i="6"/>
  <c r="A637" i="6" l="1"/>
  <c r="D636" i="6"/>
  <c r="A638" i="6" l="1"/>
  <c r="D637" i="6"/>
  <c r="A639" i="6" l="1"/>
  <c r="D638" i="6"/>
  <c r="A640" i="6" l="1"/>
  <c r="D639" i="6"/>
  <c r="A641" i="6" l="1"/>
  <c r="D640" i="6"/>
  <c r="A642" i="6" l="1"/>
  <c r="D641" i="6"/>
  <c r="A643" i="6" l="1"/>
  <c r="D642" i="6"/>
  <c r="A644" i="6" l="1"/>
  <c r="D643" i="6"/>
  <c r="A645" i="6" l="1"/>
  <c r="D644" i="6"/>
  <c r="A646" i="6" l="1"/>
  <c r="D645" i="6"/>
  <c r="A647" i="6" l="1"/>
  <c r="D646" i="6"/>
  <c r="A648" i="6" l="1"/>
  <c r="D647" i="6"/>
  <c r="A649" i="6" l="1"/>
  <c r="D648" i="6"/>
  <c r="A650" i="6" l="1"/>
  <c r="D649" i="6"/>
  <c r="A651" i="6" l="1"/>
  <c r="D650" i="6"/>
  <c r="A652" i="6" l="1"/>
  <c r="D651" i="6"/>
  <c r="A653" i="6" l="1"/>
  <c r="D652" i="6"/>
  <c r="A654" i="6" l="1"/>
  <c r="D653" i="6"/>
  <c r="A655" i="6" l="1"/>
  <c r="D654" i="6"/>
  <c r="A656" i="6" l="1"/>
  <c r="D655" i="6"/>
  <c r="A657" i="6" l="1"/>
  <c r="D656" i="6"/>
  <c r="A658" i="6" l="1"/>
  <c r="D657" i="6"/>
  <c r="A659" i="6" l="1"/>
  <c r="D658" i="6"/>
  <c r="A660" i="6" l="1"/>
  <c r="D659" i="6"/>
  <c r="A661" i="6" l="1"/>
  <c r="D660" i="6"/>
  <c r="A662" i="6" l="1"/>
  <c r="D661" i="6"/>
  <c r="A663" i="6" l="1"/>
  <c r="D662" i="6"/>
  <c r="A664" i="6" l="1"/>
  <c r="D663" i="6"/>
  <c r="A665" i="6" l="1"/>
  <c r="D664" i="6"/>
  <c r="D665" i="6" l="1"/>
  <c r="A666" i="6"/>
  <c r="D666" i="6" l="1"/>
  <c r="A667" i="6"/>
  <c r="A668" i="6" l="1"/>
  <c r="D667" i="6"/>
  <c r="A669" i="6" l="1"/>
  <c r="D668" i="6"/>
  <c r="A670" i="6" l="1"/>
  <c r="D669" i="6"/>
  <c r="A671" i="6" l="1"/>
  <c r="D670" i="6"/>
  <c r="A672" i="6" l="1"/>
  <c r="D671" i="6"/>
  <c r="A673" i="6" l="1"/>
  <c r="D672" i="6"/>
  <c r="A674" i="6" l="1"/>
  <c r="D673" i="6"/>
  <c r="A675" i="6" l="1"/>
  <c r="D674" i="6"/>
  <c r="A676" i="6" l="1"/>
  <c r="D675" i="6"/>
  <c r="A677" i="6" l="1"/>
  <c r="D676" i="6"/>
  <c r="A678" i="6" l="1"/>
  <c r="D677" i="6"/>
  <c r="A679" i="6" l="1"/>
  <c r="D678" i="6"/>
  <c r="A680" i="6" l="1"/>
  <c r="D679" i="6"/>
  <c r="A681" i="6" l="1"/>
  <c r="D680" i="6"/>
  <c r="A682" i="6" l="1"/>
  <c r="D681" i="6"/>
  <c r="A683" i="6" l="1"/>
  <c r="D682" i="6"/>
  <c r="A684" i="6" l="1"/>
  <c r="D683" i="6"/>
  <c r="A685" i="6" l="1"/>
  <c r="D684" i="6"/>
  <c r="A686" i="6" l="1"/>
  <c r="D685" i="6"/>
  <c r="A687" i="6" l="1"/>
  <c r="D686" i="6"/>
  <c r="A688" i="6" l="1"/>
  <c r="D687" i="6"/>
  <c r="D688" i="6" l="1"/>
  <c r="A689" i="6"/>
  <c r="A690" i="6" l="1"/>
  <c r="D689" i="6"/>
  <c r="A691" i="6" l="1"/>
  <c r="D690" i="6"/>
  <c r="A692" i="6" l="1"/>
  <c r="D691" i="6"/>
  <c r="A693" i="6" l="1"/>
  <c r="D692" i="6"/>
  <c r="A694" i="6" l="1"/>
  <c r="D693" i="6"/>
  <c r="A695" i="6" l="1"/>
  <c r="D694" i="6"/>
  <c r="A696" i="6" l="1"/>
  <c r="D695" i="6"/>
  <c r="A697" i="6" l="1"/>
  <c r="D696" i="6"/>
  <c r="A698" i="6" l="1"/>
  <c r="D697" i="6"/>
  <c r="A699" i="6" l="1"/>
  <c r="D698" i="6"/>
  <c r="A700" i="6" l="1"/>
  <c r="D699" i="6"/>
  <c r="A701" i="6" l="1"/>
  <c r="D700" i="6"/>
  <c r="A702" i="6" l="1"/>
  <c r="D701" i="6"/>
  <c r="A703" i="6" l="1"/>
  <c r="D702" i="6"/>
  <c r="A704" i="6" l="1"/>
  <c r="D703" i="6"/>
  <c r="A705" i="6" l="1"/>
  <c r="D704" i="6"/>
  <c r="A706" i="6" l="1"/>
  <c r="D705" i="6"/>
  <c r="A707" i="6" l="1"/>
  <c r="D706" i="6"/>
  <c r="A708" i="6" l="1"/>
  <c r="D707" i="6"/>
  <c r="A709" i="6" l="1"/>
  <c r="D708" i="6"/>
  <c r="A710" i="6" l="1"/>
  <c r="D709" i="6"/>
  <c r="A711" i="6" l="1"/>
  <c r="D710" i="6"/>
  <c r="A712" i="6" l="1"/>
  <c r="D711" i="6"/>
  <c r="A713" i="6" l="1"/>
  <c r="D712" i="6"/>
  <c r="A714" i="6" l="1"/>
  <c r="D713" i="6"/>
  <c r="A715" i="6" l="1"/>
  <c r="D714" i="6"/>
  <c r="A716" i="6" l="1"/>
  <c r="D715" i="6"/>
  <c r="A717" i="6" l="1"/>
  <c r="D716" i="6"/>
  <c r="A718" i="6" l="1"/>
  <c r="D717" i="6"/>
  <c r="A719" i="6" l="1"/>
  <c r="D718" i="6"/>
  <c r="A720" i="6" l="1"/>
  <c r="D719" i="6"/>
  <c r="A721" i="6" l="1"/>
  <c r="D720" i="6"/>
  <c r="A722" i="6" l="1"/>
  <c r="D721" i="6"/>
  <c r="A723" i="6" l="1"/>
  <c r="D722" i="6"/>
  <c r="D723" i="6" l="1"/>
  <c r="A724" i="6"/>
  <c r="A725" i="6" l="1"/>
  <c r="D724" i="6"/>
  <c r="A726" i="6" l="1"/>
  <c r="D725" i="6"/>
  <c r="A727" i="6" l="1"/>
  <c r="D726" i="6"/>
  <c r="A728" i="6" l="1"/>
  <c r="D727" i="6"/>
  <c r="A729" i="6" l="1"/>
  <c r="D728" i="6"/>
  <c r="A730" i="6" l="1"/>
  <c r="D729" i="6"/>
  <c r="A731" i="6" l="1"/>
  <c r="D730" i="6"/>
  <c r="A732" i="6" l="1"/>
  <c r="D731" i="6"/>
  <c r="A733" i="6" l="1"/>
  <c r="D732" i="6"/>
  <c r="A734" i="6" l="1"/>
  <c r="D733" i="6"/>
  <c r="A735" i="6" l="1"/>
  <c r="D734" i="6"/>
  <c r="A736" i="6" l="1"/>
  <c r="D735" i="6"/>
  <c r="A737" i="6" l="1"/>
  <c r="D736" i="6"/>
  <c r="A738" i="6" l="1"/>
  <c r="D737" i="6"/>
  <c r="A739" i="6" l="1"/>
  <c r="D738" i="6"/>
  <c r="A740" i="6" l="1"/>
  <c r="D739" i="6"/>
  <c r="A741" i="6" l="1"/>
  <c r="D740" i="6"/>
  <c r="A742" i="6" l="1"/>
  <c r="D741" i="6"/>
  <c r="A743" i="6" l="1"/>
  <c r="D742" i="6"/>
  <c r="A744" i="6" l="1"/>
  <c r="D743" i="6"/>
  <c r="A745" i="6" l="1"/>
  <c r="D744" i="6"/>
  <c r="A746" i="6" l="1"/>
  <c r="D745" i="6"/>
  <c r="A747" i="6" l="1"/>
  <c r="D746" i="6"/>
  <c r="A748" i="6" l="1"/>
  <c r="D747" i="6"/>
  <c r="A749" i="6" l="1"/>
  <c r="D748" i="6"/>
  <c r="A750" i="6" l="1"/>
  <c r="D749" i="6"/>
  <c r="A751" i="6" l="1"/>
  <c r="D750" i="6"/>
  <c r="A752" i="6" l="1"/>
  <c r="D751" i="6"/>
  <c r="A753" i="6" l="1"/>
  <c r="D752" i="6"/>
  <c r="A754" i="6" l="1"/>
  <c r="D753" i="6"/>
  <c r="A755" i="6" l="1"/>
  <c r="D754" i="6"/>
  <c r="A756" i="6" l="1"/>
  <c r="D755" i="6"/>
  <c r="A757" i="6" l="1"/>
  <c r="D756" i="6"/>
  <c r="A758" i="6" l="1"/>
  <c r="D757" i="6"/>
  <c r="A759" i="6" l="1"/>
  <c r="D758" i="6"/>
  <c r="A760" i="6" l="1"/>
  <c r="D759" i="6"/>
  <c r="A761" i="6" l="1"/>
  <c r="D760" i="6"/>
  <c r="A762" i="6" l="1"/>
  <c r="D761" i="6"/>
  <c r="A763" i="6" l="1"/>
  <c r="D762" i="6"/>
  <c r="A764" i="6" l="1"/>
  <c r="D763" i="6"/>
  <c r="A765" i="6" l="1"/>
  <c r="D764" i="6"/>
  <c r="A766" i="6" l="1"/>
  <c r="D765" i="6"/>
  <c r="A767" i="6" l="1"/>
  <c r="D766" i="6"/>
  <c r="A768" i="6" l="1"/>
  <c r="D767" i="6"/>
  <c r="A769" i="6" l="1"/>
  <c r="D768" i="6"/>
  <c r="A770" i="6" l="1"/>
  <c r="D769" i="6"/>
  <c r="A771" i="6" l="1"/>
  <c r="D770" i="6"/>
  <c r="A772" i="6" l="1"/>
  <c r="D771" i="6"/>
  <c r="A773" i="6" l="1"/>
  <c r="D772" i="6"/>
  <c r="A774" i="6" l="1"/>
  <c r="D773" i="6"/>
  <c r="A775" i="6" l="1"/>
  <c r="D774" i="6"/>
  <c r="A776" i="6" l="1"/>
  <c r="D775" i="6"/>
  <c r="A777" i="6" l="1"/>
  <c r="D776" i="6"/>
  <c r="A778" i="6" l="1"/>
  <c r="D777" i="6"/>
  <c r="A779" i="6" l="1"/>
  <c r="D778" i="6"/>
  <c r="A780" i="6" l="1"/>
  <c r="D779" i="6"/>
  <c r="A781" i="6" l="1"/>
  <c r="D780" i="6"/>
  <c r="A782" i="6" l="1"/>
  <c r="D781" i="6"/>
  <c r="A783" i="6" l="1"/>
  <c r="D782" i="6"/>
  <c r="A784" i="6" l="1"/>
  <c r="D783" i="6"/>
  <c r="A785" i="6" l="1"/>
  <c r="D784" i="6"/>
  <c r="A786" i="6" l="1"/>
  <c r="D785" i="6"/>
  <c r="A787" i="6" l="1"/>
  <c r="D786" i="6"/>
  <c r="A788" i="6" l="1"/>
  <c r="D787" i="6"/>
  <c r="A789" i="6" l="1"/>
  <c r="D788" i="6"/>
  <c r="A790" i="6" l="1"/>
  <c r="D789" i="6"/>
  <c r="A791" i="6" l="1"/>
  <c r="D790" i="6"/>
  <c r="A792" i="6" l="1"/>
  <c r="D791" i="6"/>
  <c r="A793" i="6" l="1"/>
  <c r="D792" i="6"/>
  <c r="A794" i="6" l="1"/>
  <c r="D793" i="6"/>
  <c r="A795" i="6" l="1"/>
  <c r="D794" i="6"/>
  <c r="A796" i="6" l="1"/>
  <c r="D795" i="6"/>
  <c r="A797" i="6" l="1"/>
  <c r="D796" i="6"/>
  <c r="A798" i="6" l="1"/>
  <c r="D797" i="6"/>
  <c r="A799" i="6" l="1"/>
  <c r="D798" i="6"/>
  <c r="A800" i="6" l="1"/>
  <c r="D799" i="6"/>
  <c r="A801" i="6" l="1"/>
  <c r="D800" i="6"/>
  <c r="A802" i="6" l="1"/>
  <c r="D801" i="6"/>
  <c r="A803" i="6" l="1"/>
  <c r="D802" i="6"/>
  <c r="A804" i="6" l="1"/>
  <c r="D803" i="6"/>
  <c r="A805" i="6" l="1"/>
  <c r="D804" i="6"/>
  <c r="A806" i="6" l="1"/>
  <c r="D805" i="6"/>
  <c r="A807" i="6" l="1"/>
  <c r="D806" i="6"/>
  <c r="A808" i="6" l="1"/>
  <c r="D807" i="6"/>
  <c r="A809" i="6" l="1"/>
  <c r="D808" i="6"/>
  <c r="A810" i="6" l="1"/>
  <c r="D809" i="6"/>
  <c r="A811" i="6" l="1"/>
  <c r="D810" i="6"/>
  <c r="A812" i="6" l="1"/>
  <c r="D811" i="6"/>
  <c r="A813" i="6" l="1"/>
  <c r="D812" i="6"/>
  <c r="A814" i="6" l="1"/>
  <c r="D813" i="6"/>
  <c r="A815" i="6" l="1"/>
  <c r="D814" i="6"/>
  <c r="A816" i="6" l="1"/>
  <c r="D815" i="6"/>
  <c r="A817" i="6" l="1"/>
  <c r="D816" i="6"/>
  <c r="A818" i="6" l="1"/>
  <c r="D817" i="6"/>
  <c r="A819" i="6" l="1"/>
  <c r="D818" i="6"/>
  <c r="A820" i="6" l="1"/>
  <c r="D819" i="6"/>
  <c r="A821" i="6" l="1"/>
  <c r="D820" i="6"/>
  <c r="A822" i="6" l="1"/>
  <c r="D821" i="6"/>
  <c r="A823" i="6" l="1"/>
  <c r="D822" i="6"/>
  <c r="A824" i="6" l="1"/>
  <c r="D823" i="6"/>
  <c r="A825" i="6" l="1"/>
  <c r="D824" i="6"/>
  <c r="A826" i="6" l="1"/>
  <c r="D825" i="6"/>
  <c r="A827" i="6" l="1"/>
  <c r="D826" i="6"/>
  <c r="A828" i="6" l="1"/>
  <c r="D827" i="6"/>
  <c r="A829" i="6" l="1"/>
  <c r="D828" i="6"/>
  <c r="A830" i="6" l="1"/>
  <c r="D829" i="6"/>
  <c r="A831" i="6" l="1"/>
  <c r="D830" i="6"/>
  <c r="A832" i="6" l="1"/>
  <c r="D831" i="6"/>
  <c r="A833" i="6" l="1"/>
  <c r="D832" i="6"/>
  <c r="A834" i="6" l="1"/>
  <c r="D833" i="6"/>
  <c r="A835" i="6" l="1"/>
  <c r="D834" i="6"/>
  <c r="A836" i="6" l="1"/>
  <c r="D835" i="6"/>
  <c r="A837" i="6" l="1"/>
  <c r="D836" i="6"/>
  <c r="A838" i="6" l="1"/>
  <c r="D837" i="6"/>
  <c r="A839" i="6" l="1"/>
  <c r="D838" i="6"/>
  <c r="A840" i="6" l="1"/>
  <c r="D839" i="6"/>
  <c r="A841" i="6" l="1"/>
  <c r="D840" i="6"/>
  <c r="A842" i="6" l="1"/>
  <c r="D841" i="6"/>
  <c r="A843" i="6" l="1"/>
  <c r="D842" i="6"/>
  <c r="A844" i="6" l="1"/>
  <c r="D843" i="6"/>
  <c r="A845" i="6" l="1"/>
  <c r="D844" i="6"/>
  <c r="A846" i="6" l="1"/>
  <c r="D845" i="6"/>
  <c r="A847" i="6" l="1"/>
  <c r="D846" i="6"/>
  <c r="A848" i="6" l="1"/>
  <c r="D847" i="6"/>
  <c r="A849" i="6" l="1"/>
  <c r="D848" i="6"/>
  <c r="A850" i="6" l="1"/>
  <c r="D849" i="6"/>
  <c r="A851" i="6" l="1"/>
  <c r="D850" i="6"/>
  <c r="A852" i="6" l="1"/>
  <c r="D851" i="6"/>
  <c r="A853" i="6" l="1"/>
  <c r="D852" i="6"/>
  <c r="A854" i="6" l="1"/>
  <c r="D853" i="6"/>
  <c r="A855" i="6" l="1"/>
  <c r="D854" i="6"/>
  <c r="A856" i="6" l="1"/>
  <c r="D855" i="6"/>
  <c r="A857" i="6" l="1"/>
  <c r="D856" i="6"/>
  <c r="A858" i="6" l="1"/>
  <c r="D857" i="6"/>
  <c r="A859" i="6" l="1"/>
  <c r="D858" i="6"/>
  <c r="A860" i="6" l="1"/>
  <c r="D859" i="6"/>
  <c r="A861" i="6" l="1"/>
  <c r="D860" i="6"/>
  <c r="A862" i="6" l="1"/>
  <c r="D861" i="6"/>
  <c r="A863" i="6" l="1"/>
  <c r="D862" i="6"/>
  <c r="A864" i="6" l="1"/>
  <c r="D863" i="6"/>
  <c r="A865" i="6" l="1"/>
  <c r="D864" i="6"/>
  <c r="A866" i="6" l="1"/>
  <c r="D865" i="6"/>
  <c r="A867" i="6" l="1"/>
  <c r="D866" i="6"/>
  <c r="A868" i="6" l="1"/>
  <c r="D867" i="6"/>
  <c r="A869" i="6" l="1"/>
  <c r="D868" i="6"/>
  <c r="A870" i="6" l="1"/>
  <c r="D869" i="6"/>
  <c r="A871" i="6" l="1"/>
  <c r="D870" i="6"/>
  <c r="A872" i="6" l="1"/>
  <c r="D871" i="6"/>
  <c r="A873" i="6" l="1"/>
  <c r="D872" i="6"/>
  <c r="A874" i="6" l="1"/>
  <c r="D873" i="6"/>
  <c r="A875" i="6" l="1"/>
  <c r="D874" i="6"/>
  <c r="A876" i="6" l="1"/>
  <c r="D875" i="6"/>
  <c r="A877" i="6" l="1"/>
  <c r="D876" i="6"/>
  <c r="A878" i="6" l="1"/>
  <c r="D877" i="6"/>
  <c r="A879" i="6" l="1"/>
  <c r="D878" i="6"/>
  <c r="A880" i="6" l="1"/>
  <c r="D879" i="6"/>
  <c r="A881" i="6" l="1"/>
  <c r="D880" i="6"/>
  <c r="A882" i="6" l="1"/>
  <c r="D881" i="6"/>
  <c r="A883" i="6" l="1"/>
  <c r="D882" i="6"/>
  <c r="A884" i="6" l="1"/>
  <c r="D883" i="6"/>
  <c r="A885" i="6" l="1"/>
  <c r="D884" i="6"/>
  <c r="A886" i="6" l="1"/>
  <c r="D885" i="6"/>
  <c r="A887" i="6" l="1"/>
  <c r="D886" i="6"/>
  <c r="A888" i="6" l="1"/>
  <c r="D887" i="6"/>
  <c r="A889" i="6" l="1"/>
  <c r="D888" i="6"/>
  <c r="A890" i="6" l="1"/>
  <c r="D889" i="6"/>
  <c r="A891" i="6" l="1"/>
  <c r="D890" i="6"/>
  <c r="A892" i="6" l="1"/>
  <c r="D891" i="6"/>
  <c r="A893" i="6" l="1"/>
  <c r="D892" i="6"/>
  <c r="A894" i="6" l="1"/>
  <c r="D893" i="6"/>
  <c r="A895" i="6" l="1"/>
  <c r="D894" i="6"/>
  <c r="A896" i="6" l="1"/>
  <c r="D895" i="6"/>
  <c r="A897" i="6" l="1"/>
  <c r="D896" i="6"/>
  <c r="A898" i="6" l="1"/>
  <c r="D897" i="6"/>
  <c r="A899" i="6" l="1"/>
  <c r="D898" i="6"/>
  <c r="A900" i="6" l="1"/>
  <c r="D899" i="6"/>
  <c r="A901" i="6" l="1"/>
  <c r="D900" i="6"/>
  <c r="A902" i="6" l="1"/>
  <c r="D901" i="6"/>
  <c r="A903" i="6" l="1"/>
  <c r="D902" i="6"/>
  <c r="A904" i="6" l="1"/>
  <c r="D903" i="6"/>
  <c r="A905" i="6" l="1"/>
  <c r="D904" i="6"/>
  <c r="A906" i="6" l="1"/>
  <c r="D905" i="6"/>
  <c r="A907" i="6" l="1"/>
  <c r="D906" i="6"/>
  <c r="A908" i="6" l="1"/>
  <c r="D907" i="6"/>
  <c r="D908" i="6" l="1"/>
  <c r="A909" i="6"/>
  <c r="A910" i="6" l="1"/>
  <c r="D909" i="6"/>
  <c r="A911" i="6" l="1"/>
  <c r="D910" i="6"/>
  <c r="A912" i="6" l="1"/>
  <c r="D911" i="6"/>
  <c r="A913" i="6" l="1"/>
  <c r="D912" i="6"/>
  <c r="A914" i="6" l="1"/>
  <c r="D913" i="6"/>
  <c r="A915" i="6" l="1"/>
  <c r="D914" i="6"/>
  <c r="A916" i="6" l="1"/>
  <c r="D915" i="6"/>
  <c r="A917" i="6" l="1"/>
  <c r="D916" i="6"/>
  <c r="A918" i="6" l="1"/>
  <c r="D917" i="6"/>
  <c r="A919" i="6" l="1"/>
  <c r="D918" i="6"/>
  <c r="A920" i="6" l="1"/>
  <c r="D919" i="6"/>
  <c r="A921" i="6" l="1"/>
  <c r="D920" i="6"/>
  <c r="A922" i="6" l="1"/>
  <c r="D921" i="6"/>
  <c r="A923" i="6" l="1"/>
  <c r="D922" i="6"/>
  <c r="A924" i="6" l="1"/>
  <c r="D923" i="6"/>
  <c r="A925" i="6" l="1"/>
  <c r="D924" i="6"/>
  <c r="A926" i="6" l="1"/>
  <c r="D925" i="6"/>
  <c r="D926" i="6" l="1"/>
  <c r="A927" i="6"/>
  <c r="A928" i="6" l="1"/>
  <c r="D927" i="6"/>
  <c r="A929" i="6" l="1"/>
  <c r="D928" i="6"/>
  <c r="A930" i="6" l="1"/>
  <c r="D929" i="6"/>
  <c r="A931" i="6" l="1"/>
  <c r="D930" i="6"/>
  <c r="A932" i="6" l="1"/>
  <c r="D931" i="6"/>
  <c r="A933" i="6" l="1"/>
  <c r="D932" i="6"/>
  <c r="A934" i="6" l="1"/>
  <c r="D933" i="6"/>
  <c r="A935" i="6" l="1"/>
  <c r="D934" i="6"/>
  <c r="A936" i="6" l="1"/>
  <c r="D935" i="6"/>
  <c r="A937" i="6" l="1"/>
  <c r="D936" i="6"/>
  <c r="A938" i="6" l="1"/>
  <c r="D937" i="6"/>
  <c r="A939" i="6" l="1"/>
  <c r="D938" i="6"/>
  <c r="A940" i="6" l="1"/>
  <c r="D939" i="6"/>
  <c r="A941" i="6" l="1"/>
  <c r="D940" i="6"/>
  <c r="A942" i="6" l="1"/>
  <c r="D941" i="6"/>
  <c r="A943" i="6" l="1"/>
  <c r="D942" i="6"/>
  <c r="A944" i="6" l="1"/>
  <c r="D943" i="6"/>
  <c r="A945" i="6" l="1"/>
  <c r="D944" i="6"/>
  <c r="A946" i="6" l="1"/>
  <c r="D945" i="6"/>
  <c r="A947" i="6" l="1"/>
  <c r="D946" i="6"/>
  <c r="A948" i="6" l="1"/>
  <c r="D947" i="6"/>
  <c r="A949" i="6" l="1"/>
  <c r="D948" i="6"/>
  <c r="A950" i="6" l="1"/>
  <c r="D949" i="6"/>
  <c r="A951" i="6" l="1"/>
  <c r="D950" i="6"/>
  <c r="A952" i="6" l="1"/>
  <c r="D951" i="6"/>
  <c r="A953" i="6" l="1"/>
  <c r="D952" i="6"/>
  <c r="A954" i="6" l="1"/>
  <c r="D953" i="6"/>
  <c r="A955" i="6" l="1"/>
  <c r="D954" i="6"/>
  <c r="A956" i="6" l="1"/>
  <c r="D955" i="6"/>
  <c r="A957" i="6" l="1"/>
  <c r="D956" i="6"/>
  <c r="A958" i="6" l="1"/>
  <c r="D957" i="6"/>
  <c r="A959" i="6" l="1"/>
  <c r="D958" i="6"/>
  <c r="A960" i="6" l="1"/>
  <c r="D959" i="6"/>
  <c r="A961" i="6" l="1"/>
  <c r="D960" i="6"/>
  <c r="A962" i="6" l="1"/>
  <c r="D961" i="6"/>
  <c r="A963" i="6" l="1"/>
  <c r="D962" i="6"/>
  <c r="A964" i="6" l="1"/>
  <c r="D963" i="6"/>
  <c r="A965" i="6" l="1"/>
  <c r="D964" i="6"/>
  <c r="A966" i="6" l="1"/>
  <c r="D965" i="6"/>
  <c r="A967" i="6" l="1"/>
  <c r="D966" i="6"/>
  <c r="A968" i="6" l="1"/>
  <c r="D967" i="6"/>
  <c r="A969" i="6" l="1"/>
  <c r="D968" i="6"/>
  <c r="A970" i="6" l="1"/>
  <c r="D969" i="6"/>
  <c r="A971" i="6" l="1"/>
  <c r="D970" i="6"/>
  <c r="A972" i="6" l="1"/>
  <c r="D971" i="6"/>
  <c r="A973" i="6" l="1"/>
  <c r="D972" i="6"/>
  <c r="A974" i="6" l="1"/>
  <c r="D973" i="6"/>
  <c r="A975" i="6" l="1"/>
  <c r="D974" i="6"/>
  <c r="A976" i="6" l="1"/>
  <c r="D975" i="6"/>
  <c r="A977" i="6" l="1"/>
  <c r="D976" i="6"/>
  <c r="A978" i="6" l="1"/>
  <c r="D977" i="6"/>
  <c r="A979" i="6" l="1"/>
  <c r="D978" i="6"/>
  <c r="A980" i="6" l="1"/>
  <c r="D979" i="6"/>
  <c r="A981" i="6" l="1"/>
  <c r="D980" i="6"/>
  <c r="A982" i="6" l="1"/>
  <c r="D981" i="6"/>
  <c r="A983" i="6" l="1"/>
  <c r="D982" i="6"/>
  <c r="A984" i="6" l="1"/>
  <c r="D983" i="6"/>
  <c r="A985" i="6" l="1"/>
  <c r="D984" i="6"/>
  <c r="A986" i="6" l="1"/>
  <c r="D985" i="6"/>
  <c r="A987" i="6" l="1"/>
  <c r="D986" i="6"/>
  <c r="A988" i="6" l="1"/>
  <c r="D987" i="6"/>
  <c r="A989" i="6" l="1"/>
  <c r="D988" i="6"/>
  <c r="A990" i="6" l="1"/>
  <c r="D989" i="6"/>
  <c r="A991" i="6" l="1"/>
  <c r="D990" i="6"/>
  <c r="A992" i="6" l="1"/>
  <c r="D991" i="6"/>
  <c r="A993" i="6" l="1"/>
  <c r="D992" i="6"/>
  <c r="A994" i="6" l="1"/>
  <c r="D993" i="6"/>
  <c r="A995" i="6" l="1"/>
  <c r="D994" i="6"/>
  <c r="A996" i="6" l="1"/>
  <c r="D995" i="6"/>
  <c r="A997" i="6" l="1"/>
  <c r="D996" i="6"/>
  <c r="A998" i="6" l="1"/>
  <c r="D997" i="6"/>
  <c r="A999" i="6" l="1"/>
  <c r="D998" i="6"/>
  <c r="A1000" i="6" l="1"/>
  <c r="D999" i="6"/>
  <c r="A1001" i="6" l="1"/>
  <c r="D1000" i="6"/>
  <c r="A1002" i="6" l="1"/>
  <c r="D1001" i="6"/>
  <c r="A1003" i="6" l="1"/>
  <c r="D1002" i="6"/>
  <c r="A1004" i="6" l="1"/>
  <c r="D1003" i="6"/>
  <c r="A1005" i="6" l="1"/>
  <c r="D1004" i="6"/>
  <c r="A1006" i="6" l="1"/>
  <c r="D1005" i="6"/>
  <c r="A1007" i="6" l="1"/>
  <c r="D1006" i="6"/>
  <c r="A1008" i="6" l="1"/>
  <c r="D1007" i="6"/>
  <c r="A1009" i="6" l="1"/>
  <c r="D1008" i="6"/>
  <c r="A1010" i="6" l="1"/>
  <c r="D1009" i="6"/>
  <c r="A1011" i="6" l="1"/>
  <c r="D1010" i="6"/>
  <c r="A1012" i="6" l="1"/>
  <c r="D1011" i="6"/>
  <c r="A1013" i="6" l="1"/>
  <c r="D1012" i="6"/>
  <c r="A1014" i="6" l="1"/>
  <c r="D1013" i="6"/>
  <c r="A1015" i="6" l="1"/>
  <c r="D1014" i="6"/>
  <c r="A1016" i="6" l="1"/>
  <c r="D1015" i="6"/>
  <c r="A1017" i="6" l="1"/>
  <c r="D1016" i="6"/>
  <c r="A1018" i="6" l="1"/>
  <c r="D1017" i="6"/>
  <c r="A1019" i="6" l="1"/>
  <c r="D1018" i="6"/>
  <c r="A1020" i="6" l="1"/>
  <c r="D1019" i="6"/>
  <c r="A1021" i="6" l="1"/>
  <c r="D1020" i="6"/>
  <c r="A1022" i="6" l="1"/>
  <c r="D1021" i="6"/>
  <c r="A1023" i="6" l="1"/>
  <c r="D1022" i="6"/>
  <c r="A1024" i="6" l="1"/>
  <c r="D1023" i="6"/>
  <c r="A1025" i="6" l="1"/>
  <c r="D1024" i="6"/>
  <c r="A1026" i="6" l="1"/>
  <c r="D1025" i="6"/>
  <c r="A1027" i="6" l="1"/>
  <c r="D1026" i="6"/>
  <c r="A1028" i="6" l="1"/>
  <c r="D1027" i="6"/>
  <c r="A1029" i="6" l="1"/>
  <c r="D1028" i="6"/>
  <c r="A1030" i="6" l="1"/>
  <c r="D1029" i="6"/>
  <c r="A1031" i="6" l="1"/>
  <c r="D1030" i="6"/>
  <c r="A1032" i="6" l="1"/>
  <c r="D1031" i="6"/>
  <c r="A1033" i="6" l="1"/>
  <c r="D1032" i="6"/>
  <c r="A1034" i="6" l="1"/>
  <c r="D1033" i="6"/>
  <c r="A1035" i="6" l="1"/>
  <c r="D1034" i="6"/>
  <c r="A1036" i="6" l="1"/>
  <c r="D1035" i="6"/>
  <c r="A1037" i="6" l="1"/>
  <c r="D1036" i="6"/>
  <c r="A1038" i="6" l="1"/>
  <c r="D1037" i="6"/>
  <c r="A1039" i="6" l="1"/>
  <c r="D1038" i="6"/>
  <c r="A1040" i="6" l="1"/>
  <c r="D1039" i="6"/>
  <c r="A1041" i="6" l="1"/>
  <c r="D1040" i="6"/>
  <c r="A1042" i="6" l="1"/>
  <c r="D1041" i="6"/>
  <c r="A1043" i="6" l="1"/>
  <c r="D1042" i="6"/>
  <c r="A1044" i="6" l="1"/>
  <c r="D1043" i="6"/>
  <c r="A1045" i="6" l="1"/>
  <c r="D1044" i="6"/>
  <c r="A1046" i="6" l="1"/>
  <c r="D1045" i="6"/>
  <c r="A1047" i="6" l="1"/>
  <c r="D1046" i="6"/>
  <c r="A1048" i="6" l="1"/>
  <c r="D1047" i="6"/>
  <c r="A1049" i="6" l="1"/>
  <c r="D1048" i="6"/>
  <c r="A1050" i="6" l="1"/>
  <c r="D1049" i="6"/>
  <c r="A1051" i="6" l="1"/>
  <c r="D1050" i="6"/>
  <c r="A1052" i="6" l="1"/>
  <c r="D1051" i="6"/>
  <c r="A1053" i="6" l="1"/>
  <c r="D1052" i="6"/>
  <c r="A1054" i="6" l="1"/>
  <c r="D1053" i="6"/>
  <c r="A1055" i="6" l="1"/>
  <c r="D1054" i="6"/>
  <c r="A1056" i="6" l="1"/>
  <c r="D1055" i="6"/>
  <c r="A1057" i="6" l="1"/>
  <c r="D1056" i="6"/>
  <c r="A1058" i="6" l="1"/>
  <c r="D1057" i="6"/>
  <c r="A1059" i="6" l="1"/>
  <c r="D1058" i="6"/>
  <c r="A1060" i="6" l="1"/>
  <c r="D1059" i="6"/>
  <c r="A1061" i="6" l="1"/>
  <c r="D1060" i="6"/>
  <c r="A1062" i="6" l="1"/>
  <c r="D1061" i="6"/>
  <c r="A1063" i="6" l="1"/>
  <c r="D1062" i="6"/>
  <c r="A1064" i="6" l="1"/>
  <c r="D1063" i="6"/>
  <c r="A1065" i="6" l="1"/>
  <c r="D1064" i="6"/>
  <c r="A1066" i="6" l="1"/>
  <c r="D1065" i="6"/>
  <c r="A1067" i="6" l="1"/>
  <c r="D1066" i="6"/>
  <c r="A1068" i="6" l="1"/>
  <c r="D1067" i="6"/>
  <c r="A1069" i="6" l="1"/>
  <c r="D1068" i="6"/>
  <c r="A1070" i="6" l="1"/>
  <c r="D1069" i="6"/>
  <c r="A1071" i="6" l="1"/>
  <c r="D1070" i="6"/>
  <c r="A1072" i="6" l="1"/>
  <c r="D1071" i="6"/>
  <c r="A1073" i="6" l="1"/>
  <c r="D1072" i="6"/>
  <c r="A1074" i="6" l="1"/>
  <c r="D1073" i="6"/>
  <c r="A1075" i="6" l="1"/>
  <c r="D1074" i="6"/>
  <c r="A1076" i="6" l="1"/>
  <c r="D1075" i="6"/>
  <c r="A1077" i="6" l="1"/>
  <c r="D1076" i="6"/>
  <c r="A1078" i="6" l="1"/>
  <c r="D1077" i="6"/>
  <c r="A1079" i="6" l="1"/>
  <c r="D1078" i="6"/>
  <c r="A1080" i="6" l="1"/>
  <c r="D1079" i="6"/>
  <c r="A1081" i="6" l="1"/>
  <c r="D1080" i="6"/>
  <c r="A1082" i="6" l="1"/>
  <c r="D1081" i="6"/>
  <c r="A1083" i="6" l="1"/>
  <c r="D1082" i="6"/>
  <c r="A1084" i="6" l="1"/>
  <c r="D1083" i="6"/>
  <c r="A1085" i="6" l="1"/>
  <c r="D1084" i="6"/>
  <c r="A1086" i="6" l="1"/>
  <c r="D1085" i="6"/>
  <c r="A1087" i="6" l="1"/>
  <c r="D1086" i="6"/>
  <c r="A1088" i="6" l="1"/>
  <c r="D1087" i="6"/>
  <c r="A1089" i="6" l="1"/>
  <c r="D1088" i="6"/>
  <c r="A1090" i="6" l="1"/>
  <c r="D1089" i="6"/>
  <c r="A1091" i="6" l="1"/>
  <c r="D1090" i="6"/>
  <c r="D1091" i="6" l="1"/>
  <c r="A1092" i="6"/>
  <c r="A1093" i="6" l="1"/>
  <c r="D1092" i="6"/>
  <c r="A1094" i="6" l="1"/>
  <c r="D1093" i="6"/>
  <c r="A1095" i="6" l="1"/>
  <c r="D1094" i="6"/>
  <c r="A1096" i="6" l="1"/>
  <c r="D1095" i="6"/>
  <c r="A1097" i="6" l="1"/>
  <c r="D1096" i="6"/>
  <c r="A1098" i="6" l="1"/>
  <c r="D1097" i="6"/>
  <c r="A1099" i="6" l="1"/>
  <c r="D1098" i="6"/>
  <c r="A1100" i="6" l="1"/>
  <c r="D1099" i="6"/>
  <c r="A1101" i="6" l="1"/>
  <c r="D1100" i="6"/>
  <c r="A1102" i="6" l="1"/>
  <c r="D1101" i="6"/>
  <c r="A1103" i="6" l="1"/>
  <c r="D1102" i="6"/>
  <c r="A1104" i="6" l="1"/>
  <c r="D1103" i="6"/>
  <c r="A1105" i="6" l="1"/>
  <c r="D1104" i="6"/>
  <c r="A1106" i="6" l="1"/>
  <c r="D1105" i="6"/>
  <c r="A1107" i="6" l="1"/>
  <c r="D1106" i="6"/>
  <c r="A1108" i="6" l="1"/>
  <c r="D1107" i="6"/>
  <c r="A1109" i="6" l="1"/>
  <c r="D1108" i="6"/>
  <c r="A1110" i="6" l="1"/>
  <c r="D1109" i="6"/>
  <c r="A1111" i="6" l="1"/>
  <c r="D1110" i="6"/>
  <c r="A1112" i="6" l="1"/>
  <c r="D1111" i="6"/>
  <c r="A1113" i="6" l="1"/>
  <c r="D1112" i="6"/>
  <c r="A1114" i="6" l="1"/>
  <c r="D1113" i="6"/>
  <c r="A1115" i="6" l="1"/>
  <c r="D1114" i="6"/>
  <c r="A1116" i="6" l="1"/>
  <c r="D1115" i="6"/>
  <c r="A1117" i="6" l="1"/>
  <c r="D1116" i="6"/>
  <c r="A1118" i="6" l="1"/>
  <c r="D1117" i="6"/>
  <c r="A1119" i="6" l="1"/>
  <c r="D1118" i="6"/>
  <c r="A1120" i="6" l="1"/>
  <c r="D1119" i="6"/>
  <c r="A1121" i="6" l="1"/>
  <c r="D1120" i="6"/>
  <c r="A1122" i="6" l="1"/>
  <c r="D1121" i="6"/>
  <c r="A1123" i="6" l="1"/>
  <c r="D1122" i="6"/>
  <c r="A1124" i="6" l="1"/>
  <c r="D1123" i="6"/>
  <c r="A1125" i="6" l="1"/>
  <c r="D1124" i="6"/>
  <c r="A1126" i="6" l="1"/>
  <c r="D1125" i="6"/>
  <c r="A1127" i="6" l="1"/>
  <c r="D1126" i="6"/>
  <c r="A1128" i="6" l="1"/>
  <c r="D1127" i="6"/>
  <c r="A1129" i="6" l="1"/>
  <c r="D1128" i="6"/>
  <c r="D1129" i="6" l="1"/>
  <c r="A1130" i="6"/>
  <c r="A1131" i="6" l="1"/>
  <c r="D1130" i="6"/>
  <c r="A1132" i="6" l="1"/>
  <c r="D1131" i="6"/>
  <c r="A1133" i="6" l="1"/>
  <c r="D1132" i="6"/>
  <c r="A1134" i="6" l="1"/>
  <c r="D1133" i="6"/>
  <c r="A1135" i="6" l="1"/>
  <c r="D1134" i="6"/>
  <c r="A1136" i="6" l="1"/>
  <c r="D1135" i="6"/>
  <c r="A1137" i="6" l="1"/>
  <c r="D1136" i="6"/>
  <c r="A1138" i="6" l="1"/>
  <c r="D1137" i="6"/>
  <c r="A1139" i="6" l="1"/>
  <c r="D1138" i="6"/>
  <c r="A1140" i="6" l="1"/>
  <c r="D1139" i="6"/>
  <c r="A1141" i="6" l="1"/>
  <c r="D1140" i="6"/>
  <c r="A1142" i="6" l="1"/>
  <c r="D1141" i="6"/>
  <c r="A1143" i="6" l="1"/>
  <c r="D1142" i="6"/>
  <c r="A1144" i="6" l="1"/>
  <c r="D1143" i="6"/>
  <c r="A1145" i="6" l="1"/>
  <c r="D1144" i="6"/>
  <c r="A1146" i="6" l="1"/>
  <c r="D1145" i="6"/>
  <c r="A1147" i="6" l="1"/>
  <c r="D1146" i="6"/>
  <c r="A1148" i="6" l="1"/>
  <c r="D1147" i="6"/>
  <c r="A1149" i="6" l="1"/>
  <c r="D1148" i="6"/>
  <c r="A1150" i="6" l="1"/>
  <c r="D1149" i="6"/>
  <c r="D1150" i="6" l="1"/>
  <c r="A1151" i="6"/>
  <c r="A1152" i="6" l="1"/>
  <c r="D1151" i="6"/>
  <c r="A1153" i="6" l="1"/>
  <c r="D1152" i="6"/>
  <c r="A1154" i="6" l="1"/>
  <c r="D1153" i="6"/>
  <c r="A1155" i="6" l="1"/>
  <c r="D1154" i="6"/>
  <c r="A1156" i="6" l="1"/>
  <c r="D1155" i="6"/>
  <c r="A1157" i="6" l="1"/>
  <c r="D1156" i="6"/>
  <c r="A1158" i="6" l="1"/>
  <c r="D1157" i="6"/>
  <c r="A1159" i="6" l="1"/>
  <c r="D1158" i="6"/>
  <c r="A1160" i="6" l="1"/>
  <c r="D1159" i="6"/>
  <c r="A1161" i="6" l="1"/>
  <c r="D1160" i="6"/>
  <c r="A1162" i="6" l="1"/>
  <c r="D1161" i="6"/>
  <c r="A1163" i="6" l="1"/>
  <c r="D1162" i="6"/>
  <c r="A1164" i="6" l="1"/>
  <c r="D1163" i="6"/>
  <c r="A1165" i="6" l="1"/>
  <c r="D1164" i="6"/>
  <c r="A1166" i="6" l="1"/>
  <c r="D1165" i="6"/>
  <c r="A1167" i="6" l="1"/>
  <c r="D1166" i="6"/>
  <c r="A1168" i="6" l="1"/>
  <c r="D1167" i="6"/>
  <c r="A1169" i="6" l="1"/>
  <c r="D1168" i="6"/>
  <c r="A1170" i="6" l="1"/>
  <c r="D1169" i="6"/>
  <c r="A1171" i="6" l="1"/>
  <c r="D1170" i="6"/>
  <c r="A1172" i="6" l="1"/>
  <c r="D1171" i="6"/>
  <c r="A1173" i="6" l="1"/>
  <c r="D1172" i="6"/>
  <c r="A1174" i="6" l="1"/>
  <c r="D1173" i="6"/>
  <c r="A1175" i="6" l="1"/>
  <c r="D1174" i="6"/>
  <c r="A1176" i="6" l="1"/>
  <c r="D1175" i="6"/>
  <c r="A1177" i="6" l="1"/>
  <c r="D1176" i="6"/>
  <c r="A1178" i="6" l="1"/>
  <c r="D1177" i="6"/>
  <c r="A1179" i="6" l="1"/>
  <c r="D1178" i="6"/>
  <c r="A1180" i="6" l="1"/>
  <c r="D1179" i="6"/>
  <c r="A1181" i="6" l="1"/>
  <c r="D1180" i="6"/>
  <c r="A1182" i="6" l="1"/>
  <c r="D1181" i="6"/>
  <c r="A1183" i="6" l="1"/>
  <c r="D1182" i="6"/>
  <c r="A1184" i="6" l="1"/>
  <c r="D1183" i="6"/>
  <c r="A1185" i="6" l="1"/>
  <c r="D1184" i="6"/>
  <c r="A1186" i="6" l="1"/>
  <c r="D1185" i="6"/>
  <c r="A1187" i="6" l="1"/>
  <c r="D1186" i="6"/>
  <c r="A1188" i="6" l="1"/>
  <c r="D1187" i="6"/>
  <c r="A1189" i="6" l="1"/>
  <c r="D1188" i="6"/>
  <c r="A1190" i="6" l="1"/>
  <c r="D1189" i="6"/>
  <c r="A1191" i="6" l="1"/>
  <c r="D1190" i="6"/>
  <c r="A1192" i="6" l="1"/>
  <c r="D1191" i="6"/>
  <c r="A1193" i="6" l="1"/>
  <c r="D1192" i="6"/>
  <c r="A1194" i="6" l="1"/>
  <c r="D1193" i="6"/>
  <c r="A1195" i="6" l="1"/>
  <c r="D1194" i="6"/>
  <c r="A1196" i="6" l="1"/>
  <c r="D1195" i="6"/>
  <c r="A1197" i="6" l="1"/>
  <c r="D1196" i="6"/>
  <c r="A1198" i="6" l="1"/>
  <c r="D1197" i="6"/>
  <c r="A1199" i="6" l="1"/>
  <c r="D1198" i="6"/>
  <c r="A1200" i="6" l="1"/>
  <c r="D1199" i="6"/>
  <c r="A1201" i="6" l="1"/>
  <c r="D1200" i="6"/>
  <c r="A1202" i="6" l="1"/>
  <c r="D1201" i="6"/>
  <c r="A1203" i="6" l="1"/>
  <c r="D1202" i="6"/>
  <c r="A1204" i="6" l="1"/>
  <c r="D1203" i="6"/>
  <c r="A1205" i="6" l="1"/>
  <c r="D1204" i="6"/>
  <c r="A1206" i="6" l="1"/>
  <c r="D1205" i="6"/>
  <c r="A1207" i="6" l="1"/>
  <c r="D1206" i="6"/>
  <c r="A1208" i="6" l="1"/>
  <c r="D1207" i="6"/>
  <c r="A1209" i="6" l="1"/>
  <c r="D1208" i="6"/>
  <c r="A1210" i="6" l="1"/>
  <c r="D1209" i="6"/>
  <c r="A1211" i="6" l="1"/>
  <c r="D1210" i="6"/>
  <c r="A1212" i="6" l="1"/>
  <c r="D1211" i="6"/>
  <c r="A1213" i="6" l="1"/>
  <c r="D1212" i="6"/>
  <c r="A1214" i="6" l="1"/>
  <c r="D1213" i="6"/>
  <c r="A1215" i="6" l="1"/>
  <c r="D1214" i="6"/>
  <c r="A1216" i="6" l="1"/>
  <c r="D1215" i="6"/>
  <c r="A1217" i="6" l="1"/>
  <c r="D1216" i="6"/>
  <c r="A1218" i="6" l="1"/>
  <c r="D1217" i="6"/>
  <c r="A1219" i="6" l="1"/>
  <c r="D1218" i="6"/>
  <c r="A1220" i="6" l="1"/>
  <c r="D1219" i="6"/>
  <c r="A1221" i="6" l="1"/>
  <c r="D1220" i="6"/>
  <c r="A1222" i="6" l="1"/>
  <c r="D1222" i="6" s="1"/>
  <c r="D1221" i="6"/>
</calcChain>
</file>

<file path=xl/sharedStrings.xml><?xml version="1.0" encoding="utf-8"?>
<sst xmlns="http://schemas.openxmlformats.org/spreadsheetml/2006/main" count="1036" uniqueCount="1033">
  <si>
    <t>PE</t>
  </si>
  <si>
    <t xml:space="preserve">2021/10/8
</t>
  </si>
  <si>
    <t xml:space="preserve">2021/10/11
</t>
  </si>
  <si>
    <t xml:space="preserve">2021/10/12
</t>
  </si>
  <si>
    <t xml:space="preserve">2021/10/13
</t>
  </si>
  <si>
    <t xml:space="preserve">2021/10/14
</t>
  </si>
  <si>
    <t xml:space="preserve">2021/10/15
</t>
  </si>
  <si>
    <t xml:space="preserve">2021/10/18
</t>
  </si>
  <si>
    <t xml:space="preserve">2021/10/19
</t>
  </si>
  <si>
    <t xml:space="preserve">2021/10/20
</t>
  </si>
  <si>
    <t xml:space="preserve">2021/10/21
</t>
  </si>
  <si>
    <t xml:space="preserve">2021/10/22
</t>
  </si>
  <si>
    <t xml:space="preserve">2021/10/25
</t>
  </si>
  <si>
    <t xml:space="preserve">2021/10/26
</t>
  </si>
  <si>
    <t xml:space="preserve">2021/10/27
</t>
  </si>
  <si>
    <t xml:space="preserve">2021/11/1
</t>
  </si>
  <si>
    <t xml:space="preserve">2021/11/2
</t>
  </si>
  <si>
    <t xml:space="preserve">2021/11/3
</t>
  </si>
  <si>
    <t xml:space="preserve">2021/11/4
</t>
  </si>
  <si>
    <t xml:space="preserve">2021/11/5
</t>
  </si>
  <si>
    <t xml:space="preserve">2021/11/8
</t>
  </si>
  <si>
    <t xml:space="preserve">2021/11/9
</t>
  </si>
  <si>
    <t xml:space="preserve">2021/11/10
</t>
  </si>
  <si>
    <t xml:space="preserve">2021/11/11
</t>
  </si>
  <si>
    <t xml:space="preserve">2021/11/12
</t>
  </si>
  <si>
    <t xml:space="preserve">2021/11/15
</t>
  </si>
  <si>
    <t xml:space="preserve">2021/11/16
</t>
  </si>
  <si>
    <t xml:space="preserve">2021/11/17
</t>
  </si>
  <si>
    <t xml:space="preserve">2021/11/18
</t>
  </si>
  <si>
    <t xml:space="preserve">2021/11/19
</t>
  </si>
  <si>
    <t xml:space="preserve">2021/11/22
</t>
  </si>
  <si>
    <t xml:space="preserve">2021/11/23
</t>
  </si>
  <si>
    <t xml:space="preserve">2021/11/24
</t>
  </si>
  <si>
    <t xml:space="preserve">2021/11/25
</t>
  </si>
  <si>
    <t xml:space="preserve">2021/11/26
</t>
  </si>
  <si>
    <t xml:space="preserve">2022/1/4
</t>
  </si>
  <si>
    <t xml:space="preserve">2022/1/5
</t>
  </si>
  <si>
    <t xml:space="preserve">2022/1/6
</t>
  </si>
  <si>
    <t xml:space="preserve">2022/1/7
</t>
  </si>
  <si>
    <t xml:space="preserve">2022/1/10
</t>
  </si>
  <si>
    <t xml:space="preserve">2022/1/11
</t>
  </si>
  <si>
    <t xml:space="preserve">2022/1/12
</t>
  </si>
  <si>
    <t xml:space="preserve">2022/1/13
</t>
  </si>
  <si>
    <t xml:space="preserve">2022/1/14
</t>
  </si>
  <si>
    <t xml:space="preserve">2022/1/17
</t>
  </si>
  <si>
    <t xml:space="preserve">2022/1/18
</t>
  </si>
  <si>
    <t xml:space="preserve">2022/1/19
</t>
  </si>
  <si>
    <t xml:space="preserve">2022/1/20
</t>
  </si>
  <si>
    <t xml:space="preserve">2022/1/21
</t>
  </si>
  <si>
    <t xml:space="preserve">2022/1/24
</t>
  </si>
  <si>
    <t xml:space="preserve">2022/1/25
</t>
  </si>
  <si>
    <t xml:space="preserve">2022/1/26
</t>
  </si>
  <si>
    <t xml:space="preserve">2022/2/7
</t>
  </si>
  <si>
    <t xml:space="preserve">2022/2/8
</t>
  </si>
  <si>
    <t xml:space="preserve">2022/2/9
</t>
  </si>
  <si>
    <t xml:space="preserve">2022/2/10
</t>
  </si>
  <si>
    <t xml:space="preserve">2022/2/11
</t>
  </si>
  <si>
    <t xml:space="preserve">2022/2/14
</t>
  </si>
  <si>
    <t xml:space="preserve">2022/2/15
</t>
  </si>
  <si>
    <t xml:space="preserve">2022/2/16
</t>
  </si>
  <si>
    <t xml:space="preserve">2022/2/17
</t>
  </si>
  <si>
    <t xml:space="preserve">2022/2/18
</t>
  </si>
  <si>
    <t xml:space="preserve">2022/2/21
</t>
  </si>
  <si>
    <t xml:space="preserve">2022/2/22
</t>
  </si>
  <si>
    <t xml:space="preserve">2022/2/23
</t>
  </si>
  <si>
    <t xml:space="preserve">2022/2/24
</t>
  </si>
  <si>
    <t xml:space="preserve">2022/3/1
</t>
  </si>
  <si>
    <t xml:space="preserve">2022/3/2
</t>
  </si>
  <si>
    <t xml:space="preserve">2022/3/3
</t>
  </si>
  <si>
    <t xml:space="preserve">2022/3/4
</t>
  </si>
  <si>
    <t xml:space="preserve">2022/3/7
</t>
  </si>
  <si>
    <t xml:space="preserve">2022/3/8
</t>
  </si>
  <si>
    <t xml:space="preserve">2022/3/9
</t>
  </si>
  <si>
    <t xml:space="preserve">2022/3/10
</t>
  </si>
  <si>
    <t xml:space="preserve">2022/3/11
</t>
  </si>
  <si>
    <t xml:space="preserve">2022/3/14
</t>
  </si>
  <si>
    <t xml:space="preserve">2022/3/15
</t>
  </si>
  <si>
    <t xml:space="preserve">2022/3/16
</t>
  </si>
  <si>
    <t xml:space="preserve">2022/3/17
</t>
  </si>
  <si>
    <t xml:space="preserve">2022/3/18
</t>
  </si>
  <si>
    <t xml:space="preserve">2022/3/21
</t>
  </si>
  <si>
    <t xml:space="preserve">2022/3/22
</t>
  </si>
  <si>
    <t xml:space="preserve">2022/3/23
</t>
  </si>
  <si>
    <t xml:space="preserve">2022/3/24
</t>
  </si>
  <si>
    <t xml:space="preserve">2022/3/25
</t>
  </si>
  <si>
    <t xml:space="preserve">2022/3/28
</t>
  </si>
  <si>
    <t xml:space="preserve">2022/3/29
</t>
  </si>
  <si>
    <t xml:space="preserve">2022/4/1
</t>
  </si>
  <si>
    <t xml:space="preserve">2022/4/6
</t>
  </si>
  <si>
    <t xml:space="preserve">2022/4/7
</t>
  </si>
  <si>
    <t xml:space="preserve">2022/4/8
</t>
  </si>
  <si>
    <t xml:space="preserve">2022/4/11
</t>
  </si>
  <si>
    <t xml:space="preserve">2022/4/12
</t>
  </si>
  <si>
    <t xml:space="preserve">2022/4/13
</t>
  </si>
  <si>
    <t xml:space="preserve">2022/4/14
</t>
  </si>
  <si>
    <t xml:space="preserve">2022/4/15
</t>
  </si>
  <si>
    <t xml:space="preserve">2022/4/18
</t>
  </si>
  <si>
    <t xml:space="preserve">2022/4/19
</t>
  </si>
  <si>
    <t xml:space="preserve">2022/4/20
</t>
  </si>
  <si>
    <t xml:space="preserve">2022/4/21
</t>
  </si>
  <si>
    <t xml:space="preserve">2022/4/22
</t>
  </si>
  <si>
    <t xml:space="preserve">2022/4/25
</t>
  </si>
  <si>
    <t xml:space="preserve">2022/4/26
</t>
  </si>
  <si>
    <t xml:space="preserve">2022/4/27
</t>
  </si>
  <si>
    <t xml:space="preserve">2022/5/5
</t>
  </si>
  <si>
    <t xml:space="preserve">2022/5/6
</t>
  </si>
  <si>
    <t xml:space="preserve">2022/5/9
</t>
  </si>
  <si>
    <t xml:space="preserve">2022/5/10
</t>
  </si>
  <si>
    <t xml:space="preserve">2022/5/11
</t>
  </si>
  <si>
    <t xml:space="preserve">2022/5/12
</t>
  </si>
  <si>
    <t xml:space="preserve">2022/5/13
</t>
  </si>
  <si>
    <t xml:space="preserve">2022/5/16
</t>
  </si>
  <si>
    <t xml:space="preserve">2022/5/17
</t>
  </si>
  <si>
    <t xml:space="preserve">2022/5/18
</t>
  </si>
  <si>
    <t xml:space="preserve">2022/5/19
</t>
  </si>
  <si>
    <t xml:space="preserve">2022/5/20
</t>
  </si>
  <si>
    <t xml:space="preserve">2022/5/23
</t>
  </si>
  <si>
    <t xml:space="preserve">2022/5/24
</t>
  </si>
  <si>
    <t xml:space="preserve">2022/5/25
</t>
  </si>
  <si>
    <t xml:space="preserve">2022/5/26
</t>
  </si>
  <si>
    <t xml:space="preserve">2022/5/27
</t>
  </si>
  <si>
    <t xml:space="preserve">2022/6/1
</t>
  </si>
  <si>
    <t xml:space="preserve">2022/6/2
</t>
  </si>
  <si>
    <t xml:space="preserve">2022/6/6
</t>
  </si>
  <si>
    <t xml:space="preserve">2022/6/7
</t>
  </si>
  <si>
    <t xml:space="preserve">2022/6/8
</t>
  </si>
  <si>
    <t xml:space="preserve">2022/6/9
</t>
  </si>
  <si>
    <t xml:space="preserve">2022/6/10
</t>
  </si>
  <si>
    <t xml:space="preserve">2022/6/13
</t>
  </si>
  <si>
    <t xml:space="preserve">2022/6/14
</t>
  </si>
  <si>
    <t xml:space="preserve">2022/6/15
</t>
  </si>
  <si>
    <t xml:space="preserve">2022/6/16
</t>
  </si>
  <si>
    <t xml:space="preserve">2022/6/17
</t>
  </si>
  <si>
    <t xml:space="preserve">2022/6/20
</t>
  </si>
  <si>
    <t xml:space="preserve">2022/6/21
</t>
  </si>
  <si>
    <t xml:space="preserve">2022/6/22
</t>
  </si>
  <si>
    <t xml:space="preserve">2022/6/23
</t>
  </si>
  <si>
    <t xml:space="preserve">2022/6/24
</t>
  </si>
  <si>
    <t xml:space="preserve">2022/6/27
</t>
  </si>
  <si>
    <t xml:space="preserve">2022/6/28
</t>
  </si>
  <si>
    <t xml:space="preserve">2022/7/1
</t>
  </si>
  <si>
    <t xml:space="preserve">2022/7/4
</t>
  </si>
  <si>
    <t xml:space="preserve">2022/7/5
</t>
  </si>
  <si>
    <t xml:space="preserve">2022/7/6
</t>
  </si>
  <si>
    <t xml:space="preserve">2022/7/7
</t>
  </si>
  <si>
    <t xml:space="preserve">2022/7/8
</t>
  </si>
  <si>
    <t xml:space="preserve">2022/7/11
</t>
  </si>
  <si>
    <t xml:space="preserve">2022/7/12
</t>
  </si>
  <si>
    <t xml:space="preserve">2022/7/13
</t>
  </si>
  <si>
    <t xml:space="preserve">2022/7/14
</t>
  </si>
  <si>
    <t xml:space="preserve">2022/7/15
</t>
  </si>
  <si>
    <t xml:space="preserve">2022/7/18
</t>
  </si>
  <si>
    <t xml:space="preserve">2022/7/19
</t>
  </si>
  <si>
    <t xml:space="preserve">2022/7/20
</t>
  </si>
  <si>
    <t xml:space="preserve">2022/7/21
</t>
  </si>
  <si>
    <t xml:space="preserve">2022/7/22
</t>
  </si>
  <si>
    <t xml:space="preserve">2022/7/25
</t>
  </si>
  <si>
    <t xml:space="preserve">2022/7/26
</t>
  </si>
  <si>
    <t xml:space="preserve">2022/7/27
</t>
  </si>
  <si>
    <t xml:space="preserve">2022/8/1
</t>
  </si>
  <si>
    <t xml:space="preserve">2022/8/2
</t>
  </si>
  <si>
    <t xml:space="preserve">2022/8/3
</t>
  </si>
  <si>
    <t xml:space="preserve">2022/8/4
</t>
  </si>
  <si>
    <t xml:space="preserve">2022/8/5
</t>
  </si>
  <si>
    <t xml:space="preserve">2022/8/8
</t>
  </si>
  <si>
    <t xml:space="preserve">2022/8/9
</t>
  </si>
  <si>
    <t xml:space="preserve">2022/8/10
</t>
  </si>
  <si>
    <t xml:space="preserve">2022/8/11
</t>
  </si>
  <si>
    <t xml:space="preserve">2022/8/12
</t>
  </si>
  <si>
    <t xml:space="preserve">2022/8/15
</t>
  </si>
  <si>
    <t xml:space="preserve">2022/8/16
</t>
  </si>
  <si>
    <t xml:space="preserve">2022/8/17
</t>
  </si>
  <si>
    <t xml:space="preserve">2022/8/18
</t>
  </si>
  <si>
    <t xml:space="preserve">2022/8/19
</t>
  </si>
  <si>
    <t xml:space="preserve">2022/8/22
</t>
  </si>
  <si>
    <t xml:space="preserve">2022/8/23
</t>
  </si>
  <si>
    <t xml:space="preserve">2022/8/24
</t>
  </si>
  <si>
    <t xml:space="preserve">2022/8/25
</t>
  </si>
  <si>
    <t xml:space="preserve">2022/8/26
</t>
  </si>
  <si>
    <t xml:space="preserve">2022/8/29
</t>
  </si>
  <si>
    <t>DATE</t>
    <phoneticPr fontId="1" type="noConversion"/>
  </si>
  <si>
    <t>PE MEAN</t>
    <phoneticPr fontId="10" type="noConversion"/>
  </si>
  <si>
    <t xml:space="preserve">2022/9/1
</t>
  </si>
  <si>
    <t xml:space="preserve">2022/9/2
</t>
  </si>
  <si>
    <t xml:space="preserve">2022/9/5
</t>
  </si>
  <si>
    <t xml:space="preserve">2022/9/6
</t>
  </si>
  <si>
    <t xml:space="preserve">2022/9/7
</t>
  </si>
  <si>
    <t xml:space="preserve">2022/9/8
</t>
  </si>
  <si>
    <t xml:space="preserve">2022/9/9
</t>
  </si>
  <si>
    <t xml:space="preserve">2022/9/13
</t>
  </si>
  <si>
    <t xml:space="preserve">2022/9/14
</t>
  </si>
  <si>
    <t xml:space="preserve">2022/9/15
</t>
  </si>
  <si>
    <t xml:space="preserve">2022/9/16
</t>
  </si>
  <si>
    <t xml:space="preserve">2022/9/19
</t>
  </si>
  <si>
    <t xml:space="preserve">2022/9/20
</t>
  </si>
  <si>
    <t xml:space="preserve">2022/9/21
</t>
  </si>
  <si>
    <t xml:space="preserve">2022/9/22
</t>
  </si>
  <si>
    <t xml:space="preserve">2022/9/23
</t>
  </si>
  <si>
    <t xml:space="preserve">2022/9/26
</t>
  </si>
  <si>
    <t xml:space="preserve">2022/9/27
</t>
  </si>
  <si>
    <t xml:space="preserve">2022/9/28
</t>
  </si>
  <si>
    <t xml:space="preserve">2022/9/29
</t>
  </si>
  <si>
    <t xml:space="preserve">2022/10/10
</t>
  </si>
  <si>
    <t xml:space="preserve">2022/10/11
</t>
  </si>
  <si>
    <t xml:space="preserve">2022/10/12
</t>
  </si>
  <si>
    <t xml:space="preserve">2022/10/13
</t>
  </si>
  <si>
    <t xml:space="preserve">2022/10/14
</t>
  </si>
  <si>
    <t xml:space="preserve">2022/10/17
</t>
  </si>
  <si>
    <t xml:space="preserve">2022/10/18
</t>
  </si>
  <si>
    <t xml:space="preserve">2022/10/19
</t>
  </si>
  <si>
    <t xml:space="preserve">2022/10/20
</t>
  </si>
  <si>
    <t xml:space="preserve">2022/10/21
</t>
  </si>
  <si>
    <t xml:space="preserve">2022/10/24
</t>
  </si>
  <si>
    <t xml:space="preserve">2022/10/25
</t>
  </si>
  <si>
    <t xml:space="preserve">2022/10/26
</t>
  </si>
  <si>
    <t xml:space="preserve">2022/10/27
</t>
  </si>
  <si>
    <t xml:space="preserve">2022/11/1
</t>
  </si>
  <si>
    <t xml:space="preserve">2022/11/2
</t>
  </si>
  <si>
    <t xml:space="preserve">2022/11/3
</t>
  </si>
  <si>
    <t xml:space="preserve">2022/11/4
</t>
  </si>
  <si>
    <t xml:space="preserve">2022/11/7
</t>
  </si>
  <si>
    <t xml:space="preserve">2022/11/8
</t>
  </si>
  <si>
    <t xml:space="preserve">2022/11/9
</t>
  </si>
  <si>
    <t xml:space="preserve">2022/11/10
</t>
  </si>
  <si>
    <t xml:space="preserve">2022/11/11
</t>
  </si>
  <si>
    <t xml:space="preserve">2022/11/14
</t>
  </si>
  <si>
    <t xml:space="preserve">2022/11/15
</t>
  </si>
  <si>
    <t xml:space="preserve">2022/11/16
</t>
  </si>
  <si>
    <t xml:space="preserve">2022/11/17
</t>
  </si>
  <si>
    <t xml:space="preserve">2022/11/18
</t>
  </si>
  <si>
    <t xml:space="preserve">2022/11/21
</t>
  </si>
  <si>
    <t xml:space="preserve">2022/11/22
</t>
  </si>
  <si>
    <t xml:space="preserve">2022/11/23
</t>
  </si>
  <si>
    <t xml:space="preserve">2022/11/24
</t>
  </si>
  <si>
    <t xml:space="preserve">2022/11/25
</t>
  </si>
  <si>
    <t xml:space="preserve">2022/11/28
</t>
  </si>
  <si>
    <t xml:space="preserve">2022/11/29
</t>
  </si>
  <si>
    <t xml:space="preserve">2022/12/1
</t>
  </si>
  <si>
    <t xml:space="preserve">2022/12/2
</t>
  </si>
  <si>
    <t xml:space="preserve">2022/12/5
</t>
  </si>
  <si>
    <t xml:space="preserve">2022/12/6
</t>
  </si>
  <si>
    <t xml:space="preserve">2022/12/7
</t>
  </si>
  <si>
    <t xml:space="preserve">2022/12/8
</t>
  </si>
  <si>
    <t xml:space="preserve">2022/12/9
</t>
  </si>
  <si>
    <t xml:space="preserve">2022/12/12
</t>
  </si>
  <si>
    <t xml:space="preserve">2022/12/13
</t>
  </si>
  <si>
    <t xml:space="preserve">2022/12/14
</t>
  </si>
  <si>
    <t xml:space="preserve">2022/12/15
</t>
  </si>
  <si>
    <t xml:space="preserve">2022/12/16
</t>
  </si>
  <si>
    <t xml:space="preserve">2022/12/19
</t>
  </si>
  <si>
    <t xml:space="preserve">2022/12/20
</t>
  </si>
  <si>
    <t xml:space="preserve">2022/12/21
</t>
  </si>
  <si>
    <t xml:space="preserve">2022/12/22
</t>
  </si>
  <si>
    <t xml:space="preserve">2022/12/23
</t>
  </si>
  <si>
    <t xml:space="preserve">2022/12/26
</t>
  </si>
  <si>
    <t xml:space="preserve">2022/12/27
</t>
  </si>
  <si>
    <t xml:space="preserve">2022/12/28
</t>
  </si>
  <si>
    <t xml:space="preserve">2023/1/3
</t>
  </si>
  <si>
    <t xml:space="preserve">2023/1/4
</t>
  </si>
  <si>
    <t xml:space="preserve">2023/1/5
</t>
  </si>
  <si>
    <t xml:space="preserve">2023/1/6
</t>
  </si>
  <si>
    <t xml:space="preserve">2023/1/9
</t>
  </si>
  <si>
    <t xml:space="preserve">2023/1/10
</t>
  </si>
  <si>
    <t xml:space="preserve">2023/1/11
</t>
  </si>
  <si>
    <t xml:space="preserve">2023/1/12
</t>
  </si>
  <si>
    <t xml:space="preserve">2023/1/13
</t>
  </si>
  <si>
    <t xml:space="preserve">2023/1/16
</t>
  </si>
  <si>
    <t xml:space="preserve">2023/1/17
</t>
  </si>
  <si>
    <t xml:space="preserve">2023/1/18
</t>
  </si>
  <si>
    <t xml:space="preserve">2023/1/19
</t>
  </si>
  <si>
    <t xml:space="preserve">2023/1/20
</t>
  </si>
  <si>
    <t xml:space="preserve">2023/2/1
</t>
  </si>
  <si>
    <t xml:space="preserve">2023/2/2
</t>
  </si>
  <si>
    <t xml:space="preserve">2023/2/3
</t>
  </si>
  <si>
    <t xml:space="preserve">2023/2/6
</t>
  </si>
  <si>
    <t xml:space="preserve">2023/2/7
</t>
  </si>
  <si>
    <t xml:space="preserve">2023/2/8
</t>
  </si>
  <si>
    <t xml:space="preserve">2023/2/9
</t>
  </si>
  <si>
    <t xml:space="preserve">2023/2/10
</t>
  </si>
  <si>
    <t xml:space="preserve">2023/2/13
</t>
  </si>
  <si>
    <t xml:space="preserve">2023/2/14
</t>
  </si>
  <si>
    <t xml:space="preserve">2023/2/15
</t>
  </si>
  <si>
    <t xml:space="preserve">2023/2/16
</t>
  </si>
  <si>
    <t xml:space="preserve">2023/2/17
</t>
  </si>
  <si>
    <t xml:space="preserve">2023/2/20
</t>
  </si>
  <si>
    <t xml:space="preserve">2023/2/21
</t>
  </si>
  <si>
    <t xml:space="preserve">2023/2/22
</t>
  </si>
  <si>
    <t xml:space="preserve">2023/2/23
</t>
  </si>
  <si>
    <t xml:space="preserve">2023/2/24
</t>
  </si>
  <si>
    <t xml:space="preserve">2023/3/1
</t>
  </si>
  <si>
    <t xml:space="preserve">2023/3/2
</t>
  </si>
  <si>
    <t xml:space="preserve">2023/3/3
</t>
  </si>
  <si>
    <t xml:space="preserve">2023/3/6
</t>
  </si>
  <si>
    <t xml:space="preserve">2023/3/7
</t>
  </si>
  <si>
    <t xml:space="preserve">2023/3/8
</t>
  </si>
  <si>
    <t xml:space="preserve">2023/3/9
</t>
  </si>
  <si>
    <t xml:space="preserve">2023/3/10
</t>
  </si>
  <si>
    <t xml:space="preserve">2023/3/13
</t>
  </si>
  <si>
    <t xml:space="preserve">2023/3/14
</t>
  </si>
  <si>
    <t xml:space="preserve">2023/3/15
</t>
  </si>
  <si>
    <t xml:space="preserve">2023/3/16
</t>
  </si>
  <si>
    <t xml:space="preserve">2023/3/17
</t>
  </si>
  <si>
    <t xml:space="preserve">2023/3/20
</t>
  </si>
  <si>
    <t xml:space="preserve">2023/3/21
</t>
  </si>
  <si>
    <t xml:space="preserve">2023/3/22
</t>
  </si>
  <si>
    <t xml:space="preserve">2023/3/23
</t>
  </si>
  <si>
    <t xml:space="preserve">2023/3/24
</t>
  </si>
  <si>
    <t xml:space="preserve">2023/3/27
</t>
  </si>
  <si>
    <t xml:space="preserve">2023/3/28
</t>
  </si>
  <si>
    <t xml:space="preserve">2023/3/29
</t>
  </si>
  <si>
    <t xml:space="preserve">2023/4/3
</t>
  </si>
  <si>
    <t xml:space="preserve">2023/4/4
</t>
  </si>
  <si>
    <t xml:space="preserve">2023/4/6
</t>
  </si>
  <si>
    <t xml:space="preserve">2023/4/7
</t>
  </si>
  <si>
    <t xml:space="preserve">2023/4/10
</t>
  </si>
  <si>
    <t xml:space="preserve">2023/4/11
</t>
  </si>
  <si>
    <t xml:space="preserve">2023/4/12
</t>
  </si>
  <si>
    <t xml:space="preserve">2023/4/13
</t>
  </si>
  <si>
    <t xml:space="preserve">2023/4/14
</t>
  </si>
  <si>
    <t xml:space="preserve">2023/4/17
</t>
  </si>
  <si>
    <t xml:space="preserve">2023/4/18
</t>
  </si>
  <si>
    <t xml:space="preserve">2023/4/19
</t>
  </si>
  <si>
    <t xml:space="preserve">2023/4/20
</t>
  </si>
  <si>
    <t xml:space="preserve">2023/4/21
</t>
  </si>
  <si>
    <t xml:space="preserve">2023/4/24
</t>
  </si>
  <si>
    <t xml:space="preserve">2023/4/25
</t>
  </si>
  <si>
    <t xml:space="preserve">2023/4/26
</t>
  </si>
  <si>
    <t xml:space="preserve">2023/5/4
</t>
  </si>
  <si>
    <t xml:space="preserve">2023/5/5
</t>
  </si>
  <si>
    <t xml:space="preserve">2023/5/8
</t>
  </si>
  <si>
    <t xml:space="preserve">2023/5/9
</t>
  </si>
  <si>
    <t xml:space="preserve">2023/5/10
</t>
  </si>
  <si>
    <t xml:space="preserve">2023/5/11
</t>
  </si>
  <si>
    <t xml:space="preserve">2023/5/12
</t>
  </si>
  <si>
    <t xml:space="preserve">2023/5/15
</t>
  </si>
  <si>
    <t xml:space="preserve">2023/5/16
</t>
  </si>
  <si>
    <t xml:space="preserve">2023/5/17
</t>
  </si>
  <si>
    <t xml:space="preserve">2023/5/18
</t>
  </si>
  <si>
    <t xml:space="preserve">2023/5/19
</t>
  </si>
  <si>
    <t xml:space="preserve">2023/5/22
</t>
  </si>
  <si>
    <t xml:space="preserve">2023/5/23
</t>
  </si>
  <si>
    <t xml:space="preserve">2023/5/24
</t>
  </si>
  <si>
    <t xml:space="preserve">2023/5/25
</t>
  </si>
  <si>
    <t xml:space="preserve">2023/5/26
</t>
  </si>
  <si>
    <t xml:space="preserve">2023/5/29
</t>
  </si>
  <si>
    <t xml:space="preserve">2023/6/1
</t>
  </si>
  <si>
    <t xml:space="preserve">2023/6/2
</t>
  </si>
  <si>
    <t xml:space="preserve">2023/6/5
</t>
  </si>
  <si>
    <t xml:space="preserve">2023/6/6
</t>
  </si>
  <si>
    <t xml:space="preserve">2023/6/7
</t>
  </si>
  <si>
    <t xml:space="preserve">2023/6/8
</t>
  </si>
  <si>
    <t xml:space="preserve">2023/6/9
</t>
  </si>
  <si>
    <t xml:space="preserve">2023/6/12
</t>
  </si>
  <si>
    <t xml:space="preserve">2023/6/13
</t>
  </si>
  <si>
    <t xml:space="preserve">2023/6/14
</t>
  </si>
  <si>
    <t xml:space="preserve">2023/6/15
</t>
  </si>
  <si>
    <t xml:space="preserve">2023/6/16
</t>
  </si>
  <si>
    <t xml:space="preserve">2023/6/19
</t>
  </si>
  <si>
    <t xml:space="preserve">2023/6/20
</t>
  </si>
  <si>
    <t xml:space="preserve">2023/6/21
</t>
  </si>
  <si>
    <t xml:space="preserve">2023/6/26
</t>
  </si>
  <si>
    <t xml:space="preserve">2023/6/27
</t>
  </si>
  <si>
    <t xml:space="preserve">2023/6/28
</t>
  </si>
  <si>
    <t xml:space="preserve">2023/7/3
</t>
  </si>
  <si>
    <t xml:space="preserve">2023/7/4
</t>
  </si>
  <si>
    <t xml:space="preserve">2023/7/5
</t>
  </si>
  <si>
    <t xml:space="preserve">2023/7/6
</t>
  </si>
  <si>
    <t xml:space="preserve">2023/7/7
</t>
  </si>
  <si>
    <t xml:space="preserve">2023/7/10
</t>
  </si>
  <si>
    <t xml:space="preserve">2023/7/11
</t>
  </si>
  <si>
    <t xml:space="preserve">2023/7/12
</t>
  </si>
  <si>
    <t xml:space="preserve">2023/7/13
</t>
  </si>
  <si>
    <t xml:space="preserve">2023/7/14
</t>
  </si>
  <si>
    <t xml:space="preserve">2023/7/17
</t>
  </si>
  <si>
    <t xml:space="preserve">2023/7/18
</t>
  </si>
  <si>
    <t xml:space="preserve">2023/7/19
</t>
  </si>
  <si>
    <t xml:space="preserve">2023/7/20
</t>
  </si>
  <si>
    <t xml:space="preserve">2023/7/21
</t>
  </si>
  <si>
    <t xml:space="preserve">2023/7/24
</t>
  </si>
  <si>
    <t xml:space="preserve">2023/7/25
</t>
  </si>
  <si>
    <t xml:space="preserve">2023/7/26
</t>
  </si>
  <si>
    <t xml:space="preserve">2023/7/27
</t>
  </si>
  <si>
    <t xml:space="preserve">2023/8/1
</t>
  </si>
  <si>
    <t xml:space="preserve">2023/8/2
</t>
  </si>
  <si>
    <t xml:space="preserve">2023/8/3
</t>
  </si>
  <si>
    <t xml:space="preserve">2023/8/4
</t>
  </si>
  <si>
    <t xml:space="preserve">2023/8/7
</t>
  </si>
  <si>
    <t xml:space="preserve">2023/8/8
</t>
  </si>
  <si>
    <t xml:space="preserve">2023/8/9
</t>
  </si>
  <si>
    <t xml:space="preserve">2023/8/10
</t>
  </si>
  <si>
    <t xml:space="preserve">2023/8/11
</t>
  </si>
  <si>
    <t xml:space="preserve">2023/8/14
</t>
  </si>
  <si>
    <t xml:space="preserve">2023/8/15
</t>
  </si>
  <si>
    <t xml:space="preserve">2023/8/16
</t>
  </si>
  <si>
    <t xml:space="preserve">2023/8/17
</t>
  </si>
  <si>
    <t xml:space="preserve">2023/8/18
</t>
  </si>
  <si>
    <t xml:space="preserve">2023/8/21
</t>
  </si>
  <si>
    <t xml:space="preserve">2023/8/22
</t>
  </si>
  <si>
    <t xml:space="preserve">2023/8/23
</t>
  </si>
  <si>
    <t xml:space="preserve">2023/8/24
</t>
  </si>
  <si>
    <t xml:space="preserve">2023/8/25
</t>
  </si>
  <si>
    <t xml:space="preserve">2023/8/28
</t>
  </si>
  <si>
    <t xml:space="preserve">2023/8/29
</t>
  </si>
  <si>
    <t xml:space="preserve">2023/9/1
</t>
  </si>
  <si>
    <t xml:space="preserve">2023/9/4
</t>
  </si>
  <si>
    <t xml:space="preserve">2023/9/5
</t>
  </si>
  <si>
    <t xml:space="preserve">2023/9/6
</t>
  </si>
  <si>
    <t xml:space="preserve">2023/9/7
</t>
  </si>
  <si>
    <t xml:space="preserve">2023/9/8
</t>
  </si>
  <si>
    <t xml:space="preserve">2023/9/11
</t>
  </si>
  <si>
    <t xml:space="preserve">2023/9/12
</t>
  </si>
  <si>
    <t xml:space="preserve">2023/9/13
</t>
  </si>
  <si>
    <t xml:space="preserve">2023/9/14
</t>
  </si>
  <si>
    <t xml:space="preserve">2023/9/15
</t>
  </si>
  <si>
    <t xml:space="preserve">2023/9/18
</t>
  </si>
  <si>
    <t xml:space="preserve">2023/9/19
</t>
  </si>
  <si>
    <t xml:space="preserve">2023/9/20
</t>
  </si>
  <si>
    <t xml:space="preserve">2023/9/21
</t>
  </si>
  <si>
    <t xml:space="preserve">2023/9/22
</t>
  </si>
  <si>
    <t xml:space="preserve">2023/9/25
</t>
  </si>
  <si>
    <t xml:space="preserve">2023/9/26
</t>
  </si>
  <si>
    <t xml:space="preserve">2023/10/9
</t>
  </si>
  <si>
    <t xml:space="preserve">2023/10/10
</t>
  </si>
  <si>
    <t xml:space="preserve">2023/10/11
</t>
  </si>
  <si>
    <t xml:space="preserve">2023/10/12
</t>
  </si>
  <si>
    <t xml:space="preserve">2023/10/13
</t>
  </si>
  <si>
    <t xml:space="preserve">2023/10/16
</t>
  </si>
  <si>
    <t xml:space="preserve">2023/10/17
</t>
  </si>
  <si>
    <t xml:space="preserve">2023/10/18
</t>
  </si>
  <si>
    <t xml:space="preserve">2023/10/19
</t>
  </si>
  <si>
    <t xml:space="preserve">2023/10/20
</t>
  </si>
  <si>
    <t xml:space="preserve">2023/10/23
</t>
  </si>
  <si>
    <t xml:space="preserve">2023/10/24
</t>
  </si>
  <si>
    <t xml:space="preserve">2023/10/25
</t>
  </si>
  <si>
    <t xml:space="preserve">2023/10/26
</t>
  </si>
  <si>
    <t xml:space="preserve">2023/10/27
</t>
  </si>
  <si>
    <t xml:space="preserve">2023/11/1
</t>
  </si>
  <si>
    <t xml:space="preserve">2023/11/2
</t>
  </si>
  <si>
    <t xml:space="preserve">2023/11/3
</t>
  </si>
  <si>
    <t xml:space="preserve">2023/11/6
</t>
  </si>
  <si>
    <t xml:space="preserve">2023/11/7
</t>
  </si>
  <si>
    <t xml:space="preserve">2023/11/8
</t>
  </si>
  <si>
    <t xml:space="preserve">2023/11/9
</t>
  </si>
  <si>
    <t xml:space="preserve">2023/11/10
</t>
  </si>
  <si>
    <t xml:space="preserve">2023/11/13
</t>
  </si>
  <si>
    <t xml:space="preserve">2023/11/14
</t>
  </si>
  <si>
    <t xml:space="preserve">2023/11/15
</t>
  </si>
  <si>
    <t xml:space="preserve">2023/11/16
</t>
  </si>
  <si>
    <t xml:space="preserve">2023/11/17
</t>
  </si>
  <si>
    <t xml:space="preserve">2023/11/20
</t>
  </si>
  <si>
    <t xml:space="preserve">2023/11/21
</t>
  </si>
  <si>
    <t xml:space="preserve">2023/11/22
</t>
  </si>
  <si>
    <t xml:space="preserve">2023/11/23
</t>
  </si>
  <si>
    <t xml:space="preserve">2023/11/24
</t>
  </si>
  <si>
    <t xml:space="preserve">2023/11/27
</t>
  </si>
  <si>
    <t xml:space="preserve">2023/11/28
</t>
  </si>
  <si>
    <t xml:space="preserve">2023/11/29
</t>
  </si>
  <si>
    <t xml:space="preserve">2023/12/1
</t>
  </si>
  <si>
    <t xml:space="preserve">2023/12/4
</t>
  </si>
  <si>
    <t xml:space="preserve">2023/12/5
</t>
  </si>
  <si>
    <t xml:space="preserve">2023/12/6
</t>
  </si>
  <si>
    <t xml:space="preserve">2023/12/7
</t>
  </si>
  <si>
    <t xml:space="preserve">2023/12/8
</t>
  </si>
  <si>
    <t xml:space="preserve">2023/12/11
</t>
  </si>
  <si>
    <t xml:space="preserve">2023/12/12
</t>
  </si>
  <si>
    <t xml:space="preserve">2023/12/13
</t>
  </si>
  <si>
    <t xml:space="preserve">2023/12/14
</t>
  </si>
  <si>
    <t xml:space="preserve">2023/12/15
</t>
  </si>
  <si>
    <t xml:space="preserve">2023/12/18
</t>
  </si>
  <si>
    <t xml:space="preserve">2023/12/19
</t>
  </si>
  <si>
    <t xml:space="preserve">2023/12/20
</t>
  </si>
  <si>
    <t xml:space="preserve">2023/12/21
</t>
  </si>
  <si>
    <t xml:space="preserve">2023/12/22
</t>
  </si>
  <si>
    <t xml:space="preserve">2023/12/25
</t>
  </si>
  <si>
    <t xml:space="preserve">2023/12/26
</t>
  </si>
  <si>
    <t xml:space="preserve">2023/12/27
</t>
  </si>
  <si>
    <t xml:space="preserve">2024/1/2
</t>
  </si>
  <si>
    <t xml:space="preserve">2024/1/3
</t>
  </si>
  <si>
    <t xml:space="preserve">2024/1/4
</t>
  </si>
  <si>
    <t xml:space="preserve">2024/1/5
</t>
  </si>
  <si>
    <t xml:space="preserve">2024/1/8
</t>
  </si>
  <si>
    <t xml:space="preserve">2024/1/9
</t>
  </si>
  <si>
    <t xml:space="preserve">2024/1/10
</t>
  </si>
  <si>
    <t xml:space="preserve">2024/1/11
</t>
  </si>
  <si>
    <t xml:space="preserve">2024/1/12
</t>
  </si>
  <si>
    <t xml:space="preserve">2024/1/15
</t>
  </si>
  <si>
    <t xml:space="preserve">2024/1/16
</t>
  </si>
  <si>
    <t xml:space="preserve">2024/1/17
</t>
  </si>
  <si>
    <t xml:space="preserve">2024/1/18
</t>
  </si>
  <si>
    <t xml:space="preserve">2024/1/19
</t>
  </si>
  <si>
    <t xml:space="preserve">2024/1/22
</t>
  </si>
  <si>
    <t xml:space="preserve">2024/1/23
</t>
  </si>
  <si>
    <t xml:space="preserve">2024/1/24
</t>
  </si>
  <si>
    <t xml:space="preserve">2024/1/25
</t>
  </si>
  <si>
    <t xml:space="preserve">2024/1/26
</t>
  </si>
  <si>
    <t xml:space="preserve">2024/1/29
</t>
  </si>
  <si>
    <t xml:space="preserve">2024/2/1
</t>
  </si>
  <si>
    <t xml:space="preserve">2024/2/2
</t>
  </si>
  <si>
    <t xml:space="preserve">2024/2/5
</t>
  </si>
  <si>
    <t xml:space="preserve">2024/2/6
</t>
  </si>
  <si>
    <t xml:space="preserve">2024/2/7
</t>
  </si>
  <si>
    <t xml:space="preserve">2024/2/8
</t>
  </si>
  <si>
    <t xml:space="preserve">2024/2/19
</t>
  </si>
  <si>
    <t xml:space="preserve">2024/2/20
</t>
  </si>
  <si>
    <t xml:space="preserve">2024/2/21
</t>
  </si>
  <si>
    <t xml:space="preserve">2024/2/22
</t>
  </si>
  <si>
    <t xml:space="preserve">2024/2/23
</t>
  </si>
  <si>
    <t xml:space="preserve">2024/2/26
</t>
  </si>
  <si>
    <t xml:space="preserve">2024/2/27
</t>
  </si>
  <si>
    <t xml:space="preserve">2024/2/28
</t>
  </si>
  <si>
    <t xml:space="preserve">2024/3/1
</t>
  </si>
  <si>
    <t xml:space="preserve">2024/3/4
</t>
  </si>
  <si>
    <t xml:space="preserve">2024/3/5
</t>
  </si>
  <si>
    <t xml:space="preserve">2024/3/6
</t>
  </si>
  <si>
    <t xml:space="preserve">2024/3/7
</t>
  </si>
  <si>
    <t xml:space="preserve">2024/3/8
</t>
  </si>
  <si>
    <t xml:space="preserve">2024/3/11
</t>
  </si>
  <si>
    <t xml:space="preserve">2024/3/12
</t>
  </si>
  <si>
    <t xml:space="preserve">2024/3/13
</t>
  </si>
  <si>
    <t xml:space="preserve">2024/3/14
</t>
  </si>
  <si>
    <t xml:space="preserve">2024/3/15
</t>
  </si>
  <si>
    <t xml:space="preserve">2024/3/18
</t>
  </si>
  <si>
    <t xml:space="preserve">2024/3/19
</t>
  </si>
  <si>
    <t xml:space="preserve">2024/3/20
</t>
  </si>
  <si>
    <t xml:space="preserve">2024/3/21
</t>
  </si>
  <si>
    <t xml:space="preserve">2024/3/22
</t>
  </si>
  <si>
    <t xml:space="preserve">2024/3/25
</t>
  </si>
  <si>
    <t xml:space="preserve">2024/3/26
</t>
  </si>
  <si>
    <t xml:space="preserve">2024/3/27
</t>
  </si>
  <si>
    <t xml:space="preserve">2024/4/1
</t>
  </si>
  <si>
    <t xml:space="preserve">2024/4/2
</t>
  </si>
  <si>
    <t xml:space="preserve">2024/4/3
</t>
  </si>
  <si>
    <t xml:space="preserve">2024/4/8
</t>
  </si>
  <si>
    <t xml:space="preserve">2024/4/9
</t>
  </si>
  <si>
    <t xml:space="preserve">2024/4/10
</t>
  </si>
  <si>
    <t xml:space="preserve">2024/4/11
</t>
  </si>
  <si>
    <t xml:space="preserve">2024/4/12
</t>
  </si>
  <si>
    <t xml:space="preserve">2024/4/15
</t>
  </si>
  <si>
    <t xml:space="preserve">2024/4/16
</t>
  </si>
  <si>
    <t xml:space="preserve">2024/4/17
</t>
  </si>
  <si>
    <t xml:space="preserve">2024/4/18
</t>
  </si>
  <si>
    <t xml:space="preserve">2024/4/19
</t>
  </si>
  <si>
    <t xml:space="preserve">2024/4/22
</t>
  </si>
  <si>
    <t xml:space="preserve">2024/4/23
</t>
  </si>
  <si>
    <t xml:space="preserve">2024/4/24
</t>
  </si>
  <si>
    <t xml:space="preserve">2024/4/25
</t>
  </si>
  <si>
    <t xml:space="preserve">2024/4/26
</t>
  </si>
  <si>
    <t xml:space="preserve">2024/5/6
</t>
  </si>
  <si>
    <t xml:space="preserve">2024/5/7
</t>
  </si>
  <si>
    <t xml:space="preserve">2024/5/8
</t>
  </si>
  <si>
    <t xml:space="preserve">2024/5/9
</t>
  </si>
  <si>
    <t xml:space="preserve">2024/5/10
</t>
  </si>
  <si>
    <t xml:space="preserve">2024/5/13
</t>
  </si>
  <si>
    <t xml:space="preserve">2024/5/14
</t>
  </si>
  <si>
    <t xml:space="preserve">2024/5/15
</t>
  </si>
  <si>
    <t xml:space="preserve">2024/5/16
</t>
  </si>
  <si>
    <t xml:space="preserve">2024/5/17
</t>
  </si>
  <si>
    <t xml:space="preserve">2024/5/20
</t>
  </si>
  <si>
    <t xml:space="preserve">2024/5/21
</t>
  </si>
  <si>
    <t xml:space="preserve">2024/5/22
</t>
  </si>
  <si>
    <t xml:space="preserve">2024/5/23
</t>
  </si>
  <si>
    <t xml:space="preserve">2024/5/24
</t>
  </si>
  <si>
    <t xml:space="preserve">2024/5/27
</t>
  </si>
  <si>
    <t xml:space="preserve">2024/5/28
</t>
  </si>
  <si>
    <t xml:space="preserve">2024/5/29
</t>
  </si>
  <si>
    <t xml:space="preserve">2024/6/3
</t>
  </si>
  <si>
    <t xml:space="preserve">2024/6/4
</t>
  </si>
  <si>
    <t xml:space="preserve">2024/6/5
</t>
  </si>
  <si>
    <t xml:space="preserve">2024/6/6
</t>
  </si>
  <si>
    <t xml:space="preserve">2024/6/7
</t>
  </si>
  <si>
    <t xml:space="preserve">2024/6/11
</t>
  </si>
  <si>
    <t xml:space="preserve">2024/6/12
</t>
  </si>
  <si>
    <t xml:space="preserve">2024/6/13
</t>
  </si>
  <si>
    <t xml:space="preserve">2024/6/14
</t>
  </si>
  <si>
    <t xml:space="preserve">2024/6/17
</t>
  </si>
  <si>
    <t xml:space="preserve">2024/6/18
</t>
  </si>
  <si>
    <t xml:space="preserve">2024/6/19
</t>
  </si>
  <si>
    <t xml:space="preserve">2024/6/20
</t>
  </si>
  <si>
    <t xml:space="preserve">2024/6/21
</t>
  </si>
  <si>
    <t xml:space="preserve">2024/6/24
</t>
  </si>
  <si>
    <t xml:space="preserve">2024/6/25
</t>
  </si>
  <si>
    <t xml:space="preserve">2024/6/26
</t>
  </si>
  <si>
    <t xml:space="preserve">2024/7/1
</t>
  </si>
  <si>
    <t xml:space="preserve">2024/7/2
</t>
  </si>
  <si>
    <t xml:space="preserve">2024/7/3
</t>
  </si>
  <si>
    <t xml:space="preserve">2024/7/4
</t>
  </si>
  <si>
    <t xml:space="preserve">2024/7/5
</t>
  </si>
  <si>
    <t xml:space="preserve">2024/7/8
</t>
  </si>
  <si>
    <t xml:space="preserve">2024/7/9
</t>
  </si>
  <si>
    <t xml:space="preserve">2024/7/10
</t>
  </si>
  <si>
    <t xml:space="preserve">2024/7/11
</t>
  </si>
  <si>
    <t xml:space="preserve">2024/7/12
</t>
  </si>
  <si>
    <t xml:space="preserve">2024/7/15
</t>
  </si>
  <si>
    <t xml:space="preserve">2024/7/16
</t>
  </si>
  <si>
    <t xml:space="preserve">2024/7/17
</t>
  </si>
  <si>
    <t xml:space="preserve">2024/7/18
</t>
  </si>
  <si>
    <t xml:space="preserve">2024/7/19
</t>
  </si>
  <si>
    <t xml:space="preserve">2024/7/22
</t>
  </si>
  <si>
    <t xml:space="preserve">2024/7/23
</t>
  </si>
  <si>
    <t xml:space="preserve">2024/7/24
</t>
  </si>
  <si>
    <t xml:space="preserve">2024/7/25
</t>
  </si>
  <si>
    <t xml:space="preserve">2024/7/26
</t>
  </si>
  <si>
    <t xml:space="preserve">2024/7/29
</t>
  </si>
  <si>
    <t xml:space="preserve">2024/8/1
</t>
  </si>
  <si>
    <t xml:space="preserve">2024/8/2
</t>
  </si>
  <si>
    <t xml:space="preserve">2024/8/5
</t>
  </si>
  <si>
    <t xml:space="preserve">2024/8/6
</t>
  </si>
  <si>
    <t xml:space="preserve">2024/8/7
</t>
  </si>
  <si>
    <t xml:space="preserve">2024/8/8
</t>
  </si>
  <si>
    <t xml:space="preserve">2024/8/9
</t>
  </si>
  <si>
    <t xml:space="preserve">2024/8/12
</t>
  </si>
  <si>
    <t xml:space="preserve">2024/8/13
</t>
  </si>
  <si>
    <t xml:space="preserve">2024/8/14
</t>
  </si>
  <si>
    <t xml:space="preserve">2024/8/15
</t>
  </si>
  <si>
    <t xml:space="preserve">2024/8/16
</t>
  </si>
  <si>
    <t xml:space="preserve">2024/8/19
</t>
  </si>
  <si>
    <t xml:space="preserve">2024/8/20
</t>
  </si>
  <si>
    <t xml:space="preserve">2024/8/21
</t>
  </si>
  <si>
    <t xml:space="preserve">2024/8/22
</t>
  </si>
  <si>
    <t xml:space="preserve">2024/8/23
</t>
  </si>
  <si>
    <t xml:space="preserve">2024/8/26
</t>
  </si>
  <si>
    <t xml:space="preserve">2024/8/27
</t>
  </si>
  <si>
    <t xml:space="preserve">2024/8/28
</t>
  </si>
  <si>
    <t xml:space="preserve">2024/9/2
</t>
  </si>
  <si>
    <t xml:space="preserve">2024/9/3
</t>
  </si>
  <si>
    <t xml:space="preserve">2024/9/4
</t>
  </si>
  <si>
    <t xml:space="preserve">2024/9/5
</t>
  </si>
  <si>
    <t xml:space="preserve">2024/9/6
</t>
  </si>
  <si>
    <t xml:space="preserve">2024/9/9
</t>
  </si>
  <si>
    <t xml:space="preserve">2024/9/10
</t>
  </si>
  <si>
    <t xml:space="preserve">2024/9/11
</t>
  </si>
  <si>
    <t xml:space="preserve">2024/9/12
</t>
  </si>
  <si>
    <t xml:space="preserve">2024/9/13
</t>
  </si>
  <si>
    <t xml:space="preserve">2024/9/18
</t>
  </si>
  <si>
    <t xml:space="preserve">2024/9/19
</t>
  </si>
  <si>
    <t xml:space="preserve">2024/9/20
</t>
  </si>
  <si>
    <t xml:space="preserve">2024/9/23
</t>
  </si>
  <si>
    <t xml:space="preserve">2024/9/24
</t>
  </si>
  <si>
    <t xml:space="preserve">2024/9/25
</t>
  </si>
  <si>
    <t xml:space="preserve">2024/9/26
</t>
  </si>
  <si>
    <t xml:space="preserve">2024/10/8
</t>
  </si>
  <si>
    <t xml:space="preserve">2024/10/9
</t>
  </si>
  <si>
    <t xml:space="preserve">2024/10/10
</t>
  </si>
  <si>
    <t xml:space="preserve">2024/10/11
</t>
  </si>
  <si>
    <t xml:space="preserve">2024/10/14
</t>
  </si>
  <si>
    <t xml:space="preserve">2024/10/15
</t>
  </si>
  <si>
    <t xml:space="preserve">2024/10/16
</t>
  </si>
  <si>
    <t xml:space="preserve">2024/10/17
</t>
  </si>
  <si>
    <t xml:space="preserve">2024/10/18
</t>
  </si>
  <si>
    <t xml:space="preserve">2024/10/21
</t>
  </si>
  <si>
    <t xml:space="preserve">2024/10/22
</t>
  </si>
  <si>
    <t xml:space="preserve">2024/10/23
</t>
  </si>
  <si>
    <t xml:space="preserve">2024/10/24
</t>
  </si>
  <si>
    <t xml:space="preserve">2024/10/25
</t>
  </si>
  <si>
    <t xml:space="preserve">2024/10/28
</t>
  </si>
  <si>
    <t xml:space="preserve">2024/10/29
</t>
  </si>
  <si>
    <t xml:space="preserve">2024/11/1
</t>
  </si>
  <si>
    <t xml:space="preserve">2024/11/4
</t>
  </si>
  <si>
    <t xml:space="preserve">2024/11/5
</t>
  </si>
  <si>
    <t xml:space="preserve">2024/11/6
</t>
  </si>
  <si>
    <t xml:space="preserve">2024/11/7
</t>
  </si>
  <si>
    <t xml:space="preserve">2024/11/8
</t>
  </si>
  <si>
    <t xml:space="preserve">2024/11/11
</t>
  </si>
  <si>
    <t xml:space="preserve">2024/11/12
</t>
  </si>
  <si>
    <t xml:space="preserve">2024/11/13
</t>
  </si>
  <si>
    <t xml:space="preserve">2024/11/14
</t>
  </si>
  <si>
    <t xml:space="preserve">2024/11/15
</t>
  </si>
  <si>
    <t xml:space="preserve">2024/11/18
</t>
  </si>
  <si>
    <t xml:space="preserve">2024/11/19
</t>
  </si>
  <si>
    <t xml:space="preserve">2024/11/20
</t>
  </si>
  <si>
    <t xml:space="preserve">2024/11/21
</t>
  </si>
  <si>
    <t xml:space="preserve">2024/11/22
</t>
  </si>
  <si>
    <t xml:space="preserve">2024/11/25
</t>
  </si>
  <si>
    <t xml:space="preserve">2024/11/26
</t>
  </si>
  <si>
    <t xml:space="preserve">2024/11/27
</t>
  </si>
  <si>
    <t xml:space="preserve">2024/12/2
</t>
  </si>
  <si>
    <t xml:space="preserve">2024/12/3
</t>
  </si>
  <si>
    <t xml:space="preserve">2024/12/4
</t>
  </si>
  <si>
    <t xml:space="preserve">2024/12/5
</t>
  </si>
  <si>
    <t xml:space="preserve">2024/12/6
</t>
  </si>
  <si>
    <t xml:space="preserve">2024/12/9
</t>
  </si>
  <si>
    <t xml:space="preserve">2024/12/10
</t>
  </si>
  <si>
    <t xml:space="preserve">2024/12/11
</t>
  </si>
  <si>
    <t xml:space="preserve">2024/12/12
</t>
  </si>
  <si>
    <t xml:space="preserve">2024/12/13
</t>
  </si>
  <si>
    <t xml:space="preserve">2024/12/16
</t>
  </si>
  <si>
    <t xml:space="preserve">2024/12/17
</t>
  </si>
  <si>
    <t xml:space="preserve">2024/12/18
</t>
  </si>
  <si>
    <t xml:space="preserve">2024/12/19
</t>
  </si>
  <si>
    <t xml:space="preserve">2024/12/20
</t>
  </si>
  <si>
    <t xml:space="preserve">2024/12/23
</t>
  </si>
  <si>
    <t xml:space="preserve">2024/12/24
</t>
  </si>
  <si>
    <t xml:space="preserve">2024/12/25
</t>
  </si>
  <si>
    <t xml:space="preserve">2024/12/26
</t>
  </si>
  <si>
    <t xml:space="preserve">2024/12/27
</t>
  </si>
  <si>
    <t xml:space="preserve">2025/1/2
</t>
  </si>
  <si>
    <t xml:space="preserve">2025/1/3
</t>
  </si>
  <si>
    <t xml:space="preserve">2025/1/6
</t>
  </si>
  <si>
    <t xml:space="preserve">2025/1/7
</t>
  </si>
  <si>
    <t xml:space="preserve">2025/1/8
</t>
  </si>
  <si>
    <t xml:space="preserve">2025/1/9
</t>
  </si>
  <si>
    <t xml:space="preserve">2025/1/10
</t>
  </si>
  <si>
    <t xml:space="preserve">2025/1/13
</t>
  </si>
  <si>
    <t xml:space="preserve">2025/1/14
</t>
  </si>
  <si>
    <t xml:space="preserve">2025/1/15
</t>
  </si>
  <si>
    <t xml:space="preserve">2025/1/16
</t>
  </si>
  <si>
    <t xml:space="preserve">2025/1/17
</t>
  </si>
  <si>
    <t xml:space="preserve">2025/1/20
</t>
  </si>
  <si>
    <t xml:space="preserve">2025/1/21
</t>
  </si>
  <si>
    <t xml:space="preserve">2025/1/22
</t>
  </si>
  <si>
    <t xml:space="preserve">2025/1/23
</t>
  </si>
  <si>
    <t xml:space="preserve">2025/2/5
</t>
  </si>
  <si>
    <t xml:space="preserve">2025/2/6
</t>
  </si>
  <si>
    <t xml:space="preserve">2025/2/7
</t>
  </si>
  <si>
    <t xml:space="preserve">2025/2/10
</t>
  </si>
  <si>
    <t xml:space="preserve">2025/2/11
</t>
  </si>
  <si>
    <t xml:space="preserve">2025/2/12
</t>
  </si>
  <si>
    <t xml:space="preserve">2025/2/13
</t>
  </si>
  <si>
    <t xml:space="preserve">2025/2/14
</t>
  </si>
  <si>
    <t xml:space="preserve">2025/2/17
</t>
  </si>
  <si>
    <t xml:space="preserve">2025/2/18
</t>
  </si>
  <si>
    <t xml:space="preserve">2025/2/19
</t>
  </si>
  <si>
    <t xml:space="preserve">2025/2/20
</t>
  </si>
  <si>
    <t xml:space="preserve">2025/2/21
</t>
  </si>
  <si>
    <t xml:space="preserve">2025/2/24
</t>
  </si>
  <si>
    <t xml:space="preserve">2025/2/25
</t>
  </si>
  <si>
    <t xml:space="preserve">2025/2/26
</t>
  </si>
  <si>
    <t xml:space="preserve">2025/3/3
</t>
  </si>
  <si>
    <t xml:space="preserve">2025/3/4
</t>
  </si>
  <si>
    <t xml:space="preserve">2025/3/5
</t>
  </si>
  <si>
    <t xml:space="preserve">2025/3/6
</t>
  </si>
  <si>
    <t xml:space="preserve">2025/3/7
</t>
  </si>
  <si>
    <t xml:space="preserve">2025/3/10
</t>
  </si>
  <si>
    <t xml:space="preserve">2025/3/11
</t>
  </si>
  <si>
    <t xml:space="preserve">2025/3/12
</t>
  </si>
  <si>
    <t xml:space="preserve">2025/3/13
</t>
  </si>
  <si>
    <t xml:space="preserve">2025/3/14
</t>
  </si>
  <si>
    <t xml:space="preserve">2025/3/17
</t>
  </si>
  <si>
    <t xml:space="preserve">2025/3/18
</t>
  </si>
  <si>
    <t xml:space="preserve">2025/3/19
</t>
  </si>
  <si>
    <t xml:space="preserve">2025/3/20
</t>
  </si>
  <si>
    <t xml:space="preserve">2025/3/21
</t>
  </si>
  <si>
    <t xml:space="preserve">2025/3/24
</t>
  </si>
  <si>
    <t xml:space="preserve">2025/3/25
</t>
  </si>
  <si>
    <t xml:space="preserve">2025/3/26
</t>
  </si>
  <si>
    <t xml:space="preserve">2025/3/27
</t>
  </si>
  <si>
    <t xml:space="preserve">2025/4/1
</t>
  </si>
  <si>
    <t xml:space="preserve">2025/4/2
</t>
  </si>
  <si>
    <t xml:space="preserve">2025/4/3
</t>
  </si>
  <si>
    <t xml:space="preserve">2025/4/7
</t>
  </si>
  <si>
    <t xml:space="preserve">2025/4/8
</t>
  </si>
  <si>
    <t xml:space="preserve">2025/4/9
</t>
  </si>
  <si>
    <t xml:space="preserve">2025/4/10
</t>
  </si>
  <si>
    <t xml:space="preserve">2025/4/11
</t>
  </si>
  <si>
    <t xml:space="preserve">2025/4/14
</t>
  </si>
  <si>
    <t xml:space="preserve">2025/4/15
</t>
  </si>
  <si>
    <t xml:space="preserve">2025/4/16
</t>
  </si>
  <si>
    <t xml:space="preserve">2025/4/17
</t>
  </si>
  <si>
    <t xml:space="preserve">2025/4/18
</t>
  </si>
  <si>
    <t xml:space="preserve">2025/4/21
</t>
  </si>
  <si>
    <t xml:space="preserve">2025/4/22
</t>
  </si>
  <si>
    <t xml:space="preserve">2025/4/23
</t>
  </si>
  <si>
    <t xml:space="preserve">2025/4/24
</t>
  </si>
  <si>
    <t xml:space="preserve">2025/4/25
</t>
  </si>
  <si>
    <t xml:space="preserve">2025/4/28
</t>
  </si>
  <si>
    <t xml:space="preserve">2025/5/6
</t>
  </si>
  <si>
    <t xml:space="preserve">2025/5/7
</t>
  </si>
  <si>
    <t xml:space="preserve">2025/5/8
</t>
  </si>
  <si>
    <t xml:space="preserve">2025/5/9
</t>
  </si>
  <si>
    <t xml:space="preserve">2025/5/12
</t>
  </si>
  <si>
    <t xml:space="preserve">2025/5/13
</t>
  </si>
  <si>
    <t xml:space="preserve">2025/5/14
</t>
  </si>
  <si>
    <t xml:space="preserve">2025/5/15
</t>
  </si>
  <si>
    <t xml:space="preserve">2025/5/16
</t>
  </si>
  <si>
    <t xml:space="preserve">2025/5/19
</t>
  </si>
  <si>
    <t xml:space="preserve">2025/5/20
</t>
  </si>
  <si>
    <t xml:space="preserve">2025/5/21
</t>
  </si>
  <si>
    <t xml:space="preserve">2025/5/22
</t>
  </si>
  <si>
    <t xml:space="preserve">2025/5/23
</t>
  </si>
  <si>
    <t xml:space="preserve">2025/5/26
</t>
  </si>
  <si>
    <t xml:space="preserve">2025/5/27
</t>
  </si>
  <si>
    <t xml:space="preserve">2025/5/28
</t>
  </si>
  <si>
    <t xml:space="preserve">2025/6/3
</t>
  </si>
  <si>
    <t xml:space="preserve">2025/6/4
</t>
  </si>
  <si>
    <t xml:space="preserve">2025/6/5
</t>
  </si>
  <si>
    <t xml:space="preserve">2025/6/6
</t>
  </si>
  <si>
    <t xml:space="preserve">2025/6/9
</t>
  </si>
  <si>
    <t xml:space="preserve">2025/6/10
</t>
  </si>
  <si>
    <t xml:space="preserve">2025/6/11
</t>
  </si>
  <si>
    <t xml:space="preserve">2025/6/12
</t>
  </si>
  <si>
    <t xml:space="preserve">2025/6/13
</t>
  </si>
  <si>
    <t xml:space="preserve">2025/6/16
</t>
  </si>
  <si>
    <t xml:space="preserve">2025/6/17
</t>
  </si>
  <si>
    <t xml:space="preserve">2025/6/18
</t>
  </si>
  <si>
    <t xml:space="preserve">2025/6/19
</t>
  </si>
  <si>
    <t xml:space="preserve">2025/6/20
</t>
  </si>
  <si>
    <t xml:space="preserve">2025/6/23
</t>
  </si>
  <si>
    <t xml:space="preserve">2025/6/24
</t>
  </si>
  <si>
    <t xml:space="preserve">2025/6/25
</t>
  </si>
  <si>
    <t xml:space="preserve">2025/6/26
</t>
  </si>
  <si>
    <t xml:space="preserve">2025/7/1
</t>
  </si>
  <si>
    <t xml:space="preserve">2025/7/2
</t>
  </si>
  <si>
    <t xml:space="preserve">2025/7/3
</t>
  </si>
  <si>
    <t xml:space="preserve">2025/7/4
</t>
  </si>
  <si>
    <t xml:space="preserve">2025/7/7
</t>
  </si>
  <si>
    <t xml:space="preserve">2025/7/8
</t>
  </si>
  <si>
    <t xml:space="preserve">2025/7/9
</t>
  </si>
  <si>
    <t xml:space="preserve">2025/7/10
</t>
  </si>
  <si>
    <t xml:space="preserve">2025/7/11
</t>
  </si>
  <si>
    <t xml:space="preserve">2025/7/14
</t>
  </si>
  <si>
    <t xml:space="preserve">2025/7/15
</t>
  </si>
  <si>
    <t xml:space="preserve">2025/7/16
</t>
  </si>
  <si>
    <t xml:space="preserve">2025/7/17
</t>
  </si>
  <si>
    <t xml:space="preserve">2025/7/18
</t>
  </si>
  <si>
    <t xml:space="preserve">2025/7/21
</t>
  </si>
  <si>
    <t xml:space="preserve">2025/7/22
</t>
  </si>
  <si>
    <t xml:space="preserve">2025/7/23
</t>
  </si>
  <si>
    <t xml:space="preserve">2025/7/24
</t>
  </si>
  <si>
    <t xml:space="preserve">2025/7/25
</t>
  </si>
  <si>
    <t xml:space="preserve">2025/7/28
</t>
  </si>
  <si>
    <t xml:space="preserve">2025/7/29
</t>
  </si>
  <si>
    <t xml:space="preserve">2025/8/1
</t>
  </si>
  <si>
    <t xml:space="preserve">2025/8/4
</t>
  </si>
  <si>
    <t xml:space="preserve">2025/8/5
</t>
  </si>
  <si>
    <t xml:space="preserve">2025/8/6
</t>
  </si>
  <si>
    <t xml:space="preserve">2025/8/7
</t>
  </si>
  <si>
    <t xml:space="preserve">2025/8/8
</t>
  </si>
  <si>
    <t xml:space="preserve">2025/8/11
</t>
  </si>
  <si>
    <t xml:space="preserve">2025/8/12
</t>
  </si>
  <si>
    <t xml:space="preserve">2025/8/13
</t>
  </si>
  <si>
    <t xml:space="preserve">2025/8/14
</t>
  </si>
  <si>
    <t xml:space="preserve">2025/8/15
</t>
  </si>
  <si>
    <t xml:space="preserve">2025/8/18
</t>
  </si>
  <si>
    <t xml:space="preserve">2025/8/19
</t>
  </si>
  <si>
    <t xml:space="preserve">2025/8/20
</t>
  </si>
  <si>
    <t xml:space="preserve">2025/8/21
</t>
  </si>
  <si>
    <t xml:space="preserve">2025/8/22
</t>
  </si>
  <si>
    <t xml:space="preserve">2025/8/25
</t>
  </si>
  <si>
    <t xml:space="preserve">2025/8/26
</t>
  </si>
  <si>
    <t xml:space="preserve">2025/8/27
</t>
  </si>
  <si>
    <t xml:space="preserve">2025/9/1
</t>
  </si>
  <si>
    <t xml:space="preserve">2025/9/2
</t>
  </si>
  <si>
    <t xml:space="preserve">2025/9/3
</t>
  </si>
  <si>
    <t xml:space="preserve">2025/9/4
</t>
  </si>
  <si>
    <t xml:space="preserve">2025/9/5
</t>
  </si>
  <si>
    <t xml:space="preserve">2025/9/8
</t>
  </si>
  <si>
    <t xml:space="preserve">2025/9/9
</t>
  </si>
  <si>
    <t xml:space="preserve">2025/9/10
</t>
  </si>
  <si>
    <t xml:space="preserve">2025/9/11
</t>
  </si>
  <si>
    <t xml:space="preserve">2025/9/12
</t>
  </si>
  <si>
    <t xml:space="preserve">2025/9/15
</t>
  </si>
  <si>
    <t xml:space="preserve">2025/9/16
</t>
  </si>
  <si>
    <t xml:space="preserve">2025/9/17
</t>
  </si>
  <si>
    <t xml:space="preserve">2025/9/18
</t>
  </si>
  <si>
    <t xml:space="preserve">2025/9/19
</t>
  </si>
  <si>
    <t xml:space="preserve">2025/9/22
</t>
  </si>
  <si>
    <t xml:space="preserve">2025/9/23
</t>
  </si>
  <si>
    <t xml:space="preserve">2025/9/24
</t>
  </si>
  <si>
    <t xml:space="preserve">2025/9/25
</t>
  </si>
  <si>
    <t xml:space="preserve">2025/9/26
</t>
  </si>
  <si>
    <t xml:space="preserve">2025/10/9
</t>
  </si>
  <si>
    <t xml:space="preserve">2025/10/10
</t>
  </si>
  <si>
    <t xml:space="preserve">2025/10/13
</t>
  </si>
  <si>
    <t xml:space="preserve">2025/10/14
</t>
  </si>
  <si>
    <t xml:space="preserve">2025/10/15
</t>
  </si>
  <si>
    <t xml:space="preserve">2025/10/16
</t>
  </si>
  <si>
    <t xml:space="preserve">2025/10/17
</t>
  </si>
  <si>
    <t xml:space="preserve">2025/10/20
</t>
  </si>
  <si>
    <t xml:space="preserve">2025/10/21
</t>
  </si>
  <si>
    <t xml:space="preserve">2025/10/22
</t>
  </si>
  <si>
    <t xml:space="preserve">2025/10/23
</t>
  </si>
  <si>
    <t xml:space="preserve">2025/10/24
</t>
  </si>
  <si>
    <t xml:space="preserve">2025/10/27
</t>
  </si>
  <si>
    <t xml:space="preserve">2025/10/28
</t>
  </si>
  <si>
    <t xml:space="preserve">2025/10/29
</t>
  </si>
  <si>
    <t xml:space="preserve">2025/11/3
</t>
  </si>
  <si>
    <t xml:space="preserve">2025/11/4
</t>
  </si>
  <si>
    <t xml:space="preserve">2025/11/5
</t>
  </si>
  <si>
    <t xml:space="preserve">2025/11/6
</t>
  </si>
  <si>
    <t xml:space="preserve">2025/11/7
</t>
  </si>
  <si>
    <t xml:space="preserve">2025/11/10
</t>
  </si>
  <si>
    <t xml:space="preserve">2025/11/11
</t>
  </si>
  <si>
    <t xml:space="preserve">2025/11/12
</t>
  </si>
  <si>
    <t xml:space="preserve">2025/11/13
</t>
  </si>
  <si>
    <t xml:space="preserve">2025/11/14
</t>
  </si>
  <si>
    <t xml:space="preserve">2025/11/17
</t>
  </si>
  <si>
    <t xml:space="preserve">2025/11/18
</t>
  </si>
  <si>
    <t xml:space="preserve">2025/11/19
</t>
  </si>
  <si>
    <t xml:space="preserve">2025/11/20
</t>
  </si>
  <si>
    <t xml:space="preserve">2025/11/21
</t>
  </si>
  <si>
    <t xml:space="preserve">2025/11/24
</t>
  </si>
  <si>
    <t xml:space="preserve">2025/11/25
</t>
  </si>
  <si>
    <t xml:space="preserve">2025/11/26
</t>
  </si>
  <si>
    <t xml:space="preserve">2026/1/5
</t>
  </si>
  <si>
    <t xml:space="preserve">2026/1/6
</t>
  </si>
  <si>
    <t xml:space="preserve">2026/1/7
</t>
  </si>
  <si>
    <t xml:space="preserve">2026/1/8
</t>
  </si>
  <si>
    <t xml:space="preserve">2026/1/9
</t>
  </si>
  <si>
    <t xml:space="preserve">2026/1/12
</t>
  </si>
  <si>
    <t xml:space="preserve">2026/1/13
</t>
  </si>
  <si>
    <t xml:space="preserve">2026/1/14
</t>
  </si>
  <si>
    <t xml:space="preserve">2026/1/15
</t>
  </si>
  <si>
    <t xml:space="preserve">2026/1/16
</t>
  </si>
  <si>
    <t xml:space="preserve">2026/1/19
</t>
  </si>
  <si>
    <t xml:space="preserve">2026/1/20
</t>
  </si>
  <si>
    <t xml:space="preserve">2026/1/21
</t>
  </si>
  <si>
    <t xml:space="preserve">2026/1/22
</t>
  </si>
  <si>
    <t xml:space="preserve">2026/1/23
</t>
  </si>
  <si>
    <t xml:space="preserve">2026/1/26
</t>
  </si>
  <si>
    <t xml:space="preserve">2026/1/27
</t>
  </si>
  <si>
    <t xml:space="preserve">2026/1/28
</t>
  </si>
  <si>
    <t xml:space="preserve">2026/2/2
</t>
  </si>
  <si>
    <t xml:space="preserve">2026/2/3
</t>
  </si>
  <si>
    <t xml:space="preserve">2026/2/4
</t>
  </si>
  <si>
    <t xml:space="preserve">2026/2/5
</t>
  </si>
  <si>
    <t xml:space="preserve">2026/2/6
</t>
  </si>
  <si>
    <t xml:space="preserve">2026/2/9
</t>
  </si>
  <si>
    <t xml:space="preserve">2026/2/10
</t>
  </si>
  <si>
    <t xml:space="preserve">2026/2/11
</t>
  </si>
  <si>
    <t xml:space="preserve">2026/2/12
</t>
  </si>
  <si>
    <t xml:space="preserve">2026/2/13
</t>
  </si>
  <si>
    <t xml:space="preserve">2026/2/24
</t>
  </si>
  <si>
    <t xml:space="preserve">2026/2/25
</t>
  </si>
  <si>
    <t xml:space="preserve">2026/3/2
</t>
  </si>
  <si>
    <t xml:space="preserve">2026/3/3
</t>
  </si>
  <si>
    <t xml:space="preserve">2026/3/4
</t>
  </si>
  <si>
    <t xml:space="preserve">2026/3/5
</t>
  </si>
  <si>
    <t xml:space="preserve">2026/3/6
</t>
  </si>
  <si>
    <t xml:space="preserve">2026/3/9
</t>
  </si>
  <si>
    <t xml:space="preserve">2026/3/10
</t>
  </si>
  <si>
    <t xml:space="preserve">2026/3/11
</t>
  </si>
  <si>
    <t xml:space="preserve">2026/3/12
</t>
  </si>
  <si>
    <t xml:space="preserve">2026/3/13
</t>
  </si>
  <si>
    <t xml:space="preserve">2026/3/16
</t>
  </si>
  <si>
    <t xml:space="preserve">2026/3/17
</t>
  </si>
  <si>
    <t xml:space="preserve">2026/3/18
</t>
  </si>
  <si>
    <t xml:space="preserve">2026/3/19
</t>
  </si>
  <si>
    <t xml:space="preserve">2026/3/20
</t>
  </si>
  <si>
    <t xml:space="preserve">2026/3/23
</t>
  </si>
  <si>
    <t xml:space="preserve">2026/3/24
</t>
  </si>
  <si>
    <t xml:space="preserve">2026/3/25
</t>
  </si>
  <si>
    <t xml:space="preserve">2026/3/26
</t>
  </si>
  <si>
    <t xml:space="preserve">2026/3/27
</t>
  </si>
  <si>
    <t xml:space="preserve">2026/4/1
</t>
  </si>
  <si>
    <t xml:space="preserve">2026/4/2
</t>
  </si>
  <si>
    <t xml:space="preserve">2026/4/3
</t>
  </si>
  <si>
    <t xml:space="preserve">2026/4/7
</t>
  </si>
  <si>
    <t xml:space="preserve">2026/4/8
</t>
  </si>
  <si>
    <t xml:space="preserve">2026/4/9
</t>
  </si>
  <si>
    <t xml:space="preserve">2026/4/10
</t>
  </si>
  <si>
    <t xml:space="preserve">2026/4/13
</t>
  </si>
  <si>
    <t xml:space="preserve">2026/4/14
</t>
  </si>
  <si>
    <t xml:space="preserve">2026/4/15
</t>
  </si>
  <si>
    <t xml:space="preserve">2026/4/16
</t>
  </si>
  <si>
    <t xml:space="preserve">2026/4/17
</t>
  </si>
  <si>
    <t xml:space="preserve">2026/4/20
</t>
  </si>
  <si>
    <t xml:space="preserve">2026/4/21
</t>
  </si>
  <si>
    <t xml:space="preserve">2026/4/22
</t>
  </si>
  <si>
    <t xml:space="preserve">2026/4/24
</t>
  </si>
  <si>
    <t xml:space="preserve">2026/4/27
</t>
  </si>
  <si>
    <t xml:space="preserve">2026/4/28
</t>
  </si>
  <si>
    <t xml:space="preserve">2026/4/23
</t>
  </si>
  <si>
    <t xml:space="preserve">2026/5/6
</t>
  </si>
  <si>
    <t xml:space="preserve">2026/5/7
</t>
  </si>
  <si>
    <t xml:space="preserve">2026/5/8
</t>
  </si>
  <si>
    <t xml:space="preserve">2026/5/11
</t>
  </si>
  <si>
    <t xml:space="preserve">2026/5/12
</t>
  </si>
  <si>
    <t xml:space="preserve">2026/5/13
</t>
  </si>
  <si>
    <t xml:space="preserve">2026/5/14
</t>
  </si>
  <si>
    <t xml:space="preserve">2026/5/15
</t>
  </si>
  <si>
    <t xml:space="preserve">2026/5/18
</t>
  </si>
  <si>
    <t xml:space="preserve">2026/5/19
</t>
  </si>
  <si>
    <t xml:space="preserve">2026/5/20
</t>
  </si>
  <si>
    <t xml:space="preserve">2026/5/21
</t>
  </si>
  <si>
    <t xml:space="preserve">2026/5/22
</t>
  </si>
  <si>
    <t xml:space="preserve">2026/5/25
</t>
  </si>
  <si>
    <t xml:space="preserve">2026/5/26
</t>
  </si>
  <si>
    <t xml:space="preserve">2026/5/27
</t>
  </si>
  <si>
    <t xml:space="preserve">2026/6/1
</t>
  </si>
  <si>
    <t xml:space="preserve">2026/6/2
</t>
  </si>
  <si>
    <t xml:space="preserve">2026/6/3
</t>
  </si>
  <si>
    <t xml:space="preserve">2026/6/4
</t>
  </si>
  <si>
    <t xml:space="preserve">2026/6/5
</t>
  </si>
  <si>
    <t xml:space="preserve">2026/6/8
</t>
  </si>
  <si>
    <t xml:space="preserve">2026/6/9
</t>
  </si>
  <si>
    <t xml:space="preserve">2026/6/10
</t>
  </si>
  <si>
    <t xml:space="preserve">2026/6/11
</t>
  </si>
  <si>
    <t xml:space="preserve">2026/6/12
</t>
  </si>
  <si>
    <t xml:space="preserve">2026/6/15
</t>
  </si>
  <si>
    <t xml:space="preserve">2026/6/16
</t>
  </si>
  <si>
    <t xml:space="preserve">2026/6/17
</t>
  </si>
  <si>
    <t xml:space="preserve">2026/6/18
</t>
  </si>
  <si>
    <t xml:space="preserve">2026/6/22
</t>
  </si>
  <si>
    <t xml:space="preserve">2026/6/23
</t>
  </si>
  <si>
    <t xml:space="preserve">2026/6/24
</t>
  </si>
  <si>
    <t xml:space="preserve">2026/6/25
</t>
  </si>
  <si>
    <t xml:space="preserve">2026/6/26
</t>
  </si>
  <si>
    <t xml:space="preserve">2026/7/1
</t>
  </si>
  <si>
    <t xml:space="preserve">2026/7/2
</t>
  </si>
  <si>
    <t xml:space="preserve">2026/7/3
</t>
  </si>
  <si>
    <t xml:space="preserve">2026/7/6
</t>
  </si>
  <si>
    <t xml:space="preserve">2026/7/7
</t>
  </si>
  <si>
    <t xml:space="preserve">2026/7/8
</t>
  </si>
  <si>
    <t xml:space="preserve">2026/7/9
</t>
  </si>
  <si>
    <t xml:space="preserve">2026/7/10
</t>
  </si>
  <si>
    <t xml:space="preserve">2026/7/13
</t>
  </si>
  <si>
    <t xml:space="preserve">2026/7/14
</t>
  </si>
  <si>
    <t xml:space="preserve">2026/7/15
</t>
  </si>
  <si>
    <t xml:space="preserve">2026/7/16
</t>
  </si>
  <si>
    <t xml:space="preserve">2026/7/17
</t>
  </si>
  <si>
    <t xml:space="preserve">2026/7/20
</t>
  </si>
  <si>
    <t xml:space="preserve">2026/7/21
</t>
  </si>
  <si>
    <t xml:space="preserve">2026/7/22
</t>
  </si>
  <si>
    <t xml:space="preserve">2026/7/23
</t>
  </si>
  <si>
    <t xml:space="preserve">2026/7/24
</t>
  </si>
  <si>
    <t xml:space="preserve">2026/7/27
</t>
  </si>
  <si>
    <t xml:space="preserve">2026/7/28
</t>
  </si>
  <si>
    <t xml:space="preserve">2026/7/29
</t>
  </si>
  <si>
    <t>日期</t>
    <phoneticPr fontId="1" type="noConversion"/>
  </si>
  <si>
    <t>ESG300指数</t>
    <phoneticPr fontId="1" type="noConversion"/>
  </si>
  <si>
    <t>买卖金额</t>
    <phoneticPr fontId="1" type="noConversion"/>
  </si>
  <si>
    <t>买卖份数</t>
    <phoneticPr fontId="1" type="noConversion"/>
  </si>
  <si>
    <t>持有份数</t>
    <phoneticPr fontId="1" type="noConversion"/>
  </si>
  <si>
    <t>市值</t>
    <phoneticPr fontId="1" type="noConversion"/>
  </si>
  <si>
    <t>累计投入资金</t>
    <phoneticPr fontId="1" type="noConversion"/>
  </si>
  <si>
    <t>总资产</t>
    <phoneticPr fontId="1" type="noConversion"/>
  </si>
  <si>
    <t>利润</t>
    <phoneticPr fontId="1" type="noConversion"/>
  </si>
  <si>
    <t>每年投入本金</t>
    <phoneticPr fontId="1" type="noConversion"/>
  </si>
  <si>
    <t>累计投入本金</t>
    <phoneticPr fontId="1" type="noConversion"/>
  </si>
  <si>
    <t>盈利金额</t>
    <phoneticPr fontId="1" type="noConversion"/>
  </si>
  <si>
    <t>绝对收益率</t>
    <phoneticPr fontId="1" type="noConversion"/>
  </si>
  <si>
    <t>年化收益率</t>
    <phoneticPr fontId="1" type="noConversion"/>
  </si>
  <si>
    <t>单位：元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</si>
</sst>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yyyy\-mm\-dd"/>
    <numFmt numFmtId="178" formatCode="0.00_);[Red]\(0.00\)"/>
    <numFmt numFmtId="179" formatCode="yyyy/mm/dd"/>
    <numFmt numFmtId="180" formatCode="0.000_ 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ahoma"/>
      <family val="2"/>
    </font>
    <font>
      <sz val="10"/>
      <color indexed="8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2">
    <xf numFmtId="0" fontId="0" fillId="0" borderId="0">
      <alignment vertical="center"/>
    </xf>
    <xf numFmtId="0" fontId="2" fillId="0" borderId="0"/>
    <xf numFmtId="0" fontId="10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40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1" applyFont="1" applyBorder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0" fontId="10" fillId="0" borderId="0" xfId="2"/>
    <xf numFmtId="0" fontId="11" fillId="5" borderId="0" xfId="2" applyNumberFormat="1" applyFont="1" applyFill="1" applyBorder="1" applyAlignment="1" applyProtection="1">
      <alignment horizontal="center"/>
    </xf>
    <xf numFmtId="0" fontId="11" fillId="0" borderId="0" xfId="2" applyNumberFormat="1" applyFont="1" applyFill="1" applyBorder="1" applyAlignment="1" applyProtection="1">
      <alignment horizontal="center"/>
    </xf>
    <xf numFmtId="179" fontId="12" fillId="0" borderId="0" xfId="30" applyNumberFormat="1" applyFont="1" applyFill="1" applyBorder="1" applyAlignment="1" applyProtection="1">
      <alignment horizontal="right"/>
    </xf>
    <xf numFmtId="180" fontId="12" fillId="0" borderId="0" xfId="2" applyNumberFormat="1" applyFont="1" applyFill="1" applyBorder="1" applyAlignment="1" applyProtection="1">
      <alignment horizontal="right"/>
    </xf>
    <xf numFmtId="176" fontId="18" fillId="0" borderId="1" xfId="1" applyNumberFormat="1" applyFont="1" applyBorder="1"/>
    <xf numFmtId="0" fontId="11" fillId="0" borderId="0" xfId="2" applyNumberFormat="1" applyFont="1" applyFill="1" applyBorder="1" applyAlignment="1" applyProtection="1"/>
    <xf numFmtId="177" fontId="19" fillId="4" borderId="1" xfId="0" applyNumberFormat="1" applyFont="1" applyFill="1" applyBorder="1" applyAlignment="1" applyProtection="1">
      <alignment horizontal="center"/>
    </xf>
    <xf numFmtId="180" fontId="10" fillId="0" borderId="0" xfId="2" applyNumberFormat="1"/>
    <xf numFmtId="177" fontId="20" fillId="4" borderId="1" xfId="0" applyNumberFormat="1" applyFont="1" applyFill="1" applyBorder="1" applyAlignment="1" applyProtection="1">
      <alignment horizontal="center"/>
    </xf>
    <xf numFmtId="0" fontId="19" fillId="0" borderId="1" xfId="1" applyFont="1" applyBorder="1"/>
    <xf numFmtId="176" fontId="19" fillId="2" borderId="1" xfId="1" applyNumberFormat="1" applyFont="1" applyFill="1" applyBorder="1"/>
    <xf numFmtId="177" fontId="20" fillId="4" borderId="1" xfId="0" applyNumberFormat="1" applyFont="1" applyFill="1" applyBorder="1" applyAlignment="1">
      <alignment horizontal="center"/>
    </xf>
    <xf numFmtId="177" fontId="20" fillId="4" borderId="2" xfId="0" applyNumberFormat="1" applyFont="1" applyFill="1" applyBorder="1" applyAlignment="1">
      <alignment horizontal="center"/>
    </xf>
    <xf numFmtId="0" fontId="9" fillId="0" borderId="0" xfId="1" applyFont="1"/>
    <xf numFmtId="180" fontId="12" fillId="21" borderId="0" xfId="2" applyNumberFormat="1" applyFont="1" applyFill="1" applyBorder="1" applyAlignment="1" applyProtection="1">
      <alignment horizontal="right"/>
    </xf>
    <xf numFmtId="0" fontId="7" fillId="3" borderId="1" xfId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79" fontId="12" fillId="0" borderId="0" xfId="31" applyNumberFormat="1" applyFont="1" applyAlignment="1">
      <alignment horizontal="right"/>
    </xf>
    <xf numFmtId="180" fontId="12" fillId="0" borderId="0" xfId="2" applyNumberFormat="1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</cellXfs>
  <cellStyles count="32">
    <cellStyle name="20% - 着色 1" xfId="4"/>
    <cellStyle name="20% - 着色 2" xfId="5"/>
    <cellStyle name="20% - 着色 3" xfId="6"/>
    <cellStyle name="20% - 着色 4" xfId="7"/>
    <cellStyle name="20% - 着色 5" xfId="8"/>
    <cellStyle name="20% - 着色 6" xfId="9"/>
    <cellStyle name="40% - 着色 1" xfId="10"/>
    <cellStyle name="40% - 着色 2" xfId="11"/>
    <cellStyle name="40% - 着色 3" xfId="12"/>
    <cellStyle name="40% - 着色 4" xfId="13"/>
    <cellStyle name="40% - 着色 5" xfId="14"/>
    <cellStyle name="40% - 着色 6" xfId="15"/>
    <cellStyle name="60% - 着色 1" xfId="16"/>
    <cellStyle name="60% - 着色 2" xfId="17"/>
    <cellStyle name="60% - 着色 3" xfId="18"/>
    <cellStyle name="60% - 着色 4" xfId="19"/>
    <cellStyle name="60% - 着色 5" xfId="20"/>
    <cellStyle name="60% - 着色 6" xfId="21"/>
    <cellStyle name="差_主要板块" xfId="22"/>
    <cellStyle name="常规" xfId="0" builtinId="0"/>
    <cellStyle name="常规 2" xfId="1"/>
    <cellStyle name="常规 3" xfId="3"/>
    <cellStyle name="常规 4" xfId="30"/>
    <cellStyle name="常规 5" xfId="31"/>
    <cellStyle name="常规_主要板块" xfId="2"/>
    <cellStyle name="好_主要板块" xfId="23"/>
    <cellStyle name="着色 1" xfId="24"/>
    <cellStyle name="着色 2" xfId="25"/>
    <cellStyle name="着色 3" xfId="26"/>
    <cellStyle name="着色 4" xfId="27"/>
    <cellStyle name="着色 5" xfId="28"/>
    <cellStyle name="着色 6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90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</c:numCache>
            </c:numRef>
          </c:cat>
          <c:val>
            <c:numRef>
              <c:f>模型一!资金</c:f>
              <c:numCache>
                <c:formatCode>0.00_ </c:formatCode>
                <c:ptCount val="19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  <c:pt idx="150">
                  <c:v>302000</c:v>
                </c:pt>
                <c:pt idx="151">
                  <c:v>304000</c:v>
                </c:pt>
                <c:pt idx="152">
                  <c:v>306000</c:v>
                </c:pt>
                <c:pt idx="153">
                  <c:v>308000</c:v>
                </c:pt>
                <c:pt idx="154">
                  <c:v>310000</c:v>
                </c:pt>
                <c:pt idx="155">
                  <c:v>312000</c:v>
                </c:pt>
                <c:pt idx="156">
                  <c:v>314000</c:v>
                </c:pt>
                <c:pt idx="157">
                  <c:v>316000</c:v>
                </c:pt>
                <c:pt idx="158">
                  <c:v>318000</c:v>
                </c:pt>
                <c:pt idx="159">
                  <c:v>320000</c:v>
                </c:pt>
                <c:pt idx="160">
                  <c:v>322000</c:v>
                </c:pt>
                <c:pt idx="161">
                  <c:v>324000</c:v>
                </c:pt>
                <c:pt idx="162">
                  <c:v>326000</c:v>
                </c:pt>
                <c:pt idx="163">
                  <c:v>328000</c:v>
                </c:pt>
                <c:pt idx="164">
                  <c:v>330000</c:v>
                </c:pt>
                <c:pt idx="165">
                  <c:v>332000</c:v>
                </c:pt>
                <c:pt idx="166">
                  <c:v>334000</c:v>
                </c:pt>
                <c:pt idx="167">
                  <c:v>336000</c:v>
                </c:pt>
                <c:pt idx="168">
                  <c:v>338000</c:v>
                </c:pt>
                <c:pt idx="169">
                  <c:v>340000</c:v>
                </c:pt>
                <c:pt idx="170">
                  <c:v>342000</c:v>
                </c:pt>
                <c:pt idx="171">
                  <c:v>344000</c:v>
                </c:pt>
                <c:pt idx="172">
                  <c:v>346000</c:v>
                </c:pt>
                <c:pt idx="173">
                  <c:v>348000</c:v>
                </c:pt>
                <c:pt idx="174">
                  <c:v>350000</c:v>
                </c:pt>
                <c:pt idx="175">
                  <c:v>352000</c:v>
                </c:pt>
                <c:pt idx="176">
                  <c:v>354000</c:v>
                </c:pt>
                <c:pt idx="177">
                  <c:v>356000</c:v>
                </c:pt>
                <c:pt idx="178">
                  <c:v>358000</c:v>
                </c:pt>
                <c:pt idx="179">
                  <c:v>360000</c:v>
                </c:pt>
                <c:pt idx="180">
                  <c:v>362000</c:v>
                </c:pt>
                <c:pt idx="181">
                  <c:v>364000</c:v>
                </c:pt>
                <c:pt idx="182">
                  <c:v>366000</c:v>
                </c:pt>
                <c:pt idx="183">
                  <c:v>368000</c:v>
                </c:pt>
                <c:pt idx="184">
                  <c:v>370000</c:v>
                </c:pt>
                <c:pt idx="185">
                  <c:v>372000</c:v>
                </c:pt>
                <c:pt idx="186">
                  <c:v>374000</c:v>
                </c:pt>
                <c:pt idx="187">
                  <c:v>376000</c:v>
                </c:pt>
                <c:pt idx="188">
                  <c:v>378000</c:v>
                </c:pt>
                <c:pt idx="189">
                  <c:v>380000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90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</c:numCache>
            </c:numRef>
          </c:cat>
          <c:val>
            <c:numRef>
              <c:f>模型一!资产</c:f>
              <c:numCache>
                <c:formatCode>0.00_ </c:formatCode>
                <c:ptCount val="190"/>
                <c:pt idx="0">
                  <c:v>2000</c:v>
                </c:pt>
                <c:pt idx="1">
                  <c:v>4270.6306042647284</c:v>
                </c:pt>
                <c:pt idx="2">
                  <c:v>6019.0482795100788</c:v>
                </c:pt>
                <c:pt idx="3">
                  <c:v>7908.6759332370966</c:v>
                </c:pt>
                <c:pt idx="4">
                  <c:v>9813.8456266207759</c:v>
                </c:pt>
                <c:pt idx="5">
                  <c:v>12594.595673687232</c:v>
                </c:pt>
                <c:pt idx="6">
                  <c:v>14359.198066862755</c:v>
                </c:pt>
                <c:pt idx="7">
                  <c:v>16322.087601550247</c:v>
                </c:pt>
                <c:pt idx="8">
                  <c:v>17451.269266820571</c:v>
                </c:pt>
                <c:pt idx="9">
                  <c:v>19942.353108342035</c:v>
                </c:pt>
                <c:pt idx="10">
                  <c:v>21576.949177009552</c:v>
                </c:pt>
                <c:pt idx="11">
                  <c:v>22392.388248145049</c:v>
                </c:pt>
                <c:pt idx="12">
                  <c:v>22347.845830914623</c:v>
                </c:pt>
                <c:pt idx="13">
                  <c:v>25190.641898805072</c:v>
                </c:pt>
                <c:pt idx="14">
                  <c:v>25572.51743182947</c:v>
                </c:pt>
                <c:pt idx="15">
                  <c:v>25685.572979740344</c:v>
                </c:pt>
                <c:pt idx="16">
                  <c:v>28933.132851233735</c:v>
                </c:pt>
                <c:pt idx="17">
                  <c:v>33381.74807603209</c:v>
                </c:pt>
                <c:pt idx="18">
                  <c:v>32987.909616819947</c:v>
                </c:pt>
                <c:pt idx="19">
                  <c:v>36761.405824874695</c:v>
                </c:pt>
                <c:pt idx="20">
                  <c:v>40048.882763725363</c:v>
                </c:pt>
                <c:pt idx="21">
                  <c:v>39720.316947209474</c:v>
                </c:pt>
                <c:pt idx="22">
                  <c:v>39080.008691080729</c:v>
                </c:pt>
                <c:pt idx="23">
                  <c:v>39042.86839026583</c:v>
                </c:pt>
                <c:pt idx="24">
                  <c:v>42039.486393141306</c:v>
                </c:pt>
                <c:pt idx="25">
                  <c:v>43768.754627599286</c:v>
                </c:pt>
                <c:pt idx="26">
                  <c:v>43369.954706807272</c:v>
                </c:pt>
                <c:pt idx="27">
                  <c:v>52348.707732068309</c:v>
                </c:pt>
                <c:pt idx="28">
                  <c:v>56975.149886290856</c:v>
                </c:pt>
                <c:pt idx="29">
                  <c:v>59626.271202087191</c:v>
                </c:pt>
                <c:pt idx="30">
                  <c:v>58909.813576350352</c:v>
                </c:pt>
                <c:pt idx="31">
                  <c:v>60765.975625274667</c:v>
                </c:pt>
                <c:pt idx="32">
                  <c:v>67749.102248046562</c:v>
                </c:pt>
                <c:pt idx="33">
                  <c:v>60487.473021410515</c:v>
                </c:pt>
                <c:pt idx="34">
                  <c:v>63907.953033010097</c:v>
                </c:pt>
                <c:pt idx="35">
                  <c:v>70366.560951465755</c:v>
                </c:pt>
                <c:pt idx="36">
                  <c:v>76555.63905651767</c:v>
                </c:pt>
                <c:pt idx="37">
                  <c:v>78788.822723998164</c:v>
                </c:pt>
                <c:pt idx="38">
                  <c:v>83307.742376054724</c:v>
                </c:pt>
                <c:pt idx="39">
                  <c:v>82813.626416639017</c:v>
                </c:pt>
                <c:pt idx="40">
                  <c:v>82019.983432432651</c:v>
                </c:pt>
                <c:pt idx="41">
                  <c:v>83190.380954504973</c:v>
                </c:pt>
                <c:pt idx="42">
                  <c:v>83445.838209394322</c:v>
                </c:pt>
                <c:pt idx="43">
                  <c:v>84569.610970805807</c:v>
                </c:pt>
                <c:pt idx="44">
                  <c:v>87439.065429083086</c:v>
                </c:pt>
                <c:pt idx="45">
                  <c:v>90041.555553418075</c:v>
                </c:pt>
                <c:pt idx="46">
                  <c:v>100050.2236522255</c:v>
                </c:pt>
                <c:pt idx="47">
                  <c:v>102228.79725889026</c:v>
                </c:pt>
                <c:pt idx="48">
                  <c:v>110325.72496388252</c:v>
                </c:pt>
                <c:pt idx="49">
                  <c:v>114022.8314305869</c:v>
                </c:pt>
                <c:pt idx="50">
                  <c:v>125828.73521648881</c:v>
                </c:pt>
                <c:pt idx="51">
                  <c:v>153292.71467382699</c:v>
                </c:pt>
                <c:pt idx="52">
                  <c:v>157023.30324569365</c:v>
                </c:pt>
                <c:pt idx="53">
                  <c:v>165155.75959544061</c:v>
                </c:pt>
                <c:pt idx="54">
                  <c:v>189737.21664670523</c:v>
                </c:pt>
                <c:pt idx="55">
                  <c:v>227988.4210459491</c:v>
                </c:pt>
                <c:pt idx="56">
                  <c:v>239351.90374017198</c:v>
                </c:pt>
                <c:pt idx="57">
                  <c:v>230293.85036272786</c:v>
                </c:pt>
                <c:pt idx="58">
                  <c:v>199648.30306826817</c:v>
                </c:pt>
                <c:pt idx="59">
                  <c:v>179244.7859116719</c:v>
                </c:pt>
                <c:pt idx="60">
                  <c:v>170225.05150386505</c:v>
                </c:pt>
                <c:pt idx="61">
                  <c:v>192162.01722473378</c:v>
                </c:pt>
                <c:pt idx="62">
                  <c:v>197649.18846023903</c:v>
                </c:pt>
                <c:pt idx="63">
                  <c:v>214081.38004669495</c:v>
                </c:pt>
                <c:pt idx="64">
                  <c:v>167829.03351494283</c:v>
                </c:pt>
                <c:pt idx="65">
                  <c:v>164134.18631507194</c:v>
                </c:pt>
                <c:pt idx="66">
                  <c:v>186034.99469442785</c:v>
                </c:pt>
                <c:pt idx="67">
                  <c:v>185613.30766511807</c:v>
                </c:pt>
                <c:pt idx="68">
                  <c:v>188811.06884469232</c:v>
                </c:pt>
                <c:pt idx="69">
                  <c:v>191958.79390801364</c:v>
                </c:pt>
                <c:pt idx="70">
                  <c:v>203029.179311132</c:v>
                </c:pt>
                <c:pt idx="71">
                  <c:v>212431.12350227855</c:v>
                </c:pt>
                <c:pt idx="72">
                  <c:v>211629.57137627876</c:v>
                </c:pt>
                <c:pt idx="73">
                  <c:v>217893.97391659516</c:v>
                </c:pt>
                <c:pt idx="74">
                  <c:v>232273.25321707482</c:v>
                </c:pt>
                <c:pt idx="75">
                  <c:v>226023.31414810085</c:v>
                </c:pt>
                <c:pt idx="76">
                  <c:v>233773.064565896</c:v>
                </c:pt>
                <c:pt idx="77">
                  <c:v>245497.45415846378</c:v>
                </c:pt>
                <c:pt idx="78">
                  <c:v>250976.68975745208</c:v>
                </c:pt>
                <c:pt idx="79">
                  <c:v>251553.63951192721</c:v>
                </c:pt>
                <c:pt idx="80">
                  <c:v>252449.38432071661</c:v>
                </c:pt>
                <c:pt idx="81">
                  <c:v>272217.55680844683</c:v>
                </c:pt>
                <c:pt idx="82">
                  <c:v>278156.11870841286</c:v>
                </c:pt>
                <c:pt idx="83">
                  <c:v>284657.94154854841</c:v>
                </c:pt>
                <c:pt idx="84">
                  <c:v>290312.97933998541</c:v>
                </c:pt>
                <c:pt idx="85">
                  <c:v>305198.0754776597</c:v>
                </c:pt>
                <c:pt idx="86">
                  <c:v>305133.40290910058</c:v>
                </c:pt>
                <c:pt idx="87">
                  <c:v>315263.01815480401</c:v>
                </c:pt>
                <c:pt idx="88">
                  <c:v>331311.795599529</c:v>
                </c:pt>
                <c:pt idx="89">
                  <c:v>315591.66006348841</c:v>
                </c:pt>
                <c:pt idx="90">
                  <c:v>309242.62012034556</c:v>
                </c:pt>
                <c:pt idx="91">
                  <c:v>300109.45253862289</c:v>
                </c:pt>
                <c:pt idx="92">
                  <c:v>309336.01650022384</c:v>
                </c:pt>
                <c:pt idx="93">
                  <c:v>287500.53561047785</c:v>
                </c:pt>
                <c:pt idx="94">
                  <c:v>288507.17635484249</c:v>
                </c:pt>
                <c:pt idx="95">
                  <c:v>272708.57603452983</c:v>
                </c:pt>
                <c:pt idx="96">
                  <c:v>283311.9259971804</c:v>
                </c:pt>
                <c:pt idx="97">
                  <c:v>255129.94656765409</c:v>
                </c:pt>
                <c:pt idx="98">
                  <c:v>265425.32437652821</c:v>
                </c:pt>
                <c:pt idx="99">
                  <c:v>257772.87391023306</c:v>
                </c:pt>
                <c:pt idx="100">
                  <c:v>271710.25537098217</c:v>
                </c:pt>
                <c:pt idx="101">
                  <c:v>313761.48293854605</c:v>
                </c:pt>
                <c:pt idx="102">
                  <c:v>341698.58183979383</c:v>
                </c:pt>
                <c:pt idx="103">
                  <c:v>341664.15226725023</c:v>
                </c:pt>
                <c:pt idx="104">
                  <c:v>321282.08703171159</c:v>
                </c:pt>
                <c:pt idx="105">
                  <c:v>335094.9518150285</c:v>
                </c:pt>
                <c:pt idx="106">
                  <c:v>334869.06229592022</c:v>
                </c:pt>
                <c:pt idx="107">
                  <c:v>324498.4969532832</c:v>
                </c:pt>
                <c:pt idx="108">
                  <c:v>327730.64341448661</c:v>
                </c:pt>
                <c:pt idx="109">
                  <c:v>330819.02897301014</c:v>
                </c:pt>
                <c:pt idx="110">
                  <c:v>331838.20851566637</c:v>
                </c:pt>
                <c:pt idx="111">
                  <c:v>362098.05834678403</c:v>
                </c:pt>
                <c:pt idx="112">
                  <c:v>354648.00411260565</c:v>
                </c:pt>
                <c:pt idx="113">
                  <c:v>355122.89258811681</c:v>
                </c:pt>
                <c:pt idx="114">
                  <c:v>330488.97520443297</c:v>
                </c:pt>
                <c:pt idx="115">
                  <c:v>348533.16809226322</c:v>
                </c:pt>
                <c:pt idx="116">
                  <c:v>351653.21023514908</c:v>
                </c:pt>
                <c:pt idx="117">
                  <c:v>378075.35039287584</c:v>
                </c:pt>
                <c:pt idx="118">
                  <c:v>422844.47122306196</c:v>
                </c:pt>
                <c:pt idx="119">
                  <c:v>436690.74318550713</c:v>
                </c:pt>
                <c:pt idx="120">
                  <c:v>422089.3612844068</c:v>
                </c:pt>
                <c:pt idx="121">
                  <c:v>439736.28771259688</c:v>
                </c:pt>
                <c:pt idx="122">
                  <c:v>466349.00504225586</c:v>
                </c:pt>
                <c:pt idx="123">
                  <c:v>501442.15123802173</c:v>
                </c:pt>
                <c:pt idx="124">
                  <c:v>518787.73061550414</c:v>
                </c:pt>
                <c:pt idx="125">
                  <c:v>520008.63243348437</c:v>
                </c:pt>
                <c:pt idx="126">
                  <c:v>497666.56744597905</c:v>
                </c:pt>
                <c:pt idx="127">
                  <c:v>511013.84239368205</c:v>
                </c:pt>
                <c:pt idx="128">
                  <c:v>532712.93374055997</c:v>
                </c:pt>
                <c:pt idx="129">
                  <c:v>521027.78138983715</c:v>
                </c:pt>
                <c:pt idx="130">
                  <c:v>472284.93474359531</c:v>
                </c:pt>
                <c:pt idx="131">
                  <c:v>474280.08030664356</c:v>
                </c:pt>
                <c:pt idx="132">
                  <c:v>489358.06528705527</c:v>
                </c:pt>
                <c:pt idx="133">
                  <c:v>494611.60875526897</c:v>
                </c:pt>
                <c:pt idx="134">
                  <c:v>487646.87881158153</c:v>
                </c:pt>
                <c:pt idx="135">
                  <c:v>507834.42040464858</c:v>
                </c:pt>
                <c:pt idx="136">
                  <c:v>469535.13459695398</c:v>
                </c:pt>
                <c:pt idx="137">
                  <c:v>476743.16145284584</c:v>
                </c:pt>
                <c:pt idx="138">
                  <c:v>442757.9886785429</c:v>
                </c:pt>
                <c:pt idx="139">
                  <c:v>427360.55192268913</c:v>
                </c:pt>
                <c:pt idx="140">
                  <c:v>437469.78842900984</c:v>
                </c:pt>
                <c:pt idx="141">
                  <c:v>479425.39341558446</c:v>
                </c:pt>
                <c:pt idx="142">
                  <c:v>445628.43306111766</c:v>
                </c:pt>
                <c:pt idx="143">
                  <c:v>439061.72824284952</c:v>
                </c:pt>
                <c:pt idx="144">
                  <c:v>415974.71880401362</c:v>
                </c:pt>
                <c:pt idx="145">
                  <c:v>378769.61594403378</c:v>
                </c:pt>
                <c:pt idx="146">
                  <c:v>423135.37791693263</c:v>
                </c:pt>
                <c:pt idx="147">
                  <c:v>429691.15630892606</c:v>
                </c:pt>
                <c:pt idx="148">
                  <c:v>462155.90490155248</c:v>
                </c:pt>
                <c:pt idx="149">
                  <c:v>456260.50288029009</c:v>
                </c:pt>
                <c:pt idx="150">
                  <c:v>453061.48338996636</c:v>
                </c:pt>
                <c:pt idx="151">
                  <c:v>450829.9027039613</c:v>
                </c:pt>
                <c:pt idx="152">
                  <c:v>425642.71663191047</c:v>
                </c:pt>
                <c:pt idx="153">
                  <c:v>434172.36476145795</c:v>
                </c:pt>
                <c:pt idx="154">
                  <c:v>454655.21338487364</c:v>
                </c:pt>
                <c:pt idx="155">
                  <c:v>431342.67813520104</c:v>
                </c:pt>
                <c:pt idx="156">
                  <c:v>426677.33854298841</c:v>
                </c:pt>
                <c:pt idx="157">
                  <c:v>412969.80102628889</c:v>
                </c:pt>
                <c:pt idx="158">
                  <c:v>407126.47818747367</c:v>
                </c:pt>
                <c:pt idx="159">
                  <c:v>400562.47252632782</c:v>
                </c:pt>
                <c:pt idx="160">
                  <c:v>375437.92798293434</c:v>
                </c:pt>
                <c:pt idx="161">
                  <c:v>412968.2556404366</c:v>
                </c:pt>
                <c:pt idx="162">
                  <c:v>418573.01106986456</c:v>
                </c:pt>
                <c:pt idx="163">
                  <c:v>431026.37466832314</c:v>
                </c:pt>
                <c:pt idx="164">
                  <c:v>428264.97828113427</c:v>
                </c:pt>
                <c:pt idx="165">
                  <c:v>412287.23173583986</c:v>
                </c:pt>
                <c:pt idx="166">
                  <c:v>409535.25821347191</c:v>
                </c:pt>
                <c:pt idx="167">
                  <c:v>398933.26227730315</c:v>
                </c:pt>
                <c:pt idx="168">
                  <c:v>486291.16562349023</c:v>
                </c:pt>
                <c:pt idx="169">
                  <c:v>470636.49908030132</c:v>
                </c:pt>
                <c:pt idx="170">
                  <c:v>472985.04172054987</c:v>
                </c:pt>
                <c:pt idx="171">
                  <c:v>474589.16182801768</c:v>
                </c:pt>
                <c:pt idx="172">
                  <c:v>461559.16334335972</c:v>
                </c:pt>
                <c:pt idx="173">
                  <c:v>474504.02241813432</c:v>
                </c:pt>
                <c:pt idx="174">
                  <c:v>477386.76412206679</c:v>
                </c:pt>
                <c:pt idx="175">
                  <c:v>461041.11971512536</c:v>
                </c:pt>
                <c:pt idx="176">
                  <c:v>471435.67516438052</c:v>
                </c:pt>
                <c:pt idx="177">
                  <c:v>483037.75801331969</c:v>
                </c:pt>
                <c:pt idx="178">
                  <c:v>505058.72237088112</c:v>
                </c:pt>
                <c:pt idx="179">
                  <c:v>558046.94392448571</c:v>
                </c:pt>
                <c:pt idx="180">
                  <c:v>589634.74285543477</c:v>
                </c:pt>
                <c:pt idx="181">
                  <c:v>592474.30126552237</c:v>
                </c:pt>
                <c:pt idx="182">
                  <c:v>578877.12606147851</c:v>
                </c:pt>
                <c:pt idx="183">
                  <c:v>597236.24273614574</c:v>
                </c:pt>
                <c:pt idx="184">
                  <c:v>612657.55549572455</c:v>
                </c:pt>
                <c:pt idx="185">
                  <c:v>615439.812291938</c:v>
                </c:pt>
                <c:pt idx="186">
                  <c:v>583459.30829098867</c:v>
                </c:pt>
                <c:pt idx="187">
                  <c:v>628481.38113592926</c:v>
                </c:pt>
                <c:pt idx="188">
                  <c:v>635142.02797835518</c:v>
                </c:pt>
                <c:pt idx="189">
                  <c:v>636986.42578638019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90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</c:numCache>
            </c:numRef>
          </c:cat>
          <c:val>
            <c:numRef>
              <c:f>模型一!金额</c:f>
              <c:numCache>
                <c:formatCode>0.00_ </c:formatCode>
                <c:ptCount val="190"/>
                <c:pt idx="0">
                  <c:v>0</c:v>
                </c:pt>
                <c:pt idx="1">
                  <c:v>270.63060426472839</c:v>
                </c:pt>
                <c:pt idx="2">
                  <c:v>19.048279510078828</c:v>
                </c:pt>
                <c:pt idx="3">
                  <c:v>-91.324066762903385</c:v>
                </c:pt>
                <c:pt idx="4">
                  <c:v>-186.15437337922413</c:v>
                </c:pt>
                <c:pt idx="5">
                  <c:v>594.59567368723219</c:v>
                </c:pt>
                <c:pt idx="6">
                  <c:v>359.19806686275479</c:v>
                </c:pt>
                <c:pt idx="7">
                  <c:v>322.0876015502472</c:v>
                </c:pt>
                <c:pt idx="8">
                  <c:v>-548.73073317942908</c:v>
                </c:pt>
                <c:pt idx="9">
                  <c:v>-57.64689165796517</c:v>
                </c:pt>
                <c:pt idx="10">
                  <c:v>-423.05082299044807</c:v>
                </c:pt>
                <c:pt idx="11">
                  <c:v>-1607.6117518549509</c:v>
                </c:pt>
                <c:pt idx="12">
                  <c:v>-3652.1541690853774</c:v>
                </c:pt>
                <c:pt idx="13">
                  <c:v>-2809.3581011949282</c:v>
                </c:pt>
                <c:pt idx="14">
                  <c:v>-4427.4825681705297</c:v>
                </c:pt>
                <c:pt idx="15">
                  <c:v>-6314.4270202596563</c:v>
                </c:pt>
                <c:pt idx="16">
                  <c:v>-5066.867148766265</c:v>
                </c:pt>
                <c:pt idx="17">
                  <c:v>-2618.2519239679095</c:v>
                </c:pt>
                <c:pt idx="18">
                  <c:v>-5012.0903831800533</c:v>
                </c:pt>
                <c:pt idx="19">
                  <c:v>-3238.5941751253049</c:v>
                </c:pt>
                <c:pt idx="20">
                  <c:v>-1951.1172362746365</c:v>
                </c:pt>
                <c:pt idx="21">
                  <c:v>-4279.6830527905258</c:v>
                </c:pt>
                <c:pt idx="22">
                  <c:v>-6919.9913089192705</c:v>
                </c:pt>
                <c:pt idx="23">
                  <c:v>-8957.1316097341696</c:v>
                </c:pt>
                <c:pt idx="24">
                  <c:v>-7960.5136068586944</c:v>
                </c:pt>
                <c:pt idx="25">
                  <c:v>-8231.2453724007137</c:v>
                </c:pt>
                <c:pt idx="26">
                  <c:v>-10630.045293192728</c:v>
                </c:pt>
                <c:pt idx="27">
                  <c:v>-3651.2922679316907</c:v>
                </c:pt>
                <c:pt idx="28">
                  <c:v>-1024.8501137091444</c:v>
                </c:pt>
                <c:pt idx="29">
                  <c:v>-373.72879791280866</c:v>
                </c:pt>
                <c:pt idx="30">
                  <c:v>-3090.1864236496476</c:v>
                </c:pt>
                <c:pt idx="31">
                  <c:v>-3234.0243747253335</c:v>
                </c:pt>
                <c:pt idx="32">
                  <c:v>1749.1022480465617</c:v>
                </c:pt>
                <c:pt idx="33">
                  <c:v>-7512.5269785894852</c:v>
                </c:pt>
                <c:pt idx="34">
                  <c:v>-6092.046966989903</c:v>
                </c:pt>
                <c:pt idx="35">
                  <c:v>-1633.4390485342446</c:v>
                </c:pt>
                <c:pt idx="36">
                  <c:v>2555.6390565176698</c:v>
                </c:pt>
                <c:pt idx="37">
                  <c:v>2788.8227239981643</c:v>
                </c:pt>
                <c:pt idx="38">
                  <c:v>5307.7423760547244</c:v>
                </c:pt>
                <c:pt idx="39">
                  <c:v>2813.6264166390174</c:v>
                </c:pt>
                <c:pt idx="40">
                  <c:v>19.983432432651171</c:v>
                </c:pt>
                <c:pt idx="41">
                  <c:v>-809.61904549502651</c:v>
                </c:pt>
                <c:pt idx="42">
                  <c:v>-2554.1617906056781</c:v>
                </c:pt>
                <c:pt idx="43">
                  <c:v>-3430.3890291941934</c:v>
                </c:pt>
                <c:pt idx="44">
                  <c:v>-2560.9345709169138</c:v>
                </c:pt>
                <c:pt idx="45">
                  <c:v>-1958.4444465819251</c:v>
                </c:pt>
                <c:pt idx="46">
                  <c:v>6050.2236522254971</c:v>
                </c:pt>
                <c:pt idx="47">
                  <c:v>6228.797258890263</c:v>
                </c:pt>
                <c:pt idx="48">
                  <c:v>12325.724963882516</c:v>
                </c:pt>
                <c:pt idx="49">
                  <c:v>14022.831430586899</c:v>
                </c:pt>
                <c:pt idx="50">
                  <c:v>23828.735216488814</c:v>
                </c:pt>
                <c:pt idx="51">
                  <c:v>49292.714673826995</c:v>
                </c:pt>
                <c:pt idx="52">
                  <c:v>51023.303245693649</c:v>
                </c:pt>
                <c:pt idx="53">
                  <c:v>57155.759595440613</c:v>
                </c:pt>
                <c:pt idx="54">
                  <c:v>79737.21664670523</c:v>
                </c:pt>
                <c:pt idx="55">
                  <c:v>115988.4210459491</c:v>
                </c:pt>
                <c:pt idx="56">
                  <c:v>125351.90374017198</c:v>
                </c:pt>
                <c:pt idx="57">
                  <c:v>114293.85036272786</c:v>
                </c:pt>
                <c:pt idx="58">
                  <c:v>81648.303068268171</c:v>
                </c:pt>
                <c:pt idx="59">
                  <c:v>59244.785911671905</c:v>
                </c:pt>
                <c:pt idx="60">
                  <c:v>48225.051503865048</c:v>
                </c:pt>
                <c:pt idx="61">
                  <c:v>68162.017224733776</c:v>
                </c:pt>
                <c:pt idx="62">
                  <c:v>71649.188460239035</c:v>
                </c:pt>
                <c:pt idx="63">
                  <c:v>86081.380046694947</c:v>
                </c:pt>
                <c:pt idx="64">
                  <c:v>37829.033514942828</c:v>
                </c:pt>
                <c:pt idx="65">
                  <c:v>32134.186315071944</c:v>
                </c:pt>
                <c:pt idx="66">
                  <c:v>52034.994694427849</c:v>
                </c:pt>
                <c:pt idx="67">
                  <c:v>49613.307665118075</c:v>
                </c:pt>
                <c:pt idx="68">
                  <c:v>50811.068844692316</c:v>
                </c:pt>
                <c:pt idx="69">
                  <c:v>51958.793908013642</c:v>
                </c:pt>
                <c:pt idx="70">
                  <c:v>61029.179311132</c:v>
                </c:pt>
                <c:pt idx="71">
                  <c:v>68431.123502278555</c:v>
                </c:pt>
                <c:pt idx="72">
                  <c:v>65629.571376278764</c:v>
                </c:pt>
                <c:pt idx="73">
                  <c:v>69893.973916595161</c:v>
                </c:pt>
                <c:pt idx="74">
                  <c:v>82273.253217074816</c:v>
                </c:pt>
                <c:pt idx="75">
                  <c:v>74023.31414810085</c:v>
                </c:pt>
                <c:pt idx="76">
                  <c:v>79773.064565895998</c:v>
                </c:pt>
                <c:pt idx="77">
                  <c:v>89497.454158463777</c:v>
                </c:pt>
                <c:pt idx="78">
                  <c:v>92976.689757452084</c:v>
                </c:pt>
                <c:pt idx="79">
                  <c:v>91553.639511927206</c:v>
                </c:pt>
                <c:pt idx="80">
                  <c:v>90449.384320716606</c:v>
                </c:pt>
                <c:pt idx="81">
                  <c:v>108217.55680844683</c:v>
                </c:pt>
                <c:pt idx="82">
                  <c:v>112156.11870841286</c:v>
                </c:pt>
                <c:pt idx="83">
                  <c:v>116657.94154854841</c:v>
                </c:pt>
                <c:pt idx="84">
                  <c:v>120312.97933998541</c:v>
                </c:pt>
                <c:pt idx="85">
                  <c:v>133198.0754776597</c:v>
                </c:pt>
                <c:pt idx="86">
                  <c:v>131133.40290910058</c:v>
                </c:pt>
                <c:pt idx="87">
                  <c:v>139263.01815480401</c:v>
                </c:pt>
                <c:pt idx="88">
                  <c:v>153311.795599529</c:v>
                </c:pt>
                <c:pt idx="89">
                  <c:v>135591.66006348841</c:v>
                </c:pt>
                <c:pt idx="90">
                  <c:v>127242.62012034556</c:v>
                </c:pt>
                <c:pt idx="91">
                  <c:v>116109.45253862289</c:v>
                </c:pt>
                <c:pt idx="92">
                  <c:v>123336.01650022384</c:v>
                </c:pt>
                <c:pt idx="93">
                  <c:v>99500.535610477848</c:v>
                </c:pt>
                <c:pt idx="94">
                  <c:v>98507.176354842493</c:v>
                </c:pt>
                <c:pt idx="95">
                  <c:v>80708.576034529833</c:v>
                </c:pt>
                <c:pt idx="96">
                  <c:v>89311.925997180399</c:v>
                </c:pt>
                <c:pt idx="97">
                  <c:v>59129.946567654086</c:v>
                </c:pt>
                <c:pt idx="98">
                  <c:v>67425.32437652821</c:v>
                </c:pt>
                <c:pt idx="99">
                  <c:v>57772.873910233058</c:v>
                </c:pt>
                <c:pt idx="100">
                  <c:v>69710.255370982166</c:v>
                </c:pt>
                <c:pt idx="101">
                  <c:v>109761.48293854605</c:v>
                </c:pt>
                <c:pt idx="102">
                  <c:v>135698.58183979383</c:v>
                </c:pt>
                <c:pt idx="103">
                  <c:v>133664.15226725023</c:v>
                </c:pt>
                <c:pt idx="104">
                  <c:v>111282.08703171159</c:v>
                </c:pt>
                <c:pt idx="105">
                  <c:v>123094.9518150285</c:v>
                </c:pt>
                <c:pt idx="106">
                  <c:v>120869.06229592022</c:v>
                </c:pt>
                <c:pt idx="107">
                  <c:v>108498.4969532832</c:v>
                </c:pt>
                <c:pt idx="108">
                  <c:v>109730.64341448661</c:v>
                </c:pt>
                <c:pt idx="109">
                  <c:v>110819.02897301014</c:v>
                </c:pt>
                <c:pt idx="110">
                  <c:v>109838.20851566637</c:v>
                </c:pt>
                <c:pt idx="111">
                  <c:v>138098.05834678403</c:v>
                </c:pt>
                <c:pt idx="112">
                  <c:v>128648.00411260565</c:v>
                </c:pt>
                <c:pt idx="113">
                  <c:v>127122.89258811681</c:v>
                </c:pt>
                <c:pt idx="114">
                  <c:v>100488.97520443297</c:v>
                </c:pt>
                <c:pt idx="115">
                  <c:v>116533.16809226322</c:v>
                </c:pt>
                <c:pt idx="116">
                  <c:v>117653.21023514908</c:v>
                </c:pt>
                <c:pt idx="117">
                  <c:v>142075.35039287584</c:v>
                </c:pt>
                <c:pt idx="118">
                  <c:v>184844.47122306196</c:v>
                </c:pt>
                <c:pt idx="119">
                  <c:v>196690.74318550713</c:v>
                </c:pt>
                <c:pt idx="120">
                  <c:v>180089.3612844068</c:v>
                </c:pt>
                <c:pt idx="121">
                  <c:v>195736.28771259688</c:v>
                </c:pt>
                <c:pt idx="122">
                  <c:v>220349.00504225586</c:v>
                </c:pt>
                <c:pt idx="123">
                  <c:v>253442.15123802173</c:v>
                </c:pt>
                <c:pt idx="124">
                  <c:v>268787.73061550414</c:v>
                </c:pt>
                <c:pt idx="125">
                  <c:v>268008.63243348437</c:v>
                </c:pt>
                <c:pt idx="126">
                  <c:v>243666.56744597905</c:v>
                </c:pt>
                <c:pt idx="127">
                  <c:v>255013.84239368205</c:v>
                </c:pt>
                <c:pt idx="128">
                  <c:v>274712.93374055997</c:v>
                </c:pt>
                <c:pt idx="129">
                  <c:v>261027.78138983715</c:v>
                </c:pt>
                <c:pt idx="130">
                  <c:v>210284.93474359531</c:v>
                </c:pt>
                <c:pt idx="131">
                  <c:v>210280.08030664356</c:v>
                </c:pt>
                <c:pt idx="132">
                  <c:v>223358.06528705527</c:v>
                </c:pt>
                <c:pt idx="133">
                  <c:v>226611.60875526897</c:v>
                </c:pt>
                <c:pt idx="134">
                  <c:v>217646.87881158153</c:v>
                </c:pt>
                <c:pt idx="135">
                  <c:v>235834.42040464858</c:v>
                </c:pt>
                <c:pt idx="136">
                  <c:v>195535.13459695398</c:v>
                </c:pt>
                <c:pt idx="137">
                  <c:v>200743.16145284584</c:v>
                </c:pt>
                <c:pt idx="138">
                  <c:v>164757.9886785429</c:v>
                </c:pt>
                <c:pt idx="139">
                  <c:v>147360.55192268913</c:v>
                </c:pt>
                <c:pt idx="140">
                  <c:v>155469.78842900984</c:v>
                </c:pt>
                <c:pt idx="141">
                  <c:v>195425.39341558446</c:v>
                </c:pt>
                <c:pt idx="142">
                  <c:v>159628.43306111766</c:v>
                </c:pt>
                <c:pt idx="143">
                  <c:v>151061.72824284952</c:v>
                </c:pt>
                <c:pt idx="144">
                  <c:v>125974.71880401362</c:v>
                </c:pt>
                <c:pt idx="145">
                  <c:v>86769.61594403378</c:v>
                </c:pt>
                <c:pt idx="146">
                  <c:v>129135.37791693263</c:v>
                </c:pt>
                <c:pt idx="147">
                  <c:v>133691.15630892606</c:v>
                </c:pt>
                <c:pt idx="148">
                  <c:v>164155.90490155248</c:v>
                </c:pt>
                <c:pt idx="149">
                  <c:v>156260.50288029009</c:v>
                </c:pt>
                <c:pt idx="150">
                  <c:v>151061.48338996636</c:v>
                </c:pt>
                <c:pt idx="151">
                  <c:v>146829.9027039613</c:v>
                </c:pt>
                <c:pt idx="152">
                  <c:v>119642.71663191047</c:v>
                </c:pt>
                <c:pt idx="153">
                  <c:v>126172.36476145795</c:v>
                </c:pt>
                <c:pt idx="154">
                  <c:v>144655.21338487364</c:v>
                </c:pt>
                <c:pt idx="155">
                  <c:v>119342.67813520104</c:v>
                </c:pt>
                <c:pt idx="156">
                  <c:v>112677.33854298841</c:v>
                </c:pt>
                <c:pt idx="157">
                  <c:v>96969.801026288886</c:v>
                </c:pt>
                <c:pt idx="158">
                  <c:v>89126.478187473665</c:v>
                </c:pt>
                <c:pt idx="159">
                  <c:v>80562.472526327823</c:v>
                </c:pt>
                <c:pt idx="160">
                  <c:v>53437.927982934343</c:v>
                </c:pt>
                <c:pt idx="161">
                  <c:v>88968.255640436604</c:v>
                </c:pt>
                <c:pt idx="162">
                  <c:v>92573.011069864559</c:v>
                </c:pt>
                <c:pt idx="163">
                  <c:v>103026.37466832314</c:v>
                </c:pt>
                <c:pt idx="164">
                  <c:v>98264.978281134274</c:v>
                </c:pt>
                <c:pt idx="165">
                  <c:v>80287.231735839858</c:v>
                </c:pt>
                <c:pt idx="166">
                  <c:v>75535.258213471912</c:v>
                </c:pt>
                <c:pt idx="167">
                  <c:v>62933.262277303147</c:v>
                </c:pt>
                <c:pt idx="168">
                  <c:v>148291.16562349023</c:v>
                </c:pt>
                <c:pt idx="169">
                  <c:v>130636.49908030132</c:v>
                </c:pt>
                <c:pt idx="170">
                  <c:v>130985.04172054987</c:v>
                </c:pt>
                <c:pt idx="171">
                  <c:v>130589.16182801768</c:v>
                </c:pt>
                <c:pt idx="172">
                  <c:v>115559.16334335972</c:v>
                </c:pt>
                <c:pt idx="173">
                  <c:v>126504.02241813432</c:v>
                </c:pt>
                <c:pt idx="174">
                  <c:v>127386.76412206679</c:v>
                </c:pt>
                <c:pt idx="175">
                  <c:v>109041.11971512536</c:v>
                </c:pt>
                <c:pt idx="176">
                  <c:v>117435.67516438052</c:v>
                </c:pt>
                <c:pt idx="177">
                  <c:v>127037.75801331969</c:v>
                </c:pt>
                <c:pt idx="178">
                  <c:v>147058.72237088112</c:v>
                </c:pt>
                <c:pt idx="179">
                  <c:v>198046.94392448571</c:v>
                </c:pt>
                <c:pt idx="180">
                  <c:v>227634.74285543477</c:v>
                </c:pt>
                <c:pt idx="181">
                  <c:v>228474.30126552237</c:v>
                </c:pt>
                <c:pt idx="182">
                  <c:v>212877.12606147851</c:v>
                </c:pt>
                <c:pt idx="183">
                  <c:v>229236.24273614574</c:v>
                </c:pt>
                <c:pt idx="184">
                  <c:v>242657.55549572455</c:v>
                </c:pt>
                <c:pt idx="185">
                  <c:v>243439.812291938</c:v>
                </c:pt>
                <c:pt idx="186">
                  <c:v>209459.30829098867</c:v>
                </c:pt>
                <c:pt idx="187">
                  <c:v>252481.38113592926</c:v>
                </c:pt>
                <c:pt idx="188">
                  <c:v>257142.02797835518</c:v>
                </c:pt>
                <c:pt idx="189">
                  <c:v>256986.42578638019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106368"/>
        <c:axId val="418129792"/>
      </c:lineChart>
      <c:dateAx>
        <c:axId val="41810636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129792"/>
        <c:crosses val="autoZero"/>
        <c:auto val="1"/>
        <c:lblOffset val="100"/>
        <c:baseTimeUnit val="days"/>
      </c:dateAx>
      <c:valAx>
        <c:axId val="4181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1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85724</xdr:rowOff>
    </xdr:from>
    <xdr:to>
      <xdr:col>18</xdr:col>
      <xdr:colOff>28575</xdr:colOff>
      <xdr:row>36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9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7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10.25" style="1" bestFit="1" customWidth="1"/>
    <col min="13" max="14" width="11.375" style="1" customWidth="1"/>
    <col min="15" max="16" width="11.125" style="1" customWidth="1"/>
    <col min="17" max="17" width="10.25" style="1" customWidth="1"/>
    <col min="18" max="18" width="10.125" style="1" customWidth="1"/>
    <col min="19" max="16384" width="9" style="1"/>
  </cols>
  <sheetData>
    <row r="1" spans="1:28" s="9" customFormat="1" ht="27" customHeight="1">
      <c r="A1" s="11" t="s">
        <v>1018</v>
      </c>
      <c r="B1" s="33" t="s">
        <v>1019</v>
      </c>
      <c r="C1" s="12" t="s">
        <v>1020</v>
      </c>
      <c r="D1" s="12" t="s">
        <v>1021</v>
      </c>
      <c r="E1" s="12" t="s">
        <v>1022</v>
      </c>
      <c r="F1" s="12" t="s">
        <v>1023</v>
      </c>
      <c r="G1" s="34" t="s">
        <v>1024</v>
      </c>
      <c r="H1" s="11" t="s">
        <v>1025</v>
      </c>
      <c r="I1" s="33" t="s">
        <v>1026</v>
      </c>
      <c r="J1" s="11" t="s">
        <v>0</v>
      </c>
      <c r="K1" s="10"/>
    </row>
    <row r="2" spans="1:28" ht="14.1" customHeight="1">
      <c r="A2" s="5"/>
      <c r="B2" s="5"/>
      <c r="C2" s="4">
        <v>2000</v>
      </c>
      <c r="D2" s="22" t="s">
        <v>1032</v>
      </c>
      <c r="E2" s="4"/>
      <c r="F2" s="4"/>
      <c r="G2" s="4"/>
      <c r="H2" s="5"/>
      <c r="I2" s="5"/>
      <c r="J2" s="6"/>
    </row>
    <row r="3" spans="1:28" ht="14.1" customHeight="1">
      <c r="A3" s="26">
        <v>40451</v>
      </c>
      <c r="B3" s="27">
        <v>1.2300899999999999</v>
      </c>
      <c r="C3" s="4">
        <v>2000</v>
      </c>
      <c r="D3" s="28">
        <v>1625.8972920680601</v>
      </c>
      <c r="E3" s="28">
        <v>1625.8972920680601</v>
      </c>
      <c r="F3" s="28">
        <v>2000</v>
      </c>
      <c r="G3" s="28">
        <v>2000</v>
      </c>
      <c r="H3" s="28">
        <v>2000</v>
      </c>
      <c r="I3" s="28">
        <v>0</v>
      </c>
      <c r="J3" s="6" t="e">
        <f>VLOOKUP(A3,myPEPB!B:C,2)</f>
        <v>#N/A</v>
      </c>
      <c r="L3" s="35" t="s">
        <v>1018</v>
      </c>
      <c r="M3" s="36" t="s">
        <v>1027</v>
      </c>
      <c r="N3" s="36" t="s">
        <v>1028</v>
      </c>
      <c r="O3" s="36" t="s">
        <v>1025</v>
      </c>
      <c r="P3" s="36" t="s">
        <v>1029</v>
      </c>
      <c r="Q3" s="36" t="s">
        <v>1030</v>
      </c>
      <c r="R3" s="36" t="s">
        <v>1031</v>
      </c>
      <c r="T3" s="29">
        <v>40543</v>
      </c>
      <c r="U3" s="1">
        <f>VLOOKUP(T3,L:M,2)</f>
        <v>8000</v>
      </c>
      <c r="V3" s="1">
        <f>-U3</f>
        <v>-8000</v>
      </c>
      <c r="W3" s="29">
        <v>40543</v>
      </c>
      <c r="X3" s="1">
        <f>VLOOKUP(W3,L:M,2)</f>
        <v>8000</v>
      </c>
      <c r="Y3" s="1">
        <f>-X3</f>
        <v>-8000</v>
      </c>
      <c r="Z3" s="29">
        <v>40543</v>
      </c>
      <c r="AA3" s="1">
        <f>VLOOKUP(Z3,L:M,2)</f>
        <v>8000</v>
      </c>
      <c r="AB3" s="1">
        <f>-AA3</f>
        <v>-8000</v>
      </c>
    </row>
    <row r="4" spans="1:28" ht="14.1" customHeight="1">
      <c r="A4" s="26">
        <v>40480</v>
      </c>
      <c r="B4" s="27">
        <v>1.3965399999999999</v>
      </c>
      <c r="C4" s="4">
        <v>2000</v>
      </c>
      <c r="D4" s="28">
        <v>1432.1107880905668</v>
      </c>
      <c r="E4" s="28">
        <v>3058.0080801586269</v>
      </c>
      <c r="F4" s="28">
        <v>4270.6306042647284</v>
      </c>
      <c r="G4" s="28">
        <v>4000</v>
      </c>
      <c r="H4" s="28">
        <v>4270.6306042647284</v>
      </c>
      <c r="I4" s="28">
        <v>270.63060426472839</v>
      </c>
      <c r="J4" s="6" t="e">
        <f>VLOOKUP(A4,myPEPB!B:C,2)</f>
        <v>#N/A</v>
      </c>
      <c r="L4" s="29">
        <v>40543</v>
      </c>
      <c r="M4" s="8">
        <v>8000</v>
      </c>
      <c r="N4" s="4">
        <v>8000</v>
      </c>
      <c r="O4" s="4">
        <v>7908.6759332370966</v>
      </c>
      <c r="P4" s="4">
        <v>-91.324066762903385</v>
      </c>
      <c r="Q4" s="7">
        <v>-1.1415508345362924E-2</v>
      </c>
      <c r="R4" s="7">
        <v>-1.1415508345362924E-2</v>
      </c>
      <c r="T4" s="29">
        <v>40907</v>
      </c>
      <c r="U4" s="1">
        <f>VLOOKUP(T4,L:M,2)</f>
        <v>24000</v>
      </c>
      <c r="V4" s="1">
        <f>-U4</f>
        <v>-24000</v>
      </c>
      <c r="W4" s="29">
        <v>40907</v>
      </c>
      <c r="X4" s="1">
        <f>VLOOKUP(W4,L:M,2)</f>
        <v>24000</v>
      </c>
      <c r="Y4" s="1">
        <f t="shared" ref="Y4:Y5" si="0">-X4</f>
        <v>-24000</v>
      </c>
      <c r="Z4" s="29">
        <v>40907</v>
      </c>
      <c r="AA4" s="1">
        <f>VLOOKUP(Z4,L:M,2)</f>
        <v>24000</v>
      </c>
      <c r="AB4" s="1">
        <f t="shared" ref="AB4:AB6" si="1">-AA4</f>
        <v>-24000</v>
      </c>
    </row>
    <row r="5" spans="1:28" ht="14.1" customHeight="1">
      <c r="A5" s="26">
        <v>40512</v>
      </c>
      <c r="B5" s="27">
        <v>1.31427</v>
      </c>
      <c r="C5" s="4">
        <v>2000</v>
      </c>
      <c r="D5" s="28">
        <v>1521.7573253593248</v>
      </c>
      <c r="E5" s="28">
        <v>4579.7654055179519</v>
      </c>
      <c r="F5" s="28">
        <v>6019.0482795100788</v>
      </c>
      <c r="G5" s="28">
        <v>6000</v>
      </c>
      <c r="H5" s="28">
        <v>6019.0482795100788</v>
      </c>
      <c r="I5" s="28">
        <v>19.048279510078828</v>
      </c>
      <c r="J5" s="6" t="e">
        <f>VLOOKUP(A5,myPEPB!B:C,2)</f>
        <v>#N/A</v>
      </c>
      <c r="L5" s="29">
        <v>40907</v>
      </c>
      <c r="M5" s="8">
        <v>24000</v>
      </c>
      <c r="N5" s="4">
        <v>32000</v>
      </c>
      <c r="O5" s="4">
        <v>25685.572979740344</v>
      </c>
      <c r="P5" s="4">
        <v>-6314.4270202596563</v>
      </c>
      <c r="Q5" s="7">
        <v>-0.19732584438311426</v>
      </c>
      <c r="R5" s="7">
        <v>-0.16318665219742934</v>
      </c>
      <c r="T5" s="29">
        <v>40907</v>
      </c>
      <c r="V5" s="1">
        <f>VLOOKUP(T5,L:O,4)</f>
        <v>25685.572979740344</v>
      </c>
      <c r="W5" s="29">
        <v>41274</v>
      </c>
      <c r="X5" s="1">
        <f>VLOOKUP(W5,L:M,2)</f>
        <v>24000</v>
      </c>
      <c r="Y5" s="1">
        <f t="shared" si="0"/>
        <v>-24000</v>
      </c>
      <c r="Z5" s="29">
        <v>41274</v>
      </c>
      <c r="AA5" s="1">
        <f>VLOOKUP(Z5,L:M,2)</f>
        <v>24000</v>
      </c>
      <c r="AB5" s="1">
        <f t="shared" si="1"/>
        <v>-24000</v>
      </c>
    </row>
    <row r="6" spans="1:28" ht="14.1" customHeight="1">
      <c r="A6" s="26">
        <v>40543</v>
      </c>
      <c r="B6" s="27">
        <v>1.29017</v>
      </c>
      <c r="C6" s="4">
        <v>2000</v>
      </c>
      <c r="D6" s="28">
        <v>1550.1833091763101</v>
      </c>
      <c r="E6" s="28">
        <v>6129.948714694262</v>
      </c>
      <c r="F6" s="28">
        <v>7908.6759332370966</v>
      </c>
      <c r="G6" s="28">
        <v>8000</v>
      </c>
      <c r="H6" s="28">
        <v>7908.6759332370966</v>
      </c>
      <c r="I6" s="28">
        <v>-91.324066762903385</v>
      </c>
      <c r="J6" s="6" t="e">
        <f>VLOOKUP(A6,myPEPB!B:C,2)</f>
        <v>#N/A</v>
      </c>
      <c r="L6" s="29">
        <v>41274</v>
      </c>
      <c r="M6" s="8">
        <v>24000</v>
      </c>
      <c r="N6" s="4">
        <v>56000</v>
      </c>
      <c r="O6" s="4">
        <v>52348.707732068309</v>
      </c>
      <c r="P6" s="4">
        <v>-3651.2922679316907</v>
      </c>
      <c r="Q6" s="7">
        <v>-6.5201647641637328E-2</v>
      </c>
      <c r="R6" s="7">
        <v>-3.8781433650561525E-2</v>
      </c>
      <c r="V6" s="2">
        <v>-0.16318665219742934</v>
      </c>
      <c r="W6" s="29">
        <v>41274</v>
      </c>
      <c r="Y6" s="1">
        <f>VLOOKUP(W6,L:O,4)</f>
        <v>52348.707732068309</v>
      </c>
      <c r="Z6" s="29">
        <v>41639</v>
      </c>
      <c r="AA6" s="1">
        <f>VLOOKUP(Z6,L:M,2)</f>
        <v>24000</v>
      </c>
      <c r="AB6" s="1">
        <f t="shared" si="1"/>
        <v>-24000</v>
      </c>
    </row>
    <row r="7" spans="1:28" ht="14.1" customHeight="1">
      <c r="A7" s="26">
        <v>40574</v>
      </c>
      <c r="B7" s="27">
        <v>1.2746999999999999</v>
      </c>
      <c r="C7" s="4">
        <v>2000</v>
      </c>
      <c r="D7" s="28">
        <v>1568.9966266572528</v>
      </c>
      <c r="E7" s="28">
        <v>7698.9453413515148</v>
      </c>
      <c r="F7" s="28">
        <v>9813.8456266207759</v>
      </c>
      <c r="G7" s="28">
        <v>10000</v>
      </c>
      <c r="H7" s="28">
        <v>9813.8456266207759</v>
      </c>
      <c r="I7" s="28">
        <v>-186.15437337922413</v>
      </c>
      <c r="J7" s="6" t="e">
        <f>VLOOKUP(A7,myPEPB!B:C,2)</f>
        <v>#N/A</v>
      </c>
      <c r="L7" s="29">
        <v>41639</v>
      </c>
      <c r="M7" s="8">
        <v>24000</v>
      </c>
      <c r="N7" s="4">
        <v>80000</v>
      </c>
      <c r="O7" s="4">
        <v>82813.626416639017</v>
      </c>
      <c r="P7" s="4">
        <v>2813.6264166390174</v>
      </c>
      <c r="Q7" s="7">
        <v>3.5170330207987717E-2</v>
      </c>
      <c r="R7" s="7">
        <v>1.5781487745665235E-2</v>
      </c>
      <c r="Y7" s="2">
        <v>-3.8781433650561525E-2</v>
      </c>
      <c r="Z7" s="29">
        <v>41639</v>
      </c>
      <c r="AB7" s="1">
        <f>VLOOKUP(Z7,L:O,4)</f>
        <v>82813.626416639017</v>
      </c>
    </row>
    <row r="8" spans="1:28" ht="14.1" customHeight="1">
      <c r="A8" s="26">
        <v>40602</v>
      </c>
      <c r="B8" s="27">
        <v>1.3761099999999999</v>
      </c>
      <c r="C8" s="4">
        <v>2000</v>
      </c>
      <c r="D8" s="28">
        <v>1453.372186816461</v>
      </c>
      <c r="E8" s="28">
        <v>9152.317528167976</v>
      </c>
      <c r="F8" s="28">
        <v>12594.595673687232</v>
      </c>
      <c r="G8" s="28">
        <v>12000</v>
      </c>
      <c r="H8" s="28">
        <v>12594.595673687232</v>
      </c>
      <c r="I8" s="28">
        <v>594.59567368723219</v>
      </c>
      <c r="J8" s="6" t="e">
        <f>VLOOKUP(A8,myPEPB!B:C,2)</f>
        <v>#N/A</v>
      </c>
      <c r="L8" s="29">
        <v>42004</v>
      </c>
      <c r="M8" s="8">
        <v>24000</v>
      </c>
      <c r="N8" s="4">
        <v>104000</v>
      </c>
      <c r="O8" s="4">
        <v>153292.71467382699</v>
      </c>
      <c r="P8" s="4">
        <v>49292.714673826995</v>
      </c>
      <c r="Q8" s="7">
        <v>0.47396841032525955</v>
      </c>
      <c r="R8" s="7">
        <v>0.14842120666585101</v>
      </c>
      <c r="AB8" s="2">
        <v>1.5781487745665235E-2</v>
      </c>
    </row>
    <row r="9" spans="1:28" ht="14.1" customHeight="1">
      <c r="A9" s="26">
        <v>40633</v>
      </c>
      <c r="B9" s="27">
        <v>1.3503900000000002</v>
      </c>
      <c r="C9" s="4">
        <v>2000</v>
      </c>
      <c r="D9" s="28">
        <v>1481.0536215463678</v>
      </c>
      <c r="E9" s="28">
        <v>10633.371149714343</v>
      </c>
      <c r="F9" s="28">
        <v>14359.198066862755</v>
      </c>
      <c r="G9" s="28">
        <v>14000</v>
      </c>
      <c r="H9" s="28">
        <v>14359.198066862755</v>
      </c>
      <c r="I9" s="28">
        <v>359.19806686275479</v>
      </c>
      <c r="J9" s="6" t="e">
        <f>VLOOKUP(A9,myPEPB!B:C,2)</f>
        <v>#N/A</v>
      </c>
      <c r="L9" s="29">
        <v>42369</v>
      </c>
      <c r="M9" s="8">
        <v>24000</v>
      </c>
      <c r="N9" s="4">
        <v>128000</v>
      </c>
      <c r="O9" s="4">
        <v>214081.38004669495</v>
      </c>
      <c r="P9" s="4">
        <v>86081.380046694947</v>
      </c>
      <c r="Q9" s="7">
        <v>0.67251078161480426</v>
      </c>
      <c r="R9" s="7">
        <v>0.16482525077786381</v>
      </c>
      <c r="T9" s="29">
        <v>40543</v>
      </c>
      <c r="U9" s="1">
        <f>VLOOKUP(T9,L:M,2)</f>
        <v>8000</v>
      </c>
      <c r="V9" s="1">
        <f>-U9</f>
        <v>-8000</v>
      </c>
      <c r="W9" s="29">
        <v>40543</v>
      </c>
      <c r="X9" s="1">
        <f t="shared" ref="X9:X14" si="2">VLOOKUP(W9,L:M,2)</f>
        <v>8000</v>
      </c>
      <c r="Y9" s="1">
        <f>-X9</f>
        <v>-8000</v>
      </c>
      <c r="Z9" s="29">
        <v>40543</v>
      </c>
      <c r="AA9" s="1">
        <f t="shared" ref="AA9:AA15" si="3">VLOOKUP(Z9,L:M,2)</f>
        <v>8000</v>
      </c>
      <c r="AB9" s="1">
        <f>-AA9</f>
        <v>-8000</v>
      </c>
    </row>
    <row r="10" spans="1:28" ht="14.1" customHeight="1">
      <c r="A10" s="26">
        <v>40662</v>
      </c>
      <c r="B10" s="27">
        <v>1.3469</v>
      </c>
      <c r="C10" s="4">
        <v>2000</v>
      </c>
      <c r="D10" s="28">
        <v>1484.8912317172767</v>
      </c>
      <c r="E10" s="28">
        <v>12118.262381431619</v>
      </c>
      <c r="F10" s="28">
        <v>16322.087601550247</v>
      </c>
      <c r="G10" s="28">
        <v>16000</v>
      </c>
      <c r="H10" s="28">
        <v>16322.087601550247</v>
      </c>
      <c r="I10" s="28">
        <v>322.0876015502472</v>
      </c>
      <c r="J10" s="6" t="e">
        <f>VLOOKUP(A10,myPEPB!B:C,2)</f>
        <v>#N/A</v>
      </c>
      <c r="L10" s="29">
        <v>42734</v>
      </c>
      <c r="M10" s="8">
        <v>24000</v>
      </c>
      <c r="N10" s="4">
        <v>152000</v>
      </c>
      <c r="O10" s="4">
        <v>226023.31414810085</v>
      </c>
      <c r="P10" s="4">
        <v>74023.31414810085</v>
      </c>
      <c r="Q10" s="7">
        <v>0.48699548781645297</v>
      </c>
      <c r="R10" s="7">
        <v>0.10832060454600145</v>
      </c>
      <c r="T10" s="29">
        <v>40907</v>
      </c>
      <c r="U10" s="1">
        <f>VLOOKUP(T10,L:M,2)</f>
        <v>24000</v>
      </c>
      <c r="V10" s="1">
        <f t="shared" ref="V10:V13" si="4">-U10</f>
        <v>-24000</v>
      </c>
      <c r="W10" s="29">
        <v>40907</v>
      </c>
      <c r="X10" s="1">
        <f t="shared" si="2"/>
        <v>24000</v>
      </c>
      <c r="Y10" s="1">
        <f t="shared" ref="Y10:Y14" si="5">-X10</f>
        <v>-24000</v>
      </c>
      <c r="Z10" s="29">
        <v>40907</v>
      </c>
      <c r="AA10" s="1">
        <f t="shared" si="3"/>
        <v>24000</v>
      </c>
      <c r="AB10" s="1">
        <f t="shared" ref="AB10:AB15" si="6">-AA10</f>
        <v>-24000</v>
      </c>
    </row>
    <row r="11" spans="1:28" ht="14.1" customHeight="1">
      <c r="A11" s="26">
        <v>40694</v>
      </c>
      <c r="B11" s="27">
        <v>1.27504</v>
      </c>
      <c r="C11" s="4">
        <v>2000</v>
      </c>
      <c r="D11" s="28">
        <v>1568.5782406826454</v>
      </c>
      <c r="E11" s="28">
        <v>13686.840622114265</v>
      </c>
      <c r="F11" s="28">
        <v>17451.269266820571</v>
      </c>
      <c r="G11" s="28">
        <v>18000</v>
      </c>
      <c r="H11" s="28">
        <v>17451.269266820571</v>
      </c>
      <c r="I11" s="28">
        <v>-548.73073317942908</v>
      </c>
      <c r="J11" s="6" t="e">
        <f>VLOOKUP(A11,myPEPB!B:C,2)</f>
        <v>#N/A</v>
      </c>
      <c r="L11" s="29">
        <v>43098</v>
      </c>
      <c r="M11" s="8">
        <v>24000</v>
      </c>
      <c r="N11" s="4">
        <v>176000</v>
      </c>
      <c r="O11" s="4">
        <v>315263.01815480401</v>
      </c>
      <c r="P11" s="4">
        <v>139263.01815480401</v>
      </c>
      <c r="Q11" s="7">
        <v>0.791267148606841</v>
      </c>
      <c r="R11" s="7">
        <v>0.13913405426269043</v>
      </c>
      <c r="T11" s="29">
        <v>41274</v>
      </c>
      <c r="U11" s="1">
        <f>VLOOKUP(T11,L:M,2)</f>
        <v>24000</v>
      </c>
      <c r="V11" s="1">
        <f t="shared" si="4"/>
        <v>-24000</v>
      </c>
      <c r="W11" s="29">
        <v>41274</v>
      </c>
      <c r="X11" s="1">
        <f t="shared" si="2"/>
        <v>24000</v>
      </c>
      <c r="Y11" s="1">
        <f t="shared" si="5"/>
        <v>-24000</v>
      </c>
      <c r="Z11" s="29">
        <v>41274</v>
      </c>
      <c r="AA11" s="1">
        <f t="shared" si="3"/>
        <v>24000</v>
      </c>
      <c r="AB11" s="1">
        <f t="shared" si="6"/>
        <v>-24000</v>
      </c>
    </row>
    <row r="12" spans="1:28" ht="14.1" customHeight="1">
      <c r="A12" s="26">
        <v>40724</v>
      </c>
      <c r="B12" s="27">
        <v>1.3109200000000001</v>
      </c>
      <c r="C12" s="4">
        <v>2000</v>
      </c>
      <c r="D12" s="28">
        <v>1525.6461111280626</v>
      </c>
      <c r="E12" s="28">
        <v>15212.486733242327</v>
      </c>
      <c r="F12" s="28">
        <v>19942.353108342035</v>
      </c>
      <c r="G12" s="28">
        <v>20000</v>
      </c>
      <c r="H12" s="28">
        <v>19942.353108342035</v>
      </c>
      <c r="I12" s="28">
        <v>-57.64689165796517</v>
      </c>
      <c r="J12" s="6" t="e">
        <f>VLOOKUP(A12,myPEPB!B:C,2)</f>
        <v>#N/A</v>
      </c>
      <c r="L12" s="29">
        <v>43462</v>
      </c>
      <c r="M12" s="8">
        <v>24000</v>
      </c>
      <c r="N12" s="4">
        <v>200000</v>
      </c>
      <c r="O12" s="4">
        <v>257772.87391023306</v>
      </c>
      <c r="P12" s="4">
        <v>57772.873910233058</v>
      </c>
      <c r="Q12" s="7">
        <v>0.28886436955116529</v>
      </c>
      <c r="R12" s="7">
        <v>5.3912027855677058E-2</v>
      </c>
      <c r="T12" s="29">
        <v>41639</v>
      </c>
      <c r="U12" s="1">
        <f>VLOOKUP(T12,L:M,2)</f>
        <v>24000</v>
      </c>
      <c r="V12" s="1">
        <f t="shared" si="4"/>
        <v>-24000</v>
      </c>
      <c r="W12" s="29">
        <v>41639</v>
      </c>
      <c r="X12" s="1">
        <f t="shared" si="2"/>
        <v>24000</v>
      </c>
      <c r="Y12" s="1">
        <f t="shared" si="5"/>
        <v>-24000</v>
      </c>
      <c r="Z12" s="29">
        <v>41639</v>
      </c>
      <c r="AA12" s="1">
        <f t="shared" si="3"/>
        <v>24000</v>
      </c>
      <c r="AB12" s="1">
        <f t="shared" si="6"/>
        <v>-24000</v>
      </c>
    </row>
    <row r="13" spans="1:28" ht="14.1" customHeight="1">
      <c r="A13" s="26">
        <v>40753</v>
      </c>
      <c r="B13" s="27">
        <v>1.2869000000000002</v>
      </c>
      <c r="C13" s="4">
        <v>2000</v>
      </c>
      <c r="D13" s="28">
        <v>1554.1223094257516</v>
      </c>
      <c r="E13" s="28">
        <v>16766.609042668078</v>
      </c>
      <c r="F13" s="28">
        <v>21576.949177009552</v>
      </c>
      <c r="G13" s="28">
        <v>22000</v>
      </c>
      <c r="H13" s="28">
        <v>21576.949177009552</v>
      </c>
      <c r="I13" s="28">
        <v>-423.05082299044807</v>
      </c>
      <c r="J13" s="6" t="e">
        <f>VLOOKUP(A13,myPEPB!B:C,2)</f>
        <v>#N/A</v>
      </c>
      <c r="L13" s="30">
        <v>43830</v>
      </c>
      <c r="M13" s="8">
        <v>24000</v>
      </c>
      <c r="N13" s="4">
        <v>224000</v>
      </c>
      <c r="O13" s="4">
        <v>362098.05834678403</v>
      </c>
      <c r="P13" s="4">
        <v>138098.05834678403</v>
      </c>
      <c r="Q13" s="7">
        <v>0.616509189048143</v>
      </c>
      <c r="R13" s="7">
        <v>9.1316415296595288E-2</v>
      </c>
      <c r="T13" s="29">
        <v>42004</v>
      </c>
      <c r="U13" s="1">
        <f>VLOOKUP(T13,L:M,2)</f>
        <v>24000</v>
      </c>
      <c r="V13" s="1">
        <f t="shared" si="4"/>
        <v>-24000</v>
      </c>
      <c r="W13" s="29">
        <v>42004</v>
      </c>
      <c r="X13" s="1">
        <f t="shared" si="2"/>
        <v>24000</v>
      </c>
      <c r="Y13" s="1">
        <f t="shared" si="5"/>
        <v>-24000</v>
      </c>
      <c r="Z13" s="29">
        <v>42004</v>
      </c>
      <c r="AA13" s="1">
        <f t="shared" si="3"/>
        <v>24000</v>
      </c>
      <c r="AB13" s="1">
        <f t="shared" si="6"/>
        <v>-24000</v>
      </c>
    </row>
    <row r="14" spans="1:28" ht="14.1" customHeight="1">
      <c r="A14" s="26">
        <v>40786</v>
      </c>
      <c r="B14" s="27">
        <v>1.2162500000000001</v>
      </c>
      <c r="C14" s="4">
        <v>2000</v>
      </c>
      <c r="D14" s="28">
        <v>1644.3987667009249</v>
      </c>
      <c r="E14" s="28">
        <v>18411.007809369003</v>
      </c>
      <c r="F14" s="28">
        <v>22392.388248145049</v>
      </c>
      <c r="G14" s="28">
        <v>24000</v>
      </c>
      <c r="H14" s="28">
        <v>22392.388248145049</v>
      </c>
      <c r="I14" s="28">
        <v>-1607.6117518549509</v>
      </c>
      <c r="J14" s="6" t="e">
        <f>VLOOKUP(A14,myPEPB!B:C,2)</f>
        <v>#N/A</v>
      </c>
      <c r="L14" s="24">
        <v>44196</v>
      </c>
      <c r="M14" s="8">
        <v>24000</v>
      </c>
      <c r="N14" s="4">
        <v>248000</v>
      </c>
      <c r="O14" s="4">
        <v>501442.15123802173</v>
      </c>
      <c r="P14" s="4">
        <v>253442.15123802173</v>
      </c>
      <c r="Q14" s="7">
        <v>1.0219441582178295</v>
      </c>
      <c r="R14" s="7">
        <v>0.12063859637805274</v>
      </c>
      <c r="T14" s="29">
        <v>42004</v>
      </c>
      <c r="V14" s="1">
        <f>VLOOKUP(T14,L:O,4)</f>
        <v>153292.71467382699</v>
      </c>
      <c r="W14" s="29">
        <v>42369</v>
      </c>
      <c r="X14" s="1">
        <f t="shared" si="2"/>
        <v>24000</v>
      </c>
      <c r="Y14" s="1">
        <f t="shared" si="5"/>
        <v>-24000</v>
      </c>
      <c r="Z14" s="29">
        <v>42369</v>
      </c>
      <c r="AA14" s="1">
        <f t="shared" si="3"/>
        <v>24000</v>
      </c>
      <c r="AB14" s="1">
        <f t="shared" si="6"/>
        <v>-24000</v>
      </c>
    </row>
    <row r="15" spans="1:28" ht="14.1" customHeight="1">
      <c r="A15" s="26">
        <v>40816</v>
      </c>
      <c r="B15" s="27">
        <v>1.1052</v>
      </c>
      <c r="C15" s="4">
        <v>2000</v>
      </c>
      <c r="D15" s="28">
        <v>1809.6272167933407</v>
      </c>
      <c r="E15" s="28">
        <v>20220.635026162345</v>
      </c>
      <c r="F15" s="28">
        <v>22347.845830914623</v>
      </c>
      <c r="G15" s="28">
        <v>26000</v>
      </c>
      <c r="H15" s="28">
        <v>22347.845830914623</v>
      </c>
      <c r="I15" s="28">
        <v>-3652.1541690853774</v>
      </c>
      <c r="J15" s="6" t="e">
        <f>VLOOKUP(A15,myPEPB!B:C,2)</f>
        <v>#N/A</v>
      </c>
      <c r="L15" s="24">
        <v>44561</v>
      </c>
      <c r="M15" s="8">
        <v>24000</v>
      </c>
      <c r="N15" s="4">
        <v>272000</v>
      </c>
      <c r="O15" s="4">
        <v>507834.42040464858</v>
      </c>
      <c r="P15" s="4">
        <v>235834.42040464858</v>
      </c>
      <c r="Q15" s="7">
        <v>0.86703831031120804</v>
      </c>
      <c r="R15" s="7">
        <v>9.8052898274155309E-2</v>
      </c>
      <c r="V15" s="2">
        <v>0.14842120666585101</v>
      </c>
      <c r="W15" s="29">
        <v>42369</v>
      </c>
      <c r="Y15" s="1">
        <f>VLOOKUP(W15,L:O,4)</f>
        <v>214081.38004669495</v>
      </c>
      <c r="Z15" s="29">
        <v>42734</v>
      </c>
      <c r="AA15" s="1">
        <f t="shared" si="3"/>
        <v>24000</v>
      </c>
      <c r="AB15" s="1">
        <f t="shared" si="6"/>
        <v>-24000</v>
      </c>
    </row>
    <row r="16" spans="1:28" ht="14.1" customHeight="1">
      <c r="A16" s="26">
        <v>40847</v>
      </c>
      <c r="B16" s="27">
        <v>1.1468800000000001</v>
      </c>
      <c r="C16" s="4">
        <v>2000</v>
      </c>
      <c r="D16" s="28">
        <v>1743.8616071428569</v>
      </c>
      <c r="E16" s="28">
        <v>21964.4966333052</v>
      </c>
      <c r="F16" s="28">
        <v>25190.641898805072</v>
      </c>
      <c r="G16" s="28">
        <v>28000</v>
      </c>
      <c r="H16" s="28">
        <v>25190.641898805072</v>
      </c>
      <c r="I16" s="28">
        <v>-2809.3581011949282</v>
      </c>
      <c r="J16" s="6" t="e">
        <f>VLOOKUP(A16,myPEPB!B:C,2)</f>
        <v>#N/A</v>
      </c>
      <c r="L16" s="24">
        <v>44925</v>
      </c>
      <c r="M16" s="8">
        <v>24000</v>
      </c>
      <c r="N16" s="4">
        <v>296000</v>
      </c>
      <c r="O16" s="4">
        <v>429691.15630892606</v>
      </c>
      <c r="P16" s="4">
        <v>133691.15630892606</v>
      </c>
      <c r="Q16" s="7">
        <v>0.45165931185447994</v>
      </c>
      <c r="R16" s="7">
        <v>5.4587041166743733E-2</v>
      </c>
      <c r="Y16" s="2">
        <v>0.16482525077786381</v>
      </c>
      <c r="Z16" s="29">
        <v>42734</v>
      </c>
      <c r="AB16" s="1">
        <f>VLOOKUP(Z16,L:O,4)</f>
        <v>226023.31414810085</v>
      </c>
    </row>
    <row r="17" spans="1:28" ht="14.1" customHeight="1">
      <c r="A17" s="26">
        <v>40877</v>
      </c>
      <c r="B17" s="27">
        <v>1.07321</v>
      </c>
      <c r="C17" s="4">
        <v>2000</v>
      </c>
      <c r="D17" s="28">
        <v>1863.5681739827248</v>
      </c>
      <c r="E17" s="28">
        <v>23828.064807287923</v>
      </c>
      <c r="F17" s="28">
        <v>25572.51743182947</v>
      </c>
      <c r="G17" s="28">
        <v>30000</v>
      </c>
      <c r="H17" s="28">
        <v>25572.51743182947</v>
      </c>
      <c r="I17" s="28">
        <v>-4427.4825681705297</v>
      </c>
      <c r="J17" s="6" t="e">
        <f>VLOOKUP(A17,myPEPB!B:C,2)</f>
        <v>#N/A</v>
      </c>
      <c r="L17" s="24">
        <v>45289</v>
      </c>
      <c r="M17" s="8">
        <v>24000</v>
      </c>
      <c r="N17" s="4">
        <v>320000</v>
      </c>
      <c r="O17" s="4">
        <v>400562.47252632782</v>
      </c>
      <c r="P17" s="4">
        <v>80562.472526327823</v>
      </c>
      <c r="Q17" s="7">
        <v>0.25175772664477447</v>
      </c>
      <c r="R17" s="7">
        <v>3.0809364237756043E-2</v>
      </c>
      <c r="AB17" s="2">
        <v>0.10832060454600145</v>
      </c>
    </row>
    <row r="18" spans="1:28" ht="14.1" customHeight="1">
      <c r="A18" s="26">
        <v>40907</v>
      </c>
      <c r="B18" s="27">
        <v>0.99402000000000001</v>
      </c>
      <c r="C18" s="4">
        <v>2000</v>
      </c>
      <c r="D18" s="28">
        <v>2012.031951067383</v>
      </c>
      <c r="E18" s="28">
        <v>25840.096758355307</v>
      </c>
      <c r="F18" s="28">
        <v>25685.572979740344</v>
      </c>
      <c r="G18" s="28">
        <v>32000</v>
      </c>
      <c r="H18" s="28">
        <v>25685.572979740344</v>
      </c>
      <c r="I18" s="28">
        <v>-6314.4270202596563</v>
      </c>
      <c r="J18" s="6" t="e">
        <f>VLOOKUP(A18,myPEPB!B:C,2)</f>
        <v>#N/A</v>
      </c>
      <c r="L18" s="24">
        <v>45657</v>
      </c>
      <c r="M18" s="8">
        <v>24000</v>
      </c>
      <c r="N18" s="4">
        <v>344000</v>
      </c>
      <c r="O18" s="4">
        <v>474589.16182801768</v>
      </c>
      <c r="P18" s="4">
        <v>130589.16182801768</v>
      </c>
      <c r="Q18" s="7">
        <v>0.37961965647679558</v>
      </c>
      <c r="R18" s="7">
        <v>4.0952702723976886E-2</v>
      </c>
      <c r="T18" s="29">
        <v>40543</v>
      </c>
      <c r="U18" s="1">
        <f t="shared" ref="U18:U25" si="7">VLOOKUP(T18,L:M,2)</f>
        <v>8000</v>
      </c>
      <c r="V18" s="1">
        <f>-U18</f>
        <v>-8000</v>
      </c>
      <c r="W18" s="29">
        <v>40543</v>
      </c>
      <c r="X18" s="1">
        <f t="shared" ref="X18:X26" si="8">VLOOKUP(W18,L:M,2)</f>
        <v>8000</v>
      </c>
      <c r="Y18" s="1">
        <f>-X18</f>
        <v>-8000</v>
      </c>
      <c r="Z18" s="29">
        <v>40543</v>
      </c>
      <c r="AA18" s="1">
        <f t="shared" ref="AA18:AA27" si="9">VLOOKUP(Z18,L:M,2)</f>
        <v>8000</v>
      </c>
      <c r="AB18" s="1">
        <f>-AA18</f>
        <v>-8000</v>
      </c>
    </row>
    <row r="19" spans="1:28" ht="14.1" customHeight="1">
      <c r="A19" s="26">
        <v>40939</v>
      </c>
      <c r="B19" s="27">
        <v>1.0423</v>
      </c>
      <c r="C19" s="4">
        <v>2000</v>
      </c>
      <c r="D19" s="28">
        <v>1918.8333493236112</v>
      </c>
      <c r="E19" s="28">
        <v>27758.930107678916</v>
      </c>
      <c r="F19" s="28">
        <v>28933.132851233735</v>
      </c>
      <c r="G19" s="28">
        <v>34000</v>
      </c>
      <c r="H19" s="28">
        <v>28933.132851233735</v>
      </c>
      <c r="I19" s="28">
        <v>-5066.867148766265</v>
      </c>
      <c r="J19" s="6" t="e">
        <f>VLOOKUP(A19,myPEPB!B:C,2)</f>
        <v>#N/A</v>
      </c>
      <c r="T19" s="29">
        <v>40907</v>
      </c>
      <c r="U19" s="1">
        <f t="shared" si="7"/>
        <v>24000</v>
      </c>
      <c r="V19" s="1">
        <f t="shared" ref="V19:V25" si="10">-U19</f>
        <v>-24000</v>
      </c>
      <c r="W19" s="29">
        <v>40907</v>
      </c>
      <c r="X19" s="1">
        <f t="shared" si="8"/>
        <v>24000</v>
      </c>
      <c r="Y19" s="1">
        <f t="shared" ref="Y19:Y26" si="11">-X19</f>
        <v>-24000</v>
      </c>
      <c r="Z19" s="29">
        <v>40907</v>
      </c>
      <c r="AA19" s="1">
        <f t="shared" si="9"/>
        <v>24000</v>
      </c>
      <c r="AB19" s="1">
        <f t="shared" ref="AB19:AB27" si="12">-AA19</f>
        <v>-24000</v>
      </c>
    </row>
    <row r="20" spans="1:28" ht="14.1" customHeight="1">
      <c r="A20" s="26">
        <v>40968</v>
      </c>
      <c r="B20" s="27">
        <v>1.1305099999999999</v>
      </c>
      <c r="C20" s="4">
        <v>2000</v>
      </c>
      <c r="D20" s="28">
        <v>1769.1130551697909</v>
      </c>
      <c r="E20" s="28">
        <v>29528.043162848706</v>
      </c>
      <c r="F20" s="28">
        <v>33381.74807603209</v>
      </c>
      <c r="G20" s="28">
        <v>36000</v>
      </c>
      <c r="H20" s="28">
        <v>33381.74807603209</v>
      </c>
      <c r="I20" s="28">
        <v>-2618.2519239679095</v>
      </c>
      <c r="J20" s="6" t="e">
        <f>VLOOKUP(A20,myPEPB!B:C,2)</f>
        <v>#N/A</v>
      </c>
      <c r="T20" s="29">
        <v>41274</v>
      </c>
      <c r="U20" s="1">
        <f t="shared" si="7"/>
        <v>24000</v>
      </c>
      <c r="V20" s="1">
        <f t="shared" si="10"/>
        <v>-24000</v>
      </c>
      <c r="W20" s="29">
        <v>41274</v>
      </c>
      <c r="X20" s="1">
        <f t="shared" si="8"/>
        <v>24000</v>
      </c>
      <c r="Y20" s="1">
        <f t="shared" si="11"/>
        <v>-24000</v>
      </c>
      <c r="Z20" s="29">
        <v>41274</v>
      </c>
      <c r="AA20" s="1">
        <f t="shared" si="9"/>
        <v>24000</v>
      </c>
      <c r="AB20" s="1">
        <f t="shared" si="12"/>
        <v>-24000</v>
      </c>
    </row>
    <row r="21" spans="1:28" ht="14.1" customHeight="1">
      <c r="A21" s="26">
        <v>40998</v>
      </c>
      <c r="B21" s="27">
        <v>1.0494400000000002</v>
      </c>
      <c r="C21" s="4">
        <v>2000</v>
      </c>
      <c r="D21" s="28">
        <v>1905.7783198658328</v>
      </c>
      <c r="E21" s="28">
        <v>31433.821482714538</v>
      </c>
      <c r="F21" s="28">
        <v>32987.909616819947</v>
      </c>
      <c r="G21" s="28">
        <v>38000</v>
      </c>
      <c r="H21" s="28">
        <v>32987.909616819947</v>
      </c>
      <c r="I21" s="28">
        <v>-5012.0903831800533</v>
      </c>
      <c r="J21" s="6" t="e">
        <f>VLOOKUP(A21,myPEPB!B:C,2)</f>
        <v>#N/A</v>
      </c>
      <c r="T21" s="29">
        <v>41639</v>
      </c>
      <c r="U21" s="1">
        <f t="shared" si="7"/>
        <v>24000</v>
      </c>
      <c r="V21" s="1">
        <f t="shared" si="10"/>
        <v>-24000</v>
      </c>
      <c r="W21" s="29">
        <v>41639</v>
      </c>
      <c r="X21" s="1">
        <f t="shared" si="8"/>
        <v>24000</v>
      </c>
      <c r="Y21" s="1">
        <f t="shared" si="11"/>
        <v>-24000</v>
      </c>
      <c r="Z21" s="29">
        <v>41639</v>
      </c>
      <c r="AA21" s="1">
        <f t="shared" si="9"/>
        <v>24000</v>
      </c>
      <c r="AB21" s="1">
        <f t="shared" si="12"/>
        <v>-24000</v>
      </c>
    </row>
    <row r="22" spans="1:28" ht="14.1" customHeight="1">
      <c r="A22" s="26">
        <v>41026</v>
      </c>
      <c r="B22" s="27">
        <v>1.1058599999999998</v>
      </c>
      <c r="C22" s="4">
        <v>2000</v>
      </c>
      <c r="D22" s="28">
        <v>1808.5471940390287</v>
      </c>
      <c r="E22" s="28">
        <v>33242.368676753569</v>
      </c>
      <c r="F22" s="28">
        <v>36761.405824874695</v>
      </c>
      <c r="G22" s="28">
        <v>40000</v>
      </c>
      <c r="H22" s="28">
        <v>36761.405824874695</v>
      </c>
      <c r="I22" s="28">
        <v>-3238.5941751253049</v>
      </c>
      <c r="J22" s="6" t="e">
        <f>VLOOKUP(A22,myPEPB!B:C,2)</f>
        <v>#N/A</v>
      </c>
      <c r="T22" s="29">
        <v>42004</v>
      </c>
      <c r="U22" s="1">
        <f t="shared" si="7"/>
        <v>24000</v>
      </c>
      <c r="V22" s="1">
        <f t="shared" si="10"/>
        <v>-24000</v>
      </c>
      <c r="W22" s="29">
        <v>42004</v>
      </c>
      <c r="X22" s="1">
        <f t="shared" si="8"/>
        <v>24000</v>
      </c>
      <c r="Y22" s="1">
        <f t="shared" si="11"/>
        <v>-24000</v>
      </c>
      <c r="Z22" s="29">
        <v>42004</v>
      </c>
      <c r="AA22" s="1">
        <f t="shared" si="9"/>
        <v>24000</v>
      </c>
      <c r="AB22" s="1">
        <f t="shared" si="12"/>
        <v>-24000</v>
      </c>
    </row>
    <row r="23" spans="1:28" ht="14.1" customHeight="1">
      <c r="A23" s="26">
        <v>41060</v>
      </c>
      <c r="B23" s="27">
        <v>1.14459</v>
      </c>
      <c r="C23" s="4">
        <v>2000</v>
      </c>
      <c r="D23" s="28">
        <v>1747.3505796835548</v>
      </c>
      <c r="E23" s="28">
        <v>34989.719256437122</v>
      </c>
      <c r="F23" s="28">
        <v>40048.882763725363</v>
      </c>
      <c r="G23" s="28">
        <v>42000</v>
      </c>
      <c r="H23" s="28">
        <v>40048.882763725363</v>
      </c>
      <c r="I23" s="28">
        <v>-1951.1172362746365</v>
      </c>
      <c r="J23" s="6" t="e">
        <f>VLOOKUP(A23,myPEPB!B:C,2)</f>
        <v>#N/A</v>
      </c>
      <c r="T23" s="29">
        <v>42369</v>
      </c>
      <c r="U23" s="1">
        <f t="shared" si="7"/>
        <v>24000</v>
      </c>
      <c r="V23" s="1">
        <f t="shared" si="10"/>
        <v>-24000</v>
      </c>
      <c r="W23" s="29">
        <v>42369</v>
      </c>
      <c r="X23" s="1">
        <f t="shared" si="8"/>
        <v>24000</v>
      </c>
      <c r="Y23" s="1">
        <f t="shared" si="11"/>
        <v>-24000</v>
      </c>
      <c r="Z23" s="29">
        <v>42369</v>
      </c>
      <c r="AA23" s="1">
        <f t="shared" si="9"/>
        <v>24000</v>
      </c>
      <c r="AB23" s="1">
        <f t="shared" si="12"/>
        <v>-24000</v>
      </c>
    </row>
    <row r="24" spans="1:28" ht="14.1" customHeight="1">
      <c r="A24" s="26">
        <v>41089</v>
      </c>
      <c r="B24" s="27">
        <v>1.0780399999999999</v>
      </c>
      <c r="C24" s="4">
        <v>2000</v>
      </c>
      <c r="D24" s="28">
        <v>1855.2187302883012</v>
      </c>
      <c r="E24" s="28">
        <v>36844.937986725425</v>
      </c>
      <c r="F24" s="28">
        <v>39720.316947209474</v>
      </c>
      <c r="G24" s="28">
        <v>44000</v>
      </c>
      <c r="H24" s="28">
        <v>39720.316947209474</v>
      </c>
      <c r="I24" s="28">
        <v>-4279.6830527905258</v>
      </c>
      <c r="J24" s="6" t="e">
        <f>VLOOKUP(A24,myPEPB!B:C,2)</f>
        <v>#N/A</v>
      </c>
      <c r="T24" s="29">
        <v>42734</v>
      </c>
      <c r="U24" s="1">
        <f t="shared" si="7"/>
        <v>24000</v>
      </c>
      <c r="V24" s="1">
        <f t="shared" si="10"/>
        <v>-24000</v>
      </c>
      <c r="W24" s="29">
        <v>42734</v>
      </c>
      <c r="X24" s="1">
        <f t="shared" si="8"/>
        <v>24000</v>
      </c>
      <c r="Y24" s="1">
        <f t="shared" si="11"/>
        <v>-24000</v>
      </c>
      <c r="Z24" s="29">
        <v>42734</v>
      </c>
      <c r="AA24" s="1">
        <f t="shared" si="9"/>
        <v>24000</v>
      </c>
      <c r="AB24" s="1">
        <f t="shared" si="12"/>
        <v>-24000</v>
      </c>
    </row>
    <row r="25" spans="1:28" ht="14.1" customHeight="1">
      <c r="A25" s="26">
        <v>41121</v>
      </c>
      <c r="B25" s="27">
        <v>1.0063800000000001</v>
      </c>
      <c r="C25" s="4">
        <v>2000</v>
      </c>
      <c r="D25" s="28">
        <v>1987.3208927045448</v>
      </c>
      <c r="E25" s="28">
        <v>38832.258879429966</v>
      </c>
      <c r="F25" s="28">
        <v>39080.008691080729</v>
      </c>
      <c r="G25" s="28">
        <v>46000</v>
      </c>
      <c r="H25" s="28">
        <v>39080.008691080729</v>
      </c>
      <c r="I25" s="28">
        <v>-6919.9913089192705</v>
      </c>
      <c r="J25" s="6" t="e">
        <f>VLOOKUP(A25,myPEPB!B:C,2)</f>
        <v>#N/A</v>
      </c>
      <c r="T25" s="29">
        <v>43098</v>
      </c>
      <c r="U25" s="1">
        <f t="shared" si="7"/>
        <v>24000</v>
      </c>
      <c r="V25" s="1">
        <f t="shared" si="10"/>
        <v>-24000</v>
      </c>
      <c r="W25" s="29">
        <v>43098</v>
      </c>
      <c r="X25" s="1">
        <f t="shared" si="8"/>
        <v>24000</v>
      </c>
      <c r="Y25" s="1">
        <f t="shared" si="11"/>
        <v>-24000</v>
      </c>
      <c r="Z25" s="29">
        <v>43098</v>
      </c>
      <c r="AA25" s="1">
        <f t="shared" si="9"/>
        <v>24000</v>
      </c>
      <c r="AB25" s="1">
        <f t="shared" si="12"/>
        <v>-24000</v>
      </c>
    </row>
    <row r="26" spans="1:28" ht="14.1" customHeight="1">
      <c r="A26" s="26">
        <v>41152</v>
      </c>
      <c r="B26" s="27">
        <v>0.95391999999999999</v>
      </c>
      <c r="C26" s="4">
        <v>2000</v>
      </c>
      <c r="D26" s="28">
        <v>2096.6118752096613</v>
      </c>
      <c r="E26" s="28">
        <v>40928.870754639625</v>
      </c>
      <c r="F26" s="28">
        <v>39042.86839026583</v>
      </c>
      <c r="G26" s="28">
        <v>48000</v>
      </c>
      <c r="H26" s="28">
        <v>39042.86839026583</v>
      </c>
      <c r="I26" s="28">
        <v>-8957.1316097341696</v>
      </c>
      <c r="J26" s="6" t="e">
        <f>VLOOKUP(A26,myPEPB!B:C,2)</f>
        <v>#N/A</v>
      </c>
      <c r="T26" s="29">
        <v>43098</v>
      </c>
      <c r="V26" s="1">
        <f>VLOOKUP(T26,L:O,4)</f>
        <v>315263.01815480401</v>
      </c>
      <c r="W26" s="29">
        <v>43462</v>
      </c>
      <c r="X26" s="1">
        <f t="shared" si="8"/>
        <v>24000</v>
      </c>
      <c r="Y26" s="1">
        <f t="shared" si="11"/>
        <v>-24000</v>
      </c>
      <c r="Z26" s="29">
        <v>43462</v>
      </c>
      <c r="AA26" s="1">
        <f t="shared" si="9"/>
        <v>24000</v>
      </c>
      <c r="AB26" s="1">
        <f t="shared" si="12"/>
        <v>-24000</v>
      </c>
    </row>
    <row r="27" spans="1:28" ht="14.1" customHeight="1">
      <c r="A27" s="26">
        <v>41180</v>
      </c>
      <c r="B27" s="27">
        <v>0.97826999999999997</v>
      </c>
      <c r="C27" s="4">
        <v>2000</v>
      </c>
      <c r="D27" s="28">
        <v>2044.4253631410552</v>
      </c>
      <c r="E27" s="28">
        <v>42973.296117780679</v>
      </c>
      <c r="F27" s="28">
        <v>42039.486393141306</v>
      </c>
      <c r="G27" s="28">
        <v>50000</v>
      </c>
      <c r="H27" s="28">
        <v>42039.486393141306</v>
      </c>
      <c r="I27" s="28">
        <v>-7960.5136068586944</v>
      </c>
      <c r="J27" s="6" t="e">
        <f>VLOOKUP(A27,myPEPB!B:C,2)</f>
        <v>#N/A</v>
      </c>
      <c r="V27" s="2">
        <v>0.13913405426269043</v>
      </c>
      <c r="W27" s="29">
        <v>43462</v>
      </c>
      <c r="Y27" s="1">
        <f>VLOOKUP(W27,L:O,4)</f>
        <v>257772.87391023306</v>
      </c>
      <c r="Z27" s="30">
        <v>43830</v>
      </c>
      <c r="AA27" s="1">
        <f t="shared" si="9"/>
        <v>24000</v>
      </c>
      <c r="AB27" s="1">
        <f t="shared" si="12"/>
        <v>-24000</v>
      </c>
    </row>
    <row r="28" spans="1:28" ht="14.1" customHeight="1">
      <c r="A28" s="26">
        <v>41213</v>
      </c>
      <c r="B28" s="27">
        <v>0.97197</v>
      </c>
      <c r="C28" s="4">
        <v>2000</v>
      </c>
      <c r="D28" s="28">
        <v>2057.6766772637015</v>
      </c>
      <c r="E28" s="28">
        <v>45030.972795044378</v>
      </c>
      <c r="F28" s="28">
        <v>43768.754627599286</v>
      </c>
      <c r="G28" s="28">
        <v>52000</v>
      </c>
      <c r="H28" s="28">
        <v>43768.754627599286</v>
      </c>
      <c r="I28" s="28">
        <v>-8231.2453724007137</v>
      </c>
      <c r="J28" s="6" t="e">
        <f>VLOOKUP(A28,myPEPB!B:C,2)</f>
        <v>#N/A</v>
      </c>
      <c r="Y28" s="2">
        <v>5.3912027855677058E-2</v>
      </c>
      <c r="Z28" s="30">
        <v>43830</v>
      </c>
      <c r="AB28" s="1">
        <f>VLOOKUP(Z28,L:O,4)</f>
        <v>362098.05834678403</v>
      </c>
    </row>
    <row r="29" spans="1:28" ht="14.1" customHeight="1">
      <c r="A29" s="26">
        <v>41243</v>
      </c>
      <c r="B29" s="27">
        <v>0.91870000000000007</v>
      </c>
      <c r="C29" s="4">
        <v>2000</v>
      </c>
      <c r="D29" s="28">
        <v>2176.9892239033416</v>
      </c>
      <c r="E29" s="28">
        <v>47207.962018947721</v>
      </c>
      <c r="F29" s="28">
        <v>43369.954706807272</v>
      </c>
      <c r="G29" s="28">
        <v>54000</v>
      </c>
      <c r="H29" s="28">
        <v>43369.954706807272</v>
      </c>
      <c r="I29" s="28">
        <v>-10630.045293192728</v>
      </c>
      <c r="J29" s="6" t="e">
        <f>VLOOKUP(A29,myPEPB!B:C,2)</f>
        <v>#N/A</v>
      </c>
      <c r="AB29" s="2">
        <v>9.1316415296595288E-2</v>
      </c>
    </row>
    <row r="30" spans="1:28" ht="14.1" customHeight="1">
      <c r="A30" s="26">
        <v>41274</v>
      </c>
      <c r="B30" s="27">
        <v>1.06653</v>
      </c>
      <c r="C30" s="4">
        <v>2000</v>
      </c>
      <c r="D30" s="28">
        <v>1875.2402651589734</v>
      </c>
      <c r="E30" s="28">
        <v>49083.202284106694</v>
      </c>
      <c r="F30" s="28">
        <v>52348.707732068309</v>
      </c>
      <c r="G30" s="28">
        <v>56000</v>
      </c>
      <c r="H30" s="28">
        <v>52348.707732068309</v>
      </c>
      <c r="I30" s="28">
        <v>-3651.2922679316907</v>
      </c>
      <c r="J30" s="6" t="e">
        <f>VLOOKUP(A30,myPEPB!B:C,2)</f>
        <v>#N/A</v>
      </c>
      <c r="T30" s="29">
        <v>40543</v>
      </c>
      <c r="U30" s="1">
        <f t="shared" ref="U30:U40" si="13">VLOOKUP(T30,L:M,2)</f>
        <v>8000</v>
      </c>
      <c r="V30" s="1">
        <f>-U30</f>
        <v>-8000</v>
      </c>
      <c r="W30" s="29">
        <v>40543</v>
      </c>
      <c r="X30" s="1">
        <f t="shared" ref="X30:X41" si="14">VLOOKUP(W30,L:M,2)</f>
        <v>8000</v>
      </c>
      <c r="Y30" s="1">
        <f>-X30</f>
        <v>-8000</v>
      </c>
      <c r="Z30" s="29">
        <v>40543</v>
      </c>
      <c r="AA30" s="1">
        <v>8000</v>
      </c>
      <c r="AB30" s="1">
        <f t="shared" ref="AB30:AB42" si="15">-AA30</f>
        <v>-8000</v>
      </c>
    </row>
    <row r="31" spans="1:28" ht="14.1" customHeight="1">
      <c r="A31" s="26">
        <v>41305</v>
      </c>
      <c r="B31" s="27">
        <v>1.1200399999999999</v>
      </c>
      <c r="C31" s="4">
        <v>2000</v>
      </c>
      <c r="D31" s="28">
        <v>1785.6505124816972</v>
      </c>
      <c r="E31" s="28">
        <v>50868.852796588391</v>
      </c>
      <c r="F31" s="28">
        <v>56975.149886290856</v>
      </c>
      <c r="G31" s="28">
        <v>58000</v>
      </c>
      <c r="H31" s="28">
        <v>56975.149886290856</v>
      </c>
      <c r="I31" s="28">
        <v>-1024.8501137091444</v>
      </c>
      <c r="J31" s="6" t="e">
        <f>VLOOKUP(A31,myPEPB!B:C,2)</f>
        <v>#N/A</v>
      </c>
      <c r="L31" s="3"/>
      <c r="T31" s="29">
        <v>40907</v>
      </c>
      <c r="U31" s="1">
        <f t="shared" si="13"/>
        <v>24000</v>
      </c>
      <c r="V31" s="1">
        <f t="shared" ref="V31:V40" si="16">-U31</f>
        <v>-24000</v>
      </c>
      <c r="W31" s="29">
        <v>40907</v>
      </c>
      <c r="X31" s="1">
        <f t="shared" si="14"/>
        <v>24000</v>
      </c>
      <c r="Y31" s="1">
        <f t="shared" ref="Y31:Y41" si="17">-X31</f>
        <v>-24000</v>
      </c>
      <c r="Z31" s="29">
        <v>40907</v>
      </c>
      <c r="AA31" s="1">
        <v>24000</v>
      </c>
      <c r="AB31" s="1">
        <f t="shared" si="15"/>
        <v>-24000</v>
      </c>
    </row>
    <row r="32" spans="1:28" ht="14.1" customHeight="1">
      <c r="A32" s="26">
        <v>41333</v>
      </c>
      <c r="B32" s="27">
        <v>1.1328399999999998</v>
      </c>
      <c r="C32" s="4">
        <v>2000</v>
      </c>
      <c r="D32" s="28">
        <v>1765.4743829667034</v>
      </c>
      <c r="E32" s="28">
        <v>52634.327179555097</v>
      </c>
      <c r="F32" s="28">
        <v>59626.271202087191</v>
      </c>
      <c r="G32" s="28">
        <v>60000</v>
      </c>
      <c r="H32" s="28">
        <v>59626.271202087191</v>
      </c>
      <c r="I32" s="28">
        <v>-373.72879791280866</v>
      </c>
      <c r="J32" s="6" t="e">
        <f>VLOOKUP(A32,myPEPB!B:C,2)</f>
        <v>#N/A</v>
      </c>
      <c r="T32" s="29">
        <v>41274</v>
      </c>
      <c r="U32" s="1">
        <f t="shared" si="13"/>
        <v>24000</v>
      </c>
      <c r="V32" s="1">
        <f t="shared" si="16"/>
        <v>-24000</v>
      </c>
      <c r="W32" s="29">
        <v>41274</v>
      </c>
      <c r="X32" s="1">
        <f t="shared" si="14"/>
        <v>24000</v>
      </c>
      <c r="Y32" s="1">
        <f t="shared" si="17"/>
        <v>-24000</v>
      </c>
      <c r="Z32" s="29">
        <v>41274</v>
      </c>
      <c r="AA32" s="1">
        <v>24000</v>
      </c>
      <c r="AB32" s="1">
        <f t="shared" si="15"/>
        <v>-24000</v>
      </c>
    </row>
    <row r="33" spans="1:28" ht="14.1" customHeight="1">
      <c r="A33" s="26">
        <v>41362</v>
      </c>
      <c r="B33" s="27">
        <v>1.0812299999999999</v>
      </c>
      <c r="C33" s="4">
        <v>2000</v>
      </c>
      <c r="D33" s="28">
        <v>1849.7451975990309</v>
      </c>
      <c r="E33" s="28">
        <v>54484.072377154131</v>
      </c>
      <c r="F33" s="28">
        <v>58909.813576350352</v>
      </c>
      <c r="G33" s="28">
        <v>62000</v>
      </c>
      <c r="H33" s="28">
        <v>58909.813576350352</v>
      </c>
      <c r="I33" s="28">
        <v>-3090.1864236496476</v>
      </c>
      <c r="J33" s="6" t="e">
        <f>VLOOKUP(A33,myPEPB!B:C,2)</f>
        <v>#N/A</v>
      </c>
      <c r="T33" s="29">
        <v>41639</v>
      </c>
      <c r="U33" s="1">
        <f t="shared" si="13"/>
        <v>24000</v>
      </c>
      <c r="V33" s="1">
        <f t="shared" si="16"/>
        <v>-24000</v>
      </c>
      <c r="W33" s="29">
        <v>41639</v>
      </c>
      <c r="X33" s="1">
        <f t="shared" si="14"/>
        <v>24000</v>
      </c>
      <c r="Y33" s="1">
        <f t="shared" si="17"/>
        <v>-24000</v>
      </c>
      <c r="Z33" s="29">
        <v>41639</v>
      </c>
      <c r="AA33" s="1">
        <v>24000</v>
      </c>
      <c r="AB33" s="1">
        <f t="shared" si="15"/>
        <v>-24000</v>
      </c>
    </row>
    <row r="34" spans="1:28" ht="14.1" customHeight="1">
      <c r="A34" s="26">
        <v>41390</v>
      </c>
      <c r="B34" s="27">
        <v>1.0785899999999999</v>
      </c>
      <c r="C34" s="4">
        <v>2000</v>
      </c>
      <c r="D34" s="28">
        <v>1854.2727078871492</v>
      </c>
      <c r="E34" s="28">
        <v>56338.345085041277</v>
      </c>
      <c r="F34" s="28">
        <v>60765.975625274667</v>
      </c>
      <c r="G34" s="28">
        <v>64000</v>
      </c>
      <c r="H34" s="28">
        <v>60765.975625274667</v>
      </c>
      <c r="I34" s="28">
        <v>-3234.0243747253335</v>
      </c>
      <c r="J34" s="6" t="e">
        <f>VLOOKUP(A34,myPEPB!B:C,2)</f>
        <v>#N/A</v>
      </c>
      <c r="T34" s="29">
        <v>42004</v>
      </c>
      <c r="U34" s="1">
        <f t="shared" si="13"/>
        <v>24000</v>
      </c>
      <c r="V34" s="1">
        <f t="shared" si="16"/>
        <v>-24000</v>
      </c>
      <c r="W34" s="29">
        <v>42004</v>
      </c>
      <c r="X34" s="1">
        <f t="shared" si="14"/>
        <v>24000</v>
      </c>
      <c r="Y34" s="1">
        <f t="shared" si="17"/>
        <v>-24000</v>
      </c>
      <c r="Z34" s="29">
        <v>42004</v>
      </c>
      <c r="AA34" s="1">
        <v>24000</v>
      </c>
      <c r="AB34" s="1">
        <f t="shared" si="15"/>
        <v>-24000</v>
      </c>
    </row>
    <row r="35" spans="1:28" ht="14.1" customHeight="1">
      <c r="A35" s="26">
        <v>41425</v>
      </c>
      <c r="B35" s="27">
        <v>1.1670399999999999</v>
      </c>
      <c r="C35" s="4">
        <v>2000</v>
      </c>
      <c r="D35" s="28">
        <v>1713.7373183438444</v>
      </c>
      <c r="E35" s="28">
        <v>58052.082403385124</v>
      </c>
      <c r="F35" s="28">
        <v>67749.102248046562</v>
      </c>
      <c r="G35" s="28">
        <v>66000</v>
      </c>
      <c r="H35" s="28">
        <v>67749.102248046562</v>
      </c>
      <c r="I35" s="28">
        <v>1749.1022480465617</v>
      </c>
      <c r="J35" s="6" t="e">
        <f>VLOOKUP(A35,myPEPB!B:C,2)</f>
        <v>#N/A</v>
      </c>
      <c r="T35" s="29">
        <v>42369</v>
      </c>
      <c r="U35" s="1">
        <f t="shared" si="13"/>
        <v>24000</v>
      </c>
      <c r="V35" s="1">
        <f t="shared" si="16"/>
        <v>-24000</v>
      </c>
      <c r="W35" s="29">
        <v>42369</v>
      </c>
      <c r="X35" s="1">
        <f t="shared" si="14"/>
        <v>24000</v>
      </c>
      <c r="Y35" s="1">
        <f t="shared" si="17"/>
        <v>-24000</v>
      </c>
      <c r="Z35" s="29">
        <v>42369</v>
      </c>
      <c r="AA35" s="1">
        <v>24000</v>
      </c>
      <c r="AB35" s="1">
        <f t="shared" si="15"/>
        <v>-24000</v>
      </c>
    </row>
    <row r="36" spans="1:28" ht="14.1" customHeight="1">
      <c r="A36" s="26">
        <v>41453</v>
      </c>
      <c r="B36" s="27">
        <v>1.0075000000000001</v>
      </c>
      <c r="C36" s="4">
        <v>2000</v>
      </c>
      <c r="D36" s="28">
        <v>1985.1116625310171</v>
      </c>
      <c r="E36" s="28">
        <v>60037.194065916141</v>
      </c>
      <c r="F36" s="28">
        <v>60487.473021410515</v>
      </c>
      <c r="G36" s="28">
        <v>68000</v>
      </c>
      <c r="H36" s="28">
        <v>60487.473021410515</v>
      </c>
      <c r="I36" s="28">
        <v>-7512.5269785894852</v>
      </c>
      <c r="J36" s="6" t="e">
        <f>VLOOKUP(A36,myPEPB!B:C,2)</f>
        <v>#N/A</v>
      </c>
      <c r="T36" s="29">
        <v>42734</v>
      </c>
      <c r="U36" s="1">
        <f t="shared" si="13"/>
        <v>24000</v>
      </c>
      <c r="V36" s="1">
        <f t="shared" si="16"/>
        <v>-24000</v>
      </c>
      <c r="W36" s="29">
        <v>42734</v>
      </c>
      <c r="X36" s="1">
        <f t="shared" si="14"/>
        <v>24000</v>
      </c>
      <c r="Y36" s="1">
        <f t="shared" si="17"/>
        <v>-24000</v>
      </c>
      <c r="Z36" s="29">
        <v>42734</v>
      </c>
      <c r="AA36" s="1">
        <v>24000</v>
      </c>
      <c r="AB36" s="1">
        <f t="shared" si="15"/>
        <v>-24000</v>
      </c>
    </row>
    <row r="37" spans="1:28" ht="14.1" customHeight="1">
      <c r="A37" s="26">
        <v>41486</v>
      </c>
      <c r="B37" s="27">
        <v>1.0311600000000001</v>
      </c>
      <c r="C37" s="4">
        <v>2000</v>
      </c>
      <c r="D37" s="28">
        <v>1939.5632103650257</v>
      </c>
      <c r="E37" s="28">
        <v>61976.757276281169</v>
      </c>
      <c r="F37" s="28">
        <v>63907.953033010097</v>
      </c>
      <c r="G37" s="28">
        <v>70000</v>
      </c>
      <c r="H37" s="28">
        <v>63907.953033010097</v>
      </c>
      <c r="I37" s="28">
        <v>-6092.046966989903</v>
      </c>
      <c r="J37" s="6" t="e">
        <f>VLOOKUP(A37,myPEPB!B:C,2)</f>
        <v>#N/A</v>
      </c>
      <c r="T37" s="29">
        <v>43098</v>
      </c>
      <c r="U37" s="1">
        <f t="shared" si="13"/>
        <v>24000</v>
      </c>
      <c r="V37" s="1">
        <f t="shared" si="16"/>
        <v>-24000</v>
      </c>
      <c r="W37" s="29">
        <v>43098</v>
      </c>
      <c r="X37" s="1">
        <f t="shared" si="14"/>
        <v>24000</v>
      </c>
      <c r="Y37" s="1">
        <f t="shared" si="17"/>
        <v>-24000</v>
      </c>
      <c r="Z37" s="29">
        <v>43098</v>
      </c>
      <c r="AA37" s="1">
        <v>24000</v>
      </c>
      <c r="AB37" s="1">
        <f t="shared" si="15"/>
        <v>-24000</v>
      </c>
    </row>
    <row r="38" spans="1:28" ht="14.1" customHeight="1">
      <c r="A38" s="26">
        <v>41516</v>
      </c>
      <c r="B38" s="27">
        <v>1.1031</v>
      </c>
      <c r="C38" s="4">
        <v>2000</v>
      </c>
      <c r="D38" s="28">
        <v>1813.0722509291995</v>
      </c>
      <c r="E38" s="28">
        <v>63789.829527210371</v>
      </c>
      <c r="F38" s="28">
        <v>70366.560951465755</v>
      </c>
      <c r="G38" s="28">
        <v>72000</v>
      </c>
      <c r="H38" s="28">
        <v>70366.560951465755</v>
      </c>
      <c r="I38" s="28">
        <v>-1633.4390485342446</v>
      </c>
      <c r="J38" s="6" t="e">
        <f>VLOOKUP(A38,myPEPB!B:C,2)</f>
        <v>#N/A</v>
      </c>
      <c r="T38" s="29">
        <v>43462</v>
      </c>
      <c r="U38" s="1">
        <f t="shared" si="13"/>
        <v>24000</v>
      </c>
      <c r="V38" s="1">
        <f t="shared" si="16"/>
        <v>-24000</v>
      </c>
      <c r="W38" s="29">
        <v>43462</v>
      </c>
      <c r="X38" s="1">
        <f t="shared" si="14"/>
        <v>24000</v>
      </c>
      <c r="Y38" s="1">
        <f t="shared" si="17"/>
        <v>-24000</v>
      </c>
      <c r="Z38" s="29">
        <v>43462</v>
      </c>
      <c r="AA38" s="1">
        <v>24000</v>
      </c>
      <c r="AB38" s="1">
        <f t="shared" si="15"/>
        <v>-24000</v>
      </c>
    </row>
    <row r="39" spans="1:28" ht="14.1" customHeight="1">
      <c r="A39" s="26">
        <v>41547</v>
      </c>
      <c r="B39" s="27">
        <v>1.1687700000000001</v>
      </c>
      <c r="C39" s="4">
        <v>2000</v>
      </c>
      <c r="D39" s="28">
        <v>1711.2006639458575</v>
      </c>
      <c r="E39" s="28">
        <v>65501.030191156227</v>
      </c>
      <c r="F39" s="28">
        <v>76555.63905651767</v>
      </c>
      <c r="G39" s="28">
        <v>74000</v>
      </c>
      <c r="H39" s="28">
        <v>76555.63905651767</v>
      </c>
      <c r="I39" s="28">
        <v>2555.6390565176698</v>
      </c>
      <c r="J39" s="6" t="e">
        <f>VLOOKUP(A39,myPEPB!B:C,2)</f>
        <v>#N/A</v>
      </c>
      <c r="T39" s="30">
        <v>43830</v>
      </c>
      <c r="U39" s="1">
        <f t="shared" si="13"/>
        <v>24000</v>
      </c>
      <c r="V39" s="1">
        <f t="shared" si="16"/>
        <v>-24000</v>
      </c>
      <c r="W39" s="30">
        <v>43830</v>
      </c>
      <c r="X39" s="1">
        <f t="shared" si="14"/>
        <v>24000</v>
      </c>
      <c r="Y39" s="1">
        <f t="shared" si="17"/>
        <v>-24000</v>
      </c>
      <c r="Z39" s="30">
        <v>43830</v>
      </c>
      <c r="AA39" s="1">
        <v>24000</v>
      </c>
      <c r="AB39" s="1">
        <f t="shared" si="15"/>
        <v>-24000</v>
      </c>
    </row>
    <row r="40" spans="1:28" ht="14.1" customHeight="1">
      <c r="A40" s="26">
        <v>41578</v>
      </c>
      <c r="B40" s="27">
        <v>1.1723299999999999</v>
      </c>
      <c r="C40" s="4">
        <v>2000</v>
      </c>
      <c r="D40" s="28">
        <v>1706.0042820707481</v>
      </c>
      <c r="E40" s="28">
        <v>67207.034473226973</v>
      </c>
      <c r="F40" s="28">
        <v>78788.822723998164</v>
      </c>
      <c r="G40" s="28">
        <v>76000</v>
      </c>
      <c r="H40" s="28">
        <v>78788.822723998164</v>
      </c>
      <c r="I40" s="28">
        <v>2788.8227239981643</v>
      </c>
      <c r="J40" s="6" t="e">
        <f>VLOOKUP(A40,myPEPB!B:C,2)</f>
        <v>#N/A</v>
      </c>
      <c r="T40" s="24">
        <v>44196</v>
      </c>
      <c r="U40" s="1">
        <f t="shared" si="13"/>
        <v>24000</v>
      </c>
      <c r="V40" s="1">
        <f t="shared" si="16"/>
        <v>-24000</v>
      </c>
      <c r="W40" s="24">
        <v>44196</v>
      </c>
      <c r="X40" s="1">
        <f t="shared" si="14"/>
        <v>24000</v>
      </c>
      <c r="Y40" s="1">
        <f t="shared" si="17"/>
        <v>-24000</v>
      </c>
      <c r="Z40" s="24">
        <v>44196</v>
      </c>
      <c r="AA40" s="1">
        <v>24000</v>
      </c>
      <c r="AB40" s="1">
        <f t="shared" si="15"/>
        <v>-24000</v>
      </c>
    </row>
    <row r="41" spans="1:28" ht="14.1" customHeight="1">
      <c r="A41" s="26">
        <v>41607</v>
      </c>
      <c r="B41" s="27">
        <v>1.2098100000000001</v>
      </c>
      <c r="C41" s="4">
        <v>2000</v>
      </c>
      <c r="D41" s="28">
        <v>1653.152147857928</v>
      </c>
      <c r="E41" s="28">
        <v>68860.186621084897</v>
      </c>
      <c r="F41" s="28">
        <v>83307.742376054724</v>
      </c>
      <c r="G41" s="28">
        <v>78000</v>
      </c>
      <c r="H41" s="28">
        <v>83307.742376054724</v>
      </c>
      <c r="I41" s="28">
        <v>5307.7423760547244</v>
      </c>
      <c r="J41" s="6" t="e">
        <f>VLOOKUP(A41,myPEPB!B:C,2)</f>
        <v>#N/A</v>
      </c>
      <c r="T41" s="24">
        <v>44196</v>
      </c>
      <c r="V41" s="1">
        <f>VLOOKUP(T41,L:O,4)</f>
        <v>501442.15123802173</v>
      </c>
      <c r="W41" s="24">
        <v>44561</v>
      </c>
      <c r="X41" s="1">
        <f t="shared" si="14"/>
        <v>24000</v>
      </c>
      <c r="Y41" s="1">
        <f t="shared" si="17"/>
        <v>-24000</v>
      </c>
      <c r="Z41" s="24">
        <v>44561</v>
      </c>
      <c r="AA41" s="1">
        <v>24000</v>
      </c>
      <c r="AB41" s="1">
        <f t="shared" si="15"/>
        <v>-24000</v>
      </c>
    </row>
    <row r="42" spans="1:28" ht="14.1" customHeight="1">
      <c r="A42" s="26">
        <v>41639</v>
      </c>
      <c r="B42" s="27">
        <v>1.1735899999999999</v>
      </c>
      <c r="C42" s="4">
        <v>2000</v>
      </c>
      <c r="D42" s="28">
        <v>1704.1726667745977</v>
      </c>
      <c r="E42" s="28">
        <v>70564.359287859494</v>
      </c>
      <c r="F42" s="28">
        <v>82813.626416639017</v>
      </c>
      <c r="G42" s="28">
        <v>80000</v>
      </c>
      <c r="H42" s="28">
        <v>82813.626416639017</v>
      </c>
      <c r="I42" s="28">
        <v>2813.6264166390174</v>
      </c>
      <c r="J42" s="6" t="e">
        <f>VLOOKUP(A42,myPEPB!B:C,2)</f>
        <v>#N/A</v>
      </c>
      <c r="V42" s="2">
        <v>0.12063859637805274</v>
      </c>
      <c r="W42" s="24">
        <v>44561</v>
      </c>
      <c r="Y42" s="1">
        <f>VLOOKUP(W42,L:O,4)</f>
        <v>507834.42040464858</v>
      </c>
      <c r="Z42" s="24">
        <v>44925</v>
      </c>
      <c r="AA42" s="1">
        <v>24000</v>
      </c>
      <c r="AB42" s="1">
        <f t="shared" si="15"/>
        <v>-24000</v>
      </c>
    </row>
    <row r="43" spans="1:28" ht="14.1" customHeight="1">
      <c r="A43" s="26">
        <v>41669</v>
      </c>
      <c r="B43" s="27">
        <v>1.1339999999999999</v>
      </c>
      <c r="C43" s="4">
        <v>2000</v>
      </c>
      <c r="D43" s="28">
        <v>1763.6684303350971</v>
      </c>
      <c r="E43" s="28">
        <v>72328.027718194586</v>
      </c>
      <c r="F43" s="28">
        <v>82019.983432432651</v>
      </c>
      <c r="G43" s="28">
        <v>82000</v>
      </c>
      <c r="H43" s="28">
        <v>82019.983432432651</v>
      </c>
      <c r="I43" s="28">
        <v>19.983432432651171</v>
      </c>
      <c r="J43" s="6" t="e">
        <f>VLOOKUP(A43,myPEPB!B:C,2)</f>
        <v>#N/A</v>
      </c>
      <c r="L43" s="3"/>
      <c r="Y43" s="2">
        <v>9.8052898274155309E-2</v>
      </c>
      <c r="Z43" s="24">
        <v>44925</v>
      </c>
      <c r="AB43" s="1">
        <v>429691.15630892606</v>
      </c>
    </row>
    <row r="44" spans="1:28" ht="14.1" customHeight="1">
      <c r="A44" s="26">
        <v>41698</v>
      </c>
      <c r="B44" s="27">
        <v>1.12253</v>
      </c>
      <c r="C44" s="4">
        <v>2000</v>
      </c>
      <c r="D44" s="28">
        <v>1781.6895762251343</v>
      </c>
      <c r="E44" s="28">
        <v>74109.717294419723</v>
      </c>
      <c r="F44" s="28">
        <v>83190.380954504973</v>
      </c>
      <c r="G44" s="28">
        <v>84000</v>
      </c>
      <c r="H44" s="28">
        <v>83190.380954504973</v>
      </c>
      <c r="I44" s="28">
        <v>-809.61904549502651</v>
      </c>
      <c r="J44" s="6" t="e">
        <f>VLOOKUP(A44,myPEPB!B:C,2)</f>
        <v>#N/A</v>
      </c>
      <c r="AB44" s="2">
        <v>5.4587041166743733E-2</v>
      </c>
    </row>
    <row r="45" spans="1:28" ht="14.1" customHeight="1">
      <c r="A45" s="26">
        <v>41729</v>
      </c>
      <c r="B45" s="27">
        <v>1.0989899999999999</v>
      </c>
      <c r="C45" s="4">
        <v>2000</v>
      </c>
      <c r="D45" s="28">
        <v>1819.8527739105907</v>
      </c>
      <c r="E45" s="28">
        <v>75929.570068330315</v>
      </c>
      <c r="F45" s="28">
        <v>83445.838209394322</v>
      </c>
      <c r="G45" s="28">
        <v>86000</v>
      </c>
      <c r="H45" s="28">
        <v>83445.838209394322</v>
      </c>
      <c r="I45" s="28">
        <v>-2554.1617906056781</v>
      </c>
      <c r="J45" s="6" t="e">
        <f>VLOOKUP(A45,myPEPB!B:C,2)</f>
        <v>#N/A</v>
      </c>
      <c r="T45" s="29">
        <v>40543</v>
      </c>
      <c r="U45" s="1">
        <v>8000</v>
      </c>
      <c r="V45" s="1">
        <f t="shared" ref="V45:V58" si="18">-U45</f>
        <v>-8000</v>
      </c>
      <c r="W45" s="29">
        <v>40543</v>
      </c>
      <c r="X45" s="1">
        <v>8000</v>
      </c>
      <c r="Y45" s="1">
        <f t="shared" ref="Y45:Y59" si="19">-X45</f>
        <v>-8000</v>
      </c>
    </row>
    <row r="46" spans="1:28" ht="14.1" customHeight="1">
      <c r="A46" s="26">
        <v>41759</v>
      </c>
      <c r="B46" s="27">
        <v>1.08745</v>
      </c>
      <c r="C46" s="4">
        <v>2000</v>
      </c>
      <c r="D46" s="28">
        <v>1839.1650190813371</v>
      </c>
      <c r="E46" s="28">
        <v>77768.735087411653</v>
      </c>
      <c r="F46" s="28">
        <v>84569.610970805807</v>
      </c>
      <c r="G46" s="28">
        <v>88000</v>
      </c>
      <c r="H46" s="28">
        <v>84569.610970805807</v>
      </c>
      <c r="I46" s="28">
        <v>-3430.3890291941934</v>
      </c>
      <c r="J46" s="6" t="e">
        <f>VLOOKUP(A46,myPEPB!B:C,2)</f>
        <v>#N/A</v>
      </c>
      <c r="T46" s="29">
        <v>40907</v>
      </c>
      <c r="U46" s="1">
        <v>24000</v>
      </c>
      <c r="V46" s="1">
        <f t="shared" si="18"/>
        <v>-24000</v>
      </c>
      <c r="W46" s="29">
        <v>40907</v>
      </c>
      <c r="X46" s="1">
        <v>24000</v>
      </c>
      <c r="Y46" s="1">
        <f t="shared" si="19"/>
        <v>-24000</v>
      </c>
    </row>
    <row r="47" spans="1:28" ht="14.1" customHeight="1">
      <c r="A47" s="26">
        <v>41789</v>
      </c>
      <c r="B47" s="27">
        <v>1.0986300000000002</v>
      </c>
      <c r="C47" s="4">
        <v>2000</v>
      </c>
      <c r="D47" s="28">
        <v>1820.4491047941524</v>
      </c>
      <c r="E47" s="28">
        <v>79589.184192205808</v>
      </c>
      <c r="F47" s="28">
        <v>87439.065429083086</v>
      </c>
      <c r="G47" s="28">
        <v>90000</v>
      </c>
      <c r="H47" s="28">
        <v>87439.065429083086</v>
      </c>
      <c r="I47" s="28">
        <v>-2560.9345709169138</v>
      </c>
      <c r="J47" s="6" t="e">
        <f>VLOOKUP(A47,myPEPB!B:C,2)</f>
        <v>#N/A</v>
      </c>
      <c r="T47" s="29">
        <v>41274</v>
      </c>
      <c r="U47" s="1">
        <v>24000</v>
      </c>
      <c r="V47" s="1">
        <f t="shared" si="18"/>
        <v>-24000</v>
      </c>
      <c r="W47" s="29">
        <v>41274</v>
      </c>
      <c r="X47" s="1">
        <v>24000</v>
      </c>
      <c r="Y47" s="1">
        <f t="shared" si="19"/>
        <v>-24000</v>
      </c>
    </row>
    <row r="48" spans="1:28" ht="14.1" customHeight="1">
      <c r="A48" s="26">
        <v>41820</v>
      </c>
      <c r="B48" s="27">
        <v>1.1062000000000001</v>
      </c>
      <c r="C48" s="4">
        <v>2000</v>
      </c>
      <c r="D48" s="28">
        <v>1807.991321641656</v>
      </c>
      <c r="E48" s="28">
        <v>81397.175513847469</v>
      </c>
      <c r="F48" s="28">
        <v>90041.555553418075</v>
      </c>
      <c r="G48" s="28">
        <v>92000</v>
      </c>
      <c r="H48" s="28">
        <v>90041.555553418075</v>
      </c>
      <c r="I48" s="28">
        <v>-1958.4444465819251</v>
      </c>
      <c r="J48" s="6" t="e">
        <f>VLOOKUP(A48,myPEPB!B:C,2)</f>
        <v>#N/A</v>
      </c>
      <c r="T48" s="29">
        <v>41639</v>
      </c>
      <c r="U48" s="1">
        <v>24000</v>
      </c>
      <c r="V48" s="1">
        <f t="shared" si="18"/>
        <v>-24000</v>
      </c>
      <c r="W48" s="29">
        <v>41639</v>
      </c>
      <c r="X48" s="1">
        <v>24000</v>
      </c>
      <c r="Y48" s="1">
        <f t="shared" si="19"/>
        <v>-24000</v>
      </c>
    </row>
    <row r="49" spans="1:25" ht="14.1" customHeight="1">
      <c r="A49" s="26">
        <v>41851</v>
      </c>
      <c r="B49" s="27">
        <v>1.2045899999999998</v>
      </c>
      <c r="C49" s="4">
        <v>2000</v>
      </c>
      <c r="D49" s="28">
        <v>1660.3159581268317</v>
      </c>
      <c r="E49" s="28">
        <v>83057.491471974296</v>
      </c>
      <c r="F49" s="28">
        <v>100050.2236522255</v>
      </c>
      <c r="G49" s="28">
        <v>94000</v>
      </c>
      <c r="H49" s="28">
        <v>100050.2236522255</v>
      </c>
      <c r="I49" s="28">
        <v>6050.2236522254971</v>
      </c>
      <c r="J49" s="6" t="e">
        <f>VLOOKUP(A49,myPEPB!B:C,2)</f>
        <v>#N/A</v>
      </c>
      <c r="T49" s="29">
        <v>42004</v>
      </c>
      <c r="U49" s="1">
        <v>24000</v>
      </c>
      <c r="V49" s="1">
        <f t="shared" si="18"/>
        <v>-24000</v>
      </c>
      <c r="W49" s="29">
        <v>42004</v>
      </c>
      <c r="X49" s="1">
        <v>24000</v>
      </c>
      <c r="Y49" s="1">
        <f t="shared" si="19"/>
        <v>-24000</v>
      </c>
    </row>
    <row r="50" spans="1:25" ht="14.1" customHeight="1">
      <c r="A50" s="26">
        <v>41880</v>
      </c>
      <c r="B50" s="27">
        <v>1.2067399999999999</v>
      </c>
      <c r="C50" s="4">
        <v>2000</v>
      </c>
      <c r="D50" s="28">
        <v>1657.3578401312629</v>
      </c>
      <c r="E50" s="28">
        <v>84714.849312105565</v>
      </c>
      <c r="F50" s="28">
        <v>102228.79725889026</v>
      </c>
      <c r="G50" s="28">
        <v>96000</v>
      </c>
      <c r="H50" s="28">
        <v>102228.79725889026</v>
      </c>
      <c r="I50" s="28">
        <v>6228.797258890263</v>
      </c>
      <c r="J50" s="6" t="e">
        <f>VLOOKUP(A50,myPEPB!B:C,2)</f>
        <v>#N/A</v>
      </c>
      <c r="T50" s="29">
        <v>42369</v>
      </c>
      <c r="U50" s="1">
        <v>24000</v>
      </c>
      <c r="V50" s="1">
        <f t="shared" si="18"/>
        <v>-24000</v>
      </c>
      <c r="W50" s="29">
        <v>42369</v>
      </c>
      <c r="X50" s="1">
        <v>24000</v>
      </c>
      <c r="Y50" s="1">
        <f t="shared" si="19"/>
        <v>-24000</v>
      </c>
    </row>
    <row r="51" spans="1:25" ht="14.1" customHeight="1">
      <c r="A51" s="26">
        <v>41912</v>
      </c>
      <c r="B51" s="27">
        <v>1.27871</v>
      </c>
      <c r="C51" s="4">
        <v>2000</v>
      </c>
      <c r="D51" s="28">
        <v>1564.0762956417013</v>
      </c>
      <c r="E51" s="28">
        <v>86278.925607747267</v>
      </c>
      <c r="F51" s="28">
        <v>110325.72496388252</v>
      </c>
      <c r="G51" s="28">
        <v>98000</v>
      </c>
      <c r="H51" s="28">
        <v>110325.72496388252</v>
      </c>
      <c r="I51" s="28">
        <v>12325.724963882516</v>
      </c>
      <c r="J51" s="6" t="e">
        <f>VLOOKUP(A51,myPEPB!B:C,2)</f>
        <v>#N/A</v>
      </c>
      <c r="T51" s="29">
        <v>42734</v>
      </c>
      <c r="U51" s="1">
        <v>24000</v>
      </c>
      <c r="V51" s="1">
        <f t="shared" si="18"/>
        <v>-24000</v>
      </c>
      <c r="W51" s="29">
        <v>42734</v>
      </c>
      <c r="X51" s="1">
        <v>24000</v>
      </c>
      <c r="Y51" s="1">
        <f t="shared" si="19"/>
        <v>-24000</v>
      </c>
    </row>
    <row r="52" spans="1:25" ht="14.1" customHeight="1">
      <c r="A52" s="26">
        <v>41943</v>
      </c>
      <c r="B52" s="27">
        <v>1.2983800000000001</v>
      </c>
      <c r="C52" s="4">
        <v>2000</v>
      </c>
      <c r="D52" s="28">
        <v>1540.3810902817356</v>
      </c>
      <c r="E52" s="28">
        <v>87819.306698029002</v>
      </c>
      <c r="F52" s="28">
        <v>114022.8314305869</v>
      </c>
      <c r="G52" s="28">
        <v>100000</v>
      </c>
      <c r="H52" s="28">
        <v>114022.8314305869</v>
      </c>
      <c r="I52" s="28">
        <v>14022.831430586899</v>
      </c>
      <c r="J52" s="6" t="e">
        <f>VLOOKUP(A52,myPEPB!B:C,2)</f>
        <v>#N/A</v>
      </c>
      <c r="T52" s="29">
        <v>43098</v>
      </c>
      <c r="U52" s="1">
        <v>24000</v>
      </c>
      <c r="V52" s="1">
        <f t="shared" si="18"/>
        <v>-24000</v>
      </c>
      <c r="W52" s="29">
        <v>43098</v>
      </c>
      <c r="X52" s="1">
        <v>24000</v>
      </c>
      <c r="Y52" s="1">
        <f t="shared" si="19"/>
        <v>-24000</v>
      </c>
    </row>
    <row r="53" spans="1:25" ht="14.1" customHeight="1">
      <c r="A53" s="26">
        <v>41971</v>
      </c>
      <c r="B53" s="27">
        <v>1.41004</v>
      </c>
      <c r="C53" s="4">
        <v>2000</v>
      </c>
      <c r="D53" s="28">
        <v>1418.3994780289922</v>
      </c>
      <c r="E53" s="28">
        <v>89237.706176057996</v>
      </c>
      <c r="F53" s="28">
        <v>125828.73521648881</v>
      </c>
      <c r="G53" s="28">
        <v>102000</v>
      </c>
      <c r="H53" s="28">
        <v>125828.73521648881</v>
      </c>
      <c r="I53" s="28">
        <v>23828.735216488814</v>
      </c>
      <c r="J53" s="6" t="e">
        <f>VLOOKUP(A53,myPEPB!B:C,2)</f>
        <v>#N/A</v>
      </c>
      <c r="T53" s="29">
        <v>43462</v>
      </c>
      <c r="U53" s="1">
        <v>24000</v>
      </c>
      <c r="V53" s="1">
        <f t="shared" si="18"/>
        <v>-24000</v>
      </c>
      <c r="W53" s="29">
        <v>43462</v>
      </c>
      <c r="X53" s="1">
        <v>24000</v>
      </c>
      <c r="Y53" s="1">
        <f t="shared" si="19"/>
        <v>-24000</v>
      </c>
    </row>
    <row r="54" spans="1:25" ht="14.1" customHeight="1">
      <c r="A54" s="26">
        <v>42004</v>
      </c>
      <c r="B54" s="27">
        <v>1.6953900000000002</v>
      </c>
      <c r="C54" s="4">
        <v>2000</v>
      </c>
      <c r="D54" s="28">
        <v>1179.6695745521679</v>
      </c>
      <c r="E54" s="28">
        <v>90417.375750610168</v>
      </c>
      <c r="F54" s="28">
        <v>153292.71467382699</v>
      </c>
      <c r="G54" s="28">
        <v>104000</v>
      </c>
      <c r="H54" s="28">
        <v>153292.71467382699</v>
      </c>
      <c r="I54" s="28">
        <v>49292.714673826995</v>
      </c>
      <c r="J54" s="6" t="e">
        <f>VLOOKUP(A54,myPEPB!B:C,2)</f>
        <v>#N/A</v>
      </c>
      <c r="T54" s="30">
        <v>43830</v>
      </c>
      <c r="U54" s="1">
        <v>24000</v>
      </c>
      <c r="V54" s="1">
        <f t="shared" si="18"/>
        <v>-24000</v>
      </c>
      <c r="W54" s="30">
        <v>43830</v>
      </c>
      <c r="X54" s="1">
        <v>24000</v>
      </c>
      <c r="Y54" s="1">
        <f t="shared" si="19"/>
        <v>-24000</v>
      </c>
    </row>
    <row r="55" spans="1:25" ht="14.1" customHeight="1">
      <c r="A55" s="26">
        <v>42034</v>
      </c>
      <c r="B55" s="27">
        <v>1.7145299999999999</v>
      </c>
      <c r="C55" s="4">
        <v>2000</v>
      </c>
      <c r="D55" s="28">
        <v>1166.5004403539162</v>
      </c>
      <c r="E55" s="28">
        <v>91583.876190964089</v>
      </c>
      <c r="F55" s="28">
        <v>157023.30324569365</v>
      </c>
      <c r="G55" s="28">
        <v>106000</v>
      </c>
      <c r="H55" s="28">
        <v>157023.30324569365</v>
      </c>
      <c r="I55" s="28">
        <v>51023.303245693649</v>
      </c>
      <c r="J55" s="6" t="e">
        <f>VLOOKUP(A55,myPEPB!B:C,2)</f>
        <v>#N/A</v>
      </c>
      <c r="L55" s="3"/>
      <c r="T55" s="24">
        <v>44196</v>
      </c>
      <c r="U55" s="1">
        <v>24000</v>
      </c>
      <c r="V55" s="1">
        <f t="shared" si="18"/>
        <v>-24000</v>
      </c>
      <c r="W55" s="24">
        <v>44196</v>
      </c>
      <c r="X55" s="1">
        <v>24000</v>
      </c>
      <c r="Y55" s="1">
        <f t="shared" si="19"/>
        <v>-24000</v>
      </c>
    </row>
    <row r="56" spans="1:25" ht="14.1" customHeight="1">
      <c r="A56" s="26">
        <v>42062</v>
      </c>
      <c r="B56" s="27">
        <v>1.78149</v>
      </c>
      <c r="C56" s="4">
        <v>2000</v>
      </c>
      <c r="D56" s="28">
        <v>1122.6557544527334</v>
      </c>
      <c r="E56" s="28">
        <v>92706.53194541682</v>
      </c>
      <c r="F56" s="28">
        <v>165155.75959544061</v>
      </c>
      <c r="G56" s="28">
        <v>108000</v>
      </c>
      <c r="H56" s="28">
        <v>165155.75959544061</v>
      </c>
      <c r="I56" s="28">
        <v>57155.759595440613</v>
      </c>
      <c r="J56" s="6" t="e">
        <f>VLOOKUP(A56,myPEPB!B:C,2)</f>
        <v>#N/A</v>
      </c>
      <c r="T56" s="24">
        <v>44561</v>
      </c>
      <c r="U56" s="1">
        <v>24000</v>
      </c>
      <c r="V56" s="1">
        <f t="shared" si="18"/>
        <v>-24000</v>
      </c>
      <c r="W56" s="24">
        <v>44561</v>
      </c>
      <c r="X56" s="1">
        <v>24000</v>
      </c>
      <c r="Y56" s="1">
        <f t="shared" si="19"/>
        <v>-24000</v>
      </c>
    </row>
    <row r="57" spans="1:25" ht="14.1" customHeight="1">
      <c r="A57" s="26">
        <v>42094</v>
      </c>
      <c r="B57" s="27">
        <v>2.0250699999999999</v>
      </c>
      <c r="C57" s="4">
        <v>2000</v>
      </c>
      <c r="D57" s="28">
        <v>987.62018103077924</v>
      </c>
      <c r="E57" s="28">
        <v>93694.152126447603</v>
      </c>
      <c r="F57" s="28">
        <v>189737.21664670523</v>
      </c>
      <c r="G57" s="28">
        <v>110000</v>
      </c>
      <c r="H57" s="28">
        <v>189737.21664670523</v>
      </c>
      <c r="I57" s="28">
        <v>79737.21664670523</v>
      </c>
      <c r="J57" s="6" t="e">
        <f>VLOOKUP(A57,myPEPB!B:C,2)</f>
        <v>#N/A</v>
      </c>
      <c r="T57" s="24">
        <v>44925</v>
      </c>
      <c r="U57" s="1">
        <v>24000</v>
      </c>
      <c r="V57" s="1">
        <f t="shared" si="18"/>
        <v>-24000</v>
      </c>
      <c r="W57" s="24">
        <v>44925</v>
      </c>
      <c r="X57" s="1">
        <v>24000</v>
      </c>
      <c r="Y57" s="1">
        <f t="shared" si="19"/>
        <v>-24000</v>
      </c>
    </row>
    <row r="58" spans="1:25" ht="14.1" customHeight="1">
      <c r="A58" s="26">
        <v>42124</v>
      </c>
      <c r="B58" s="27">
        <v>2.4119800000000002</v>
      </c>
      <c r="C58" s="4">
        <v>2000</v>
      </c>
      <c r="D58" s="28">
        <v>829.19427192596947</v>
      </c>
      <c r="E58" s="28">
        <v>94523.346398373571</v>
      </c>
      <c r="F58" s="28">
        <v>227988.4210459491</v>
      </c>
      <c r="G58" s="28">
        <v>112000</v>
      </c>
      <c r="H58" s="28">
        <v>227988.4210459491</v>
      </c>
      <c r="I58" s="28">
        <v>115988.4210459491</v>
      </c>
      <c r="J58" s="6" t="e">
        <f>VLOOKUP(A58,myPEPB!B:C,2)</f>
        <v>#N/A</v>
      </c>
      <c r="T58" s="24">
        <v>45289</v>
      </c>
      <c r="U58" s="1">
        <v>24000</v>
      </c>
      <c r="V58" s="1">
        <f t="shared" si="18"/>
        <v>-24000</v>
      </c>
      <c r="W58" s="24">
        <v>45289</v>
      </c>
      <c r="X58" s="1">
        <v>24000</v>
      </c>
      <c r="Y58" s="1">
        <f t="shared" si="19"/>
        <v>-24000</v>
      </c>
    </row>
    <row r="59" spans="1:25" ht="14.1" customHeight="1">
      <c r="A59" s="26">
        <v>42153</v>
      </c>
      <c r="B59" s="27">
        <v>2.5110399999999999</v>
      </c>
      <c r="C59" s="4">
        <v>2000</v>
      </c>
      <c r="D59" s="28">
        <v>796.48273225436469</v>
      </c>
      <c r="E59" s="28">
        <v>95319.829130627943</v>
      </c>
      <c r="F59" s="28">
        <v>239351.90374017198</v>
      </c>
      <c r="G59" s="28">
        <v>114000</v>
      </c>
      <c r="H59" s="28">
        <v>239351.90374017198</v>
      </c>
      <c r="I59" s="28">
        <v>125351.90374017198</v>
      </c>
      <c r="J59" s="6" t="e">
        <f>VLOOKUP(A59,myPEPB!B:C,2)</f>
        <v>#N/A</v>
      </c>
      <c r="T59" s="24">
        <v>45289</v>
      </c>
      <c r="V59" s="1">
        <v>400562.47252632782</v>
      </c>
      <c r="W59" s="24">
        <v>45657</v>
      </c>
      <c r="X59" s="1">
        <v>24000</v>
      </c>
      <c r="Y59" s="1">
        <f t="shared" si="19"/>
        <v>-24000</v>
      </c>
    </row>
    <row r="60" spans="1:25" ht="14.1" customHeight="1">
      <c r="A60" s="26">
        <v>42185</v>
      </c>
      <c r="B60" s="27">
        <v>2.3950300000000002</v>
      </c>
      <c r="C60" s="4">
        <v>2000</v>
      </c>
      <c r="D60" s="28">
        <v>835.06260881909611</v>
      </c>
      <c r="E60" s="28">
        <v>96154.891739447034</v>
      </c>
      <c r="F60" s="28">
        <v>230293.85036272786</v>
      </c>
      <c r="G60" s="28">
        <v>116000</v>
      </c>
      <c r="H60" s="28">
        <v>230293.85036272786</v>
      </c>
      <c r="I60" s="28">
        <v>114293.85036272786</v>
      </c>
      <c r="J60" s="6" t="e">
        <f>VLOOKUP(A60,myPEPB!B:C,2)</f>
        <v>#N/A</v>
      </c>
      <c r="V60" s="2">
        <v>3.0809364237756043E-2</v>
      </c>
      <c r="W60" s="24">
        <v>45657</v>
      </c>
      <c r="Y60" s="1">
        <v>474589.16182801768</v>
      </c>
    </row>
    <row r="61" spans="1:25" ht="14.1" customHeight="1">
      <c r="A61" s="26">
        <v>42216</v>
      </c>
      <c r="B61" s="27">
        <v>2.05552</v>
      </c>
      <c r="C61" s="4">
        <v>2000</v>
      </c>
      <c r="D61" s="28">
        <v>972.98980306686383</v>
      </c>
      <c r="E61" s="28">
        <v>97127.881542513904</v>
      </c>
      <c r="F61" s="28">
        <v>199648.30306826817</v>
      </c>
      <c r="G61" s="28">
        <v>118000</v>
      </c>
      <c r="H61" s="28">
        <v>199648.30306826817</v>
      </c>
      <c r="I61" s="28">
        <v>81648.303068268171</v>
      </c>
      <c r="J61" s="6" t="e">
        <f>VLOOKUP(A61,myPEPB!B:C,2)</f>
        <v>#N/A</v>
      </c>
      <c r="Y61" s="2">
        <v>4.0952702723976886E-2</v>
      </c>
    </row>
    <row r="62" spans="1:25" ht="14.1" customHeight="1">
      <c r="A62" s="26">
        <v>42247</v>
      </c>
      <c r="B62" s="27">
        <v>1.8248599999999999</v>
      </c>
      <c r="C62" s="4">
        <v>2000</v>
      </c>
      <c r="D62" s="28">
        <v>1095.9744857139726</v>
      </c>
      <c r="E62" s="28">
        <v>98223.856028227878</v>
      </c>
      <c r="F62" s="28">
        <v>179244.7859116719</v>
      </c>
      <c r="G62" s="28">
        <v>120000</v>
      </c>
      <c r="H62" s="28">
        <v>179244.7859116719</v>
      </c>
      <c r="I62" s="28">
        <v>59244.785911671905</v>
      </c>
      <c r="J62" s="6" t="e">
        <f>VLOOKUP(A62,myPEPB!B:C,2)</f>
        <v>#N/A</v>
      </c>
    </row>
    <row r="63" spans="1:25" ht="14.1" customHeight="1">
      <c r="A63" s="26">
        <v>42277</v>
      </c>
      <c r="B63" s="27">
        <v>1.7126700000000001</v>
      </c>
      <c r="C63" s="4">
        <v>2000</v>
      </c>
      <c r="D63" s="28">
        <v>1167.7672873349798</v>
      </c>
      <c r="E63" s="28">
        <v>99391.623315562858</v>
      </c>
      <c r="F63" s="28">
        <v>170225.05150386505</v>
      </c>
      <c r="G63" s="28">
        <v>122000</v>
      </c>
      <c r="H63" s="28">
        <v>170225.05150386505</v>
      </c>
      <c r="I63" s="28">
        <v>48225.051503865048</v>
      </c>
      <c r="J63" s="6" t="e">
        <f>VLOOKUP(A63,myPEPB!B:C,2)</f>
        <v>#N/A</v>
      </c>
    </row>
    <row r="64" spans="1:25" ht="14.1" customHeight="1">
      <c r="A64" s="26">
        <v>42307</v>
      </c>
      <c r="B64" s="27">
        <v>1.91326</v>
      </c>
      <c r="C64" s="4">
        <v>2000</v>
      </c>
      <c r="D64" s="28">
        <v>1045.3362323991512</v>
      </c>
      <c r="E64" s="28">
        <v>100436.959547962</v>
      </c>
      <c r="F64" s="28">
        <v>192162.01722473378</v>
      </c>
      <c r="G64" s="28">
        <v>124000</v>
      </c>
      <c r="H64" s="28">
        <v>192162.01722473378</v>
      </c>
      <c r="I64" s="28">
        <v>68162.017224733776</v>
      </c>
      <c r="J64" s="6" t="e">
        <f>VLOOKUP(A64,myPEPB!B:C,2)</f>
        <v>#N/A</v>
      </c>
    </row>
    <row r="65" spans="1:12" ht="14.1" customHeight="1">
      <c r="A65" s="26">
        <v>42338</v>
      </c>
      <c r="B65" s="27">
        <v>1.94798</v>
      </c>
      <c r="C65" s="4">
        <v>2000</v>
      </c>
      <c r="D65" s="28">
        <v>1026.704586289387</v>
      </c>
      <c r="E65" s="28">
        <v>101463.66413425139</v>
      </c>
      <c r="F65" s="28">
        <v>197649.18846023903</v>
      </c>
      <c r="G65" s="28">
        <v>126000</v>
      </c>
      <c r="H65" s="28">
        <v>197649.18846023903</v>
      </c>
      <c r="I65" s="28">
        <v>71649.188460239035</v>
      </c>
      <c r="J65" s="6" t="e">
        <f>VLOOKUP(A65,myPEPB!B:C,2)</f>
        <v>#N/A</v>
      </c>
    </row>
    <row r="66" spans="1:12" ht="14.1" customHeight="1">
      <c r="A66" s="26">
        <v>42369</v>
      </c>
      <c r="B66" s="27">
        <v>2.09022</v>
      </c>
      <c r="C66" s="4">
        <v>2000</v>
      </c>
      <c r="D66" s="28">
        <v>956.83707935049904</v>
      </c>
      <c r="E66" s="28">
        <v>102420.50121360189</v>
      </c>
      <c r="F66" s="28">
        <v>214081.38004669495</v>
      </c>
      <c r="G66" s="28">
        <v>128000</v>
      </c>
      <c r="H66" s="28">
        <v>214081.38004669495</v>
      </c>
      <c r="I66" s="28">
        <v>86081.380046694947</v>
      </c>
      <c r="J66" s="6" t="e">
        <f>VLOOKUP(A66,myPEPB!B:C,2)</f>
        <v>#N/A</v>
      </c>
    </row>
    <row r="67" spans="1:12" ht="14.1" customHeight="1">
      <c r="A67" s="26">
        <v>42398</v>
      </c>
      <c r="B67" s="27">
        <v>1.6191</v>
      </c>
      <c r="C67" s="4">
        <v>2000</v>
      </c>
      <c r="D67" s="28">
        <v>1235.2541535420912</v>
      </c>
      <c r="E67" s="28">
        <v>103655.75536714398</v>
      </c>
      <c r="F67" s="28">
        <v>167829.03351494283</v>
      </c>
      <c r="G67" s="28">
        <v>130000</v>
      </c>
      <c r="H67" s="28">
        <v>167829.03351494283</v>
      </c>
      <c r="I67" s="28">
        <v>37829.033514942828</v>
      </c>
      <c r="J67" s="6" t="e">
        <f>VLOOKUP(A67,myPEPB!B:C,2)</f>
        <v>#N/A</v>
      </c>
      <c r="L67" s="3"/>
    </row>
    <row r="68" spans="1:12" ht="14.1" customHeight="1">
      <c r="A68" s="26">
        <v>42429</v>
      </c>
      <c r="B68" s="27">
        <v>1.56416</v>
      </c>
      <c r="C68" s="4">
        <v>2000</v>
      </c>
      <c r="D68" s="28">
        <v>1278.6415711947627</v>
      </c>
      <c r="E68" s="28">
        <v>104934.39693833874</v>
      </c>
      <c r="F68" s="28">
        <v>164134.18631507194</v>
      </c>
      <c r="G68" s="28">
        <v>132000</v>
      </c>
      <c r="H68" s="28">
        <v>164134.18631507194</v>
      </c>
      <c r="I68" s="28">
        <v>32134.186315071944</v>
      </c>
      <c r="J68" s="6" t="e">
        <f>VLOOKUP(A68,myPEPB!B:C,2)</f>
        <v>#N/A</v>
      </c>
    </row>
    <row r="69" spans="1:12" ht="14.1" customHeight="1">
      <c r="A69" s="26">
        <v>42460</v>
      </c>
      <c r="B69" s="27">
        <v>1.7538099999999999</v>
      </c>
      <c r="C69" s="4">
        <v>2000</v>
      </c>
      <c r="D69" s="28">
        <v>1140.3743849105663</v>
      </c>
      <c r="E69" s="28">
        <v>106074.77132324931</v>
      </c>
      <c r="F69" s="28">
        <v>186034.99469442785</v>
      </c>
      <c r="G69" s="28">
        <v>134000</v>
      </c>
      <c r="H69" s="28">
        <v>186034.99469442785</v>
      </c>
      <c r="I69" s="28">
        <v>52034.994694427849</v>
      </c>
      <c r="J69" s="6" t="e">
        <f>VLOOKUP(A69,myPEPB!B:C,2)</f>
        <v>#N/A</v>
      </c>
    </row>
    <row r="70" spans="1:12" ht="14.1" customHeight="1">
      <c r="A70" s="26">
        <v>42489</v>
      </c>
      <c r="B70" s="27">
        <v>1.73098</v>
      </c>
      <c r="C70" s="4">
        <v>2000</v>
      </c>
      <c r="D70" s="28">
        <v>1155.4148517025037</v>
      </c>
      <c r="E70" s="28">
        <v>107230.18617495181</v>
      </c>
      <c r="F70" s="28">
        <v>185613.30766511807</v>
      </c>
      <c r="G70" s="28">
        <v>136000</v>
      </c>
      <c r="H70" s="28">
        <v>185613.30766511807</v>
      </c>
      <c r="I70" s="28">
        <v>49613.307665118075</v>
      </c>
      <c r="J70" s="6" t="e">
        <f>VLOOKUP(A70,myPEPB!B:C,2)</f>
        <v>#N/A</v>
      </c>
    </row>
    <row r="71" spans="1:12" ht="14.1" customHeight="1">
      <c r="A71" s="26">
        <v>42521</v>
      </c>
      <c r="B71" s="27">
        <v>1.7421500000000001</v>
      </c>
      <c r="C71" s="4">
        <v>2000</v>
      </c>
      <c r="D71" s="28">
        <v>1148.0067732399621</v>
      </c>
      <c r="E71" s="28">
        <v>108378.19294819178</v>
      </c>
      <c r="F71" s="28">
        <v>188811.06884469232</v>
      </c>
      <c r="G71" s="28">
        <v>138000</v>
      </c>
      <c r="H71" s="28">
        <v>188811.06884469232</v>
      </c>
      <c r="I71" s="28">
        <v>50811.068844692316</v>
      </c>
      <c r="J71" s="6" t="e">
        <f>VLOOKUP(A71,myPEPB!B:C,2)</f>
        <v>#N/A</v>
      </c>
    </row>
    <row r="72" spans="1:12" ht="14.1" customHeight="1">
      <c r="A72" s="26">
        <v>42551</v>
      </c>
      <c r="B72" s="27">
        <v>1.75274</v>
      </c>
      <c r="C72" s="4">
        <v>2000</v>
      </c>
      <c r="D72" s="28">
        <v>1141.0705523922545</v>
      </c>
      <c r="E72" s="28">
        <v>109519.26350058403</v>
      </c>
      <c r="F72" s="28">
        <v>191958.79390801364</v>
      </c>
      <c r="G72" s="28">
        <v>140000</v>
      </c>
      <c r="H72" s="28">
        <v>191958.79390801364</v>
      </c>
      <c r="I72" s="28">
        <v>51958.793908013642</v>
      </c>
      <c r="J72" s="6" t="e">
        <f>VLOOKUP(A72,myPEPB!B:C,2)</f>
        <v>#N/A</v>
      </c>
    </row>
    <row r="73" spans="1:12" ht="14.1" customHeight="1">
      <c r="A73" s="26">
        <v>42580</v>
      </c>
      <c r="B73" s="27">
        <v>1.8355599999999999</v>
      </c>
      <c r="C73" s="4">
        <v>2000</v>
      </c>
      <c r="D73" s="28">
        <v>1089.5857395018415</v>
      </c>
      <c r="E73" s="28">
        <v>110608.84924008587</v>
      </c>
      <c r="F73" s="28">
        <v>203029.179311132</v>
      </c>
      <c r="G73" s="28">
        <v>142000</v>
      </c>
      <c r="H73" s="28">
        <v>203029.179311132</v>
      </c>
      <c r="I73" s="28">
        <v>61029.179311132</v>
      </c>
      <c r="J73" s="6" t="e">
        <f>VLOOKUP(A73,myPEPB!B:C,2)</f>
        <v>#N/A</v>
      </c>
    </row>
    <row r="74" spans="1:12" ht="14.1" customHeight="1">
      <c r="A74" s="26">
        <v>42613</v>
      </c>
      <c r="B74" s="27">
        <v>1.9024799999999999</v>
      </c>
      <c r="C74" s="4">
        <v>2000</v>
      </c>
      <c r="D74" s="28">
        <v>1051.2594087717084</v>
      </c>
      <c r="E74" s="28">
        <v>111660.10864885758</v>
      </c>
      <c r="F74" s="28">
        <v>212431.12350227855</v>
      </c>
      <c r="G74" s="28">
        <v>144000</v>
      </c>
      <c r="H74" s="28">
        <v>212431.12350227855</v>
      </c>
      <c r="I74" s="28">
        <v>68431.123502278555</v>
      </c>
      <c r="J74" s="6" t="e">
        <f>VLOOKUP(A74,myPEPB!B:C,2)</f>
        <v>#N/A</v>
      </c>
    </row>
    <row r="75" spans="1:12" ht="14.1" customHeight="1">
      <c r="A75" s="26">
        <v>42643</v>
      </c>
      <c r="B75" s="27">
        <v>1.8773900000000001</v>
      </c>
      <c r="C75" s="4">
        <v>2000</v>
      </c>
      <c r="D75" s="28">
        <v>1065.3087531093699</v>
      </c>
      <c r="E75" s="28">
        <v>112725.41740196696</v>
      </c>
      <c r="F75" s="28">
        <v>211629.57137627876</v>
      </c>
      <c r="G75" s="28">
        <v>146000</v>
      </c>
      <c r="H75" s="28">
        <v>211629.57137627876</v>
      </c>
      <c r="I75" s="28">
        <v>65629.571376278764</v>
      </c>
      <c r="J75" s="6" t="e">
        <f>VLOOKUP(A75,myPEPB!B:C,2)</f>
        <v>#N/A</v>
      </c>
    </row>
    <row r="76" spans="1:12" ht="14.1" customHeight="1">
      <c r="A76" s="26">
        <v>42674</v>
      </c>
      <c r="B76" s="27">
        <v>1.9152199999999999</v>
      </c>
      <c r="C76" s="4">
        <v>2000</v>
      </c>
      <c r="D76" s="28">
        <v>1044.2664550286652</v>
      </c>
      <c r="E76" s="28">
        <v>113769.68385699563</v>
      </c>
      <c r="F76" s="28">
        <v>217893.97391659516</v>
      </c>
      <c r="G76" s="28">
        <v>148000</v>
      </c>
      <c r="H76" s="28">
        <v>217893.97391659516</v>
      </c>
      <c r="I76" s="28">
        <v>69893.973916595161</v>
      </c>
      <c r="J76" s="6" t="e">
        <f>VLOOKUP(A76,myPEPB!B:C,2)</f>
        <v>#N/A</v>
      </c>
    </row>
    <row r="77" spans="1:12" ht="14.1" customHeight="1">
      <c r="A77" s="26">
        <v>42704</v>
      </c>
      <c r="B77" s="27">
        <v>2.0240299999999998</v>
      </c>
      <c r="C77" s="4">
        <v>2000</v>
      </c>
      <c r="D77" s="28">
        <v>988.12764632935296</v>
      </c>
      <c r="E77" s="28">
        <v>114757.81150332498</v>
      </c>
      <c r="F77" s="28">
        <v>232273.25321707482</v>
      </c>
      <c r="G77" s="28">
        <v>150000</v>
      </c>
      <c r="H77" s="28">
        <v>232273.25321707482</v>
      </c>
      <c r="I77" s="28">
        <v>82273.253217074816</v>
      </c>
      <c r="J77" s="6" t="e">
        <f>VLOOKUP(A77,myPEPB!B:C,2)</f>
        <v>#N/A</v>
      </c>
    </row>
    <row r="78" spans="1:12" ht="14.1" customHeight="1">
      <c r="A78" s="24">
        <v>42734</v>
      </c>
      <c r="B78" s="27">
        <v>1.9521400000000002</v>
      </c>
      <c r="C78" s="4">
        <v>2000</v>
      </c>
      <c r="D78" s="28">
        <v>1024.516684254203</v>
      </c>
      <c r="E78" s="28">
        <v>115782.32818757919</v>
      </c>
      <c r="F78" s="28">
        <v>226023.31414810085</v>
      </c>
      <c r="G78" s="28">
        <v>152000</v>
      </c>
      <c r="H78" s="28">
        <v>226023.31414810085</v>
      </c>
      <c r="I78" s="28">
        <v>74023.31414810085</v>
      </c>
      <c r="J78" s="6" t="e">
        <f>VLOOKUP(A78,myPEPB!B:C,2)</f>
        <v>#N/A</v>
      </c>
    </row>
    <row r="79" spans="1:12" ht="14.1" customHeight="1">
      <c r="A79" s="13">
        <v>42761</v>
      </c>
      <c r="B79" s="14">
        <v>2.0017999999999998</v>
      </c>
      <c r="C79" s="15">
        <v>2000</v>
      </c>
      <c r="D79" s="16">
        <v>999.10080927165563</v>
      </c>
      <c r="E79" s="16">
        <v>116781.42899685084</v>
      </c>
      <c r="F79" s="16">
        <v>233773.064565896</v>
      </c>
      <c r="G79" s="16">
        <v>154000</v>
      </c>
      <c r="H79" s="16">
        <v>233773.064565896</v>
      </c>
      <c r="I79" s="16">
        <v>79773.064565895998</v>
      </c>
      <c r="J79" s="31" t="e">
        <f>VLOOKUP(A79,myPEPB!B:C,2)</f>
        <v>#N/A</v>
      </c>
      <c r="L79" s="3"/>
    </row>
    <row r="80" spans="1:12" ht="14.1" customHeight="1">
      <c r="A80" s="13">
        <v>42794</v>
      </c>
      <c r="B80" s="14">
        <v>2.08507</v>
      </c>
      <c r="C80" s="15">
        <v>2000</v>
      </c>
      <c r="D80" s="16">
        <v>959.20041053777572</v>
      </c>
      <c r="E80" s="16">
        <v>117740.62940738861</v>
      </c>
      <c r="F80" s="16">
        <v>245497.45415846378</v>
      </c>
      <c r="G80" s="16">
        <v>156000</v>
      </c>
      <c r="H80" s="16">
        <v>245497.45415846378</v>
      </c>
      <c r="I80" s="16">
        <v>89497.454158463777</v>
      </c>
      <c r="J80" s="31" t="e">
        <f>VLOOKUP(A80,myPEPB!B:C,2)</f>
        <v>#N/A</v>
      </c>
    </row>
    <row r="81" spans="1:12" ht="14.1" customHeight="1">
      <c r="A81" s="13">
        <v>42825</v>
      </c>
      <c r="B81" s="14">
        <v>2.1146199999999999</v>
      </c>
      <c r="C81" s="15">
        <v>2000</v>
      </c>
      <c r="D81" s="16">
        <v>945.79640786524294</v>
      </c>
      <c r="E81" s="16">
        <v>118686.42581525385</v>
      </c>
      <c r="F81" s="16">
        <v>250976.68975745208</v>
      </c>
      <c r="G81" s="16">
        <v>158000</v>
      </c>
      <c r="H81" s="16">
        <v>250976.68975745208</v>
      </c>
      <c r="I81" s="16">
        <v>92976.689757452084</v>
      </c>
      <c r="J81" s="31" t="e">
        <f>VLOOKUP(A81,myPEPB!B:C,2)</f>
        <v>#N/A</v>
      </c>
    </row>
    <row r="82" spans="1:12" ht="14.1" customHeight="1">
      <c r="A82" s="13">
        <v>42853</v>
      </c>
      <c r="B82" s="14">
        <v>2.10263</v>
      </c>
      <c r="C82" s="15">
        <v>2000</v>
      </c>
      <c r="D82" s="16">
        <v>951.1897005179228</v>
      </c>
      <c r="E82" s="16">
        <v>119637.61551577177</v>
      </c>
      <c r="F82" s="16">
        <v>251553.63951192721</v>
      </c>
      <c r="G82" s="16">
        <v>160000</v>
      </c>
      <c r="H82" s="16">
        <v>251553.63951192721</v>
      </c>
      <c r="I82" s="16">
        <v>91553.639511927206</v>
      </c>
      <c r="J82" s="31" t="e">
        <f>VLOOKUP(A82,myPEPB!B:C,2)</f>
        <v>#N/A</v>
      </c>
    </row>
    <row r="83" spans="1:12" ht="14.1" customHeight="1">
      <c r="A83" s="13">
        <v>42886</v>
      </c>
      <c r="B83" s="14">
        <v>2.0933999999999999</v>
      </c>
      <c r="C83" s="15">
        <v>2000</v>
      </c>
      <c r="D83" s="16">
        <v>955.38358650998384</v>
      </c>
      <c r="E83" s="16">
        <v>120592.99910228176</v>
      </c>
      <c r="F83" s="16">
        <v>252449.38432071661</v>
      </c>
      <c r="G83" s="16">
        <v>162000</v>
      </c>
      <c r="H83" s="16">
        <v>252449.38432071661</v>
      </c>
      <c r="I83" s="16">
        <v>90449.384320716606</v>
      </c>
      <c r="J83" s="31" t="e">
        <f>VLOOKUP(A83,myPEPB!B:C,2)</f>
        <v>#N/A</v>
      </c>
    </row>
    <row r="84" spans="1:12" ht="14.1" customHeight="1">
      <c r="A84" s="13">
        <v>42916</v>
      </c>
      <c r="B84" s="14">
        <v>2.2407399999999997</v>
      </c>
      <c r="C84" s="15">
        <v>2000</v>
      </c>
      <c r="D84" s="16">
        <v>892.56227853298469</v>
      </c>
      <c r="E84" s="16">
        <v>121485.56138081475</v>
      </c>
      <c r="F84" s="16">
        <v>272217.55680844683</v>
      </c>
      <c r="G84" s="16">
        <v>164000</v>
      </c>
      <c r="H84" s="16">
        <v>272217.55680844683</v>
      </c>
      <c r="I84" s="16">
        <v>108217.55680844683</v>
      </c>
      <c r="J84" s="31" t="e">
        <f>VLOOKUP(A84,myPEPB!B:C,2)</f>
        <v>#N/A</v>
      </c>
    </row>
    <row r="85" spans="1:12" ht="14.1" customHeight="1">
      <c r="A85" s="13">
        <v>42947</v>
      </c>
      <c r="B85" s="14">
        <v>2.2731599999999998</v>
      </c>
      <c r="C85" s="15">
        <v>2000</v>
      </c>
      <c r="D85" s="16">
        <v>879.83247989582787</v>
      </c>
      <c r="E85" s="16">
        <v>122365.39386071058</v>
      </c>
      <c r="F85" s="16">
        <v>278156.11870841286</v>
      </c>
      <c r="G85" s="16">
        <v>166000</v>
      </c>
      <c r="H85" s="16">
        <v>278156.11870841286</v>
      </c>
      <c r="I85" s="16">
        <v>112156.11870841286</v>
      </c>
      <c r="J85" s="31" t="e">
        <f>VLOOKUP(A85,myPEPB!B:C,2)</f>
        <v>#N/A</v>
      </c>
    </row>
    <row r="86" spans="1:12" ht="14.1" customHeight="1">
      <c r="A86" s="13">
        <v>42978</v>
      </c>
      <c r="B86" s="14">
        <v>2.3099499999999997</v>
      </c>
      <c r="C86" s="15">
        <v>2000</v>
      </c>
      <c r="D86" s="16">
        <v>865.81960648498898</v>
      </c>
      <c r="E86" s="16">
        <v>123231.21346719557</v>
      </c>
      <c r="F86" s="16">
        <v>284657.94154854841</v>
      </c>
      <c r="G86" s="16">
        <v>168000</v>
      </c>
      <c r="H86" s="16">
        <v>284657.94154854841</v>
      </c>
      <c r="I86" s="16">
        <v>116657.94154854841</v>
      </c>
      <c r="J86" s="31" t="e">
        <f>VLOOKUP(A86,myPEPB!B:C,2)</f>
        <v>#N/A</v>
      </c>
    </row>
    <row r="87" spans="1:12" ht="14.1" customHeight="1">
      <c r="A87" s="13">
        <v>43007</v>
      </c>
      <c r="B87" s="14">
        <v>2.33961</v>
      </c>
      <c r="C87" s="15">
        <v>2000</v>
      </c>
      <c r="D87" s="16">
        <v>854.84332858895289</v>
      </c>
      <c r="E87" s="16">
        <v>124086.05679578452</v>
      </c>
      <c r="F87" s="16">
        <v>290312.97933998541</v>
      </c>
      <c r="G87" s="16">
        <v>170000</v>
      </c>
      <c r="H87" s="16">
        <v>290312.97933998541</v>
      </c>
      <c r="I87" s="16">
        <v>120312.97933998541</v>
      </c>
      <c r="J87" s="31" t="e">
        <f>VLOOKUP(A87,myPEPB!B:C,2)</f>
        <v>#N/A</v>
      </c>
    </row>
    <row r="88" spans="1:12" ht="14.1" customHeight="1">
      <c r="A88" s="13">
        <v>43039</v>
      </c>
      <c r="B88" s="14">
        <v>2.4434499999999999</v>
      </c>
      <c r="C88" s="15">
        <v>2000</v>
      </c>
      <c r="D88" s="16">
        <v>818.5148048865334</v>
      </c>
      <c r="E88" s="16">
        <v>124904.57160067106</v>
      </c>
      <c r="F88" s="16">
        <v>305198.0754776597</v>
      </c>
      <c r="G88" s="16">
        <v>172000</v>
      </c>
      <c r="H88" s="16">
        <v>305198.0754776597</v>
      </c>
      <c r="I88" s="16">
        <v>133198.0754776597</v>
      </c>
      <c r="J88" s="31" t="e">
        <f>VLOOKUP(A88,myPEPB!B:C,2)</f>
        <v>#N/A</v>
      </c>
    </row>
    <row r="89" spans="1:12" ht="14.1" customHeight="1">
      <c r="A89" s="13">
        <v>43069</v>
      </c>
      <c r="B89" s="14">
        <v>2.42692</v>
      </c>
      <c r="C89" s="15">
        <v>2000</v>
      </c>
      <c r="D89" s="16">
        <v>824.08979282382609</v>
      </c>
      <c r="E89" s="16">
        <v>125728.66139349488</v>
      </c>
      <c r="F89" s="16">
        <v>305133.40290910058</v>
      </c>
      <c r="G89" s="16">
        <v>174000</v>
      </c>
      <c r="H89" s="16">
        <v>305133.40290910058</v>
      </c>
      <c r="I89" s="16">
        <v>131133.40290910058</v>
      </c>
      <c r="J89" s="31" t="e">
        <f>VLOOKUP(A89,myPEPB!B:C,2)</f>
        <v>#N/A</v>
      </c>
    </row>
    <row r="90" spans="1:12" ht="14.1" customHeight="1">
      <c r="A90" s="13">
        <v>43098</v>
      </c>
      <c r="B90" s="14">
        <v>2.4915799999999999</v>
      </c>
      <c r="C90" s="15">
        <v>2000</v>
      </c>
      <c r="D90" s="16">
        <v>802.70350540620814</v>
      </c>
      <c r="E90" s="16">
        <v>126531.3648989011</v>
      </c>
      <c r="F90" s="16">
        <v>315263.01815480401</v>
      </c>
      <c r="G90" s="16">
        <v>176000</v>
      </c>
      <c r="H90" s="16">
        <v>315263.01815480401</v>
      </c>
      <c r="I90" s="16">
        <v>139263.01815480401</v>
      </c>
      <c r="J90" s="31" t="e">
        <f>VLOOKUP(A90,myPEPB!B:C,2)</f>
        <v>#N/A</v>
      </c>
    </row>
    <row r="91" spans="1:12" ht="14.1" customHeight="1">
      <c r="A91" s="13">
        <v>43131</v>
      </c>
      <c r="B91" s="14">
        <v>2.6026100000000003</v>
      </c>
      <c r="C91" s="15">
        <v>2000</v>
      </c>
      <c r="D91" s="16">
        <v>768.4593542636045</v>
      </c>
      <c r="E91" s="16">
        <v>127299.8242531647</v>
      </c>
      <c r="F91" s="16">
        <v>331311.795599529</v>
      </c>
      <c r="G91" s="16">
        <v>178000</v>
      </c>
      <c r="H91" s="16">
        <v>331311.795599529</v>
      </c>
      <c r="I91" s="16">
        <v>153311.795599529</v>
      </c>
      <c r="J91" s="31" t="e">
        <f>VLOOKUP(A91,myPEPB!B:C,2)</f>
        <v>#N/A</v>
      </c>
      <c r="L91" s="3"/>
    </row>
    <row r="92" spans="1:12" ht="14.1" customHeight="1">
      <c r="A92" s="13">
        <v>43159</v>
      </c>
      <c r="B92" s="14">
        <v>2.4634099999999997</v>
      </c>
      <c r="C92" s="15">
        <v>2000</v>
      </c>
      <c r="D92" s="16">
        <v>811.88271542293012</v>
      </c>
      <c r="E92" s="16">
        <v>128111.70696858763</v>
      </c>
      <c r="F92" s="16">
        <v>315591.66006348841</v>
      </c>
      <c r="G92" s="16">
        <v>180000</v>
      </c>
      <c r="H92" s="16">
        <v>315591.66006348841</v>
      </c>
      <c r="I92" s="16">
        <v>135591.66006348841</v>
      </c>
      <c r="J92" s="31" t="e">
        <f>VLOOKUP(A92,myPEPB!B:C,2)</f>
        <v>#N/A</v>
      </c>
    </row>
    <row r="93" spans="1:12" ht="14.1" customHeight="1">
      <c r="A93" s="13">
        <v>43189</v>
      </c>
      <c r="B93" s="14">
        <v>2.3982399999999999</v>
      </c>
      <c r="C93" s="15">
        <v>2000</v>
      </c>
      <c r="D93" s="16">
        <v>833.9448929214758</v>
      </c>
      <c r="E93" s="16">
        <v>128945.6518615091</v>
      </c>
      <c r="F93" s="16">
        <v>309242.62012034556</v>
      </c>
      <c r="G93" s="16">
        <v>182000</v>
      </c>
      <c r="H93" s="16">
        <v>309242.62012034556</v>
      </c>
      <c r="I93" s="16">
        <v>127242.62012034556</v>
      </c>
      <c r="J93" s="31" t="e">
        <f>VLOOKUP(A93,myPEPB!B:C,2)</f>
        <v>#N/A</v>
      </c>
    </row>
    <row r="94" spans="1:12" ht="14.1" customHeight="1">
      <c r="A94" s="13">
        <v>43217</v>
      </c>
      <c r="B94" s="14">
        <v>2.3119000000000001</v>
      </c>
      <c r="C94" s="15">
        <v>2000</v>
      </c>
      <c r="D94" s="16">
        <v>865.08932047233873</v>
      </c>
      <c r="E94" s="16">
        <v>129810.74118198144</v>
      </c>
      <c r="F94" s="16">
        <v>300109.45253862289</v>
      </c>
      <c r="G94" s="16">
        <v>184000</v>
      </c>
      <c r="H94" s="16">
        <v>300109.45253862289</v>
      </c>
      <c r="I94" s="16">
        <v>116109.45253862289</v>
      </c>
      <c r="J94" s="31" t="e">
        <f>VLOOKUP(A94,myPEPB!B:C,2)</f>
        <v>#N/A</v>
      </c>
    </row>
    <row r="95" spans="1:12" ht="14.1" customHeight="1">
      <c r="A95" s="13">
        <v>43251</v>
      </c>
      <c r="B95" s="14">
        <v>2.3675700000000002</v>
      </c>
      <c r="C95" s="15">
        <v>2000</v>
      </c>
      <c r="D95" s="16">
        <v>844.74799055571737</v>
      </c>
      <c r="E95" s="16">
        <v>130655.48917253716</v>
      </c>
      <c r="F95" s="16">
        <v>309336.01650022384</v>
      </c>
      <c r="G95" s="16">
        <v>186000</v>
      </c>
      <c r="H95" s="16">
        <v>309336.01650022384</v>
      </c>
      <c r="I95" s="16">
        <v>123336.01650022384</v>
      </c>
      <c r="J95" s="31" t="e">
        <f>VLOOKUP(A95,myPEPB!B:C,2)</f>
        <v>#N/A</v>
      </c>
    </row>
    <row r="96" spans="1:12" ht="14.1" customHeight="1">
      <c r="A96" s="13">
        <v>43280</v>
      </c>
      <c r="B96" s="14">
        <v>2.1851400000000001</v>
      </c>
      <c r="C96" s="15">
        <v>2000</v>
      </c>
      <c r="D96" s="16">
        <v>915.27316327557958</v>
      </c>
      <c r="E96" s="16">
        <v>131570.76233581273</v>
      </c>
      <c r="F96" s="16">
        <v>287500.53561047785</v>
      </c>
      <c r="G96" s="16">
        <v>188000</v>
      </c>
      <c r="H96" s="16">
        <v>287500.53561047785</v>
      </c>
      <c r="I96" s="16">
        <v>99500.535610477848</v>
      </c>
      <c r="J96" s="31" t="e">
        <f>VLOOKUP(A96,myPEPB!B:C,2)</f>
        <v>#N/A</v>
      </c>
    </row>
    <row r="97" spans="1:12" ht="14.1" customHeight="1">
      <c r="A97" s="13">
        <v>43312</v>
      </c>
      <c r="B97" s="14">
        <v>2.1775900000000004</v>
      </c>
      <c r="C97" s="15">
        <v>2000</v>
      </c>
      <c r="D97" s="16">
        <v>918.44653952305055</v>
      </c>
      <c r="E97" s="16">
        <v>132489.20887533578</v>
      </c>
      <c r="F97" s="16">
        <v>288507.17635484249</v>
      </c>
      <c r="G97" s="16">
        <v>190000</v>
      </c>
      <c r="H97" s="16">
        <v>288507.17635484249</v>
      </c>
      <c r="I97" s="16">
        <v>98507.176354842493</v>
      </c>
      <c r="J97" s="31" t="e">
        <f>VLOOKUP(A97,myPEPB!B:C,2)</f>
        <v>#N/A</v>
      </c>
    </row>
    <row r="98" spans="1:12" ht="14.1" customHeight="1">
      <c r="A98" s="13">
        <v>43343</v>
      </c>
      <c r="B98" s="14">
        <v>2.04325</v>
      </c>
      <c r="C98" s="15">
        <v>2000</v>
      </c>
      <c r="D98" s="16">
        <v>978.83274195521835</v>
      </c>
      <c r="E98" s="16">
        <v>133468.04161729099</v>
      </c>
      <c r="F98" s="16">
        <v>272708.57603452983</v>
      </c>
      <c r="G98" s="16">
        <v>192000</v>
      </c>
      <c r="H98" s="16">
        <v>272708.57603452983</v>
      </c>
      <c r="I98" s="16">
        <v>80708.576034529833</v>
      </c>
      <c r="J98" s="31" t="e">
        <f>VLOOKUP(A98,myPEPB!B:C,2)</f>
        <v>#N/A</v>
      </c>
    </row>
    <row r="99" spans="1:12" ht="14.1" customHeight="1">
      <c r="A99" s="13">
        <v>43371</v>
      </c>
      <c r="B99" s="14">
        <v>2.10771</v>
      </c>
      <c r="C99" s="15">
        <v>2000</v>
      </c>
      <c r="D99" s="16">
        <v>948.89714429404421</v>
      </c>
      <c r="E99" s="16">
        <v>134416.93876158504</v>
      </c>
      <c r="F99" s="16">
        <v>283311.9259971804</v>
      </c>
      <c r="G99" s="16">
        <v>194000</v>
      </c>
      <c r="H99" s="16">
        <v>283311.9259971804</v>
      </c>
      <c r="I99" s="16">
        <v>89311.925997180399</v>
      </c>
      <c r="J99" s="31" t="e">
        <f>VLOOKUP(A99,myPEPB!B:C,2)</f>
        <v>#N/A</v>
      </c>
    </row>
    <row r="100" spans="1:12" ht="14.1" customHeight="1">
      <c r="A100" s="13">
        <v>43404</v>
      </c>
      <c r="B100" s="14">
        <v>1.88317</v>
      </c>
      <c r="C100" s="15">
        <v>2000</v>
      </c>
      <c r="D100" s="16">
        <v>1062.0390086927894</v>
      </c>
      <c r="E100" s="16">
        <v>135478.97777027782</v>
      </c>
      <c r="F100" s="16">
        <v>255129.94656765409</v>
      </c>
      <c r="G100" s="16">
        <v>196000</v>
      </c>
      <c r="H100" s="16">
        <v>255129.94656765409</v>
      </c>
      <c r="I100" s="16">
        <v>59129.946567654086</v>
      </c>
      <c r="J100" s="31" t="e">
        <f>VLOOKUP(A100,myPEPB!B:C,2)</f>
        <v>#N/A</v>
      </c>
    </row>
    <row r="101" spans="1:12" ht="14.1" customHeight="1">
      <c r="A101" s="13">
        <v>43434</v>
      </c>
      <c r="B101" s="14">
        <v>1.9444000000000001</v>
      </c>
      <c r="C101" s="15">
        <v>2000</v>
      </c>
      <c r="D101" s="16">
        <v>1028.5949393128985</v>
      </c>
      <c r="E101" s="16">
        <v>136507.57270959072</v>
      </c>
      <c r="F101" s="16">
        <v>265425.32437652821</v>
      </c>
      <c r="G101" s="16">
        <v>198000</v>
      </c>
      <c r="H101" s="16">
        <v>265425.32437652821</v>
      </c>
      <c r="I101" s="16">
        <v>67425.32437652821</v>
      </c>
      <c r="J101" s="31" t="e">
        <f>VLOOKUP(A101,myPEPB!B:C,2)</f>
        <v>#N/A</v>
      </c>
    </row>
    <row r="102" spans="1:12" ht="14.1" customHeight="1">
      <c r="A102" s="13">
        <v>43462</v>
      </c>
      <c r="B102" s="14">
        <v>1.8736900000000001</v>
      </c>
      <c r="C102" s="15">
        <v>2000</v>
      </c>
      <c r="D102" s="16">
        <v>1067.4124321525971</v>
      </c>
      <c r="E102" s="16">
        <v>137574.98514174332</v>
      </c>
      <c r="F102" s="16">
        <v>257772.87391023306</v>
      </c>
      <c r="G102" s="16">
        <v>200000</v>
      </c>
      <c r="H102" s="16">
        <v>257772.87391023306</v>
      </c>
      <c r="I102" s="16">
        <v>57772.873910233058</v>
      </c>
      <c r="J102" s="31" t="e">
        <f>VLOOKUP(A102,myPEPB!B:C,2)</f>
        <v>#N/A</v>
      </c>
    </row>
    <row r="103" spans="1:12" ht="14.1" customHeight="1">
      <c r="A103" s="13">
        <v>43496</v>
      </c>
      <c r="B103" s="14">
        <v>1.9604600000000001</v>
      </c>
      <c r="C103" s="15">
        <v>2000</v>
      </c>
      <c r="D103" s="16">
        <v>1020.1687359089193</v>
      </c>
      <c r="E103" s="16">
        <v>138595.15387765225</v>
      </c>
      <c r="F103" s="16">
        <v>271710.25537098217</v>
      </c>
      <c r="G103" s="16">
        <v>202000</v>
      </c>
      <c r="H103" s="16">
        <v>271710.25537098217</v>
      </c>
      <c r="I103" s="16">
        <v>69710.255370982166</v>
      </c>
      <c r="J103" s="31" t="e">
        <f>VLOOKUP(A103,myPEPB!B:C,2)</f>
        <v>#N/A</v>
      </c>
      <c r="L103" s="3"/>
    </row>
    <row r="104" spans="1:12" ht="14.1" customHeight="1">
      <c r="A104" s="13">
        <v>43524</v>
      </c>
      <c r="B104" s="14">
        <v>2.2494399999999999</v>
      </c>
      <c r="C104" s="15">
        <v>2000</v>
      </c>
      <c r="D104" s="16">
        <v>889.11017853332385</v>
      </c>
      <c r="E104" s="16">
        <v>139484.26405618558</v>
      </c>
      <c r="F104" s="16">
        <v>313761.48293854605</v>
      </c>
      <c r="G104" s="16">
        <v>204000</v>
      </c>
      <c r="H104" s="16">
        <v>313761.48293854605</v>
      </c>
      <c r="I104" s="16">
        <v>109761.48293854605</v>
      </c>
      <c r="J104" s="31" t="e">
        <f>VLOOKUP(A104,myPEPB!B:C,2)</f>
        <v>#N/A</v>
      </c>
    </row>
    <row r="105" spans="1:12" ht="14.1" customHeight="1">
      <c r="A105" s="13">
        <v>43553</v>
      </c>
      <c r="B105" s="14">
        <v>2.4353899999999999</v>
      </c>
      <c r="C105" s="15">
        <v>2000</v>
      </c>
      <c r="D105" s="16">
        <v>821.22370544348132</v>
      </c>
      <c r="E105" s="16">
        <v>140305.48776162908</v>
      </c>
      <c r="F105" s="16">
        <v>341698.58183979383</v>
      </c>
      <c r="G105" s="16">
        <v>206000</v>
      </c>
      <c r="H105" s="16">
        <v>341698.58183979383</v>
      </c>
      <c r="I105" s="16">
        <v>135698.58183979383</v>
      </c>
      <c r="J105" s="31" t="e">
        <f>VLOOKUP(A105,myPEPB!B:C,2)</f>
        <v>#N/A</v>
      </c>
    </row>
    <row r="106" spans="1:12" ht="14.1" customHeight="1">
      <c r="A106" s="13">
        <v>43585</v>
      </c>
      <c r="B106" s="14">
        <v>2.42089</v>
      </c>
      <c r="C106" s="15">
        <v>2000</v>
      </c>
      <c r="D106" s="16">
        <v>826.14245174295399</v>
      </c>
      <c r="E106" s="16">
        <v>141131.63021337203</v>
      </c>
      <c r="F106" s="16">
        <v>341664.15226725023</v>
      </c>
      <c r="G106" s="16">
        <v>208000</v>
      </c>
      <c r="H106" s="16">
        <v>341664.15226725023</v>
      </c>
      <c r="I106" s="16">
        <v>133664.15226725023</v>
      </c>
      <c r="J106" s="31" t="e">
        <f>VLOOKUP(A106,myPEPB!B:C,2)</f>
        <v>#N/A</v>
      </c>
    </row>
    <row r="107" spans="1:12" ht="14.1" customHeight="1">
      <c r="A107" s="13">
        <v>43616</v>
      </c>
      <c r="B107" s="14">
        <v>2.2623000000000002</v>
      </c>
      <c r="C107" s="15">
        <v>2000</v>
      </c>
      <c r="D107" s="16">
        <v>884.05604915351626</v>
      </c>
      <c r="E107" s="16">
        <v>142015.68626252556</v>
      </c>
      <c r="F107" s="16">
        <v>321282.08703171159</v>
      </c>
      <c r="G107" s="16">
        <v>210000</v>
      </c>
      <c r="H107" s="16">
        <v>321282.08703171159</v>
      </c>
      <c r="I107" s="16">
        <v>111282.08703171159</v>
      </c>
      <c r="J107" s="31" t="e">
        <f>VLOOKUP(A107,myPEPB!B:C,2)</f>
        <v>#N/A</v>
      </c>
    </row>
    <row r="108" spans="1:12" ht="14.1" customHeight="1">
      <c r="A108" s="13">
        <v>43644</v>
      </c>
      <c r="B108" s="14">
        <v>2.3454800000000002</v>
      </c>
      <c r="C108" s="15">
        <v>2000</v>
      </c>
      <c r="D108" s="16">
        <v>852.70392414345883</v>
      </c>
      <c r="E108" s="16">
        <v>142868.39018666901</v>
      </c>
      <c r="F108" s="16">
        <v>335094.9518150285</v>
      </c>
      <c r="G108" s="16">
        <v>212000</v>
      </c>
      <c r="H108" s="16">
        <v>335094.9518150285</v>
      </c>
      <c r="I108" s="16">
        <v>123094.9518150285</v>
      </c>
      <c r="J108" s="31" t="e">
        <f>VLOOKUP(A108,myPEPB!B:C,2)</f>
        <v>#N/A</v>
      </c>
    </row>
    <row r="109" spans="1:12" ht="14.1" customHeight="1">
      <c r="A109" s="13">
        <v>43677</v>
      </c>
      <c r="B109" s="14">
        <v>2.3299000000000003</v>
      </c>
      <c r="C109" s="15">
        <v>2000</v>
      </c>
      <c r="D109" s="16">
        <v>858.40594016910586</v>
      </c>
      <c r="E109" s="16">
        <v>143726.79612683813</v>
      </c>
      <c r="F109" s="16">
        <v>334869.06229592022</v>
      </c>
      <c r="G109" s="16">
        <v>214000</v>
      </c>
      <c r="H109" s="16">
        <v>334869.06229592022</v>
      </c>
      <c r="I109" s="16">
        <v>120869.06229592022</v>
      </c>
      <c r="J109" s="31" t="e">
        <f>VLOOKUP(A109,myPEPB!B:C,2)</f>
        <v>#N/A</v>
      </c>
    </row>
    <row r="110" spans="1:12" ht="14.1" customHeight="1">
      <c r="A110" s="13">
        <v>43707</v>
      </c>
      <c r="B110" s="14">
        <v>2.24383</v>
      </c>
      <c r="C110" s="15">
        <v>2000</v>
      </c>
      <c r="D110" s="16">
        <v>891.33312238449435</v>
      </c>
      <c r="E110" s="16">
        <v>144618.12924922263</v>
      </c>
      <c r="F110" s="16">
        <v>324498.4969532832</v>
      </c>
      <c r="G110" s="16">
        <v>216000</v>
      </c>
      <c r="H110" s="16">
        <v>324498.4969532832</v>
      </c>
      <c r="I110" s="16">
        <v>108498.4969532832</v>
      </c>
      <c r="J110" s="31" t="e">
        <f>VLOOKUP(A110,myPEPB!B:C,2)</f>
        <v>#N/A</v>
      </c>
    </row>
    <row r="111" spans="1:12" ht="14.1" customHeight="1">
      <c r="A111" s="13">
        <v>43738</v>
      </c>
      <c r="B111" s="14">
        <v>2.2523499999999999</v>
      </c>
      <c r="C111" s="15">
        <v>2000</v>
      </c>
      <c r="D111" s="16">
        <v>887.96146247252875</v>
      </c>
      <c r="E111" s="16">
        <v>145506.09071169517</v>
      </c>
      <c r="F111" s="16">
        <v>327730.64341448661</v>
      </c>
      <c r="G111" s="16">
        <v>218000</v>
      </c>
      <c r="H111" s="16">
        <v>327730.64341448661</v>
      </c>
      <c r="I111" s="16">
        <v>109730.64341448661</v>
      </c>
      <c r="J111" s="31" t="e">
        <f>VLOOKUP(A111,myPEPB!B:C,2)</f>
        <v>#N/A</v>
      </c>
    </row>
    <row r="112" spans="1:12" ht="14.1" customHeight="1">
      <c r="A112" s="13">
        <v>43769</v>
      </c>
      <c r="B112" s="14">
        <v>2.25983</v>
      </c>
      <c r="C112" s="15">
        <v>2000</v>
      </c>
      <c r="D112" s="16">
        <v>885.0223246881402</v>
      </c>
      <c r="E112" s="16">
        <v>146391.11303638332</v>
      </c>
      <c r="F112" s="16">
        <v>330819.02897301014</v>
      </c>
      <c r="G112" s="16">
        <v>220000</v>
      </c>
      <c r="H112" s="16">
        <v>330819.02897301014</v>
      </c>
      <c r="I112" s="16">
        <v>110819.02897301014</v>
      </c>
      <c r="J112" s="31" t="e">
        <f>VLOOKUP(A112,myPEPB!B:C,2)</f>
        <v>#N/A</v>
      </c>
    </row>
    <row r="113" spans="1:12" ht="14.1" customHeight="1">
      <c r="A113" s="13">
        <v>43798</v>
      </c>
      <c r="B113" s="14">
        <v>2.2531300000000001</v>
      </c>
      <c r="C113" s="15">
        <v>2000</v>
      </c>
      <c r="D113" s="16">
        <v>887.65406345838892</v>
      </c>
      <c r="E113" s="16">
        <v>147278.7670998417</v>
      </c>
      <c r="F113" s="16">
        <v>331838.20851566637</v>
      </c>
      <c r="G113" s="16">
        <v>222000</v>
      </c>
      <c r="H113" s="16">
        <v>331838.20851566637</v>
      </c>
      <c r="I113" s="16">
        <v>109838.20851566637</v>
      </c>
      <c r="J113" s="31" t="e">
        <f>VLOOKUP(A113,myPEPB!B:C,2)</f>
        <v>#N/A</v>
      </c>
    </row>
    <row r="114" spans="1:12" ht="14.1" customHeight="1">
      <c r="A114" s="13">
        <v>43830</v>
      </c>
      <c r="B114" s="14">
        <v>2.4450100000000003</v>
      </c>
      <c r="C114" s="15">
        <v>2000</v>
      </c>
      <c r="D114" s="16">
        <v>817.99256444758907</v>
      </c>
      <c r="E114" s="16">
        <v>148096.7596642893</v>
      </c>
      <c r="F114" s="16">
        <v>362098.05834678403</v>
      </c>
      <c r="G114" s="16">
        <v>224000</v>
      </c>
      <c r="H114" s="16">
        <v>362098.05834678403</v>
      </c>
      <c r="I114" s="16">
        <v>138098.05834678403</v>
      </c>
      <c r="J114" s="31" t="e">
        <f>VLOOKUP(A114,myPEPB!B:C,2)</f>
        <v>#N/A</v>
      </c>
    </row>
    <row r="115" spans="1:12" ht="14.1" customHeight="1">
      <c r="A115" s="13">
        <v>43853</v>
      </c>
      <c r="B115" s="14">
        <v>2.3811999999999998</v>
      </c>
      <c r="C115" s="15">
        <v>2000</v>
      </c>
      <c r="D115" s="16">
        <v>839.91264908449534</v>
      </c>
      <c r="E115" s="16">
        <v>148936.6723133738</v>
      </c>
      <c r="F115" s="16">
        <v>354648.00411260565</v>
      </c>
      <c r="G115" s="16">
        <v>226000</v>
      </c>
      <c r="H115" s="16">
        <v>354648.00411260565</v>
      </c>
      <c r="I115" s="16">
        <v>128648.00411260565</v>
      </c>
      <c r="J115" s="31" t="e">
        <f>VLOOKUP(A115,myPEPB!B:C,2)</f>
        <v>#N/A</v>
      </c>
      <c r="L115" s="3"/>
    </row>
    <row r="116" spans="1:12" ht="14.1" customHeight="1">
      <c r="A116" s="13">
        <v>43889</v>
      </c>
      <c r="B116" s="14">
        <v>2.3709600000000002</v>
      </c>
      <c r="C116" s="15">
        <v>2000</v>
      </c>
      <c r="D116" s="16">
        <v>843.540169382866</v>
      </c>
      <c r="E116" s="16">
        <v>149780.21248275667</v>
      </c>
      <c r="F116" s="16">
        <v>355122.89258811681</v>
      </c>
      <c r="G116" s="16">
        <v>228000</v>
      </c>
      <c r="H116" s="16">
        <v>355122.89258811681</v>
      </c>
      <c r="I116" s="16">
        <v>127122.89258811681</v>
      </c>
      <c r="J116" s="31" t="e">
        <f>VLOOKUP(A116,myPEPB!B:C,2)</f>
        <v>#N/A</v>
      </c>
    </row>
    <row r="117" spans="1:12" ht="14.1" customHeight="1">
      <c r="A117" s="13">
        <v>43921</v>
      </c>
      <c r="B117" s="14">
        <v>2.1931400000000001</v>
      </c>
      <c r="C117" s="15">
        <v>2000</v>
      </c>
      <c r="D117" s="16">
        <v>911.93448662648075</v>
      </c>
      <c r="E117" s="16">
        <v>150692.14696938315</v>
      </c>
      <c r="F117" s="16">
        <v>330488.97520443297</v>
      </c>
      <c r="G117" s="16">
        <v>230000</v>
      </c>
      <c r="H117" s="16">
        <v>330488.97520443297</v>
      </c>
      <c r="I117" s="16">
        <v>100488.97520443297</v>
      </c>
      <c r="J117" s="31" t="e">
        <f>VLOOKUP(A117,myPEPB!B:C,2)</f>
        <v>#N/A</v>
      </c>
    </row>
    <row r="118" spans="1:12" ht="14.1" customHeight="1">
      <c r="A118" s="13">
        <v>43951</v>
      </c>
      <c r="B118" s="14">
        <v>2.2996099999999999</v>
      </c>
      <c r="C118" s="15">
        <v>2000</v>
      </c>
      <c r="D118" s="16">
        <v>869.71269041272217</v>
      </c>
      <c r="E118" s="16">
        <v>151561.85965979588</v>
      </c>
      <c r="F118" s="16">
        <v>348533.16809226322</v>
      </c>
      <c r="G118" s="16">
        <v>232000</v>
      </c>
      <c r="H118" s="16">
        <v>348533.16809226322</v>
      </c>
      <c r="I118" s="16">
        <v>116533.16809226322</v>
      </c>
      <c r="J118" s="31" t="e">
        <f>VLOOKUP(A118,myPEPB!B:C,2)</f>
        <v>#N/A</v>
      </c>
    </row>
    <row r="119" spans="1:12" ht="14.1" customHeight="1">
      <c r="A119" s="13">
        <v>43980</v>
      </c>
      <c r="B119" s="14">
        <v>2.3069999999999999</v>
      </c>
      <c r="C119" s="15">
        <v>2000</v>
      </c>
      <c r="D119" s="16">
        <v>866.92674469007375</v>
      </c>
      <c r="E119" s="16">
        <v>152428.78640448596</v>
      </c>
      <c r="F119" s="16">
        <v>351653.21023514908</v>
      </c>
      <c r="G119" s="16">
        <v>234000</v>
      </c>
      <c r="H119" s="16">
        <v>351653.21023514908</v>
      </c>
      <c r="I119" s="16">
        <v>117653.21023514908</v>
      </c>
      <c r="J119" s="31" t="e">
        <f>VLOOKUP(A119,myPEPB!B:C,2)</f>
        <v>#N/A</v>
      </c>
    </row>
    <row r="120" spans="1:12" ht="14.1" customHeight="1">
      <c r="A120" s="13">
        <v>44012</v>
      </c>
      <c r="B120" s="14">
        <v>2.4672199999999997</v>
      </c>
      <c r="C120" s="15">
        <v>2000</v>
      </c>
      <c r="D120" s="16">
        <v>810.62896701550744</v>
      </c>
      <c r="E120" s="16">
        <v>153239.41537150147</v>
      </c>
      <c r="F120" s="16">
        <v>378075.35039287584</v>
      </c>
      <c r="G120" s="16">
        <v>236000</v>
      </c>
      <c r="H120" s="16">
        <v>378075.35039287584</v>
      </c>
      <c r="I120" s="16">
        <v>142075.35039287584</v>
      </c>
      <c r="J120" s="31" t="e">
        <f>VLOOKUP(A120,myPEPB!B:C,2)</f>
        <v>#N/A</v>
      </c>
    </row>
    <row r="121" spans="1:12" ht="14.1" customHeight="1">
      <c r="A121" s="13">
        <v>44043</v>
      </c>
      <c r="B121" s="14">
        <v>2.7463200000000003</v>
      </c>
      <c r="C121" s="15">
        <v>2000</v>
      </c>
      <c r="D121" s="16">
        <v>728.24725450785047</v>
      </c>
      <c r="E121" s="16">
        <v>153967.66262600932</v>
      </c>
      <c r="F121" s="16">
        <v>422844.47122306196</v>
      </c>
      <c r="G121" s="16">
        <v>238000</v>
      </c>
      <c r="H121" s="16">
        <v>422844.47122306196</v>
      </c>
      <c r="I121" s="16">
        <v>184844.47122306196</v>
      </c>
      <c r="J121" s="31" t="e">
        <f>VLOOKUP(A121,myPEPB!B:C,2)</f>
        <v>#N/A</v>
      </c>
    </row>
    <row r="122" spans="1:12" ht="14.1" customHeight="1">
      <c r="A122" s="13">
        <v>44074</v>
      </c>
      <c r="B122" s="14">
        <v>2.8232600000000003</v>
      </c>
      <c r="C122" s="15">
        <v>2000</v>
      </c>
      <c r="D122" s="16">
        <v>708.40092658841195</v>
      </c>
      <c r="E122" s="16">
        <v>154676.06355259774</v>
      </c>
      <c r="F122" s="16">
        <v>436690.74318550713</v>
      </c>
      <c r="G122" s="16">
        <v>240000</v>
      </c>
      <c r="H122" s="16">
        <v>436690.74318550713</v>
      </c>
      <c r="I122" s="16">
        <v>196690.74318550713</v>
      </c>
      <c r="J122" s="31" t="e">
        <f>VLOOKUP(A122,myPEPB!B:C,2)</f>
        <v>#N/A</v>
      </c>
    </row>
    <row r="123" spans="1:12" ht="14.1" customHeight="1">
      <c r="A123" s="13">
        <v>44104</v>
      </c>
      <c r="B123" s="14">
        <v>2.7159299999999997</v>
      </c>
      <c r="C123" s="15">
        <v>2000</v>
      </c>
      <c r="D123" s="16">
        <v>736.39600431528061</v>
      </c>
      <c r="E123" s="16">
        <v>155412.45955691303</v>
      </c>
      <c r="F123" s="16">
        <v>422089.3612844068</v>
      </c>
      <c r="G123" s="16">
        <v>242000</v>
      </c>
      <c r="H123" s="16">
        <v>422089.3612844068</v>
      </c>
      <c r="I123" s="16">
        <v>180089.3612844068</v>
      </c>
      <c r="J123" s="31" t="e">
        <f>VLOOKUP(A123,myPEPB!B:C,2)</f>
        <v>#N/A</v>
      </c>
    </row>
    <row r="124" spans="1:12" ht="14.1" customHeight="1">
      <c r="A124" s="13">
        <v>44134</v>
      </c>
      <c r="B124" s="14">
        <v>2.8166100000000003</v>
      </c>
      <c r="C124" s="15">
        <v>2000</v>
      </c>
      <c r="D124" s="16">
        <v>710.07345709913682</v>
      </c>
      <c r="E124" s="16">
        <v>156122.53301401218</v>
      </c>
      <c r="F124" s="16">
        <v>439736.28771259688</v>
      </c>
      <c r="G124" s="16">
        <v>244000</v>
      </c>
      <c r="H124" s="16">
        <v>439736.28771259688</v>
      </c>
      <c r="I124" s="16">
        <v>195736.28771259688</v>
      </c>
      <c r="J124" s="31" t="e">
        <f>VLOOKUP(A124,myPEPB!B:C,2)</f>
        <v>#N/A</v>
      </c>
    </row>
    <row r="125" spans="1:12" ht="14.1" customHeight="1">
      <c r="A125" s="13">
        <v>44165</v>
      </c>
      <c r="B125" s="14">
        <v>2.9742600000000001</v>
      </c>
      <c r="C125" s="15">
        <v>2000</v>
      </c>
      <c r="D125" s="16">
        <v>672.43616899665801</v>
      </c>
      <c r="E125" s="16">
        <v>156794.96918300883</v>
      </c>
      <c r="F125" s="16">
        <v>466349.00504225586</v>
      </c>
      <c r="G125" s="16">
        <v>246000</v>
      </c>
      <c r="H125" s="16">
        <v>466349.00504225586</v>
      </c>
      <c r="I125" s="16">
        <v>220349.00504225586</v>
      </c>
      <c r="J125" s="31" t="e">
        <f>VLOOKUP(A125,myPEPB!B:C,2)</f>
        <v>#N/A</v>
      </c>
    </row>
    <row r="126" spans="1:12" ht="14.1" customHeight="1">
      <c r="A126" s="13">
        <v>44196</v>
      </c>
      <c r="B126" s="14">
        <v>3.1853200000000004</v>
      </c>
      <c r="C126" s="15">
        <v>2000</v>
      </c>
      <c r="D126" s="16">
        <v>627.88040134115249</v>
      </c>
      <c r="E126" s="16">
        <v>157422.84958434998</v>
      </c>
      <c r="F126" s="16">
        <v>501442.15123802173</v>
      </c>
      <c r="G126" s="16">
        <v>248000</v>
      </c>
      <c r="H126" s="16">
        <v>501442.15123802173</v>
      </c>
      <c r="I126" s="16">
        <v>253442.15123802173</v>
      </c>
      <c r="J126" s="31" t="e">
        <f>VLOOKUP(A126,myPEPB!B:C,2)</f>
        <v>#N/A</v>
      </c>
    </row>
    <row r="127" spans="1:12" ht="14.1" customHeight="1">
      <c r="A127" s="13">
        <v>44225</v>
      </c>
      <c r="B127" s="14">
        <v>3.2828000000000004</v>
      </c>
      <c r="C127" s="15">
        <v>2000</v>
      </c>
      <c r="D127" s="16">
        <v>609.23601803338602</v>
      </c>
      <c r="E127" s="16">
        <v>158032.08560238336</v>
      </c>
      <c r="F127" s="16">
        <v>518787.73061550414</v>
      </c>
      <c r="G127" s="16">
        <v>250000</v>
      </c>
      <c r="H127" s="16">
        <v>518787.73061550414</v>
      </c>
      <c r="I127" s="16">
        <v>268787.73061550414</v>
      </c>
      <c r="J127" s="31" t="e">
        <f>VLOOKUP(A127,myPEPB!B:C,2)</f>
        <v>#N/A</v>
      </c>
      <c r="L127" s="3"/>
    </row>
    <row r="128" spans="1:12" ht="14.1" customHeight="1">
      <c r="A128" s="13">
        <v>44253</v>
      </c>
      <c r="B128" s="14">
        <v>3.2778700000000001</v>
      </c>
      <c r="C128" s="15">
        <v>2000</v>
      </c>
      <c r="D128" s="16">
        <v>610.15232452781834</v>
      </c>
      <c r="E128" s="16">
        <v>158642.23792691118</v>
      </c>
      <c r="F128" s="16">
        <v>520008.63243348437</v>
      </c>
      <c r="G128" s="16">
        <v>252000</v>
      </c>
      <c r="H128" s="16">
        <v>520008.63243348437</v>
      </c>
      <c r="I128" s="16">
        <v>268008.63243348437</v>
      </c>
      <c r="J128" s="31" t="e">
        <f>VLOOKUP(A128,myPEPB!B:C,2)</f>
        <v>#N/A</v>
      </c>
    </row>
    <row r="129" spans="1:12" ht="14.1" customHeight="1">
      <c r="A129" s="13">
        <v>44286</v>
      </c>
      <c r="B129" s="14">
        <v>3.1244299999999998</v>
      </c>
      <c r="C129" s="15">
        <v>2000</v>
      </c>
      <c r="D129" s="16">
        <v>640.11675729653098</v>
      </c>
      <c r="E129" s="16">
        <v>159282.3546842077</v>
      </c>
      <c r="F129" s="16">
        <v>497666.56744597905</v>
      </c>
      <c r="G129" s="16">
        <v>254000</v>
      </c>
      <c r="H129" s="16">
        <v>497666.56744597905</v>
      </c>
      <c r="I129" s="16">
        <v>243666.56744597905</v>
      </c>
      <c r="J129" s="31" t="e">
        <f>VLOOKUP(A129,myPEPB!B:C,2)</f>
        <v>#N/A</v>
      </c>
    </row>
    <row r="130" spans="1:12" ht="14.1" customHeight="1">
      <c r="A130" s="13">
        <v>44316</v>
      </c>
      <c r="B130" s="14">
        <v>3.1956700000000002</v>
      </c>
      <c r="C130" s="15">
        <v>2000</v>
      </c>
      <c r="D130" s="16">
        <v>625.84684901757691</v>
      </c>
      <c r="E130" s="16">
        <v>159908.20153322528</v>
      </c>
      <c r="F130" s="16">
        <v>511013.84239368205</v>
      </c>
      <c r="G130" s="16">
        <v>256000</v>
      </c>
      <c r="H130" s="16">
        <v>511013.84239368205</v>
      </c>
      <c r="I130" s="16">
        <v>255013.84239368205</v>
      </c>
      <c r="J130" s="31">
        <f>VLOOKUP(A130,myPEPB!B:C,2)</f>
        <v>16.649999999999999</v>
      </c>
    </row>
    <row r="131" spans="1:12" ht="14.1" customHeight="1">
      <c r="A131" s="13">
        <v>44347</v>
      </c>
      <c r="B131" s="14">
        <v>3.3188599999999999</v>
      </c>
      <c r="C131" s="15">
        <v>2000</v>
      </c>
      <c r="D131" s="16">
        <v>602.61656110833235</v>
      </c>
      <c r="E131" s="16">
        <v>160510.8180943336</v>
      </c>
      <c r="F131" s="16">
        <v>532712.93374055997</v>
      </c>
      <c r="G131" s="16">
        <v>258000</v>
      </c>
      <c r="H131" s="16">
        <v>532712.93374055997</v>
      </c>
      <c r="I131" s="16">
        <v>274712.93374055997</v>
      </c>
      <c r="J131" s="31">
        <f>VLOOKUP(A131,myPEPB!B:C,2)</f>
        <v>14.94</v>
      </c>
    </row>
    <row r="132" spans="1:12" ht="14.1" customHeight="1">
      <c r="A132" s="13">
        <v>44377</v>
      </c>
      <c r="B132" s="14">
        <v>3.2336</v>
      </c>
      <c r="C132" s="15">
        <v>2000</v>
      </c>
      <c r="D132" s="16">
        <v>618.50569025235029</v>
      </c>
      <c r="E132" s="16">
        <v>161129.32378458595</v>
      </c>
      <c r="F132" s="16">
        <v>521027.78138983715</v>
      </c>
      <c r="G132" s="16">
        <v>260000</v>
      </c>
      <c r="H132" s="16">
        <v>521027.78138983715</v>
      </c>
      <c r="I132" s="16">
        <v>261027.78138983715</v>
      </c>
      <c r="J132" s="31">
        <f>VLOOKUP(A132,myPEPB!B:C,2)</f>
        <v>14.7</v>
      </c>
    </row>
    <row r="133" spans="1:12" ht="14.1" customHeight="1">
      <c r="A133" s="13">
        <v>44407</v>
      </c>
      <c r="B133" s="14">
        <v>2.9186799999999997</v>
      </c>
      <c r="C133" s="15">
        <v>2000</v>
      </c>
      <c r="D133" s="16">
        <v>685.24127345238264</v>
      </c>
      <c r="E133" s="16">
        <v>161814.56505803834</v>
      </c>
      <c r="F133" s="16">
        <v>472284.93474359531</v>
      </c>
      <c r="G133" s="16">
        <v>262000</v>
      </c>
      <c r="H133" s="16">
        <v>472284.93474359531</v>
      </c>
      <c r="I133" s="16">
        <v>210284.93474359531</v>
      </c>
      <c r="J133" s="31">
        <f>VLOOKUP(A133,myPEPB!B:C,2)</f>
        <v>13.310000419616699</v>
      </c>
    </row>
    <row r="134" spans="1:12" ht="14.1" customHeight="1">
      <c r="A134" s="13">
        <v>44439</v>
      </c>
      <c r="B134" s="14">
        <v>2.91865</v>
      </c>
      <c r="C134" s="15">
        <v>2000</v>
      </c>
      <c r="D134" s="16">
        <v>685.24831685882168</v>
      </c>
      <c r="E134" s="16">
        <v>162499.81337489714</v>
      </c>
      <c r="F134" s="16">
        <v>474280.08030664356</v>
      </c>
      <c r="G134" s="16">
        <v>264000</v>
      </c>
      <c r="H134" s="16">
        <v>474280.08030664356</v>
      </c>
      <c r="I134" s="16">
        <v>210280.08030664356</v>
      </c>
      <c r="J134" s="31">
        <f>VLOOKUP(A134,myPEPB!B:C,2)</f>
        <v>13.430000305175781</v>
      </c>
    </row>
    <row r="135" spans="1:12" ht="14.1" customHeight="1">
      <c r="A135" s="13">
        <v>44469</v>
      </c>
      <c r="B135" s="14">
        <v>2.9991300000000001</v>
      </c>
      <c r="C135" s="15">
        <v>2000</v>
      </c>
      <c r="D135" s="16">
        <v>666.86005608293067</v>
      </c>
      <c r="E135" s="16">
        <v>163166.67343098007</v>
      </c>
      <c r="F135" s="16">
        <v>489358.06528705527</v>
      </c>
      <c r="G135" s="16">
        <v>266000</v>
      </c>
      <c r="H135" s="16">
        <v>489358.06528705527</v>
      </c>
      <c r="I135" s="16">
        <v>223358.06528705527</v>
      </c>
      <c r="J135" s="31">
        <f>VLOOKUP(A135,myPEPB!B:C,2)</f>
        <v>12.899999618530273</v>
      </c>
    </row>
    <row r="136" spans="1:12" ht="14.1" customHeight="1">
      <c r="A136" s="13">
        <v>44498</v>
      </c>
      <c r="B136" s="14">
        <v>3.0190700000000001</v>
      </c>
      <c r="C136" s="15">
        <v>2000</v>
      </c>
      <c r="D136" s="16">
        <v>662.45565687446799</v>
      </c>
      <c r="E136" s="16">
        <v>163829.12908785453</v>
      </c>
      <c r="F136" s="16">
        <v>494611.60875526897</v>
      </c>
      <c r="G136" s="16">
        <v>268000</v>
      </c>
      <c r="H136" s="16">
        <v>494611.60875526897</v>
      </c>
      <c r="I136" s="16">
        <v>226611.60875526897</v>
      </c>
      <c r="J136" s="31">
        <f>VLOOKUP(A136,myPEPB!B:C,2)</f>
        <v>12.840000152587891</v>
      </c>
    </row>
    <row r="137" spans="1:12" ht="14.1" customHeight="1">
      <c r="A137" s="13">
        <v>44530</v>
      </c>
      <c r="B137" s="14">
        <v>2.96435</v>
      </c>
      <c r="C137" s="15">
        <v>2000</v>
      </c>
      <c r="D137" s="16">
        <v>674.68416347597281</v>
      </c>
      <c r="E137" s="16">
        <v>164503.81325133049</v>
      </c>
      <c r="F137" s="16">
        <v>487646.87881158153</v>
      </c>
      <c r="G137" s="16">
        <v>270000</v>
      </c>
      <c r="H137" s="16">
        <v>487646.87881158153</v>
      </c>
      <c r="I137" s="16">
        <v>217646.87881158153</v>
      </c>
      <c r="J137" s="31">
        <f>VLOOKUP(A137,myPEPB!B:C,2)</f>
        <v>12.390000343322754</v>
      </c>
    </row>
    <row r="138" spans="1:12" ht="14.1" customHeight="1">
      <c r="A138" s="13">
        <v>44561</v>
      </c>
      <c r="B138" s="14">
        <v>3.07491</v>
      </c>
      <c r="C138" s="15">
        <v>2000</v>
      </c>
      <c r="D138" s="16">
        <v>650.4255409101404</v>
      </c>
      <c r="E138" s="16">
        <v>165154.23879224062</v>
      </c>
      <c r="F138" s="16">
        <v>507834.42040464858</v>
      </c>
      <c r="G138" s="16">
        <v>272000</v>
      </c>
      <c r="H138" s="16">
        <v>507834.42040464858</v>
      </c>
      <c r="I138" s="16">
        <v>235834.42040464858</v>
      </c>
      <c r="J138" s="31">
        <f>VLOOKUP(A138,myPEPB!B:C,2)</f>
        <v>12.949999809265137</v>
      </c>
    </row>
    <row r="139" spans="1:12" ht="14.1" customHeight="1">
      <c r="A139" s="13">
        <v>44589</v>
      </c>
      <c r="B139" s="14">
        <v>2.8309000000000002</v>
      </c>
      <c r="C139" s="15">
        <v>2000</v>
      </c>
      <c r="D139" s="16">
        <v>706.4891024055953</v>
      </c>
      <c r="E139" s="16">
        <v>165860.7278946462</v>
      </c>
      <c r="F139" s="16">
        <v>469535.13459695398</v>
      </c>
      <c r="G139" s="16">
        <v>274000</v>
      </c>
      <c r="H139" s="16">
        <v>469535.13459695398</v>
      </c>
      <c r="I139" s="16">
        <v>195535.13459695398</v>
      </c>
      <c r="J139" s="31">
        <f>VLOOKUP(A139,myPEPB!B:C,2)</f>
        <v>12.039999961853027</v>
      </c>
      <c r="L139" s="3"/>
    </row>
    <row r="140" spans="1:12" ht="14.1" customHeight="1">
      <c r="A140" s="13">
        <v>44620</v>
      </c>
      <c r="B140" s="14">
        <v>2.8623000000000003</v>
      </c>
      <c r="C140" s="15">
        <v>2000</v>
      </c>
      <c r="D140" s="16">
        <v>698.73877650840222</v>
      </c>
      <c r="E140" s="16">
        <v>166559.4666711546</v>
      </c>
      <c r="F140" s="16">
        <v>476743.16145284584</v>
      </c>
      <c r="G140" s="16">
        <v>276000</v>
      </c>
      <c r="H140" s="16">
        <v>476743.16145284584</v>
      </c>
      <c r="I140" s="16">
        <v>200743.16145284584</v>
      </c>
      <c r="J140" s="31">
        <f>VLOOKUP(A140,myPEPB!B:C,2)</f>
        <v>12.239999771118164</v>
      </c>
    </row>
    <row r="141" spans="1:12" ht="14.1" customHeight="1">
      <c r="A141" s="13">
        <v>44651</v>
      </c>
      <c r="B141" s="14">
        <v>2.6462500000000002</v>
      </c>
      <c r="C141" s="15">
        <v>2000</v>
      </c>
      <c r="D141" s="16">
        <v>755.78649031648558</v>
      </c>
      <c r="E141" s="16">
        <v>167315.25316147108</v>
      </c>
      <c r="F141" s="16">
        <v>442757.9886785429</v>
      </c>
      <c r="G141" s="16">
        <v>278000</v>
      </c>
      <c r="H141" s="16">
        <v>442757.9886785429</v>
      </c>
      <c r="I141" s="16">
        <v>164757.9886785429</v>
      </c>
      <c r="J141" s="31">
        <f>VLOOKUP(A141,myPEPB!B:C,2)</f>
        <v>11.460000038146973</v>
      </c>
    </row>
    <row r="142" spans="1:12" ht="14.1" customHeight="1">
      <c r="A142" s="13">
        <v>44680</v>
      </c>
      <c r="B142" s="14">
        <v>2.5422700195312502</v>
      </c>
      <c r="C142" s="15">
        <v>2000</v>
      </c>
      <c r="D142" s="16">
        <v>786.69849568881148</v>
      </c>
      <c r="E142" s="16">
        <v>168101.95165715989</v>
      </c>
      <c r="F142" s="16">
        <v>427360.55192268913</v>
      </c>
      <c r="G142" s="16">
        <v>280000</v>
      </c>
      <c r="H142" s="16">
        <v>427360.55192268913</v>
      </c>
      <c r="I142" s="16">
        <v>147360.55192268913</v>
      </c>
      <c r="J142" s="31">
        <f>VLOOKUP(A142,myPEPB!B:C,2)</f>
        <v>11.140000343322754</v>
      </c>
    </row>
    <row r="143" spans="1:12" ht="14.1" customHeight="1">
      <c r="A143" s="13">
        <v>44712</v>
      </c>
      <c r="B143" s="14">
        <v>2.5905100097656248</v>
      </c>
      <c r="C143" s="15">
        <v>2000</v>
      </c>
      <c r="D143" s="16">
        <v>772.04874424744992</v>
      </c>
      <c r="E143" s="16">
        <v>168874.00040140733</v>
      </c>
      <c r="F143" s="16">
        <v>437469.78842900984</v>
      </c>
      <c r="G143" s="16">
        <v>282000</v>
      </c>
      <c r="H143" s="16">
        <v>437469.78842900984</v>
      </c>
      <c r="I143" s="16">
        <v>155469.78842900984</v>
      </c>
      <c r="J143" s="31">
        <f>VLOOKUP(A143,myPEPB!B:C,2)</f>
        <v>10.939999580383301</v>
      </c>
    </row>
    <row r="144" spans="1:12" ht="14.1" customHeight="1">
      <c r="A144" s="13">
        <v>44742</v>
      </c>
      <c r="B144" s="14">
        <v>2.8271101074218752</v>
      </c>
      <c r="C144" s="15">
        <v>2000</v>
      </c>
      <c r="D144" s="16">
        <v>707.43618890169751</v>
      </c>
      <c r="E144" s="16">
        <v>169581.43659030902</v>
      </c>
      <c r="F144" s="16">
        <v>479425.39341558446</v>
      </c>
      <c r="G144" s="16">
        <v>284000</v>
      </c>
      <c r="H144" s="16">
        <v>479425.39341558446</v>
      </c>
      <c r="I144" s="16">
        <v>195425.39341558446</v>
      </c>
      <c r="J144" s="31">
        <f>VLOOKUP(A144,myPEPB!B:C,2)</f>
        <v>12.100000381469727</v>
      </c>
    </row>
    <row r="145" spans="1:10" ht="14.1" customHeight="1">
      <c r="A145" s="13">
        <v>44771</v>
      </c>
      <c r="B145" s="14">
        <v>2.6160200195312502</v>
      </c>
      <c r="C145" s="15">
        <v>2000</v>
      </c>
      <c r="D145" s="16">
        <v>764.5201432206045</v>
      </c>
      <c r="E145" s="16">
        <v>170345.95673352963</v>
      </c>
      <c r="F145" s="16">
        <v>445628.43306111766</v>
      </c>
      <c r="G145" s="16">
        <v>286000</v>
      </c>
      <c r="H145" s="16">
        <v>445628.43306111766</v>
      </c>
      <c r="I145" s="16">
        <v>159628.43306111766</v>
      </c>
      <c r="J145" s="31">
        <f>VLOOKUP(A145,myPEPB!B:C,2)</f>
        <v>11.239999771118164</v>
      </c>
    </row>
    <row r="146" spans="1:10" ht="14.1" customHeight="1">
      <c r="A146" s="13">
        <v>44804</v>
      </c>
      <c r="B146" s="14">
        <v>2.5657299804687499</v>
      </c>
      <c r="C146" s="15">
        <v>2000</v>
      </c>
      <c r="D146" s="16">
        <v>779.50525395295381</v>
      </c>
      <c r="E146" s="16">
        <v>171125.46198748259</v>
      </c>
      <c r="F146" s="16">
        <v>439061.72824284952</v>
      </c>
      <c r="G146" s="16">
        <v>288000</v>
      </c>
      <c r="H146" s="16">
        <v>439061.72824284952</v>
      </c>
      <c r="I146" s="16">
        <v>151061.72824284952</v>
      </c>
      <c r="J146" s="31">
        <f>VLOOKUP(A146,myPEPB!B:C,2)</f>
        <v>11.100000381469727</v>
      </c>
    </row>
    <row r="147" spans="1:10" ht="12.75">
      <c r="A147" s="13">
        <v>44834</v>
      </c>
      <c r="B147" s="14">
        <v>2.4191298828124999</v>
      </c>
      <c r="C147" s="15">
        <v>2000</v>
      </c>
      <c r="D147" s="16">
        <v>826.74353874492419</v>
      </c>
      <c r="E147" s="16">
        <v>171952.20552622751</v>
      </c>
      <c r="F147" s="16">
        <v>415974.71880401362</v>
      </c>
      <c r="G147" s="16">
        <v>290000</v>
      </c>
      <c r="H147" s="16">
        <v>415974.71880401362</v>
      </c>
      <c r="I147" s="16">
        <v>125974.71880401362</v>
      </c>
      <c r="J147" s="31">
        <f>VLOOKUP(A147,myPEPB!B:C,2)</f>
        <v>10.350000381469727</v>
      </c>
    </row>
    <row r="148" spans="1:10" ht="12.75">
      <c r="A148" s="13">
        <v>44865</v>
      </c>
      <c r="B148" s="14">
        <v>2.1911298828125001</v>
      </c>
      <c r="C148" s="15">
        <v>2000</v>
      </c>
      <c r="D148" s="16">
        <v>912.77108476692911</v>
      </c>
      <c r="E148" s="16">
        <v>172864.97661099443</v>
      </c>
      <c r="F148" s="16">
        <v>378769.61594403378</v>
      </c>
      <c r="G148" s="16">
        <v>292000</v>
      </c>
      <c r="H148" s="16">
        <v>378769.61594403378</v>
      </c>
      <c r="I148" s="16">
        <v>86769.61594403378</v>
      </c>
      <c r="J148" s="31">
        <f>VLOOKUP(A148,myPEPB!B:C,2)</f>
        <v>9.3900003433227539</v>
      </c>
    </row>
    <row r="149" spans="1:10" ht="12.75">
      <c r="A149" s="13">
        <v>44895</v>
      </c>
      <c r="B149" s="14">
        <v>2.4362099609375001</v>
      </c>
      <c r="C149" s="15">
        <v>2000</v>
      </c>
      <c r="D149" s="16">
        <v>820.94730424234933</v>
      </c>
      <c r="E149" s="16">
        <v>173685.92391523678</v>
      </c>
      <c r="F149" s="16">
        <v>423135.37791693263</v>
      </c>
      <c r="G149" s="16">
        <v>294000</v>
      </c>
      <c r="H149" s="16">
        <v>423135.37791693263</v>
      </c>
      <c r="I149" s="16">
        <v>129135.37791693263</v>
      </c>
      <c r="J149" s="31">
        <f>VLOOKUP(A149,myPEPB!B:C,2)</f>
        <v>10.380000114440918</v>
      </c>
    </row>
    <row r="150" spans="1:10" ht="12.75">
      <c r="A150" s="13">
        <v>44925</v>
      </c>
      <c r="B150" s="14">
        <v>2.4624399414062501</v>
      </c>
      <c r="C150" s="15">
        <v>2000</v>
      </c>
      <c r="D150" s="16">
        <v>812.20255014944246</v>
      </c>
      <c r="E150" s="16">
        <v>174498.12646538622</v>
      </c>
      <c r="F150" s="16">
        <v>429691.15630892606</v>
      </c>
      <c r="G150" s="16">
        <v>296000</v>
      </c>
      <c r="H150" s="16">
        <v>429691.15630892606</v>
      </c>
      <c r="I150" s="16">
        <v>133691.15630892606</v>
      </c>
      <c r="J150" s="31">
        <f>VLOOKUP(A150,myPEPB!B:C,2)</f>
        <v>10.729999542236328</v>
      </c>
    </row>
    <row r="151" spans="1:10" ht="12.75">
      <c r="A151" s="13">
        <v>44957</v>
      </c>
      <c r="B151" s="14">
        <v>2.6370249023437502</v>
      </c>
      <c r="C151" s="15">
        <v>2000</v>
      </c>
      <c r="D151" s="16">
        <v>758.43045631553514</v>
      </c>
      <c r="E151" s="16">
        <v>175256.55692170176</v>
      </c>
      <c r="F151" s="16">
        <v>462155.90490155248</v>
      </c>
      <c r="G151" s="16">
        <v>298000</v>
      </c>
      <c r="H151" s="16">
        <v>462155.90490155248</v>
      </c>
      <c r="I151" s="16">
        <v>164155.90490155248</v>
      </c>
      <c r="J151" s="31">
        <f>VLOOKUP(A151,myPEPB!B:C,2)</f>
        <v>11.390000343322754</v>
      </c>
    </row>
    <row r="152" spans="1:10" ht="12.75">
      <c r="A152" s="13">
        <v>44985</v>
      </c>
      <c r="B152" s="14">
        <v>2.5919743652343752</v>
      </c>
      <c r="C152" s="15">
        <v>2000</v>
      </c>
      <c r="D152" s="16">
        <v>771.61256948586879</v>
      </c>
      <c r="E152" s="16">
        <v>176028.16949118764</v>
      </c>
      <c r="F152" s="16">
        <v>456260.50288029009</v>
      </c>
      <c r="G152" s="16">
        <v>300000</v>
      </c>
      <c r="H152" s="16">
        <v>456260.50288029009</v>
      </c>
      <c r="I152" s="16">
        <v>156260.50288029009</v>
      </c>
      <c r="J152" s="31">
        <f>VLOOKUP(A152,myPEPB!B:C,2)</f>
        <v>11.270000457763672</v>
      </c>
    </row>
    <row r="153" spans="1:10" ht="12.75">
      <c r="A153" s="13">
        <v>45016</v>
      </c>
      <c r="B153" s="14">
        <v>2.562439208984375</v>
      </c>
      <c r="C153" s="15">
        <v>2000</v>
      </c>
      <c r="D153" s="16">
        <v>780.50632108174057</v>
      </c>
      <c r="E153" s="16">
        <v>176808.67581226939</v>
      </c>
      <c r="F153" s="16">
        <v>453061.48338996636</v>
      </c>
      <c r="G153" s="16">
        <v>302000</v>
      </c>
      <c r="H153" s="16">
        <v>453061.48338996636</v>
      </c>
      <c r="I153" s="16">
        <v>151061.48338996636</v>
      </c>
      <c r="J153" s="31">
        <f>VLOOKUP(A153,myPEPB!B:C,2)</f>
        <v>11.300000190734863</v>
      </c>
    </row>
    <row r="154" spans="1:10" ht="12.75">
      <c r="A154" s="13">
        <v>45044</v>
      </c>
      <c r="B154" s="14">
        <v>2.5385061035156249</v>
      </c>
      <c r="C154" s="15">
        <v>2000</v>
      </c>
      <c r="D154" s="16">
        <v>787.86495617645448</v>
      </c>
      <c r="E154" s="16">
        <v>177596.54076844585</v>
      </c>
      <c r="F154" s="16">
        <v>450829.9027039613</v>
      </c>
      <c r="G154" s="16">
        <v>304000</v>
      </c>
      <c r="H154" s="16">
        <v>450829.9027039613</v>
      </c>
      <c r="I154" s="16">
        <v>146829.9027039613</v>
      </c>
      <c r="J154" s="31">
        <f>VLOOKUP(A154,myPEPB!B:C,2)</f>
        <v>11.409999847412109</v>
      </c>
    </row>
    <row r="155" spans="1:10" ht="12.75">
      <c r="A155" s="13">
        <v>45077</v>
      </c>
      <c r="B155" s="14">
        <v>2.3854221191406251</v>
      </c>
      <c r="C155" s="15">
        <v>2000</v>
      </c>
      <c r="D155" s="16">
        <v>838.42603116320663</v>
      </c>
      <c r="E155" s="16">
        <v>178434.96679960904</v>
      </c>
      <c r="F155" s="16">
        <v>425642.71663191047</v>
      </c>
      <c r="G155" s="16">
        <v>306000</v>
      </c>
      <c r="H155" s="16">
        <v>425642.71663191047</v>
      </c>
      <c r="I155" s="16">
        <v>119642.71663191047</v>
      </c>
      <c r="J155" s="31">
        <f>VLOOKUP(A155,myPEPB!B:C,2)</f>
        <v>10.939999580383301</v>
      </c>
    </row>
    <row r="156" spans="1:10" ht="12.75">
      <c r="A156" s="13">
        <v>45107</v>
      </c>
      <c r="B156" s="14">
        <v>2.4220161132812499</v>
      </c>
      <c r="C156" s="15">
        <v>2000</v>
      </c>
      <c r="D156" s="16">
        <v>825.75833787103943</v>
      </c>
      <c r="E156" s="16">
        <v>179260.72513748007</v>
      </c>
      <c r="F156" s="16">
        <v>434172.36476145795</v>
      </c>
      <c r="G156" s="16">
        <v>308000</v>
      </c>
      <c r="H156" s="16">
        <v>434172.36476145795</v>
      </c>
      <c r="I156" s="16">
        <v>126172.36476145795</v>
      </c>
      <c r="J156" s="31">
        <f>VLOOKUP(A156,myPEPB!B:C,2)</f>
        <v>11.399999618530273</v>
      </c>
    </row>
    <row r="157" spans="1:10" ht="12.75">
      <c r="A157" s="13">
        <v>45138</v>
      </c>
      <c r="B157" s="14">
        <v>2.5251220703124999</v>
      </c>
      <c r="C157" s="15">
        <v>2000</v>
      </c>
      <c r="D157" s="16">
        <v>792.04091695752641</v>
      </c>
      <c r="E157" s="16">
        <v>180052.76605443758</v>
      </c>
      <c r="F157" s="16">
        <v>454655.21338487364</v>
      </c>
      <c r="G157" s="16">
        <v>310000</v>
      </c>
      <c r="H157" s="16">
        <v>454655.21338487364</v>
      </c>
      <c r="I157" s="16">
        <v>144655.21338487364</v>
      </c>
      <c r="J157" s="31">
        <f>VLOOKUP(A157,myPEPB!B:C,2)</f>
        <v>11.819999694824219</v>
      </c>
    </row>
    <row r="158" spans="1:10" ht="12.75">
      <c r="A158" s="13">
        <v>45169</v>
      </c>
      <c r="B158" s="14">
        <v>2.3845380859374998</v>
      </c>
      <c r="C158" s="15">
        <v>2000</v>
      </c>
      <c r="D158" s="16">
        <v>838.73686555678739</v>
      </c>
      <c r="E158" s="16">
        <v>180891.50291999438</v>
      </c>
      <c r="F158" s="16">
        <v>431342.67813520104</v>
      </c>
      <c r="G158" s="16">
        <v>312000</v>
      </c>
      <c r="H158" s="16">
        <v>431342.67813520104</v>
      </c>
      <c r="I158" s="16">
        <v>119342.67813520104</v>
      </c>
      <c r="J158" s="31">
        <f>VLOOKUP(A158,myPEPB!B:C,2)</f>
        <v>11.220000267028809</v>
      </c>
    </row>
    <row r="159" spans="1:10" ht="12.75">
      <c r="A159" s="13">
        <v>45197</v>
      </c>
      <c r="B159" s="14">
        <v>2.34769091796875</v>
      </c>
      <c r="C159" s="15">
        <v>2000</v>
      </c>
      <c r="D159" s="16">
        <v>851.90089747010813</v>
      </c>
      <c r="E159" s="16">
        <v>181743.40381746448</v>
      </c>
      <c r="F159" s="16">
        <v>426677.33854298841</v>
      </c>
      <c r="G159" s="16">
        <v>314000</v>
      </c>
      <c r="H159" s="16">
        <v>426677.33854298841</v>
      </c>
      <c r="I159" s="16">
        <v>112677.33854298841</v>
      </c>
      <c r="J159" s="31">
        <f>VLOOKUP(A159,myPEPB!B:C,2)</f>
        <v>11.359999656677246</v>
      </c>
    </row>
    <row r="160" spans="1:10" ht="12.75">
      <c r="A160" s="13">
        <v>45230</v>
      </c>
      <c r="B160" s="14">
        <v>2.2612639160156252</v>
      </c>
      <c r="C160" s="15">
        <v>2000</v>
      </c>
      <c r="D160" s="16">
        <v>884.4611130239166</v>
      </c>
      <c r="E160" s="16">
        <v>182627.8649304884</v>
      </c>
      <c r="F160" s="16">
        <v>412969.80102628889</v>
      </c>
      <c r="G160" s="16">
        <v>316000</v>
      </c>
      <c r="H160" s="16">
        <v>412969.80102628889</v>
      </c>
      <c r="I160" s="16">
        <v>96969.801026288886</v>
      </c>
      <c r="J160" s="31">
        <f>VLOOKUP(A160,myPEPB!B:C,2)</f>
        <v>10.970000267028809</v>
      </c>
    </row>
    <row r="161" spans="1:10" ht="12.75">
      <c r="A161" s="13">
        <v>45260</v>
      </c>
      <c r="B161" s="14">
        <v>2.2183168945312501</v>
      </c>
      <c r="C161" s="15">
        <v>2000</v>
      </c>
      <c r="D161" s="16">
        <v>901.58444220955982</v>
      </c>
      <c r="E161" s="16">
        <v>183529.44937269797</v>
      </c>
      <c r="F161" s="16">
        <v>407126.47818747367</v>
      </c>
      <c r="G161" s="16">
        <v>318000</v>
      </c>
      <c r="H161" s="16">
        <v>407126.47818747367</v>
      </c>
      <c r="I161" s="16">
        <v>89126.478187473665</v>
      </c>
      <c r="J161" s="31">
        <f>VLOOKUP(A161,myPEPB!B:C,2)</f>
        <v>10.920000076293945</v>
      </c>
    </row>
    <row r="162" spans="1:10" ht="12.75">
      <c r="A162" s="13">
        <v>45289</v>
      </c>
      <c r="B162" s="14">
        <v>2.1716540527343748</v>
      </c>
      <c r="C162" s="15">
        <v>2000</v>
      </c>
      <c r="D162" s="16">
        <v>920.95699933502681</v>
      </c>
      <c r="E162" s="16">
        <v>184450.406372033</v>
      </c>
      <c r="F162" s="16">
        <v>400562.47252632782</v>
      </c>
      <c r="G162" s="16">
        <v>320000</v>
      </c>
      <c r="H162" s="16">
        <v>400562.47252632782</v>
      </c>
      <c r="I162" s="16">
        <v>80562.472526327823</v>
      </c>
      <c r="J162" s="31">
        <f>VLOOKUP(A162,myPEPB!B:C,2)</f>
        <v>10.970000267028809</v>
      </c>
    </row>
    <row r="163" spans="1:10" ht="12.75">
      <c r="A163" s="13">
        <v>45322</v>
      </c>
      <c r="B163" s="14">
        <v>2.0245980224609377</v>
      </c>
      <c r="C163" s="15">
        <v>2000</v>
      </c>
      <c r="D163" s="16">
        <v>987.85041663182187</v>
      </c>
      <c r="E163" s="16">
        <v>185438.25678866482</v>
      </c>
      <c r="F163" s="16">
        <v>375437.92798293434</v>
      </c>
      <c r="G163" s="16">
        <v>322000</v>
      </c>
      <c r="H163" s="16">
        <v>375437.92798293434</v>
      </c>
      <c r="I163" s="16">
        <v>53437.927982934343</v>
      </c>
      <c r="J163" s="31">
        <f>VLOOKUP(A163,myPEPB!B:C,2)</f>
        <v>10.600000381469727</v>
      </c>
    </row>
    <row r="164" spans="1:10" ht="12.75">
      <c r="A164" s="13">
        <v>45351</v>
      </c>
      <c r="B164" s="14">
        <v>2.2161999511718751</v>
      </c>
      <c r="C164" s="15">
        <v>2000</v>
      </c>
      <c r="D164" s="16">
        <v>902.44564753394491</v>
      </c>
      <c r="E164" s="16">
        <v>186340.70243619877</v>
      </c>
      <c r="F164" s="16">
        <v>412968.2556404366</v>
      </c>
      <c r="G164" s="16">
        <v>324000</v>
      </c>
      <c r="H164" s="16">
        <v>412968.2556404366</v>
      </c>
      <c r="I164" s="16">
        <v>88968.255640436604</v>
      </c>
      <c r="J164" s="31">
        <f>VLOOKUP(A164,myPEPB!B:C,2)</f>
        <v>11.510000228881836</v>
      </c>
    </row>
    <row r="165" spans="1:10" ht="12.75">
      <c r="A165" s="13">
        <v>45380</v>
      </c>
      <c r="B165" s="14">
        <v>2.2355449218749999</v>
      </c>
      <c r="C165" s="15">
        <v>2000</v>
      </c>
      <c r="D165" s="16">
        <v>894.63646220204635</v>
      </c>
      <c r="E165" s="16">
        <v>187235.33889840081</v>
      </c>
      <c r="F165" s="16">
        <v>418573.01106986456</v>
      </c>
      <c r="G165" s="16">
        <v>326000</v>
      </c>
      <c r="H165" s="16">
        <v>418573.01106986456</v>
      </c>
      <c r="I165" s="16">
        <v>92573.011069864559</v>
      </c>
      <c r="J165" s="31">
        <f>VLOOKUP(A165,myPEPB!B:C,2)</f>
        <v>11.680000305175781</v>
      </c>
    </row>
    <row r="166" spans="1:10" ht="12.75">
      <c r="A166" s="13">
        <v>45412</v>
      </c>
      <c r="B166" s="14">
        <v>2.2913749999999999</v>
      </c>
      <c r="C166" s="15">
        <v>2000</v>
      </c>
      <c r="D166" s="16">
        <v>872.83836124597678</v>
      </c>
      <c r="E166" s="16">
        <v>188108.17725964679</v>
      </c>
      <c r="F166" s="16">
        <v>431026.37466832314</v>
      </c>
      <c r="G166" s="16">
        <v>328000</v>
      </c>
      <c r="H166" s="16">
        <v>431026.37466832314</v>
      </c>
      <c r="I166" s="16">
        <v>103026.37466832314</v>
      </c>
      <c r="J166" s="31">
        <f>VLOOKUP(A166,myPEPB!B:C,2)</f>
        <v>11.979999542236328</v>
      </c>
    </row>
    <row r="167" spans="1:10" ht="12.75">
      <c r="A167" s="13">
        <v>45443</v>
      </c>
      <c r="B167" s="14">
        <v>2.26606298828125</v>
      </c>
      <c r="C167" s="15">
        <v>2000</v>
      </c>
      <c r="D167" s="16">
        <v>882.58799969057702</v>
      </c>
      <c r="E167" s="16">
        <v>188990.76525933738</v>
      </c>
      <c r="F167" s="16">
        <v>428264.97828113427</v>
      </c>
      <c r="G167" s="16">
        <v>330000</v>
      </c>
      <c r="H167" s="16">
        <v>428264.97828113427</v>
      </c>
      <c r="I167" s="16">
        <v>98264.978281134274</v>
      </c>
      <c r="J167" s="31">
        <f>VLOOKUP(A167,myPEPB!B:C,2)</f>
        <v>12.18999958</v>
      </c>
    </row>
    <row r="168" spans="1:10" ht="12.75">
      <c r="A168" s="13">
        <v>45471</v>
      </c>
      <c r="B168" s="14">
        <v>2.1709379882812501</v>
      </c>
      <c r="C168" s="15">
        <v>2000</v>
      </c>
      <c r="D168" s="16">
        <v>921.26076875342574</v>
      </c>
      <c r="E168" s="16">
        <v>189912.0260280908</v>
      </c>
      <c r="F168" s="16">
        <v>412287.23173583986</v>
      </c>
      <c r="G168" s="16">
        <v>332000</v>
      </c>
      <c r="H168" s="16">
        <v>412287.23173583986</v>
      </c>
      <c r="I168" s="16">
        <v>80287.231735839858</v>
      </c>
      <c r="J168" s="31">
        <f>VLOOKUP(A168,myPEPB!B:C,2)</f>
        <v>12.15999985</v>
      </c>
    </row>
    <row r="169" spans="1:10" ht="12.75">
      <c r="A169" s="13">
        <v>45504</v>
      </c>
      <c r="B169" s="14">
        <v>2.1459160156250001</v>
      </c>
      <c r="C169" s="15">
        <v>2000</v>
      </c>
      <c r="D169" s="16">
        <v>932.00292343104491</v>
      </c>
      <c r="E169" s="16">
        <v>190844.02895152185</v>
      </c>
      <c r="F169" s="16">
        <v>409535.25821347191</v>
      </c>
      <c r="G169" s="16">
        <v>334000</v>
      </c>
      <c r="H169" s="16">
        <v>409535.25821347191</v>
      </c>
      <c r="I169" s="16">
        <v>75535.258213471912</v>
      </c>
      <c r="J169" s="31">
        <f>VLOOKUP(A169,myPEPB!B:C,2)</f>
        <v>11.960000040000001</v>
      </c>
    </row>
    <row r="170" spans="1:10" ht="12.75">
      <c r="A170" s="13">
        <v>45534</v>
      </c>
      <c r="B170" s="14">
        <v>2.0798830566406248</v>
      </c>
      <c r="C170" s="15">
        <v>2000</v>
      </c>
      <c r="D170" s="16">
        <v>961.59252493279598</v>
      </c>
      <c r="E170" s="16">
        <v>191805.62147645463</v>
      </c>
      <c r="F170" s="16">
        <v>398933.26227730315</v>
      </c>
      <c r="G170" s="16">
        <v>336000</v>
      </c>
      <c r="H170" s="16">
        <v>398933.26227730315</v>
      </c>
      <c r="I170" s="16">
        <v>62933.262277303147</v>
      </c>
      <c r="J170" s="31">
        <f>VLOOKUP(A170,myPEPB!B:C,2)</f>
        <v>11.69999981</v>
      </c>
    </row>
    <row r="171" spans="1:10" ht="12.75">
      <c r="A171" s="13">
        <v>45565</v>
      </c>
      <c r="B171" s="14">
        <v>2.5249060058593749</v>
      </c>
      <c r="C171" s="15">
        <v>2000</v>
      </c>
      <c r="D171" s="16">
        <v>792.10869448555241</v>
      </c>
      <c r="E171" s="16">
        <v>192597.73017094019</v>
      </c>
      <c r="F171" s="16">
        <v>486291.16562349023</v>
      </c>
      <c r="G171" s="16">
        <v>338000</v>
      </c>
      <c r="H171" s="16">
        <v>486291.16562349023</v>
      </c>
      <c r="I171" s="16">
        <v>148291.16562349023</v>
      </c>
      <c r="J171" s="31">
        <f>VLOOKUP(A171,myPEPB!B:C,2)</f>
        <v>13.47999954</v>
      </c>
    </row>
    <row r="172" spans="1:10" ht="12.75">
      <c r="A172" s="13">
        <v>45596</v>
      </c>
      <c r="B172" s="14">
        <v>2.4332399902343749</v>
      </c>
      <c r="C172" s="15">
        <v>2000</v>
      </c>
      <c r="D172" s="16">
        <v>821.94933834181961</v>
      </c>
      <c r="E172" s="16">
        <v>193419.67950928202</v>
      </c>
      <c r="F172" s="16">
        <v>470636.49908030132</v>
      </c>
      <c r="G172" s="16">
        <v>340000</v>
      </c>
      <c r="H172" s="16">
        <v>470636.49908030132</v>
      </c>
      <c r="I172" s="16">
        <v>130636.49908030132</v>
      </c>
      <c r="J172" s="31">
        <f>VLOOKUP(A172,myPEPB!B:C,2)</f>
        <v>12.789999959999999</v>
      </c>
    </row>
    <row r="173" spans="1:10" ht="12.75">
      <c r="A173" s="13">
        <v>45625</v>
      </c>
      <c r="B173" s="14">
        <v>2.4350419921875002</v>
      </c>
      <c r="C173" s="15">
        <v>2000</v>
      </c>
      <c r="D173" s="16">
        <v>821.34107190624513</v>
      </c>
      <c r="E173" s="16">
        <v>194241.02058118826</v>
      </c>
      <c r="F173" s="16">
        <v>472985.04172054987</v>
      </c>
      <c r="G173" s="16">
        <v>342000</v>
      </c>
      <c r="H173" s="16">
        <v>472985.04172054987</v>
      </c>
      <c r="I173" s="16">
        <v>130985.04172054987</v>
      </c>
      <c r="J173" s="31">
        <f>VLOOKUP(A173,myPEPB!B:C,2)</f>
        <v>12.43999958</v>
      </c>
    </row>
    <row r="174" spans="1:10" ht="12.75">
      <c r="A174" s="13">
        <v>45657</v>
      </c>
      <c r="B174" s="14">
        <v>2.4330039062500002</v>
      </c>
      <c r="C174" s="15">
        <v>2000</v>
      </c>
      <c r="D174" s="16">
        <v>822.02909533450315</v>
      </c>
      <c r="E174" s="16">
        <v>195063.04967652276</v>
      </c>
      <c r="F174" s="16">
        <v>474589.16182801768</v>
      </c>
      <c r="G174" s="16">
        <v>344000</v>
      </c>
      <c r="H174" s="16">
        <v>474589.16182801768</v>
      </c>
      <c r="I174" s="16">
        <v>130589.16182801768</v>
      </c>
      <c r="J174" s="31">
        <f>VLOOKUP(A174,myPEPB!B:C,2)</f>
        <v>13.39000034</v>
      </c>
    </row>
    <row r="175" spans="1:10" ht="12.75">
      <c r="A175" s="13">
        <v>45684</v>
      </c>
      <c r="B175" s="14">
        <v>2.3559519042968748</v>
      </c>
      <c r="C175" s="15">
        <v>2000</v>
      </c>
      <c r="D175" s="16">
        <v>848.91376447554967</v>
      </c>
      <c r="E175" s="16">
        <v>195911.96344099831</v>
      </c>
      <c r="F175" s="16">
        <v>461559.16334335972</v>
      </c>
      <c r="G175" s="16">
        <v>346000</v>
      </c>
      <c r="H175" s="16">
        <v>461559.16334335972</v>
      </c>
      <c r="I175" s="16">
        <v>115559.16334335972</v>
      </c>
      <c r="J175" s="31">
        <f>VLOOKUP(A175,myPEPB!B:C,2)</f>
        <v>12.920000079999999</v>
      </c>
    </row>
    <row r="176" spans="1:10" ht="12.75">
      <c r="A176" s="13">
        <v>45716</v>
      </c>
      <c r="B176" s="14">
        <v>2.4118181152343752</v>
      </c>
      <c r="C176" s="15">
        <v>2000</v>
      </c>
      <c r="D176" s="16">
        <v>829.24992866041407</v>
      </c>
      <c r="E176" s="16">
        <v>196741.21336965871</v>
      </c>
      <c r="F176" s="16">
        <v>474504.02241813432</v>
      </c>
      <c r="G176" s="16">
        <v>348000</v>
      </c>
      <c r="H176" s="16">
        <v>474504.02241813432</v>
      </c>
      <c r="I176" s="16">
        <v>126504.02241813432</v>
      </c>
      <c r="J176" s="31">
        <f>VLOOKUP(A176,myPEPB!B:C,2)</f>
        <v>13.050000190734863</v>
      </c>
    </row>
    <row r="177" spans="1:10" ht="12.75">
      <c r="A177" s="13">
        <v>45747</v>
      </c>
      <c r="B177" s="14">
        <v>2.4163049316406249</v>
      </c>
      <c r="C177" s="15">
        <v>2000</v>
      </c>
      <c r="D177" s="16">
        <v>827.71010140762246</v>
      </c>
      <c r="E177" s="16">
        <v>197568.92347106634</v>
      </c>
      <c r="F177" s="16">
        <v>477386.76412206679</v>
      </c>
      <c r="G177" s="16">
        <v>350000</v>
      </c>
      <c r="H177" s="16">
        <v>477386.76412206679</v>
      </c>
      <c r="I177" s="16">
        <v>127386.76412206679</v>
      </c>
      <c r="J177" s="31">
        <f>VLOOKUP(A177,myPEPB!B:C,2)</f>
        <v>13.170000079999999</v>
      </c>
    </row>
    <row r="178" spans="1:10" ht="12.75">
      <c r="A178" s="13">
        <v>45777</v>
      </c>
      <c r="B178" s="14">
        <v>2.3234479980468752</v>
      </c>
      <c r="C178" s="15">
        <v>2000</v>
      </c>
      <c r="D178" s="16">
        <v>860.78965472058326</v>
      </c>
      <c r="E178" s="16">
        <v>198429.71312578692</v>
      </c>
      <c r="F178" s="16">
        <v>461041.11971512536</v>
      </c>
      <c r="G178" s="16">
        <v>352000</v>
      </c>
      <c r="H178" s="16">
        <v>461041.11971512536</v>
      </c>
      <c r="I178" s="16">
        <v>109041.11971512536</v>
      </c>
      <c r="J178" s="31">
        <f>VLOOKUP(A178,myPEPB!B:C,2)</f>
        <v>12.770000457763672</v>
      </c>
    </row>
    <row r="179" spans="1:10" ht="12.75">
      <c r="A179" s="13">
        <v>45807</v>
      </c>
      <c r="B179" s="14">
        <v>2.3657529296875</v>
      </c>
      <c r="C179" s="15">
        <v>2000</v>
      </c>
      <c r="D179" s="16">
        <v>845.39681845144605</v>
      </c>
      <c r="E179" s="16">
        <v>199275.10994423836</v>
      </c>
      <c r="F179" s="16">
        <v>471435.67516438052</v>
      </c>
      <c r="G179" s="16">
        <v>354000</v>
      </c>
      <c r="H179" s="16">
        <v>471435.67516438052</v>
      </c>
      <c r="I179" s="16">
        <v>117435.67516438052</v>
      </c>
      <c r="J179" s="31">
        <f>VLOOKUP(A179,myPEPB!B:C,2)</f>
        <v>12.689999580383301</v>
      </c>
    </row>
    <row r="180" spans="1:10" ht="12.75">
      <c r="A180" s="13">
        <v>45838</v>
      </c>
      <c r="B180" s="14">
        <v>2.4139379882812499</v>
      </c>
      <c r="C180" s="15">
        <v>2000</v>
      </c>
      <c r="D180" s="16">
        <v>828.52169761992172</v>
      </c>
      <c r="E180" s="16">
        <v>200103.63164185829</v>
      </c>
      <c r="F180" s="16">
        <v>483037.75801331969</v>
      </c>
      <c r="G180" s="16">
        <v>356000</v>
      </c>
      <c r="H180" s="16">
        <v>483037.75801331969</v>
      </c>
      <c r="I180" s="16">
        <v>127037.75801331969</v>
      </c>
      <c r="J180" s="31">
        <f>VLOOKUP(A180,myPEPB!B:C,2)</f>
        <v>13.210000040000001</v>
      </c>
    </row>
    <row r="181" spans="1:10" ht="12.75">
      <c r="A181" s="13">
        <v>45869</v>
      </c>
      <c r="B181" s="14">
        <v>2.5139909667968752</v>
      </c>
      <c r="C181" s="15">
        <v>2000</v>
      </c>
      <c r="D181" s="16">
        <v>795.54780681978298</v>
      </c>
      <c r="E181" s="16">
        <v>200899.17944867807</v>
      </c>
      <c r="F181" s="16">
        <v>505058.72237088112</v>
      </c>
      <c r="G181" s="16">
        <v>358000</v>
      </c>
      <c r="H181" s="16">
        <v>505058.72237088112</v>
      </c>
      <c r="I181" s="16">
        <v>147058.72237088112</v>
      </c>
      <c r="J181" s="31">
        <f>VLOOKUP(A181,myPEPB!B:C,2)</f>
        <v>13.75</v>
      </c>
    </row>
    <row r="182" spans="1:10" ht="12.75">
      <c r="A182" s="13">
        <v>45898</v>
      </c>
      <c r="B182" s="14">
        <v>2.7677910156249999</v>
      </c>
      <c r="C182" s="15">
        <v>2000</v>
      </c>
      <c r="D182" s="16">
        <v>722.59790884116887</v>
      </c>
      <c r="E182" s="16">
        <v>201621.77735751923</v>
      </c>
      <c r="F182" s="16">
        <v>558046.94392448571</v>
      </c>
      <c r="G182" s="16">
        <v>360000</v>
      </c>
      <c r="H182" s="16">
        <v>558046.94392448571</v>
      </c>
      <c r="I182" s="16">
        <v>198046.94392448571</v>
      </c>
      <c r="J182" s="31">
        <f>VLOOKUP(A182,myPEPB!B:C,2)</f>
        <v>14.94999981</v>
      </c>
    </row>
    <row r="183" spans="1:10" ht="12.75">
      <c r="A183" s="13">
        <v>45930</v>
      </c>
      <c r="B183" s="14">
        <v>2.9145400390625</v>
      </c>
      <c r="C183" s="15">
        <v>2000</v>
      </c>
      <c r="D183" s="16">
        <v>686.21462501620874</v>
      </c>
      <c r="E183" s="16">
        <v>202307.99198253543</v>
      </c>
      <c r="F183" s="16">
        <v>589634.74285543477</v>
      </c>
      <c r="G183" s="16">
        <v>362000</v>
      </c>
      <c r="H183" s="16">
        <v>589634.74285543477</v>
      </c>
      <c r="I183" s="16">
        <v>227634.74285543477</v>
      </c>
      <c r="J183" s="31">
        <f>VLOOKUP(A183,myPEPB!B:C,2)</f>
        <v>15.18999958</v>
      </c>
    </row>
    <row r="184" spans="1:10" ht="12.75">
      <c r="A184" s="13">
        <v>45961</v>
      </c>
      <c r="B184" s="14">
        <v>2.9186899414062499</v>
      </c>
      <c r="C184" s="15">
        <v>2000</v>
      </c>
      <c r="D184" s="16">
        <v>685.23893943883013</v>
      </c>
      <c r="E184" s="16">
        <v>202993.23092197426</v>
      </c>
      <c r="F184" s="16">
        <v>592474.30126552237</v>
      </c>
      <c r="G184" s="16">
        <v>364000</v>
      </c>
      <c r="H184" s="16">
        <v>592474.30126552237</v>
      </c>
      <c r="I184" s="16">
        <v>228474.30126552237</v>
      </c>
      <c r="J184" s="31">
        <f>VLOOKUP(A184,myPEPB!B:C,2)</f>
        <v>15.55000019</v>
      </c>
    </row>
    <row r="185" spans="1:10" ht="12.75">
      <c r="A185" s="13">
        <v>45989</v>
      </c>
      <c r="B185" s="14">
        <v>2.8418540039062501</v>
      </c>
      <c r="C185" s="15">
        <v>2000</v>
      </c>
      <c r="D185" s="16">
        <v>703.76592085691743</v>
      </c>
      <c r="E185" s="16">
        <v>203696.99684283117</v>
      </c>
      <c r="F185" s="16">
        <v>578877.12606147851</v>
      </c>
      <c r="G185" s="16">
        <v>366000</v>
      </c>
      <c r="H185" s="16">
        <v>578877.12606147851</v>
      </c>
      <c r="I185" s="16">
        <v>212877.12606147851</v>
      </c>
      <c r="J185" s="31">
        <f>VLOOKUP(A185,myPEPB!B:C,2)</f>
        <v>14.670000079999999</v>
      </c>
    </row>
    <row r="186" spans="1:10" ht="12.75">
      <c r="A186" s="13">
        <v>46022</v>
      </c>
      <c r="B186" s="14">
        <v>2.9221650390625</v>
      </c>
      <c r="C186" s="15">
        <v>2000</v>
      </c>
      <c r="D186" s="16">
        <v>684.42403945864999</v>
      </c>
      <c r="E186" s="16">
        <v>204381.42088228982</v>
      </c>
      <c r="F186" s="16">
        <v>597236.24273614574</v>
      </c>
      <c r="G186" s="16">
        <v>368000</v>
      </c>
      <c r="H186" s="16">
        <v>597236.24273614574</v>
      </c>
      <c r="I186" s="16">
        <v>229236.24273614574</v>
      </c>
      <c r="J186" s="31">
        <f>VLOOKUP(A186,myPEPB!B:C,2)</f>
        <v>15.5</v>
      </c>
    </row>
    <row r="187" spans="1:10" ht="12.75">
      <c r="A187" s="13">
        <v>46052</v>
      </c>
      <c r="B187" s="14">
        <v>2.9878330078125002</v>
      </c>
      <c r="C187" s="15">
        <v>2000</v>
      </c>
      <c r="D187" s="16">
        <v>669.38145296957941</v>
      </c>
      <c r="E187" s="16">
        <v>205050.80233525939</v>
      </c>
      <c r="F187" s="16">
        <v>612657.55549572455</v>
      </c>
      <c r="G187" s="16">
        <v>370000</v>
      </c>
      <c r="H187" s="16">
        <v>612657.55549572455</v>
      </c>
      <c r="I187" s="16">
        <v>242657.55549572455</v>
      </c>
      <c r="J187" s="31">
        <f>VLOOKUP(A187,myPEPB!B:C,2)</f>
        <v>15.68999958</v>
      </c>
    </row>
    <row r="188" spans="1:10" ht="12.75">
      <c r="A188" s="13">
        <v>46080</v>
      </c>
      <c r="B188" s="14">
        <v>2.9916479492187502</v>
      </c>
      <c r="C188" s="15">
        <v>2000</v>
      </c>
      <c r="D188" s="16">
        <v>668.52785954386354</v>
      </c>
      <c r="E188" s="16">
        <v>205719.33019480325</v>
      </c>
      <c r="F188" s="16">
        <v>615439.812291938</v>
      </c>
      <c r="G188" s="16">
        <v>372000</v>
      </c>
      <c r="H188" s="16">
        <v>615439.812291938</v>
      </c>
      <c r="I188" s="16">
        <v>243439.812291938</v>
      </c>
      <c r="J188" s="31">
        <f>VLOOKUP(A188,myPEPB!B:C,2)</f>
        <v>15.64000034</v>
      </c>
    </row>
    <row r="189" spans="1:10" ht="12.75">
      <c r="A189" s="13">
        <v>46112</v>
      </c>
      <c r="B189" s="14">
        <v>2.8264689941406251</v>
      </c>
      <c r="C189" s="15">
        <v>2000</v>
      </c>
      <c r="D189" s="16">
        <v>707.59665297799972</v>
      </c>
      <c r="E189" s="16">
        <v>206426.92684778126</v>
      </c>
      <c r="F189" s="16">
        <v>583459.30829098867</v>
      </c>
      <c r="G189" s="16">
        <v>374000</v>
      </c>
      <c r="H189" s="16">
        <v>583459.30829098867</v>
      </c>
      <c r="I189" s="16">
        <v>209459.30829098867</v>
      </c>
      <c r="J189" s="31">
        <f>VLOOKUP(A189,myPEPB!B:C,2)</f>
        <v>15.079999920000001</v>
      </c>
    </row>
    <row r="190" spans="1:10" ht="12.75">
      <c r="A190" s="13">
        <v>46142</v>
      </c>
      <c r="B190" s="14">
        <v>3.0348820800781251</v>
      </c>
      <c r="C190" s="15">
        <v>2000</v>
      </c>
      <c r="D190" s="16">
        <v>659.00418771740715</v>
      </c>
      <c r="E190" s="16">
        <v>207085.93103549865</v>
      </c>
      <c r="F190" s="16">
        <v>628481.38113592926</v>
      </c>
      <c r="G190" s="16">
        <v>376000</v>
      </c>
      <c r="H190" s="16">
        <v>628481.38113592926</v>
      </c>
      <c r="I190" s="16">
        <v>252481.38113592926</v>
      </c>
      <c r="J190" s="31">
        <f>VLOOKUP(A190,myPEPB!B:C,2)</f>
        <v>15.90999985</v>
      </c>
    </row>
    <row r="191" spans="1:10" ht="12.75">
      <c r="A191" s="13">
        <v>46171</v>
      </c>
      <c r="B191" s="14">
        <v>3.0573879394531249</v>
      </c>
      <c r="C191" s="15">
        <v>2000</v>
      </c>
      <c r="D191" s="16">
        <v>654.15316590728094</v>
      </c>
      <c r="E191" s="16">
        <v>207740.08420140593</v>
      </c>
      <c r="F191" s="16">
        <v>635142.02797835518</v>
      </c>
      <c r="G191" s="16">
        <v>378000</v>
      </c>
      <c r="H191" s="16">
        <v>635142.02797835518</v>
      </c>
      <c r="I191" s="16">
        <v>257142.02797835518</v>
      </c>
      <c r="J191" s="31">
        <f>VLOOKUP(A191,myPEPB!B:C,2)</f>
        <v>15.93999958</v>
      </c>
    </row>
    <row r="192" spans="1:10" ht="12.75">
      <c r="A192" s="13">
        <v>46203</v>
      </c>
      <c r="B192" s="14">
        <v>3.0566389160156251</v>
      </c>
      <c r="C192" s="15">
        <v>2000</v>
      </c>
      <c r="D192" s="16">
        <v>654.31346487174551</v>
      </c>
      <c r="E192" s="16">
        <v>208394.39766627768</v>
      </c>
      <c r="F192" s="16">
        <v>636986.42578638019</v>
      </c>
      <c r="G192" s="16">
        <v>380000</v>
      </c>
      <c r="H192" s="16">
        <v>636986.42578638019</v>
      </c>
      <c r="I192" s="16">
        <v>256986.42578638019</v>
      </c>
      <c r="J192" s="31">
        <f>VLOOKUP(A192,myPEPB!B:C,2)</f>
        <v>16.190000529999999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1290"/>
  <sheetViews>
    <sheetView workbookViewId="0">
      <selection activeCell="B3" sqref="B3"/>
    </sheetView>
  </sheetViews>
  <sheetFormatPr defaultRowHeight="12.75"/>
  <cols>
    <col min="1" max="1" width="9" style="17"/>
    <col min="2" max="2" width="8.5" style="17" customWidth="1"/>
    <col min="3" max="3" width="6.625" style="17" customWidth="1"/>
    <col min="4" max="16384" width="9" style="17"/>
  </cols>
  <sheetData>
    <row r="1" spans="1:4" ht="12.75" customHeight="1">
      <c r="B1" s="39" t="s">
        <v>180</v>
      </c>
      <c r="C1" s="23">
        <v>399378</v>
      </c>
    </row>
    <row r="2" spans="1:4" ht="12.75" customHeight="1">
      <c r="B2" s="39"/>
      <c r="C2" s="18" t="s">
        <v>0</v>
      </c>
      <c r="D2" s="19" t="s">
        <v>181</v>
      </c>
    </row>
    <row r="3" spans="1:4" ht="12.75" customHeight="1">
      <c r="A3" s="17">
        <v>1</v>
      </c>
      <c r="B3" s="20">
        <v>44295</v>
      </c>
      <c r="C3" s="21">
        <v>16.260000000000002</v>
      </c>
      <c r="D3" s="25">
        <f>C3</f>
        <v>16.260000000000002</v>
      </c>
    </row>
    <row r="4" spans="1:4" ht="12.75" customHeight="1">
      <c r="A4" s="17">
        <f>A3+1</f>
        <v>2</v>
      </c>
      <c r="B4" s="20">
        <v>44298</v>
      </c>
      <c r="C4" s="21">
        <v>16.07</v>
      </c>
      <c r="D4" s="17">
        <f>SUM($C$3:C4)/A4</f>
        <v>16.164999999999999</v>
      </c>
    </row>
    <row r="5" spans="1:4" ht="12.75" customHeight="1">
      <c r="A5" s="17">
        <f t="shared" ref="A5:A68" si="0">A4+1</f>
        <v>3</v>
      </c>
      <c r="B5" s="20">
        <v>44299</v>
      </c>
      <c r="C5" s="21">
        <v>16.059999999999999</v>
      </c>
      <c r="D5" s="17">
        <f>SUM($C$3:C5)/A5</f>
        <v>16.13</v>
      </c>
    </row>
    <row r="6" spans="1:4" ht="12.75" customHeight="1">
      <c r="A6" s="17">
        <f t="shared" si="0"/>
        <v>4</v>
      </c>
      <c r="B6" s="20">
        <v>44300</v>
      </c>
      <c r="C6" s="21">
        <v>16.18</v>
      </c>
      <c r="D6" s="17">
        <f>SUM($C$3:C6)/A6</f>
        <v>16.142499999999998</v>
      </c>
    </row>
    <row r="7" spans="1:4" ht="12.75" customHeight="1">
      <c r="A7" s="17">
        <f t="shared" si="0"/>
        <v>5</v>
      </c>
      <c r="B7" s="20">
        <v>44301</v>
      </c>
      <c r="C7" s="21">
        <v>16.07</v>
      </c>
      <c r="D7" s="17">
        <f>SUM($C$3:C7)/A7</f>
        <v>16.127999999999997</v>
      </c>
    </row>
    <row r="8" spans="1:4" ht="12.75" customHeight="1">
      <c r="A8" s="17">
        <f t="shared" si="0"/>
        <v>6</v>
      </c>
      <c r="B8" s="20">
        <v>44302</v>
      </c>
      <c r="C8" s="21">
        <v>16.16</v>
      </c>
      <c r="D8" s="17">
        <f>SUM($C$3:C8)/A8</f>
        <v>16.133333333333329</v>
      </c>
    </row>
    <row r="9" spans="1:4" ht="12.75" customHeight="1">
      <c r="A9" s="17">
        <f t="shared" si="0"/>
        <v>7</v>
      </c>
      <c r="B9" s="20">
        <v>44305</v>
      </c>
      <c r="C9" s="21">
        <v>16.5</v>
      </c>
      <c r="D9" s="17">
        <f>SUM($C$3:C9)/A9</f>
        <v>16.185714285714283</v>
      </c>
    </row>
    <row r="10" spans="1:4" ht="12.75" customHeight="1">
      <c r="A10" s="17">
        <f t="shared" si="0"/>
        <v>8</v>
      </c>
      <c r="B10" s="20">
        <v>44306</v>
      </c>
      <c r="C10" s="21">
        <v>16.489999999999998</v>
      </c>
      <c r="D10" s="17">
        <f>SUM($C$3:C10)/A10</f>
        <v>16.223749999999999</v>
      </c>
    </row>
    <row r="11" spans="1:4" ht="12.75" customHeight="1">
      <c r="A11" s="17">
        <f t="shared" si="0"/>
        <v>9</v>
      </c>
      <c r="B11" s="20">
        <v>44307</v>
      </c>
      <c r="C11" s="21">
        <v>16.54</v>
      </c>
      <c r="D11" s="17">
        <f>SUM($C$3:C11)/A11</f>
        <v>16.258888888888887</v>
      </c>
    </row>
    <row r="12" spans="1:4" ht="12.75" customHeight="1">
      <c r="A12" s="17">
        <f t="shared" si="0"/>
        <v>10</v>
      </c>
      <c r="B12" s="20">
        <v>44308</v>
      </c>
      <c r="C12" s="21">
        <v>16.510000000000002</v>
      </c>
      <c r="D12" s="17">
        <f>SUM($C$3:C12)/A12</f>
        <v>16.283999999999999</v>
      </c>
    </row>
    <row r="13" spans="1:4" ht="12.75" customHeight="1">
      <c r="A13" s="17">
        <f t="shared" si="0"/>
        <v>11</v>
      </c>
      <c r="B13" s="20">
        <v>44309</v>
      </c>
      <c r="C13" s="21">
        <v>16.66</v>
      </c>
      <c r="D13" s="17">
        <f>SUM($C$3:C13)/A13</f>
        <v>16.318181818181817</v>
      </c>
    </row>
    <row r="14" spans="1:4" ht="12.75" customHeight="1">
      <c r="A14" s="17">
        <f t="shared" si="0"/>
        <v>12</v>
      </c>
      <c r="B14" s="20">
        <v>44312</v>
      </c>
      <c r="C14" s="21">
        <v>16.47</v>
      </c>
      <c r="D14" s="17">
        <f>SUM($C$3:C14)/A14</f>
        <v>16.330833333333331</v>
      </c>
    </row>
    <row r="15" spans="1:4" ht="12.75" customHeight="1">
      <c r="A15" s="17">
        <f t="shared" si="0"/>
        <v>13</v>
      </c>
      <c r="B15" s="20">
        <v>44313</v>
      </c>
      <c r="C15" s="21">
        <v>16.54</v>
      </c>
      <c r="D15" s="17">
        <f>SUM($C$3:C15)/A15</f>
        <v>16.346923076923073</v>
      </c>
    </row>
    <row r="16" spans="1:4" ht="12.75" customHeight="1">
      <c r="A16" s="17">
        <f t="shared" si="0"/>
        <v>14</v>
      </c>
      <c r="B16" s="20">
        <v>44314</v>
      </c>
      <c r="C16" s="21">
        <v>16.64</v>
      </c>
      <c r="D16" s="17">
        <f>SUM($C$3:C16)/A16</f>
        <v>16.36785714285714</v>
      </c>
    </row>
    <row r="17" spans="1:4" ht="12.75" customHeight="1">
      <c r="A17" s="17">
        <f t="shared" si="0"/>
        <v>15</v>
      </c>
      <c r="B17" s="20">
        <v>44315</v>
      </c>
      <c r="C17" s="21">
        <v>16.75</v>
      </c>
      <c r="D17" s="17">
        <f>SUM($C$3:C17)/A17</f>
        <v>16.393333333333331</v>
      </c>
    </row>
    <row r="18" spans="1:4" ht="12.75" customHeight="1">
      <c r="A18" s="17">
        <f t="shared" si="0"/>
        <v>16</v>
      </c>
      <c r="B18" s="20">
        <v>44316</v>
      </c>
      <c r="C18" s="21">
        <v>16.649999999999999</v>
      </c>
      <c r="D18" s="17">
        <f>SUM($C$3:C18)/A18</f>
        <v>16.409374999999997</v>
      </c>
    </row>
    <row r="19" spans="1:4" ht="12.75" customHeight="1">
      <c r="A19" s="17">
        <f t="shared" si="0"/>
        <v>17</v>
      </c>
      <c r="B19" s="20">
        <v>44322</v>
      </c>
      <c r="C19" s="21">
        <v>14.26</v>
      </c>
      <c r="D19" s="17">
        <f>SUM($C$3:C19)/A19</f>
        <v>16.282941176470587</v>
      </c>
    </row>
    <row r="20" spans="1:4" ht="12.75" customHeight="1">
      <c r="A20" s="17">
        <f t="shared" si="0"/>
        <v>18</v>
      </c>
      <c r="B20" s="20">
        <v>44323</v>
      </c>
      <c r="C20" s="21">
        <v>14.12</v>
      </c>
      <c r="D20" s="17">
        <f>SUM($C$3:C20)/A20</f>
        <v>16.162777777777777</v>
      </c>
    </row>
    <row r="21" spans="1:4" ht="12.75" customHeight="1">
      <c r="A21" s="17">
        <f t="shared" si="0"/>
        <v>19</v>
      </c>
      <c r="B21" s="20">
        <v>44326</v>
      </c>
      <c r="C21" s="21">
        <v>14.12</v>
      </c>
      <c r="D21" s="17">
        <f>SUM($C$3:C21)/A21</f>
        <v>16.055263157894736</v>
      </c>
    </row>
    <row r="22" spans="1:4" ht="12.75" customHeight="1">
      <c r="A22" s="17">
        <f t="shared" si="0"/>
        <v>20</v>
      </c>
      <c r="B22" s="20">
        <v>44327</v>
      </c>
      <c r="C22" s="21">
        <v>14.17</v>
      </c>
      <c r="D22" s="17">
        <f>SUM($C$3:C22)/A22</f>
        <v>15.960999999999999</v>
      </c>
    </row>
    <row r="23" spans="1:4" ht="12.75" customHeight="1">
      <c r="A23" s="17">
        <f t="shared" si="0"/>
        <v>21</v>
      </c>
      <c r="B23" s="20">
        <v>44328</v>
      </c>
      <c r="C23" s="21">
        <v>14.25</v>
      </c>
      <c r="D23" s="17">
        <f>SUM($C$3:C23)/A23</f>
        <v>15.879523809523809</v>
      </c>
    </row>
    <row r="24" spans="1:4" ht="12.75" customHeight="1">
      <c r="A24" s="17">
        <f t="shared" si="0"/>
        <v>22</v>
      </c>
      <c r="B24" s="20">
        <v>44329</v>
      </c>
      <c r="C24" s="21">
        <v>14.1</v>
      </c>
      <c r="D24" s="17">
        <f>SUM($C$3:C24)/A24</f>
        <v>15.798636363636364</v>
      </c>
    </row>
    <row r="25" spans="1:4" ht="12.75" customHeight="1">
      <c r="A25" s="17">
        <f t="shared" si="0"/>
        <v>23</v>
      </c>
      <c r="B25" s="20">
        <v>44330</v>
      </c>
      <c r="C25" s="21">
        <v>14.34</v>
      </c>
      <c r="D25" s="17">
        <f>SUM($C$3:C25)/A25</f>
        <v>15.735217391304346</v>
      </c>
    </row>
    <row r="26" spans="1:4" ht="12.75" customHeight="1">
      <c r="A26" s="17">
        <f t="shared" si="0"/>
        <v>24</v>
      </c>
      <c r="B26" s="20">
        <v>44333</v>
      </c>
      <c r="C26" s="21">
        <v>14.58</v>
      </c>
      <c r="D26" s="17">
        <f>SUM($C$3:C26)/A26</f>
        <v>15.687083333333332</v>
      </c>
    </row>
    <row r="27" spans="1:4" ht="12.75" customHeight="1">
      <c r="A27" s="17">
        <f t="shared" si="0"/>
        <v>25</v>
      </c>
      <c r="B27" s="20">
        <v>44334</v>
      </c>
      <c r="C27" s="21">
        <v>14.59</v>
      </c>
      <c r="D27" s="17">
        <f>SUM($C$3:C27)/A27</f>
        <v>15.643199999999997</v>
      </c>
    </row>
    <row r="28" spans="1:4" ht="12.75" customHeight="1">
      <c r="A28" s="17">
        <f t="shared" si="0"/>
        <v>26</v>
      </c>
      <c r="B28" s="20">
        <v>44335</v>
      </c>
      <c r="C28" s="21">
        <v>14.53</v>
      </c>
      <c r="D28" s="17">
        <f>SUM($C$3:C28)/A28</f>
        <v>15.600384615384611</v>
      </c>
    </row>
    <row r="29" spans="1:4" ht="12.75" customHeight="1">
      <c r="A29" s="17">
        <f t="shared" si="0"/>
        <v>27</v>
      </c>
      <c r="B29" s="20">
        <v>44336</v>
      </c>
      <c r="C29" s="21">
        <v>14.54</v>
      </c>
      <c r="D29" s="17">
        <f>SUM($C$3:C29)/A29</f>
        <v>15.561111111111108</v>
      </c>
    </row>
    <row r="30" spans="1:4" ht="12.75" customHeight="1">
      <c r="A30" s="17">
        <f t="shared" si="0"/>
        <v>28</v>
      </c>
      <c r="B30" s="20">
        <v>44337</v>
      </c>
      <c r="C30" s="21">
        <v>14.43</v>
      </c>
      <c r="D30" s="17">
        <f>SUM($C$3:C30)/A30</f>
        <v>15.520714285714282</v>
      </c>
    </row>
    <row r="31" spans="1:4" ht="12.75" customHeight="1">
      <c r="A31" s="17">
        <f t="shared" si="0"/>
        <v>29</v>
      </c>
      <c r="B31" s="20">
        <v>44340</v>
      </c>
      <c r="C31" s="21">
        <v>14.49</v>
      </c>
      <c r="D31" s="17">
        <f>SUM($C$3:C31)/A31</f>
        <v>15.485172413793101</v>
      </c>
    </row>
    <row r="32" spans="1:4" ht="12.75" customHeight="1">
      <c r="A32" s="17">
        <f t="shared" si="0"/>
        <v>30</v>
      </c>
      <c r="B32" s="20">
        <v>44341</v>
      </c>
      <c r="C32" s="21">
        <v>14.9</v>
      </c>
      <c r="D32" s="17">
        <f>SUM($C$3:C32)/A32</f>
        <v>15.465666666666664</v>
      </c>
    </row>
    <row r="33" spans="1:4" ht="12.75" customHeight="1">
      <c r="A33" s="17">
        <f t="shared" si="0"/>
        <v>31</v>
      </c>
      <c r="B33" s="20">
        <v>44342</v>
      </c>
      <c r="C33" s="21">
        <v>14.9</v>
      </c>
      <c r="D33" s="17">
        <f>SUM($C$3:C33)/A33</f>
        <v>15.447419354838706</v>
      </c>
    </row>
    <row r="34" spans="1:4" ht="12.75" customHeight="1">
      <c r="A34" s="17">
        <f t="shared" si="0"/>
        <v>32</v>
      </c>
      <c r="B34" s="20">
        <v>44343</v>
      </c>
      <c r="C34" s="21">
        <v>14.94</v>
      </c>
      <c r="D34" s="17">
        <f>SUM($C$3:C34)/A34</f>
        <v>15.431562499999997</v>
      </c>
    </row>
    <row r="35" spans="1:4" ht="12.75" customHeight="1">
      <c r="A35" s="17">
        <f t="shared" si="0"/>
        <v>33</v>
      </c>
      <c r="B35" s="20">
        <v>44344</v>
      </c>
      <c r="C35" s="21">
        <v>14.92</v>
      </c>
      <c r="D35" s="17">
        <f>SUM($C$3:C35)/A35</f>
        <v>15.416060606060602</v>
      </c>
    </row>
    <row r="36" spans="1:4" ht="12.75" customHeight="1">
      <c r="A36" s="17">
        <f t="shared" si="0"/>
        <v>34</v>
      </c>
      <c r="B36" s="20">
        <v>44347</v>
      </c>
      <c r="C36" s="21">
        <v>14.94</v>
      </c>
      <c r="D36" s="17">
        <f>SUM($C$3:C36)/A36</f>
        <v>15.40205882352941</v>
      </c>
    </row>
    <row r="37" spans="1:4" ht="12.75" customHeight="1">
      <c r="A37" s="17">
        <f t="shared" si="0"/>
        <v>35</v>
      </c>
      <c r="B37" s="20">
        <v>44348</v>
      </c>
      <c r="C37" s="21">
        <v>14.98</v>
      </c>
      <c r="D37" s="17">
        <f>SUM($C$3:C37)/A37</f>
        <v>15.389999999999999</v>
      </c>
    </row>
    <row r="38" spans="1:4" ht="12.75" customHeight="1">
      <c r="A38" s="17">
        <f t="shared" si="0"/>
        <v>36</v>
      </c>
      <c r="B38" s="20">
        <v>44349</v>
      </c>
      <c r="C38" s="21">
        <v>14.87</v>
      </c>
      <c r="D38" s="17">
        <f>SUM($C$3:C38)/A38</f>
        <v>15.375555555555556</v>
      </c>
    </row>
    <row r="39" spans="1:4" ht="12.75" customHeight="1">
      <c r="A39" s="17">
        <f t="shared" si="0"/>
        <v>37</v>
      </c>
      <c r="B39" s="20">
        <v>44350</v>
      </c>
      <c r="C39" s="21">
        <v>14.78</v>
      </c>
      <c r="D39" s="17">
        <f>SUM($C$3:C39)/A39</f>
        <v>15.359459459459458</v>
      </c>
    </row>
    <row r="40" spans="1:4" ht="12.75" customHeight="1">
      <c r="A40" s="17">
        <f t="shared" si="0"/>
        <v>38</v>
      </c>
      <c r="B40" s="20">
        <v>44351</v>
      </c>
      <c r="C40" s="21">
        <v>14.85</v>
      </c>
      <c r="D40" s="17">
        <f>SUM($C$3:C40)/A40</f>
        <v>15.346052631578948</v>
      </c>
    </row>
    <row r="41" spans="1:4" ht="12.75" customHeight="1">
      <c r="A41" s="17">
        <f t="shared" si="0"/>
        <v>39</v>
      </c>
      <c r="B41" s="20">
        <v>44354</v>
      </c>
      <c r="C41" s="21">
        <v>14.82</v>
      </c>
      <c r="D41" s="17">
        <f>SUM($C$3:C41)/A41</f>
        <v>15.332564102564103</v>
      </c>
    </row>
    <row r="42" spans="1:4" ht="12.75" customHeight="1">
      <c r="A42" s="17">
        <f t="shared" si="0"/>
        <v>40</v>
      </c>
      <c r="B42" s="20">
        <v>44355</v>
      </c>
      <c r="C42" s="21">
        <v>14.68</v>
      </c>
      <c r="D42" s="17">
        <f>SUM($C$3:C42)/A42</f>
        <v>15.31625</v>
      </c>
    </row>
    <row r="43" spans="1:4" ht="12.75" customHeight="1">
      <c r="A43" s="17">
        <f t="shared" si="0"/>
        <v>41</v>
      </c>
      <c r="B43" s="20">
        <v>44356</v>
      </c>
      <c r="C43" s="21">
        <v>14.72</v>
      </c>
      <c r="D43" s="17">
        <f>SUM($C$3:C43)/A43</f>
        <v>15.301707317073172</v>
      </c>
    </row>
    <row r="44" spans="1:4" ht="12.75" customHeight="1">
      <c r="A44" s="17">
        <f t="shared" si="0"/>
        <v>42</v>
      </c>
      <c r="B44" s="20">
        <v>44357</v>
      </c>
      <c r="C44" s="21">
        <v>14.84</v>
      </c>
      <c r="D44" s="17">
        <f>SUM($C$3:C44)/A44</f>
        <v>15.290714285714287</v>
      </c>
    </row>
    <row r="45" spans="1:4" ht="12.75" customHeight="1">
      <c r="A45" s="17">
        <f t="shared" si="0"/>
        <v>43</v>
      </c>
      <c r="B45" s="20">
        <v>44358</v>
      </c>
      <c r="C45" s="21">
        <v>14.76</v>
      </c>
      <c r="D45" s="17">
        <f>SUM($C$3:C45)/A45</f>
        <v>15.278372093023256</v>
      </c>
    </row>
    <row r="46" spans="1:4" ht="12.75" customHeight="1">
      <c r="A46" s="17">
        <f t="shared" si="0"/>
        <v>44</v>
      </c>
      <c r="B46" s="20">
        <v>44362</v>
      </c>
      <c r="C46" s="21">
        <v>14.68</v>
      </c>
      <c r="D46" s="17">
        <f>SUM($C$3:C46)/A46</f>
        <v>15.264772727272726</v>
      </c>
    </row>
    <row r="47" spans="1:4" ht="12.75" customHeight="1">
      <c r="A47" s="17">
        <f t="shared" si="0"/>
        <v>45</v>
      </c>
      <c r="B47" s="20">
        <v>44363</v>
      </c>
      <c r="C47" s="21">
        <v>14.46</v>
      </c>
      <c r="D47" s="17">
        <f>SUM($C$3:C47)/A47</f>
        <v>15.24688888888889</v>
      </c>
    </row>
    <row r="48" spans="1:4" ht="12.75" customHeight="1">
      <c r="A48" s="17">
        <f t="shared" si="0"/>
        <v>46</v>
      </c>
      <c r="B48" s="20">
        <v>44364</v>
      </c>
      <c r="C48" s="21">
        <v>14.45</v>
      </c>
      <c r="D48" s="17">
        <f>SUM($C$3:C48)/A48</f>
        <v>15.229565217391306</v>
      </c>
    </row>
    <row r="49" spans="1:4" ht="12.75" customHeight="1">
      <c r="A49" s="17">
        <f t="shared" si="0"/>
        <v>47</v>
      </c>
      <c r="B49" s="20">
        <v>44365</v>
      </c>
      <c r="C49" s="21">
        <v>14.39</v>
      </c>
      <c r="D49" s="17">
        <f>SUM($C$3:C49)/A49</f>
        <v>15.211702127659576</v>
      </c>
    </row>
    <row r="50" spans="1:4" ht="12.75" customHeight="1">
      <c r="A50" s="17">
        <f t="shared" si="0"/>
        <v>48</v>
      </c>
      <c r="B50" s="20">
        <v>44368</v>
      </c>
      <c r="C50" s="21">
        <v>14.33</v>
      </c>
      <c r="D50" s="17">
        <f>SUM($C$3:C50)/A50</f>
        <v>15.193333333333335</v>
      </c>
    </row>
    <row r="51" spans="1:4" ht="12.75" customHeight="1">
      <c r="A51" s="17">
        <f t="shared" si="0"/>
        <v>49</v>
      </c>
      <c r="B51" s="20">
        <v>44369</v>
      </c>
      <c r="C51" s="21">
        <v>14.47</v>
      </c>
      <c r="D51" s="17">
        <f>SUM($C$3:C51)/A51</f>
        <v>15.178571428571431</v>
      </c>
    </row>
    <row r="52" spans="1:4" ht="12.75" customHeight="1">
      <c r="A52" s="17">
        <f t="shared" si="0"/>
        <v>50</v>
      </c>
      <c r="B52" s="20">
        <v>44370</v>
      </c>
      <c r="C52" s="21">
        <v>14.48</v>
      </c>
      <c r="D52" s="17">
        <f>SUM($C$3:C52)/A52</f>
        <v>15.164600000000002</v>
      </c>
    </row>
    <row r="53" spans="1:4" ht="12.75" customHeight="1">
      <c r="A53" s="17">
        <f t="shared" si="0"/>
        <v>51</v>
      </c>
      <c r="B53" s="20">
        <v>44371</v>
      </c>
      <c r="C53" s="21">
        <v>14.54</v>
      </c>
      <c r="D53" s="17">
        <f>SUM($C$3:C53)/A53</f>
        <v>15.152352941176472</v>
      </c>
    </row>
    <row r="54" spans="1:4" ht="12.75" customHeight="1">
      <c r="A54" s="17">
        <f t="shared" si="0"/>
        <v>52</v>
      </c>
      <c r="B54" s="20">
        <v>44372</v>
      </c>
      <c r="C54" s="21">
        <v>14.74</v>
      </c>
      <c r="D54" s="17">
        <f>SUM($C$3:C54)/A54</f>
        <v>15.144423076923079</v>
      </c>
    </row>
    <row r="55" spans="1:4" ht="12.75" customHeight="1">
      <c r="A55" s="17">
        <f t="shared" si="0"/>
        <v>53</v>
      </c>
      <c r="B55" s="20">
        <v>44375</v>
      </c>
      <c r="C55" s="21">
        <v>14.75</v>
      </c>
      <c r="D55" s="17">
        <f>SUM($C$3:C55)/A55</f>
        <v>15.136981132075473</v>
      </c>
    </row>
    <row r="56" spans="1:4" ht="12.75" customHeight="1">
      <c r="A56" s="17">
        <f t="shared" si="0"/>
        <v>54</v>
      </c>
      <c r="B56" s="20">
        <v>44376</v>
      </c>
      <c r="C56" s="21">
        <v>14.62</v>
      </c>
      <c r="D56" s="17">
        <f>SUM($C$3:C56)/A56</f>
        <v>15.127407407407409</v>
      </c>
    </row>
    <row r="57" spans="1:4" ht="12.75" customHeight="1">
      <c r="A57" s="17">
        <f t="shared" si="0"/>
        <v>55</v>
      </c>
      <c r="B57" s="20">
        <v>44377</v>
      </c>
      <c r="C57" s="21">
        <v>14.7</v>
      </c>
      <c r="D57" s="17">
        <f>SUM($C$3:C57)/A57</f>
        <v>15.119636363636367</v>
      </c>
    </row>
    <row r="58" spans="1:4" ht="12.75" customHeight="1">
      <c r="A58" s="17">
        <f t="shared" si="0"/>
        <v>56</v>
      </c>
      <c r="B58" s="20">
        <v>44378</v>
      </c>
      <c r="C58" s="21">
        <v>14.76</v>
      </c>
      <c r="D58" s="17">
        <f>SUM($C$3:C58)/A58</f>
        <v>15.113214285714289</v>
      </c>
    </row>
    <row r="59" spans="1:4" ht="12.75" customHeight="1">
      <c r="A59" s="17">
        <f t="shared" si="0"/>
        <v>57</v>
      </c>
      <c r="B59" s="20">
        <v>44379</v>
      </c>
      <c r="C59" s="21">
        <v>14.37</v>
      </c>
      <c r="D59" s="17">
        <f>SUM($C$3:C59)/A59</f>
        <v>15.100175438596494</v>
      </c>
    </row>
    <row r="60" spans="1:4" ht="12.75" customHeight="1">
      <c r="A60" s="17">
        <f t="shared" si="0"/>
        <v>58</v>
      </c>
      <c r="B60" s="20">
        <v>44382</v>
      </c>
      <c r="C60" s="21">
        <v>14.36</v>
      </c>
      <c r="D60" s="17">
        <f>SUM($C$3:C60)/A60</f>
        <v>15.087413793103451</v>
      </c>
    </row>
    <row r="61" spans="1:4" ht="12.75" customHeight="1">
      <c r="A61" s="17">
        <f t="shared" si="0"/>
        <v>59</v>
      </c>
      <c r="B61" s="20">
        <v>44383</v>
      </c>
      <c r="C61" s="21">
        <v>14.33</v>
      </c>
      <c r="D61" s="17">
        <f>SUM($C$3:C61)/A61</f>
        <v>15.074576271186444</v>
      </c>
    </row>
    <row r="62" spans="1:4" ht="12.75" customHeight="1">
      <c r="A62" s="17">
        <f t="shared" si="0"/>
        <v>60</v>
      </c>
      <c r="B62" s="20">
        <v>44384</v>
      </c>
      <c r="C62" s="21">
        <v>14.47</v>
      </c>
      <c r="D62" s="17">
        <f>SUM($C$3:C62)/A62</f>
        <v>15.064500000000004</v>
      </c>
    </row>
    <row r="63" spans="1:4" ht="12.75" customHeight="1">
      <c r="A63" s="17">
        <f t="shared" si="0"/>
        <v>61</v>
      </c>
      <c r="B63" s="20">
        <v>44385</v>
      </c>
      <c r="C63" s="21">
        <v>14.3</v>
      </c>
      <c r="D63" s="17">
        <f>SUM($C$3:C63)/A63</f>
        <v>15.051967213114757</v>
      </c>
    </row>
    <row r="64" spans="1:4" ht="12.75" customHeight="1">
      <c r="A64" s="17">
        <f t="shared" si="0"/>
        <v>62</v>
      </c>
      <c r="B64" s="20">
        <v>44386</v>
      </c>
      <c r="C64" s="21">
        <v>14.23</v>
      </c>
      <c r="D64" s="17">
        <f>SUM($C$3:C64)/A64</f>
        <v>15.038709677419359</v>
      </c>
    </row>
    <row r="65" spans="1:4" ht="12.75" customHeight="1">
      <c r="A65" s="17">
        <f t="shared" si="0"/>
        <v>63</v>
      </c>
      <c r="B65" s="20">
        <v>44389</v>
      </c>
      <c r="C65" s="21">
        <v>14.35</v>
      </c>
      <c r="D65" s="17">
        <f>SUM($C$3:C65)/A65</f>
        <v>15.027777777777782</v>
      </c>
    </row>
    <row r="66" spans="1:4" ht="12.75" customHeight="1">
      <c r="A66" s="17">
        <f t="shared" si="0"/>
        <v>64</v>
      </c>
      <c r="B66" s="20">
        <v>44390</v>
      </c>
      <c r="C66" s="21">
        <v>14.41</v>
      </c>
      <c r="D66" s="17">
        <f>SUM($C$3:C66)/A66</f>
        <v>15.018125000000003</v>
      </c>
    </row>
    <row r="67" spans="1:4" ht="12.75" customHeight="1">
      <c r="A67" s="17">
        <f t="shared" si="0"/>
        <v>65</v>
      </c>
      <c r="B67" s="20">
        <v>44391</v>
      </c>
      <c r="C67" s="21">
        <v>14.29</v>
      </c>
      <c r="D67" s="17">
        <f>SUM($C$3:C67)/A67</f>
        <v>15.00692307692308</v>
      </c>
    </row>
    <row r="68" spans="1:4" ht="12.75" customHeight="1">
      <c r="A68" s="17">
        <f t="shared" si="0"/>
        <v>66</v>
      </c>
      <c r="B68" s="20">
        <v>44392</v>
      </c>
      <c r="C68" s="21">
        <v>14.45</v>
      </c>
      <c r="D68" s="17">
        <f>SUM($C$3:C68)/A68</f>
        <v>14.998484848484852</v>
      </c>
    </row>
    <row r="69" spans="1:4" ht="12.75" customHeight="1">
      <c r="A69" s="17">
        <f t="shared" ref="A69:A132" si="1">A68+1</f>
        <v>67</v>
      </c>
      <c r="B69" s="20">
        <v>44393</v>
      </c>
      <c r="C69" s="21">
        <v>14.27</v>
      </c>
      <c r="D69" s="17">
        <f>SUM($C$3:C69)/A69</f>
        <v>14.98761194029851</v>
      </c>
    </row>
    <row r="70" spans="1:4" ht="12.75" customHeight="1">
      <c r="A70" s="17">
        <f t="shared" si="1"/>
        <v>68</v>
      </c>
      <c r="B70" s="20">
        <v>44396</v>
      </c>
      <c r="C70" s="21">
        <v>14.35</v>
      </c>
      <c r="D70" s="17">
        <f>SUM($C$3:C70)/A70</f>
        <v>14.978235294117651</v>
      </c>
    </row>
    <row r="71" spans="1:4" ht="12.75" customHeight="1">
      <c r="A71" s="17">
        <f t="shared" si="1"/>
        <v>69</v>
      </c>
      <c r="B71" s="20">
        <v>44397</v>
      </c>
      <c r="C71" s="21">
        <v>14.3</v>
      </c>
      <c r="D71" s="17">
        <f>SUM($C$3:C71)/A71</f>
        <v>14.968405797101452</v>
      </c>
    </row>
    <row r="72" spans="1:4" ht="12.75" customHeight="1">
      <c r="A72" s="17">
        <f t="shared" si="1"/>
        <v>70</v>
      </c>
      <c r="B72" s="20">
        <v>44398</v>
      </c>
      <c r="C72" s="21">
        <v>14.34</v>
      </c>
      <c r="D72" s="17">
        <f>SUM($C$3:C72)/A72</f>
        <v>14.959428571428573</v>
      </c>
    </row>
    <row r="73" spans="1:4" ht="12.75" customHeight="1">
      <c r="A73" s="17">
        <f t="shared" si="1"/>
        <v>71</v>
      </c>
      <c r="B73" s="20">
        <v>44399</v>
      </c>
      <c r="C73" s="21">
        <v>14.36</v>
      </c>
      <c r="D73" s="17">
        <f>SUM($C$3:C73)/A73</f>
        <v>14.950985915492957</v>
      </c>
    </row>
    <row r="74" spans="1:4" ht="12.75" customHeight="1">
      <c r="A74" s="17">
        <f t="shared" si="1"/>
        <v>72</v>
      </c>
      <c r="B74" s="20">
        <v>44400</v>
      </c>
      <c r="C74" s="21">
        <v>14.16</v>
      </c>
      <c r="D74" s="17">
        <f>SUM($C$3:C74)/A74</f>
        <v>14.940000000000001</v>
      </c>
    </row>
    <row r="75" spans="1:4" ht="12.75" customHeight="1">
      <c r="A75" s="17">
        <f t="shared" si="1"/>
        <v>73</v>
      </c>
      <c r="B75" s="20">
        <v>44403</v>
      </c>
      <c r="C75" s="21">
        <v>13.689999580383301</v>
      </c>
      <c r="D75" s="17">
        <f>SUM($C$3:C75)/A75</f>
        <v>14.922876706580594</v>
      </c>
    </row>
    <row r="76" spans="1:4" ht="12.75" customHeight="1">
      <c r="A76" s="17">
        <f t="shared" si="1"/>
        <v>74</v>
      </c>
      <c r="B76" s="20">
        <v>44404</v>
      </c>
      <c r="C76" s="21">
        <v>13.25</v>
      </c>
      <c r="D76" s="17">
        <f>SUM($C$3:C76)/A76</f>
        <v>14.900270264599776</v>
      </c>
    </row>
    <row r="77" spans="1:4" ht="12.75" customHeight="1">
      <c r="A77" s="17">
        <f t="shared" si="1"/>
        <v>75</v>
      </c>
      <c r="B77" s="20">
        <v>44405</v>
      </c>
      <c r="C77" s="21">
        <v>13.319999694824219</v>
      </c>
      <c r="D77" s="17">
        <f>SUM($C$3:C77)/A77</f>
        <v>14.879199990336101</v>
      </c>
    </row>
    <row r="78" spans="1:4" ht="12.75" customHeight="1">
      <c r="A78" s="17">
        <f t="shared" si="1"/>
        <v>76</v>
      </c>
      <c r="B78" s="20">
        <v>44406</v>
      </c>
      <c r="C78" s="21">
        <v>13.460000038146973</v>
      </c>
      <c r="D78" s="17">
        <f>SUM($C$3:C78)/A78</f>
        <v>14.860526306754664</v>
      </c>
    </row>
    <row r="79" spans="1:4" ht="12.75" customHeight="1">
      <c r="A79" s="17">
        <f t="shared" si="1"/>
        <v>77</v>
      </c>
      <c r="B79" s="20">
        <v>44407</v>
      </c>
      <c r="C79" s="21">
        <v>13.310000419616699</v>
      </c>
      <c r="D79" s="17">
        <f>SUM($C$3:C79)/A79</f>
        <v>14.840389606921704</v>
      </c>
    </row>
    <row r="80" spans="1:4" ht="12.75" customHeight="1">
      <c r="A80" s="17">
        <f t="shared" si="1"/>
        <v>78</v>
      </c>
      <c r="B80" s="20">
        <v>44410</v>
      </c>
      <c r="C80" s="21">
        <v>13.619999885559082</v>
      </c>
      <c r="D80" s="17">
        <f>SUM($C$3:C80)/A80</f>
        <v>14.824743584852953</v>
      </c>
    </row>
    <row r="81" spans="1:4" ht="12.75" customHeight="1">
      <c r="A81" s="17">
        <f t="shared" si="1"/>
        <v>79</v>
      </c>
      <c r="B81" s="20">
        <v>44411</v>
      </c>
      <c r="C81" s="21">
        <v>13.659999847412109</v>
      </c>
      <c r="D81" s="17">
        <f>SUM($C$3:C81)/A81</f>
        <v>14.809999993239778</v>
      </c>
    </row>
    <row r="82" spans="1:4" ht="12.75" customHeight="1">
      <c r="A82" s="17">
        <f t="shared" si="1"/>
        <v>80</v>
      </c>
      <c r="B82" s="20">
        <v>44412</v>
      </c>
      <c r="C82" s="32">
        <v>30.139999389648438</v>
      </c>
      <c r="D82" s="17">
        <f>SUM($C$3:C82)/A82</f>
        <v>15.001624985694885</v>
      </c>
    </row>
    <row r="83" spans="1:4" ht="12.75" customHeight="1">
      <c r="A83" s="17">
        <f t="shared" si="1"/>
        <v>81</v>
      </c>
      <c r="B83" s="20">
        <v>44413</v>
      </c>
      <c r="C83" s="21">
        <v>13.640000343322754</v>
      </c>
      <c r="D83" s="17">
        <f>SUM($C$3:C83)/A83</f>
        <v>14.984814804924859</v>
      </c>
    </row>
    <row r="84" spans="1:4" ht="12.75" customHeight="1">
      <c r="A84" s="17">
        <f t="shared" si="1"/>
        <v>82</v>
      </c>
      <c r="B84" s="20">
        <v>44414</v>
      </c>
      <c r="C84" s="21">
        <v>13.590000152587891</v>
      </c>
      <c r="D84" s="17">
        <f>SUM($C$3:C84)/A84</f>
        <v>14.967804870140263</v>
      </c>
    </row>
    <row r="85" spans="1:4" ht="12.75" customHeight="1">
      <c r="A85" s="17">
        <f t="shared" si="1"/>
        <v>83</v>
      </c>
      <c r="B85" s="20">
        <v>44417</v>
      </c>
      <c r="C85" s="21">
        <v>13.770000457763672</v>
      </c>
      <c r="D85" s="17">
        <f>SUM($C$3:C85)/A85</f>
        <v>14.953373491677894</v>
      </c>
    </row>
    <row r="86" spans="1:4" ht="12.75" customHeight="1">
      <c r="A86" s="17">
        <f t="shared" si="1"/>
        <v>84</v>
      </c>
      <c r="B86" s="20">
        <v>44418</v>
      </c>
      <c r="C86" s="21">
        <v>13.960000038146973</v>
      </c>
      <c r="D86" s="17">
        <f>SUM($C$3:C86)/A86</f>
        <v>14.941547617231098</v>
      </c>
    </row>
    <row r="87" spans="1:4" ht="12.75" customHeight="1">
      <c r="A87" s="17">
        <f t="shared" si="1"/>
        <v>85</v>
      </c>
      <c r="B87" s="20">
        <v>44419</v>
      </c>
      <c r="C87" s="21">
        <v>13.920000076293945</v>
      </c>
      <c r="D87" s="17">
        <f>SUM($C$3:C87)/A87</f>
        <v>14.929529410867131</v>
      </c>
    </row>
    <row r="88" spans="1:4" ht="12.75" customHeight="1">
      <c r="A88" s="17">
        <f t="shared" si="1"/>
        <v>86</v>
      </c>
      <c r="B88" s="20">
        <v>44420</v>
      </c>
      <c r="C88" s="21">
        <v>13.800000190734863</v>
      </c>
      <c r="D88" s="17">
        <f>SUM($C$3:C88)/A88</f>
        <v>14.916395350167919</v>
      </c>
    </row>
    <row r="89" spans="1:4" ht="12.75" customHeight="1">
      <c r="A89" s="17">
        <f t="shared" si="1"/>
        <v>87</v>
      </c>
      <c r="B89" s="20">
        <v>44421</v>
      </c>
      <c r="C89" s="21">
        <v>13.770000457763672</v>
      </c>
      <c r="D89" s="17">
        <f>SUM($C$3:C89)/A89</f>
        <v>14.903218397381663</v>
      </c>
    </row>
    <row r="90" spans="1:4" ht="12.75" customHeight="1">
      <c r="A90" s="17">
        <f t="shared" si="1"/>
        <v>88</v>
      </c>
      <c r="B90" s="20">
        <v>44424</v>
      </c>
      <c r="C90" s="21">
        <v>13.789999961853027</v>
      </c>
      <c r="D90" s="17">
        <f>SUM($C$3:C90)/A90</f>
        <v>14.89056818788702</v>
      </c>
    </row>
    <row r="91" spans="1:4" ht="12.75" customHeight="1">
      <c r="A91" s="17">
        <f t="shared" si="1"/>
        <v>89</v>
      </c>
      <c r="B91" s="20">
        <v>44425</v>
      </c>
      <c r="C91" s="21">
        <v>13.489999771118164</v>
      </c>
      <c r="D91" s="17">
        <f>SUM($C$3:C91)/A91</f>
        <v>14.874831464103099</v>
      </c>
    </row>
    <row r="92" spans="1:4" ht="12.75" customHeight="1">
      <c r="A92" s="17">
        <f t="shared" si="1"/>
        <v>90</v>
      </c>
      <c r="B92" s="20">
        <v>44426</v>
      </c>
      <c r="C92" s="21">
        <v>13.600000381469727</v>
      </c>
      <c r="D92" s="17">
        <f>SUM($C$3:C92)/A92</f>
        <v>14.860666674296063</v>
      </c>
    </row>
    <row r="93" spans="1:4" ht="12.75" customHeight="1">
      <c r="A93" s="17">
        <f t="shared" si="1"/>
        <v>91</v>
      </c>
      <c r="B93" s="20">
        <v>44427</v>
      </c>
      <c r="C93" s="21">
        <v>13.479999542236328</v>
      </c>
      <c r="D93" s="17">
        <f>SUM($C$3:C93)/A93</f>
        <v>14.845494508009692</v>
      </c>
    </row>
    <row r="94" spans="1:4" ht="12.75" customHeight="1">
      <c r="A94" s="17">
        <f t="shared" si="1"/>
        <v>92</v>
      </c>
      <c r="B94" s="20">
        <v>44428</v>
      </c>
      <c r="C94" s="21">
        <v>13.210000038146973</v>
      </c>
      <c r="D94" s="17">
        <f>SUM($C$3:C94)/A94</f>
        <v>14.827717394206836</v>
      </c>
    </row>
    <row r="95" spans="1:4" ht="12.75" customHeight="1">
      <c r="A95" s="17">
        <f t="shared" si="1"/>
        <v>93</v>
      </c>
      <c r="B95" s="20">
        <v>44431</v>
      </c>
      <c r="C95" s="21">
        <v>13.390000343322754</v>
      </c>
      <c r="D95" s="17">
        <f>SUM($C$3:C95)/A95</f>
        <v>14.81225807107905</v>
      </c>
    </row>
    <row r="96" spans="1:4" ht="12.75" customHeight="1">
      <c r="A96" s="17">
        <f t="shared" si="1"/>
        <v>94</v>
      </c>
      <c r="B96" s="20">
        <v>44432</v>
      </c>
      <c r="C96" s="21">
        <v>13.520000457763672</v>
      </c>
      <c r="D96" s="17">
        <f>SUM($C$3:C96)/A96</f>
        <v>14.798510649660802</v>
      </c>
    </row>
    <row r="97" spans="1:4" ht="12.75" customHeight="1">
      <c r="A97" s="17">
        <f t="shared" si="1"/>
        <v>95</v>
      </c>
      <c r="B97" s="20">
        <v>44433</v>
      </c>
      <c r="C97" s="21">
        <v>13.619999885559082</v>
      </c>
      <c r="D97" s="17">
        <f>SUM($C$3:C97)/A97</f>
        <v>14.786105273196572</v>
      </c>
    </row>
    <row r="98" spans="1:4" ht="12.75" customHeight="1">
      <c r="A98" s="17">
        <f t="shared" si="1"/>
        <v>96</v>
      </c>
      <c r="B98" s="20">
        <v>44434</v>
      </c>
      <c r="C98" s="21">
        <v>13.399999618530273</v>
      </c>
      <c r="D98" s="17">
        <f>SUM($C$3:C98)/A98</f>
        <v>14.771666672627132</v>
      </c>
    </row>
    <row r="99" spans="1:4" ht="12.75" customHeight="1">
      <c r="A99" s="17">
        <f t="shared" si="1"/>
        <v>97</v>
      </c>
      <c r="B99" s="20">
        <v>44435</v>
      </c>
      <c r="C99" s="21">
        <v>13.460000038146973</v>
      </c>
      <c r="D99" s="17">
        <f>SUM($C$3:C99)/A99</f>
        <v>14.758144336189192</v>
      </c>
    </row>
    <row r="100" spans="1:4" ht="12.75" customHeight="1">
      <c r="A100" s="17">
        <f t="shared" si="1"/>
        <v>98</v>
      </c>
      <c r="B100" s="20">
        <v>44438</v>
      </c>
      <c r="C100" s="21">
        <v>13.439999580383301</v>
      </c>
      <c r="D100" s="17">
        <f>SUM($C$3:C100)/A100</f>
        <v>14.744693879497294</v>
      </c>
    </row>
    <row r="101" spans="1:4" ht="12.75" customHeight="1">
      <c r="A101" s="17">
        <f t="shared" si="1"/>
        <v>99</v>
      </c>
      <c r="B101" s="20">
        <v>44439</v>
      </c>
      <c r="C101" s="21">
        <v>13.430000305175781</v>
      </c>
      <c r="D101" s="17">
        <f>SUM($C$3:C101)/A101</f>
        <v>14.73141414642334</v>
      </c>
    </row>
    <row r="102" spans="1:4" ht="12.75" customHeight="1">
      <c r="A102" s="17">
        <f t="shared" si="1"/>
        <v>100</v>
      </c>
      <c r="B102" s="20">
        <v>44440</v>
      </c>
      <c r="C102" s="21">
        <v>12.630000114440918</v>
      </c>
      <c r="D102" s="17">
        <f>SUM($C$3:C102)/A102</f>
        <v>14.710400006103516</v>
      </c>
    </row>
    <row r="103" spans="1:4" ht="12.75" customHeight="1">
      <c r="A103" s="17">
        <f t="shared" si="1"/>
        <v>101</v>
      </c>
      <c r="B103" s="20">
        <v>44441</v>
      </c>
      <c r="C103" s="21">
        <v>12.659999847412109</v>
      </c>
      <c r="D103" s="17">
        <f>SUM($C$3:C103)/A103</f>
        <v>14.690099014433304</v>
      </c>
    </row>
    <row r="104" spans="1:4" ht="12.75" customHeight="1">
      <c r="A104" s="17">
        <f t="shared" si="1"/>
        <v>102</v>
      </c>
      <c r="B104" s="20">
        <v>44442</v>
      </c>
      <c r="C104" s="21">
        <v>12.640000343322754</v>
      </c>
      <c r="D104" s="17">
        <f>SUM($C$3:C104)/A104</f>
        <v>14.670000007853789</v>
      </c>
    </row>
    <row r="105" spans="1:4" ht="12.75" customHeight="1">
      <c r="A105" s="17">
        <f t="shared" si="1"/>
        <v>103</v>
      </c>
      <c r="B105" s="20">
        <v>44445</v>
      </c>
      <c r="C105" s="21">
        <v>12.829999923706055</v>
      </c>
      <c r="D105" s="17">
        <f>SUM($C$3:C105)/A105</f>
        <v>14.652135929366917</v>
      </c>
    </row>
    <row r="106" spans="1:4" ht="12.75" customHeight="1">
      <c r="A106" s="17">
        <f t="shared" si="1"/>
        <v>104</v>
      </c>
      <c r="B106" s="20">
        <v>44446</v>
      </c>
      <c r="C106" s="21">
        <v>12.989999771118164</v>
      </c>
      <c r="D106" s="17">
        <f>SUM($C$3:C106)/A106</f>
        <v>14.636153850922218</v>
      </c>
    </row>
    <row r="107" spans="1:4" ht="12.75" customHeight="1">
      <c r="A107" s="17">
        <f t="shared" si="1"/>
        <v>105</v>
      </c>
      <c r="B107" s="20">
        <v>44447</v>
      </c>
      <c r="C107" s="21">
        <v>12.920000076293945</v>
      </c>
      <c r="D107" s="17">
        <f>SUM($C$3:C107)/A107</f>
        <v>14.619809529259092</v>
      </c>
    </row>
    <row r="108" spans="1:4" ht="12.75" customHeight="1">
      <c r="A108" s="17">
        <f t="shared" si="1"/>
        <v>106</v>
      </c>
      <c r="B108" s="20">
        <v>44448</v>
      </c>
      <c r="C108" s="21">
        <v>12.960000038146973</v>
      </c>
      <c r="D108" s="17">
        <f>SUM($C$3:C108)/A108</f>
        <v>14.60415094915426</v>
      </c>
    </row>
    <row r="109" spans="1:4" ht="12.75" customHeight="1">
      <c r="A109" s="17">
        <f t="shared" si="1"/>
        <v>107</v>
      </c>
      <c r="B109" s="20">
        <v>44449</v>
      </c>
      <c r="C109" s="21">
        <v>13.050000190734863</v>
      </c>
      <c r="D109" s="17">
        <f>SUM($C$3:C109)/A109</f>
        <v>14.589626175711089</v>
      </c>
    </row>
    <row r="110" spans="1:4" ht="12.75" customHeight="1">
      <c r="A110" s="17">
        <f t="shared" si="1"/>
        <v>108</v>
      </c>
      <c r="B110" s="20">
        <v>44452</v>
      </c>
      <c r="C110" s="21">
        <v>13.079999923706055</v>
      </c>
      <c r="D110" s="17">
        <f>SUM($C$3:C110)/A110</f>
        <v>14.57564815485919</v>
      </c>
    </row>
    <row r="111" spans="1:4" ht="12.75" customHeight="1">
      <c r="A111" s="17">
        <f t="shared" si="1"/>
        <v>109</v>
      </c>
      <c r="B111" s="20">
        <v>44453</v>
      </c>
      <c r="C111" s="21">
        <v>12.930000305175781</v>
      </c>
      <c r="D111" s="17">
        <f>SUM($C$3:C111)/A111</f>
        <v>14.560550468164847</v>
      </c>
    </row>
    <row r="112" spans="1:4" ht="12.75" customHeight="1">
      <c r="A112" s="17">
        <f t="shared" si="1"/>
        <v>110</v>
      </c>
      <c r="B112" s="20">
        <v>44454</v>
      </c>
      <c r="C112" s="21">
        <v>12.829999923706055</v>
      </c>
      <c r="D112" s="17">
        <f>SUM($C$3:C112)/A112</f>
        <v>14.544818190487948</v>
      </c>
    </row>
    <row r="113" spans="1:4" ht="12.75" customHeight="1">
      <c r="A113" s="17">
        <f t="shared" si="1"/>
        <v>111</v>
      </c>
      <c r="B113" s="20">
        <v>44455</v>
      </c>
      <c r="C113" s="21">
        <v>12.710000038146973</v>
      </c>
      <c r="D113" s="17">
        <f>SUM($C$3:C113)/A113</f>
        <v>14.528288297223616</v>
      </c>
    </row>
    <row r="114" spans="1:4" ht="12.75" customHeight="1">
      <c r="A114" s="17">
        <f t="shared" si="1"/>
        <v>112</v>
      </c>
      <c r="B114" s="20">
        <v>44456</v>
      </c>
      <c r="C114" s="21">
        <v>12.810000419616699</v>
      </c>
      <c r="D114" s="17">
        <f>SUM($C$3:C114)/A114</f>
        <v>14.512946441173554</v>
      </c>
    </row>
    <row r="115" spans="1:4" ht="12.75" customHeight="1">
      <c r="A115" s="17">
        <f t="shared" si="1"/>
        <v>113</v>
      </c>
      <c r="B115" s="20">
        <v>44461</v>
      </c>
      <c r="C115" s="21">
        <v>12.810000419616699</v>
      </c>
      <c r="D115" s="17">
        <f>SUM($C$3:C115)/A115</f>
        <v>14.497876122398715</v>
      </c>
    </row>
    <row r="116" spans="1:4" ht="12.75" customHeight="1">
      <c r="A116" s="17">
        <f t="shared" si="1"/>
        <v>114</v>
      </c>
      <c r="B116" s="20">
        <v>44462</v>
      </c>
      <c r="C116" s="21">
        <v>12.819999694824219</v>
      </c>
      <c r="D116" s="17">
        <f>SUM($C$3:C116)/A116</f>
        <v>14.483157908121745</v>
      </c>
    </row>
    <row r="117" spans="1:4" ht="12.75" customHeight="1">
      <c r="A117" s="17">
        <f t="shared" si="1"/>
        <v>115</v>
      </c>
      <c r="B117" s="20">
        <v>44463</v>
      </c>
      <c r="C117" s="21">
        <v>12.800000190734863</v>
      </c>
      <c r="D117" s="17">
        <f>SUM($C$3:C117)/A117</f>
        <v>14.468521754057512</v>
      </c>
    </row>
    <row r="118" spans="1:4" ht="12.75" customHeight="1">
      <c r="A118" s="17">
        <f t="shared" si="1"/>
        <v>116</v>
      </c>
      <c r="B118" s="20">
        <v>44466</v>
      </c>
      <c r="C118" s="21">
        <v>12.920000076293945</v>
      </c>
      <c r="D118" s="17">
        <f>SUM($C$3:C118)/A118</f>
        <v>14.455172429249204</v>
      </c>
    </row>
    <row r="119" spans="1:4" ht="12.75" customHeight="1">
      <c r="A119" s="17">
        <f t="shared" si="1"/>
        <v>117</v>
      </c>
      <c r="B119" s="20">
        <v>44467</v>
      </c>
      <c r="C119" s="21">
        <v>12.979999542236328</v>
      </c>
      <c r="D119" s="17">
        <f>SUM($C$3:C119)/A119</f>
        <v>14.442564113975591</v>
      </c>
    </row>
    <row r="120" spans="1:4" ht="12.75" customHeight="1">
      <c r="A120" s="17">
        <f t="shared" si="1"/>
        <v>118</v>
      </c>
      <c r="B120" s="20">
        <v>44468</v>
      </c>
      <c r="C120" s="21">
        <v>12.819999694824219</v>
      </c>
      <c r="D120" s="17">
        <f>SUM($C$3:C120)/A120</f>
        <v>14.428813568050579</v>
      </c>
    </row>
    <row r="121" spans="1:4" ht="12.75" customHeight="1">
      <c r="A121" s="17">
        <f t="shared" si="1"/>
        <v>119</v>
      </c>
      <c r="B121" s="20">
        <v>44469</v>
      </c>
      <c r="C121" s="21">
        <v>12.899999618530273</v>
      </c>
      <c r="D121" s="17">
        <f>SUM($C$3:C121)/A121</f>
        <v>14.41596639200419</v>
      </c>
    </row>
    <row r="122" spans="1:4" ht="12.75" customHeight="1">
      <c r="A122" s="17">
        <f t="shared" si="1"/>
        <v>120</v>
      </c>
      <c r="B122" s="20" t="s">
        <v>1</v>
      </c>
      <c r="C122" s="21">
        <v>13.029999732971191</v>
      </c>
      <c r="D122" s="17">
        <f>SUM($C$3:C122)/A122</f>
        <v>14.404416669845581</v>
      </c>
    </row>
    <row r="123" spans="1:4" ht="12.75" customHeight="1">
      <c r="A123" s="17">
        <f t="shared" si="1"/>
        <v>121</v>
      </c>
      <c r="B123" s="20" t="s">
        <v>2</v>
      </c>
      <c r="C123" s="21">
        <v>13.039999961853027</v>
      </c>
      <c r="D123" s="17">
        <f>SUM($C$3:C123)/A123</f>
        <v>14.393140498705147</v>
      </c>
    </row>
    <row r="124" spans="1:4" ht="12.75" customHeight="1">
      <c r="A124" s="17">
        <f t="shared" si="1"/>
        <v>122</v>
      </c>
      <c r="B124" s="20" t="s">
        <v>3</v>
      </c>
      <c r="C124" s="21">
        <v>12.930000305175781</v>
      </c>
      <c r="D124" s="17">
        <f>SUM($C$3:C124)/A124</f>
        <v>14.381147546299168</v>
      </c>
    </row>
    <row r="125" spans="1:4" ht="12.75" customHeight="1">
      <c r="A125" s="17">
        <f t="shared" si="1"/>
        <v>123</v>
      </c>
      <c r="B125" s="20" t="s">
        <v>4</v>
      </c>
      <c r="C125" s="21">
        <v>13.029999732971191</v>
      </c>
      <c r="D125" s="17">
        <f>SUM($C$3:C125)/A125</f>
        <v>14.370162604727396</v>
      </c>
    </row>
    <row r="126" spans="1:4" ht="12.75" customHeight="1">
      <c r="A126" s="17">
        <f t="shared" si="1"/>
        <v>124</v>
      </c>
      <c r="B126" s="20" t="s">
        <v>5</v>
      </c>
      <c r="C126" s="21">
        <v>12.970000267028809</v>
      </c>
      <c r="D126" s="17">
        <f>SUM($C$3:C126)/A126</f>
        <v>14.358870972971763</v>
      </c>
    </row>
    <row r="127" spans="1:4" ht="12.75" customHeight="1">
      <c r="A127" s="17">
        <f t="shared" si="1"/>
        <v>125</v>
      </c>
      <c r="B127" s="20" t="s">
        <v>6</v>
      </c>
      <c r="C127" s="21">
        <v>13.010000228881836</v>
      </c>
      <c r="D127" s="17">
        <f>SUM($C$3:C127)/A127</f>
        <v>14.348080007019043</v>
      </c>
    </row>
    <row r="128" spans="1:4" ht="12.75" customHeight="1">
      <c r="A128" s="17">
        <f t="shared" si="1"/>
        <v>126</v>
      </c>
      <c r="B128" s="20" t="s">
        <v>7</v>
      </c>
      <c r="C128" s="21">
        <v>12.859999656677246</v>
      </c>
      <c r="D128" s="17">
        <f>SUM($C$3:C128)/A128</f>
        <v>14.336269845508394</v>
      </c>
    </row>
    <row r="129" spans="1:4" ht="12.75" customHeight="1">
      <c r="A129" s="17">
        <f t="shared" si="1"/>
        <v>127</v>
      </c>
      <c r="B129" s="20" t="s">
        <v>8</v>
      </c>
      <c r="C129" s="21">
        <v>12.979999542236328</v>
      </c>
      <c r="D129" s="17">
        <f>SUM($C$3:C129)/A129</f>
        <v>14.325590551781843</v>
      </c>
    </row>
    <row r="130" spans="1:4" ht="12.75" customHeight="1">
      <c r="A130" s="17">
        <f t="shared" si="1"/>
        <v>128</v>
      </c>
      <c r="B130" s="20" t="s">
        <v>9</v>
      </c>
      <c r="C130" s="21">
        <v>12.930000305175781</v>
      </c>
      <c r="D130" s="17">
        <f>SUM($C$3:C130)/A130</f>
        <v>14.314687502980233</v>
      </c>
    </row>
    <row r="131" spans="1:4" ht="12.75" customHeight="1">
      <c r="A131" s="17">
        <f t="shared" si="1"/>
        <v>129</v>
      </c>
      <c r="B131" s="20" t="s">
        <v>10</v>
      </c>
      <c r="C131" s="21">
        <v>12.989999771118164</v>
      </c>
      <c r="D131" s="17">
        <f>SUM($C$3:C131)/A131</f>
        <v>14.304418605834016</v>
      </c>
    </row>
    <row r="132" spans="1:4" ht="12.75" customHeight="1">
      <c r="A132" s="17">
        <f t="shared" si="1"/>
        <v>130</v>
      </c>
      <c r="B132" s="20" t="s">
        <v>11</v>
      </c>
      <c r="C132" s="21">
        <v>13.029999732971191</v>
      </c>
      <c r="D132" s="17">
        <f>SUM($C$3:C132)/A132</f>
        <v>14.294615383735071</v>
      </c>
    </row>
    <row r="133" spans="1:4" ht="12.75" customHeight="1">
      <c r="A133" s="17">
        <f t="shared" ref="A133:A196" si="2">A132+1</f>
        <v>131</v>
      </c>
      <c r="B133" s="20" t="s">
        <v>12</v>
      </c>
      <c r="C133" s="21">
        <v>13.069999694824219</v>
      </c>
      <c r="D133" s="17">
        <f>SUM($C$3:C133)/A133</f>
        <v>14.285267172369339</v>
      </c>
    </row>
    <row r="134" spans="1:4" ht="12.75" customHeight="1">
      <c r="A134" s="17">
        <f t="shared" si="2"/>
        <v>132</v>
      </c>
      <c r="B134" s="20" t="s">
        <v>13</v>
      </c>
      <c r="C134" s="21">
        <v>13.020000457763672</v>
      </c>
      <c r="D134" s="17">
        <f>SUM($C$3:C134)/A134</f>
        <v>14.275681818470812</v>
      </c>
    </row>
    <row r="135" spans="1:4" ht="12.75" customHeight="1">
      <c r="A135" s="17">
        <f t="shared" si="2"/>
        <v>133</v>
      </c>
      <c r="B135" s="20" t="s">
        <v>14</v>
      </c>
      <c r="C135" s="21">
        <v>12.869999885559082</v>
      </c>
      <c r="D135" s="17">
        <f>SUM($C$3:C135)/A135</f>
        <v>14.26511278138125</v>
      </c>
    </row>
    <row r="136" spans="1:4" ht="12.75" customHeight="1">
      <c r="A136" s="17">
        <f t="shared" si="2"/>
        <v>134</v>
      </c>
      <c r="B136" s="20">
        <v>44497</v>
      </c>
      <c r="C136" s="21">
        <v>12.779999732971191</v>
      </c>
      <c r="D136" s="17">
        <f>SUM($C$3:C136)/A136</f>
        <v>14.254029848184159</v>
      </c>
    </row>
    <row r="137" spans="1:4" ht="12.75" customHeight="1">
      <c r="A137" s="17">
        <f t="shared" si="2"/>
        <v>135</v>
      </c>
      <c r="B137" s="20">
        <v>44498</v>
      </c>
      <c r="C137" s="21">
        <v>12.840000152587891</v>
      </c>
      <c r="D137" s="17">
        <f>SUM($C$3:C137)/A137</f>
        <v>14.243555554142706</v>
      </c>
    </row>
    <row r="138" spans="1:4" ht="12.75" customHeight="1">
      <c r="A138" s="17">
        <f t="shared" si="2"/>
        <v>136</v>
      </c>
      <c r="B138" s="20" t="s">
        <v>15</v>
      </c>
      <c r="C138" s="21">
        <v>12.590000152587891</v>
      </c>
      <c r="D138" s="17">
        <f>SUM($C$3:C138)/A138</f>
        <v>14.231397058543038</v>
      </c>
    </row>
    <row r="139" spans="1:4" ht="12.75" customHeight="1">
      <c r="A139" s="17">
        <f t="shared" si="2"/>
        <v>137</v>
      </c>
      <c r="B139" s="20" t="s">
        <v>16</v>
      </c>
      <c r="C139" s="21">
        <v>12.420000076293945</v>
      </c>
      <c r="D139" s="17">
        <f>SUM($C$3:C139)/A139</f>
        <v>14.218175182760197</v>
      </c>
    </row>
    <row r="140" spans="1:4" ht="12.75" customHeight="1">
      <c r="A140" s="17">
        <f t="shared" si="2"/>
        <v>138</v>
      </c>
      <c r="B140" s="20" t="s">
        <v>17</v>
      </c>
      <c r="C140" s="21">
        <v>12.380000114440918</v>
      </c>
      <c r="D140" s="17">
        <f>SUM($C$3:C140)/A140</f>
        <v>14.204855073569478</v>
      </c>
    </row>
    <row r="141" spans="1:4" ht="12.75" customHeight="1">
      <c r="A141" s="17">
        <f t="shared" si="2"/>
        <v>139</v>
      </c>
      <c r="B141" s="20" t="s">
        <v>18</v>
      </c>
      <c r="C141" s="21">
        <v>12.5</v>
      </c>
      <c r="D141" s="17">
        <f>SUM($C$3:C141)/A141</f>
        <v>14.192589929155309</v>
      </c>
    </row>
    <row r="142" spans="1:4" ht="12.75" customHeight="1">
      <c r="A142" s="17">
        <f t="shared" si="2"/>
        <v>140</v>
      </c>
      <c r="B142" s="20" t="s">
        <v>19</v>
      </c>
      <c r="C142" s="21">
        <v>12.430000305175781</v>
      </c>
      <c r="D142" s="17">
        <f>SUM($C$3:C142)/A142</f>
        <v>14.180000003269742</v>
      </c>
    </row>
    <row r="143" spans="1:4" ht="12.75" customHeight="1">
      <c r="A143" s="17">
        <f t="shared" si="2"/>
        <v>141</v>
      </c>
      <c r="B143" s="20" t="s">
        <v>20</v>
      </c>
      <c r="C143" s="21">
        <v>12.420000076293945</v>
      </c>
      <c r="D143" s="17">
        <f>SUM($C$3:C143)/A143</f>
        <v>14.167517734284097</v>
      </c>
    </row>
    <row r="144" spans="1:4" ht="12.75" customHeight="1">
      <c r="A144" s="17">
        <f t="shared" si="2"/>
        <v>142</v>
      </c>
      <c r="B144" s="20" t="s">
        <v>21</v>
      </c>
      <c r="C144" s="21">
        <v>12.390000343322754</v>
      </c>
      <c r="D144" s="17">
        <f>SUM($C$3:C144)/A144</f>
        <v>14.155000006178735</v>
      </c>
    </row>
    <row r="145" spans="1:4" ht="12.75" customHeight="1">
      <c r="A145" s="17">
        <f t="shared" si="2"/>
        <v>143</v>
      </c>
      <c r="B145" s="20" t="s">
        <v>22</v>
      </c>
      <c r="C145" s="21">
        <v>12.319999694824219</v>
      </c>
      <c r="D145" s="17">
        <f>SUM($C$3:C145)/A145</f>
        <v>14.142167836169262</v>
      </c>
    </row>
    <row r="146" spans="1:4" ht="12.75" customHeight="1">
      <c r="A146" s="17">
        <f t="shared" si="2"/>
        <v>144</v>
      </c>
      <c r="B146" s="20" t="s">
        <v>23</v>
      </c>
      <c r="C146" s="21">
        <v>12.489999771118164</v>
      </c>
      <c r="D146" s="17">
        <f>SUM($C$3:C146)/A146</f>
        <v>14.130694446828631</v>
      </c>
    </row>
    <row r="147" spans="1:4" ht="12.75" customHeight="1">
      <c r="A147" s="17">
        <f t="shared" si="2"/>
        <v>145</v>
      </c>
      <c r="B147" s="20" t="s">
        <v>24</v>
      </c>
      <c r="C147" s="21">
        <v>12.449999809265137</v>
      </c>
      <c r="D147" s="17">
        <f>SUM($C$3:C147)/A147</f>
        <v>14.119103449328193</v>
      </c>
    </row>
    <row r="148" spans="1:4" ht="12.75" customHeight="1">
      <c r="A148" s="17">
        <f t="shared" si="2"/>
        <v>146</v>
      </c>
      <c r="B148" s="20" t="s">
        <v>25</v>
      </c>
      <c r="C148" s="21">
        <v>12.439999580383301</v>
      </c>
      <c r="D148" s="17">
        <f>SUM($C$3:C148)/A148</f>
        <v>14.107602737897064</v>
      </c>
    </row>
    <row r="149" spans="1:4" ht="12.75" customHeight="1">
      <c r="A149" s="17">
        <f t="shared" si="2"/>
        <v>147</v>
      </c>
      <c r="B149" s="20" t="s">
        <v>26</v>
      </c>
      <c r="C149" s="21">
        <v>12.470000267028809</v>
      </c>
      <c r="D149" s="17">
        <f>SUM($C$3:C149)/A149</f>
        <v>14.096462585034015</v>
      </c>
    </row>
    <row r="150" spans="1:4" ht="12.75" customHeight="1">
      <c r="A150" s="17">
        <f t="shared" si="2"/>
        <v>148</v>
      </c>
      <c r="B150" s="20" t="s">
        <v>27</v>
      </c>
      <c r="C150" s="21">
        <v>12.489999771118164</v>
      </c>
      <c r="D150" s="17">
        <f>SUM($C$3:C150)/A150</f>
        <v>14.085608106561612</v>
      </c>
    </row>
    <row r="151" spans="1:4" ht="12.75" customHeight="1">
      <c r="A151" s="17">
        <f t="shared" si="2"/>
        <v>149</v>
      </c>
      <c r="B151" s="20" t="s">
        <v>28</v>
      </c>
      <c r="C151" s="21">
        <v>12.380000114440918</v>
      </c>
      <c r="D151" s="17">
        <f>SUM($C$3:C151)/A151</f>
        <v>14.074161073057445</v>
      </c>
    </row>
    <row r="152" spans="1:4" ht="12.75" customHeight="1">
      <c r="A152" s="17">
        <f t="shared" si="2"/>
        <v>150</v>
      </c>
      <c r="B152" s="20" t="s">
        <v>29</v>
      </c>
      <c r="C152" s="21">
        <v>12.520000457763672</v>
      </c>
      <c r="D152" s="17">
        <f>SUM($C$3:C152)/A152</f>
        <v>14.06380000228882</v>
      </c>
    </row>
    <row r="153" spans="1:4" ht="12.75" customHeight="1">
      <c r="A153" s="17">
        <f t="shared" si="2"/>
        <v>151</v>
      </c>
      <c r="B153" s="20" t="s">
        <v>30</v>
      </c>
      <c r="C153" s="21">
        <v>12.550000190734863</v>
      </c>
      <c r="D153" s="17">
        <f>SUM($C$3:C153)/A153</f>
        <v>14.053774837973894</v>
      </c>
    </row>
    <row r="154" spans="1:4" ht="12.75" customHeight="1">
      <c r="A154" s="17">
        <f t="shared" si="2"/>
        <v>152</v>
      </c>
      <c r="B154" s="20" t="s">
        <v>31</v>
      </c>
      <c r="C154" s="21">
        <v>12.550000190734863</v>
      </c>
      <c r="D154" s="17">
        <f>SUM($C$3:C154)/A154</f>
        <v>14.043881583715741</v>
      </c>
    </row>
    <row r="155" spans="1:4" ht="12.75" customHeight="1">
      <c r="A155" s="17">
        <f t="shared" si="2"/>
        <v>153</v>
      </c>
      <c r="B155" s="20" t="s">
        <v>32</v>
      </c>
      <c r="C155" s="21">
        <v>12.600000381469727</v>
      </c>
      <c r="D155" s="17">
        <f>SUM($C$3:C155)/A155</f>
        <v>14.034444451674918</v>
      </c>
    </row>
    <row r="156" spans="1:4" ht="12.75" customHeight="1">
      <c r="A156" s="17">
        <f t="shared" si="2"/>
        <v>154</v>
      </c>
      <c r="B156" s="20" t="s">
        <v>33</v>
      </c>
      <c r="C156" s="21">
        <v>12.560000419616699</v>
      </c>
      <c r="D156" s="17">
        <f>SUM($C$3:C156)/A156</f>
        <v>14.024870139778436</v>
      </c>
    </row>
    <row r="157" spans="1:4" ht="12.75" customHeight="1">
      <c r="A157" s="17">
        <f t="shared" si="2"/>
        <v>155</v>
      </c>
      <c r="B157" s="20" t="s">
        <v>34</v>
      </c>
      <c r="C157" s="21">
        <v>12.460000038146973</v>
      </c>
      <c r="D157" s="17">
        <f>SUM($C$3:C157)/A157</f>
        <v>14.014774203638879</v>
      </c>
    </row>
    <row r="158" spans="1:4" ht="12.75" customHeight="1">
      <c r="A158" s="17">
        <f t="shared" si="2"/>
        <v>156</v>
      </c>
      <c r="B158" s="20">
        <v>44529</v>
      </c>
      <c r="C158" s="21">
        <v>12.449999809265137</v>
      </c>
      <c r="D158" s="17">
        <f>SUM($C$3:C158)/A158</f>
        <v>14.004743598546739</v>
      </c>
    </row>
    <row r="159" spans="1:4" ht="12.75" customHeight="1">
      <c r="A159" s="17">
        <f t="shared" si="2"/>
        <v>157</v>
      </c>
      <c r="B159" s="20">
        <v>44530</v>
      </c>
      <c r="C159" s="21">
        <v>12.390000343322754</v>
      </c>
      <c r="D159" s="17">
        <f>SUM($C$3:C159)/A159</f>
        <v>13.994458609659961</v>
      </c>
    </row>
    <row r="160" spans="1:4" ht="12.75" customHeight="1">
      <c r="A160" s="17">
        <f t="shared" si="2"/>
        <v>158</v>
      </c>
      <c r="B160" s="20">
        <v>44531</v>
      </c>
      <c r="C160" s="21">
        <v>12.439999580383301</v>
      </c>
      <c r="D160" s="17">
        <f>SUM($C$3:C160)/A160</f>
        <v>13.984620261373401</v>
      </c>
    </row>
    <row r="161" spans="1:4" ht="12.75" customHeight="1">
      <c r="A161" s="17">
        <f t="shared" si="2"/>
        <v>159</v>
      </c>
      <c r="B161" s="20">
        <v>44532</v>
      </c>
      <c r="C161" s="21">
        <v>12.470000267028809</v>
      </c>
      <c r="D161" s="17">
        <f>SUM($C$3:C161)/A161</f>
        <v>13.975094349459285</v>
      </c>
    </row>
    <row r="162" spans="1:4" ht="12.75" customHeight="1">
      <c r="A162" s="17">
        <f t="shared" si="2"/>
        <v>160</v>
      </c>
      <c r="B162" s="20">
        <v>44533</v>
      </c>
      <c r="C162" s="21">
        <v>12.579999923706055</v>
      </c>
      <c r="D162" s="17">
        <f>SUM($C$3:C162)/A162</f>
        <v>13.966375009298327</v>
      </c>
    </row>
    <row r="163" spans="1:4" ht="12.75" customHeight="1">
      <c r="A163" s="17">
        <f t="shared" si="2"/>
        <v>161</v>
      </c>
      <c r="B163" s="20">
        <v>44536</v>
      </c>
      <c r="C163" s="21">
        <v>12.590000152587891</v>
      </c>
      <c r="D163" s="17">
        <f>SUM($C$3:C163)/A163</f>
        <v>13.957826097144846</v>
      </c>
    </row>
    <row r="164" spans="1:4" ht="12.75" customHeight="1">
      <c r="A164" s="17">
        <f t="shared" si="2"/>
        <v>162</v>
      </c>
      <c r="B164" s="20">
        <v>44537</v>
      </c>
      <c r="C164" s="21">
        <v>12.670000076293945</v>
      </c>
      <c r="D164" s="17">
        <f>SUM($C$3:C164)/A164</f>
        <v>13.949876553806259</v>
      </c>
    </row>
    <row r="165" spans="1:4" ht="12.75" customHeight="1">
      <c r="A165" s="17">
        <f t="shared" si="2"/>
        <v>163</v>
      </c>
      <c r="B165" s="20">
        <v>44538</v>
      </c>
      <c r="C165" s="21">
        <v>12.840000152587891</v>
      </c>
      <c r="D165" s="17">
        <f>SUM($C$3:C165)/A165</f>
        <v>13.943067496130073</v>
      </c>
    </row>
    <row r="166" spans="1:4" ht="12.75" customHeight="1">
      <c r="A166" s="17">
        <f t="shared" si="2"/>
        <v>164</v>
      </c>
      <c r="B166" s="20">
        <v>44539</v>
      </c>
      <c r="C166" s="21">
        <v>13.010000228881836</v>
      </c>
      <c r="D166" s="17">
        <f>SUM($C$3:C166)/A166</f>
        <v>13.937378061573682</v>
      </c>
    </row>
    <row r="167" spans="1:4" ht="12.75" customHeight="1">
      <c r="A167" s="17">
        <f t="shared" si="2"/>
        <v>165</v>
      </c>
      <c r="B167" s="20">
        <v>44540</v>
      </c>
      <c r="C167" s="21">
        <v>12.979999542236328</v>
      </c>
      <c r="D167" s="17">
        <f>SUM($C$3:C167)/A167</f>
        <v>13.931575767517092</v>
      </c>
    </row>
    <row r="168" spans="1:4" ht="12.75" customHeight="1">
      <c r="A168" s="17">
        <f t="shared" si="2"/>
        <v>166</v>
      </c>
      <c r="B168" s="20">
        <v>44543</v>
      </c>
      <c r="C168" s="21">
        <v>13.170000076293945</v>
      </c>
      <c r="D168" s="17">
        <f>SUM($C$3:C168)/A168</f>
        <v>13.926987962148278</v>
      </c>
    </row>
    <row r="169" spans="1:4" ht="12.75" customHeight="1">
      <c r="A169" s="17">
        <f t="shared" si="2"/>
        <v>167</v>
      </c>
      <c r="B169" s="20">
        <v>44544</v>
      </c>
      <c r="C169" s="21">
        <v>13.100000381469727</v>
      </c>
      <c r="D169" s="17">
        <f>SUM($C$3:C169)/A169</f>
        <v>13.922035940707088</v>
      </c>
    </row>
    <row r="170" spans="1:4" ht="12.75" customHeight="1">
      <c r="A170" s="17">
        <f t="shared" si="2"/>
        <v>168</v>
      </c>
      <c r="B170" s="20">
        <v>44545</v>
      </c>
      <c r="C170" s="21">
        <v>12.989999771118164</v>
      </c>
      <c r="D170" s="17">
        <f>SUM($C$3:C170)/A170</f>
        <v>13.916488106364298</v>
      </c>
    </row>
    <row r="171" spans="1:4" ht="12.75" customHeight="1">
      <c r="A171" s="17">
        <f t="shared" si="2"/>
        <v>169</v>
      </c>
      <c r="B171" s="20">
        <v>44546</v>
      </c>
      <c r="C171" s="21">
        <v>13.090000152587891</v>
      </c>
      <c r="D171" s="17">
        <f>SUM($C$3:C171)/A171</f>
        <v>13.911597645099349</v>
      </c>
    </row>
    <row r="172" spans="1:4" ht="12.75" customHeight="1">
      <c r="A172" s="17">
        <f t="shared" si="2"/>
        <v>170</v>
      </c>
      <c r="B172" s="20">
        <v>44547</v>
      </c>
      <c r="C172" s="21">
        <v>12.899999618530273</v>
      </c>
      <c r="D172" s="17">
        <f>SUM($C$3:C172)/A172</f>
        <v>13.90564706847247</v>
      </c>
    </row>
    <row r="173" spans="1:4" ht="12.75" customHeight="1">
      <c r="A173" s="17">
        <f t="shared" si="2"/>
        <v>171</v>
      </c>
      <c r="B173" s="20">
        <v>44550</v>
      </c>
      <c r="C173" s="21">
        <v>12.789999961853027</v>
      </c>
      <c r="D173" s="17">
        <f>SUM($C$3:C173)/A173</f>
        <v>13.899122816386978</v>
      </c>
    </row>
    <row r="174" spans="1:4" ht="12.75" customHeight="1">
      <c r="A174" s="17">
        <f t="shared" si="2"/>
        <v>172</v>
      </c>
      <c r="B174" s="20">
        <v>44551</v>
      </c>
      <c r="C174" s="21">
        <v>12.880000114440918</v>
      </c>
      <c r="D174" s="17">
        <f>SUM($C$3:C174)/A174</f>
        <v>13.893197684398919</v>
      </c>
    </row>
    <row r="175" spans="1:4" ht="12.75" customHeight="1">
      <c r="A175" s="17">
        <f t="shared" si="2"/>
        <v>173</v>
      </c>
      <c r="B175" s="20">
        <v>44552</v>
      </c>
      <c r="C175" s="21">
        <v>12.880000114440918</v>
      </c>
      <c r="D175" s="17">
        <f>SUM($C$3:C175)/A175</f>
        <v>13.88734105104656</v>
      </c>
    </row>
    <row r="176" spans="1:4" ht="12.75" customHeight="1">
      <c r="A176" s="17">
        <f t="shared" si="2"/>
        <v>174</v>
      </c>
      <c r="B176" s="20">
        <v>44553</v>
      </c>
      <c r="C176" s="21">
        <v>12.989999771118164</v>
      </c>
      <c r="D176" s="17">
        <f>SUM($C$3:C176)/A176</f>
        <v>13.882183917253869</v>
      </c>
    </row>
    <row r="177" spans="1:4" ht="12.75" customHeight="1">
      <c r="A177" s="17">
        <f t="shared" si="2"/>
        <v>175</v>
      </c>
      <c r="B177" s="20">
        <v>44554</v>
      </c>
      <c r="C177" s="21">
        <v>12.979999542236328</v>
      </c>
      <c r="D177" s="17">
        <f>SUM($C$3:C177)/A177</f>
        <v>13.877028577968055</v>
      </c>
    </row>
    <row r="178" spans="1:4" ht="12.75" customHeight="1">
      <c r="A178" s="17">
        <f t="shared" si="2"/>
        <v>176</v>
      </c>
      <c r="B178" s="20">
        <v>44557</v>
      </c>
      <c r="C178" s="21">
        <v>12.970000267028809</v>
      </c>
      <c r="D178" s="17">
        <f>SUM($C$3:C178)/A178</f>
        <v>13.871875008019536</v>
      </c>
    </row>
    <row r="179" spans="1:4" ht="12.75" customHeight="1">
      <c r="A179" s="17">
        <f t="shared" si="2"/>
        <v>177</v>
      </c>
      <c r="B179" s="20">
        <v>44558</v>
      </c>
      <c r="C179" s="21">
        <v>13.039999961853027</v>
      </c>
      <c r="D179" s="17">
        <f>SUM($C$3:C179)/A179</f>
        <v>13.867175149001646</v>
      </c>
    </row>
    <row r="180" spans="1:4" ht="12.75" customHeight="1">
      <c r="A180" s="17">
        <f t="shared" si="2"/>
        <v>178</v>
      </c>
      <c r="B180" s="20">
        <v>44559</v>
      </c>
      <c r="C180" s="21">
        <v>12.829999923706055</v>
      </c>
      <c r="D180" s="17">
        <f>SUM($C$3:C180)/A180</f>
        <v>13.861348321893244</v>
      </c>
    </row>
    <row r="181" spans="1:4" ht="12.75" customHeight="1">
      <c r="A181" s="17">
        <f t="shared" si="2"/>
        <v>179</v>
      </c>
      <c r="B181" s="20">
        <v>44560</v>
      </c>
      <c r="C181" s="21">
        <v>12.890000343322754</v>
      </c>
      <c r="D181" s="17">
        <f>SUM($C$3:C181)/A181</f>
        <v>13.855921796873297</v>
      </c>
    </row>
    <row r="182" spans="1:4" ht="12.75" customHeight="1">
      <c r="A182" s="17">
        <f t="shared" si="2"/>
        <v>180</v>
      </c>
      <c r="B182" s="20">
        <v>44561</v>
      </c>
      <c r="C182" s="21">
        <v>12.949999809265137</v>
      </c>
      <c r="D182" s="17">
        <f>SUM($C$3:C182)/A182</f>
        <v>13.85088889694214</v>
      </c>
    </row>
    <row r="183" spans="1:4" ht="12.75" customHeight="1">
      <c r="A183" s="17">
        <f t="shared" si="2"/>
        <v>181</v>
      </c>
      <c r="B183" s="20" t="s">
        <v>35</v>
      </c>
      <c r="C183" s="21">
        <v>12.920000076293945</v>
      </c>
      <c r="D183" s="17">
        <f>SUM($C$3:C183)/A183</f>
        <v>13.845745864783863</v>
      </c>
    </row>
    <row r="184" spans="1:4" ht="12.75" customHeight="1">
      <c r="A184" s="17">
        <f t="shared" si="2"/>
        <v>182</v>
      </c>
      <c r="B184" s="20" t="s">
        <v>36</v>
      </c>
      <c r="C184" s="21">
        <v>12.840000152587891</v>
      </c>
      <c r="D184" s="17">
        <f>SUM($C$3:C184)/A184</f>
        <v>13.840219789442127</v>
      </c>
    </row>
    <row r="185" spans="1:4" ht="12.75" customHeight="1">
      <c r="A185" s="17">
        <f t="shared" si="2"/>
        <v>183</v>
      </c>
      <c r="B185" s="20" t="s">
        <v>37</v>
      </c>
      <c r="C185" s="21">
        <v>12.739999771118164</v>
      </c>
      <c r="D185" s="17">
        <f>SUM($C$3:C185)/A185</f>
        <v>13.834207658194455</v>
      </c>
    </row>
    <row r="186" spans="1:4" ht="12.75" customHeight="1">
      <c r="A186" s="17">
        <f t="shared" si="2"/>
        <v>184</v>
      </c>
      <c r="B186" s="20" t="s">
        <v>38</v>
      </c>
      <c r="C186" s="21">
        <v>12.770000457763672</v>
      </c>
      <c r="D186" s="17">
        <f>SUM($C$3:C186)/A186</f>
        <v>13.828423923409504</v>
      </c>
    </row>
    <row r="187" spans="1:4" ht="12.75" customHeight="1">
      <c r="A187" s="17">
        <f t="shared" si="2"/>
        <v>185</v>
      </c>
      <c r="B187" s="20" t="s">
        <v>39</v>
      </c>
      <c r="C187" s="21">
        <v>12.819999694824219</v>
      </c>
      <c r="D187" s="17">
        <f>SUM($C$3:C187)/A187</f>
        <v>13.822972981633368</v>
      </c>
    </row>
    <row r="188" spans="1:4" ht="12.75" customHeight="1">
      <c r="A188" s="17">
        <f t="shared" si="2"/>
        <v>186</v>
      </c>
      <c r="B188" s="20" t="s">
        <v>40</v>
      </c>
      <c r="C188" s="21">
        <v>12.7</v>
      </c>
      <c r="D188" s="17">
        <f>SUM($C$3:C188)/A188</f>
        <v>13.8169354924848</v>
      </c>
    </row>
    <row r="189" spans="1:4" ht="12.75" customHeight="1">
      <c r="A189" s="17">
        <f t="shared" si="2"/>
        <v>187</v>
      </c>
      <c r="B189" s="20" t="s">
        <v>41</v>
      </c>
      <c r="C189" s="21">
        <v>12.770000457763672</v>
      </c>
      <c r="D189" s="17">
        <f>SUM($C$3:C189)/A189</f>
        <v>13.811336909411425</v>
      </c>
    </row>
    <row r="190" spans="1:4" ht="12.75" customHeight="1">
      <c r="A190" s="17">
        <f t="shared" si="2"/>
        <v>188</v>
      </c>
      <c r="B190" s="20" t="s">
        <v>42</v>
      </c>
      <c r="C190" s="21">
        <v>12.57</v>
      </c>
      <c r="D190" s="17">
        <f>SUM($C$3:C190)/A190</f>
        <v>13.804734053510302</v>
      </c>
    </row>
    <row r="191" spans="1:4" ht="12.75" customHeight="1">
      <c r="A191" s="17">
        <f t="shared" si="2"/>
        <v>189</v>
      </c>
      <c r="B191" s="20" t="s">
        <v>43</v>
      </c>
      <c r="C191" s="21">
        <v>12.449999809265137</v>
      </c>
      <c r="D191" s="17">
        <f>SUM($C$3:C191)/A191</f>
        <v>13.797566147456095</v>
      </c>
    </row>
    <row r="192" spans="1:4" ht="12.75" customHeight="1">
      <c r="A192" s="17">
        <f t="shared" si="2"/>
        <v>190</v>
      </c>
      <c r="B192" s="20" t="s">
        <v>44</v>
      </c>
      <c r="C192" s="21">
        <v>12.5</v>
      </c>
      <c r="D192" s="17">
        <f>SUM($C$3:C192)/A192</f>
        <v>13.790736851943167</v>
      </c>
    </row>
    <row r="193" spans="1:4" ht="12.75" customHeight="1">
      <c r="A193" s="17">
        <f t="shared" si="2"/>
        <v>191</v>
      </c>
      <c r="B193" s="20" t="s">
        <v>45</v>
      </c>
      <c r="C193" s="21">
        <v>12.659999847412109</v>
      </c>
      <c r="D193" s="17">
        <f>SUM($C$3:C193)/A193</f>
        <v>13.784816762914209</v>
      </c>
    </row>
    <row r="194" spans="1:4" ht="12.75" customHeight="1">
      <c r="A194" s="17">
        <f t="shared" si="2"/>
        <v>192</v>
      </c>
      <c r="B194" s="20" t="s">
        <v>46</v>
      </c>
      <c r="C194" s="21">
        <v>12.619999885559082</v>
      </c>
      <c r="D194" s="17">
        <f>SUM($C$3:C194)/A194</f>
        <v>13.778750008344652</v>
      </c>
    </row>
    <row r="195" spans="1:4" ht="12.75" customHeight="1">
      <c r="A195" s="17">
        <f t="shared" si="2"/>
        <v>193</v>
      </c>
      <c r="B195" s="20" t="s">
        <v>47</v>
      </c>
      <c r="C195" s="21">
        <v>12.729999542236328</v>
      </c>
      <c r="D195" s="17">
        <f>SUM($C$3:C195)/A195</f>
        <v>13.773316068105748</v>
      </c>
    </row>
    <row r="196" spans="1:4" ht="12.75" customHeight="1">
      <c r="A196" s="17">
        <f t="shared" si="2"/>
        <v>194</v>
      </c>
      <c r="B196" s="20" t="s">
        <v>48</v>
      </c>
      <c r="C196" s="21">
        <v>12.609999656677246</v>
      </c>
      <c r="D196" s="17">
        <f>SUM($C$3:C196)/A196</f>
        <v>13.767319591758179</v>
      </c>
    </row>
    <row r="197" spans="1:4" ht="12.75" customHeight="1">
      <c r="A197" s="17">
        <f t="shared" ref="A197:A451" si="3">A196+1</f>
        <v>195</v>
      </c>
      <c r="B197" s="20" t="s">
        <v>49</v>
      </c>
      <c r="C197" s="21">
        <v>12.600000381469727</v>
      </c>
      <c r="D197" s="17">
        <f>SUM($C$3:C197)/A197</f>
        <v>13.761333339397725</v>
      </c>
    </row>
    <row r="198" spans="1:4" ht="12.75" customHeight="1">
      <c r="A198" s="17">
        <f t="shared" si="3"/>
        <v>196</v>
      </c>
      <c r="B198" s="20" t="s">
        <v>50</v>
      </c>
      <c r="C198" s="21">
        <v>12.329999923706055</v>
      </c>
      <c r="D198" s="17">
        <f>SUM($C$3:C198)/A198</f>
        <v>13.754030617889095</v>
      </c>
    </row>
    <row r="199" spans="1:4" ht="12.75" customHeight="1">
      <c r="A199" s="17">
        <f t="shared" si="3"/>
        <v>197</v>
      </c>
      <c r="B199" s="20" t="s">
        <v>51</v>
      </c>
      <c r="C199" s="21">
        <v>12.409999847412109</v>
      </c>
      <c r="D199" s="17">
        <f>SUM($C$3:C199)/A199</f>
        <v>13.747208126668399</v>
      </c>
    </row>
    <row r="200" spans="1:4" ht="12.75" customHeight="1">
      <c r="A200" s="17">
        <f t="shared" si="3"/>
        <v>198</v>
      </c>
      <c r="B200" s="20">
        <v>44588</v>
      </c>
      <c r="C200" s="21">
        <v>12.220000267028809</v>
      </c>
      <c r="D200" s="17">
        <f>SUM($C$3:C200)/A200</f>
        <v>13.739494955660119</v>
      </c>
    </row>
    <row r="201" spans="1:4" ht="12.75" customHeight="1">
      <c r="A201" s="17">
        <f t="shared" si="3"/>
        <v>199</v>
      </c>
      <c r="B201" s="20">
        <v>44589</v>
      </c>
      <c r="C201" s="21">
        <v>12.039999961853027</v>
      </c>
      <c r="D201" s="17">
        <f>SUM($C$3:C201)/A201</f>
        <v>13.730954779811841</v>
      </c>
    </row>
    <row r="202" spans="1:4" ht="12.75" customHeight="1">
      <c r="A202" s="17">
        <f t="shared" si="3"/>
        <v>200</v>
      </c>
      <c r="B202" s="20" t="s">
        <v>52</v>
      </c>
      <c r="C202" s="21">
        <v>12.260000228881836</v>
      </c>
      <c r="D202" s="17">
        <f>SUM($C$3:C202)/A202</f>
        <v>13.723600007057192</v>
      </c>
    </row>
    <row r="203" spans="1:4" ht="12.75" customHeight="1">
      <c r="A203" s="17">
        <f t="shared" si="3"/>
        <v>201</v>
      </c>
      <c r="B203" s="20" t="s">
        <v>53</v>
      </c>
      <c r="C203" s="21">
        <v>12.279999732971191</v>
      </c>
      <c r="D203" s="17">
        <f>SUM($C$3:C203)/A203</f>
        <v>13.71641791614134</v>
      </c>
    </row>
    <row r="204" spans="1:4" ht="12.75" customHeight="1">
      <c r="A204" s="17">
        <f t="shared" si="3"/>
        <v>202</v>
      </c>
      <c r="B204" s="20" t="s">
        <v>54</v>
      </c>
      <c r="C204" s="21">
        <v>12.390000343322754</v>
      </c>
      <c r="D204" s="17">
        <f>SUM($C$3:C204)/A204</f>
        <v>13.709851492513526</v>
      </c>
    </row>
    <row r="205" spans="1:4" ht="12.75" customHeight="1">
      <c r="A205" s="17">
        <f t="shared" si="3"/>
        <v>203</v>
      </c>
      <c r="B205" s="20" t="s">
        <v>55</v>
      </c>
      <c r="C205" s="21">
        <v>12.409999847412109</v>
      </c>
      <c r="D205" s="17">
        <f>SUM($C$3:C205)/A205</f>
        <v>13.703448282439135</v>
      </c>
    </row>
    <row r="206" spans="1:4" ht="12.75" customHeight="1">
      <c r="A206" s="17">
        <f t="shared" si="3"/>
        <v>204</v>
      </c>
      <c r="B206" s="20" t="s">
        <v>56</v>
      </c>
      <c r="C206" s="21">
        <v>12.369999885559082</v>
      </c>
      <c r="D206" s="17">
        <f>SUM($C$3:C206)/A206</f>
        <v>13.696911770689722</v>
      </c>
    </row>
    <row r="207" spans="1:4" ht="12.75" customHeight="1">
      <c r="A207" s="17">
        <f t="shared" si="3"/>
        <v>205</v>
      </c>
      <c r="B207" s="20" t="s">
        <v>57</v>
      </c>
      <c r="C207" s="21">
        <v>12.25</v>
      </c>
      <c r="D207" s="17">
        <f>SUM($C$3:C207)/A207</f>
        <v>13.689853664491237</v>
      </c>
    </row>
    <row r="208" spans="1:4" ht="12.75" customHeight="1">
      <c r="A208" s="17">
        <f t="shared" si="3"/>
        <v>206</v>
      </c>
      <c r="B208" s="20" t="s">
        <v>58</v>
      </c>
      <c r="C208" s="21">
        <v>12.319999694824219</v>
      </c>
      <c r="D208" s="17">
        <f>SUM($C$3:C208)/A208</f>
        <v>13.683203887939454</v>
      </c>
    </row>
    <row r="209" spans="1:4" ht="12.75" customHeight="1">
      <c r="A209" s="17">
        <f t="shared" si="3"/>
        <v>207</v>
      </c>
      <c r="B209" s="20" t="s">
        <v>59</v>
      </c>
      <c r="C209" s="21">
        <v>12.359999656677246</v>
      </c>
      <c r="D209" s="17">
        <f>SUM($C$3:C209)/A209</f>
        <v>13.676811596967173</v>
      </c>
    </row>
    <row r="210" spans="1:4" ht="12.75" customHeight="1">
      <c r="A210" s="17">
        <f t="shared" si="3"/>
        <v>208</v>
      </c>
      <c r="B210" s="20" t="s">
        <v>60</v>
      </c>
      <c r="C210" s="21">
        <v>12.369999885559082</v>
      </c>
      <c r="D210" s="17">
        <f>SUM($C$3:C210)/A210</f>
        <v>13.670528848354634</v>
      </c>
    </row>
    <row r="211" spans="1:4" ht="12.75" customHeight="1">
      <c r="A211" s="17">
        <f t="shared" si="3"/>
        <v>209</v>
      </c>
      <c r="B211" s="20" t="s">
        <v>61</v>
      </c>
      <c r="C211" s="21">
        <v>12.449999809265137</v>
      </c>
      <c r="D211" s="17">
        <f>SUM($C$3:C211)/A211</f>
        <v>13.664688996492963</v>
      </c>
    </row>
    <row r="212" spans="1:4" ht="12.75" customHeight="1">
      <c r="A212" s="17">
        <f t="shared" si="3"/>
        <v>210</v>
      </c>
      <c r="B212" s="20" t="s">
        <v>62</v>
      </c>
      <c r="C212" s="21">
        <v>12.430000305175781</v>
      </c>
      <c r="D212" s="17">
        <f>SUM($C$3:C212)/A212</f>
        <v>13.658809526534309</v>
      </c>
    </row>
    <row r="213" spans="1:4" ht="12.75" customHeight="1">
      <c r="A213" s="17">
        <f t="shared" si="3"/>
        <v>211</v>
      </c>
      <c r="B213" s="20" t="s">
        <v>63</v>
      </c>
      <c r="C213" s="21">
        <v>12.279999732971191</v>
      </c>
      <c r="D213" s="17">
        <f>SUM($C$3:C213)/A213</f>
        <v>13.652274882962919</v>
      </c>
    </row>
    <row r="214" spans="1:4" ht="12.75" customHeight="1">
      <c r="A214" s="17">
        <f t="shared" si="3"/>
        <v>212</v>
      </c>
      <c r="B214" s="20" t="s">
        <v>64</v>
      </c>
      <c r="C214" s="21">
        <v>12.350000381469727</v>
      </c>
      <c r="D214" s="17">
        <f>SUM($C$3:C214)/A214</f>
        <v>13.646132078710593</v>
      </c>
    </row>
    <row r="215" spans="1:4" ht="12.75" customHeight="1">
      <c r="A215" s="17">
        <f t="shared" si="3"/>
        <v>213</v>
      </c>
      <c r="B215" s="20" t="s">
        <v>65</v>
      </c>
      <c r="C215" s="21">
        <v>12.130000114440918</v>
      </c>
      <c r="D215" s="17">
        <f>SUM($C$3:C215)/A215</f>
        <v>13.639014088268013</v>
      </c>
    </row>
    <row r="216" spans="1:4" ht="12.75" customHeight="1">
      <c r="A216" s="17">
        <f t="shared" si="3"/>
        <v>214</v>
      </c>
      <c r="B216" s="20">
        <v>44617</v>
      </c>
      <c r="C216" s="21">
        <v>12.210000038146973</v>
      </c>
      <c r="D216" s="17">
        <f>SUM($C$3:C216)/A216</f>
        <v>13.632336452519784</v>
      </c>
    </row>
    <row r="217" spans="1:4" ht="12.75" customHeight="1">
      <c r="A217" s="17">
        <f t="shared" si="3"/>
        <v>215</v>
      </c>
      <c r="B217" s="20">
        <v>44620</v>
      </c>
      <c r="C217" s="21">
        <v>12.239999771118164</v>
      </c>
      <c r="D217" s="17">
        <f>SUM($C$3:C217)/A217</f>
        <v>13.625860467955125</v>
      </c>
    </row>
    <row r="218" spans="1:4" ht="12.75" customHeight="1">
      <c r="A218" s="17">
        <f t="shared" si="3"/>
        <v>216</v>
      </c>
      <c r="B218" s="20" t="s">
        <v>66</v>
      </c>
      <c r="C218" s="21">
        <v>12.350000381469727</v>
      </c>
      <c r="D218" s="17">
        <f>SUM($C$3:C218)/A218</f>
        <v>13.619953708295471</v>
      </c>
    </row>
    <row r="219" spans="1:4" ht="12.75" customHeight="1">
      <c r="A219" s="17">
        <f t="shared" si="3"/>
        <v>217</v>
      </c>
      <c r="B219" s="20" t="s">
        <v>67</v>
      </c>
      <c r="C219" s="21">
        <v>12.289999961853027</v>
      </c>
      <c r="D219" s="17">
        <f>SUM($C$3:C219)/A219</f>
        <v>13.613824889187441</v>
      </c>
    </row>
    <row r="220" spans="1:4" ht="12.75" customHeight="1">
      <c r="A220" s="17">
        <f t="shared" si="3"/>
        <v>218</v>
      </c>
      <c r="B220" s="20" t="s">
        <v>68</v>
      </c>
      <c r="C220" s="21">
        <v>12.25</v>
      </c>
      <c r="D220" s="17">
        <f>SUM($C$3:C220)/A220</f>
        <v>13.607568811714104</v>
      </c>
    </row>
    <row r="221" spans="1:4" ht="12.75" customHeight="1">
      <c r="A221" s="17">
        <f t="shared" si="3"/>
        <v>219</v>
      </c>
      <c r="B221" s="20" t="s">
        <v>69</v>
      </c>
      <c r="C221" s="21">
        <v>12.130000114440918</v>
      </c>
      <c r="D221" s="17">
        <f>SUM($C$3:C221)/A221</f>
        <v>13.600821922685459</v>
      </c>
    </row>
    <row r="222" spans="1:4" ht="12.75" customHeight="1">
      <c r="A222" s="17">
        <f t="shared" si="3"/>
        <v>220</v>
      </c>
      <c r="B222" s="20" t="s">
        <v>70</v>
      </c>
      <c r="C222" s="21">
        <v>11.810000419616699</v>
      </c>
      <c r="D222" s="17">
        <f>SUM($C$3:C222)/A222</f>
        <v>13.592681824944238</v>
      </c>
    </row>
    <row r="223" spans="1:4" ht="12.75" customHeight="1">
      <c r="A223" s="17">
        <f t="shared" si="3"/>
        <v>221</v>
      </c>
      <c r="B223" s="20" t="s">
        <v>71</v>
      </c>
      <c r="C223" s="21">
        <v>11.579999923706055</v>
      </c>
      <c r="D223" s="17">
        <f>SUM($C$3:C223)/A223</f>
        <v>13.583574667020082</v>
      </c>
    </row>
    <row r="224" spans="1:4" ht="12.75" customHeight="1">
      <c r="A224" s="17">
        <f t="shared" si="3"/>
        <v>222</v>
      </c>
      <c r="B224" s="20" t="s">
        <v>72</v>
      </c>
      <c r="C224" s="21">
        <v>11.470000267028809</v>
      </c>
      <c r="D224" s="17">
        <f>SUM($C$3:C224)/A224</f>
        <v>13.574054061614717</v>
      </c>
    </row>
    <row r="225" spans="1:4" ht="12.75" customHeight="1">
      <c r="A225" s="17">
        <f t="shared" si="3"/>
        <v>223</v>
      </c>
      <c r="B225" s="20" t="s">
        <v>73</v>
      </c>
      <c r="C225" s="21">
        <v>11.630000114440918</v>
      </c>
      <c r="D225" s="17">
        <f>SUM($C$3:C225)/A225</f>
        <v>13.565336330909901</v>
      </c>
    </row>
    <row r="226" spans="1:4" ht="12.75" customHeight="1">
      <c r="A226" s="17">
        <f t="shared" si="3"/>
        <v>224</v>
      </c>
      <c r="B226" s="20" t="s">
        <v>74</v>
      </c>
      <c r="C226" s="21">
        <v>11.670000076293945</v>
      </c>
      <c r="D226" s="17">
        <f>SUM($C$3:C226)/A226</f>
        <v>13.556875008344651</v>
      </c>
    </row>
    <row r="227" spans="1:4" ht="12.75" customHeight="1">
      <c r="A227" s="17">
        <f t="shared" si="3"/>
        <v>225</v>
      </c>
      <c r="B227" s="20" t="s">
        <v>75</v>
      </c>
      <c r="C227" s="21">
        <v>11.350000381469727</v>
      </c>
      <c r="D227" s="17">
        <f>SUM($C$3:C227)/A227</f>
        <v>13.547066676669651</v>
      </c>
    </row>
    <row r="228" spans="1:4" ht="12.75" customHeight="1">
      <c r="A228" s="17">
        <f t="shared" si="3"/>
        <v>226</v>
      </c>
      <c r="B228" s="20" t="s">
        <v>76</v>
      </c>
      <c r="C228" s="21">
        <v>10.789999961853027</v>
      </c>
      <c r="D228" s="17">
        <f>SUM($C$3:C228)/A228</f>
        <v>13.534867266427101</v>
      </c>
    </row>
    <row r="229" spans="1:4" ht="12.75" customHeight="1">
      <c r="A229" s="17">
        <f t="shared" si="3"/>
        <v>227</v>
      </c>
      <c r="B229" s="20" t="s">
        <v>77</v>
      </c>
      <c r="C229" s="21">
        <v>11.140000343322754</v>
      </c>
      <c r="D229" s="17">
        <f>SUM($C$3:C229)/A229</f>
        <v>13.52431719187598</v>
      </c>
    </row>
    <row r="230" spans="1:4" ht="12.75" customHeight="1">
      <c r="A230" s="17">
        <f t="shared" si="3"/>
        <v>228</v>
      </c>
      <c r="B230" s="20" t="s">
        <v>78</v>
      </c>
      <c r="C230" s="21">
        <v>11.359999656677246</v>
      </c>
      <c r="D230" s="17">
        <f>SUM($C$3:C230)/A230</f>
        <v>13.514824571107564</v>
      </c>
    </row>
    <row r="231" spans="1:4" ht="12.75" customHeight="1">
      <c r="A231" s="17">
        <f t="shared" si="3"/>
        <v>229</v>
      </c>
      <c r="B231" s="20" t="s">
        <v>79</v>
      </c>
      <c r="C231" s="21">
        <v>11.460000038146973</v>
      </c>
      <c r="D231" s="17">
        <f>SUM($C$3:C231)/A231</f>
        <v>13.505851538212539</v>
      </c>
    </row>
    <row r="232" spans="1:4" ht="12.75" customHeight="1">
      <c r="A232" s="17">
        <f t="shared" si="3"/>
        <v>230</v>
      </c>
      <c r="B232" s="20" t="s">
        <v>80</v>
      </c>
      <c r="C232" s="21">
        <v>11.420000076293945</v>
      </c>
      <c r="D232" s="17">
        <f>SUM($C$3:C232)/A232</f>
        <v>13.496782618812894</v>
      </c>
    </row>
    <row r="233" spans="1:4" ht="12.75" customHeight="1">
      <c r="A233" s="17">
        <f t="shared" si="3"/>
        <v>231</v>
      </c>
      <c r="B233" s="20" t="s">
        <v>81</v>
      </c>
      <c r="C233" s="21">
        <v>11.449999809265137</v>
      </c>
      <c r="D233" s="17">
        <f>SUM($C$3:C233)/A233</f>
        <v>13.48792208716983</v>
      </c>
    </row>
    <row r="234" spans="1:4" ht="12.75" customHeight="1">
      <c r="A234" s="17">
        <f t="shared" si="3"/>
        <v>232</v>
      </c>
      <c r="B234" s="20" t="s">
        <v>82</v>
      </c>
      <c r="C234" s="21">
        <v>11.5</v>
      </c>
      <c r="D234" s="17">
        <f>SUM($C$3:C234)/A234</f>
        <v>13.479353457483754</v>
      </c>
    </row>
    <row r="235" spans="1:4" ht="12.75" customHeight="1">
      <c r="A235" s="17">
        <f t="shared" si="3"/>
        <v>233</v>
      </c>
      <c r="B235" s="20" t="s">
        <v>83</v>
      </c>
      <c r="C235" s="21">
        <v>11.439999580383301</v>
      </c>
      <c r="D235" s="17">
        <f>SUM($C$3:C235)/A235</f>
        <v>13.470600865736541</v>
      </c>
    </row>
    <row r="236" spans="1:4" ht="12.75" customHeight="1">
      <c r="A236" s="17">
        <f t="shared" si="3"/>
        <v>234</v>
      </c>
      <c r="B236" s="20" t="s">
        <v>84</v>
      </c>
      <c r="C236" s="21">
        <v>11.260000228881836</v>
      </c>
      <c r="D236" s="17">
        <f>SUM($C$3:C236)/A236</f>
        <v>13.461153854467931</v>
      </c>
    </row>
    <row r="237" spans="1:4" ht="12.75" customHeight="1">
      <c r="A237" s="17">
        <f t="shared" si="3"/>
        <v>235</v>
      </c>
      <c r="B237" s="20" t="s">
        <v>85</v>
      </c>
      <c r="C237" s="21">
        <v>11.260000228881836</v>
      </c>
      <c r="D237" s="17">
        <f>SUM($C$3:C237)/A237</f>
        <v>13.451787243295223</v>
      </c>
    </row>
    <row r="238" spans="1:4" ht="12.75" customHeight="1">
      <c r="A238" s="17">
        <f t="shared" si="3"/>
        <v>236</v>
      </c>
      <c r="B238" s="20" t="s">
        <v>86</v>
      </c>
      <c r="C238" s="21">
        <v>11.25</v>
      </c>
      <c r="D238" s="17">
        <f>SUM($C$3:C238)/A238</f>
        <v>13.44245763633211</v>
      </c>
    </row>
    <row r="239" spans="1:4" ht="12.75" customHeight="1">
      <c r="A239" s="17">
        <f t="shared" si="3"/>
        <v>237</v>
      </c>
      <c r="B239" s="20">
        <v>44650</v>
      </c>
      <c r="C239" s="21">
        <v>11.5</v>
      </c>
      <c r="D239" s="17">
        <f>SUM($C$3:C239)/A239</f>
        <v>13.434261612550117</v>
      </c>
    </row>
    <row r="240" spans="1:4" ht="12.75" customHeight="1">
      <c r="A240" s="17">
        <f t="shared" si="3"/>
        <v>238</v>
      </c>
      <c r="B240" s="20">
        <v>44651</v>
      </c>
      <c r="C240" s="21">
        <v>11.460000038146973</v>
      </c>
      <c r="D240" s="17">
        <f>SUM($C$3:C240)/A240</f>
        <v>13.425966395850944</v>
      </c>
    </row>
    <row r="241" spans="1:4" ht="12.75" customHeight="1">
      <c r="A241" s="17">
        <f t="shared" si="3"/>
        <v>239</v>
      </c>
      <c r="B241" s="20" t="s">
        <v>87</v>
      </c>
      <c r="C241" s="21">
        <v>11.600000381469727</v>
      </c>
      <c r="D241" s="17">
        <f>SUM($C$3:C241)/A241</f>
        <v>13.418326370686168</v>
      </c>
    </row>
    <row r="242" spans="1:4" ht="12.75" customHeight="1">
      <c r="A242" s="17">
        <f t="shared" si="3"/>
        <v>240</v>
      </c>
      <c r="B242" s="20" t="s">
        <v>88</v>
      </c>
      <c r="C242" s="21">
        <v>11.579999923706055</v>
      </c>
      <c r="D242" s="17">
        <f>SUM($C$3:C242)/A242</f>
        <v>13.410666677157085</v>
      </c>
    </row>
    <row r="243" spans="1:4" ht="12.75" customHeight="1">
      <c r="A243" s="17">
        <f t="shared" si="3"/>
        <v>241</v>
      </c>
      <c r="B243" s="20" t="s">
        <v>89</v>
      </c>
      <c r="C243" s="21">
        <v>11.470000267028809</v>
      </c>
      <c r="D243" s="17">
        <f>SUM($C$3:C243)/A243</f>
        <v>13.402614119438711</v>
      </c>
    </row>
    <row r="244" spans="1:4" ht="12.75" customHeight="1">
      <c r="A244" s="17">
        <f t="shared" si="3"/>
        <v>242</v>
      </c>
      <c r="B244" s="20" t="s">
        <v>90</v>
      </c>
      <c r="C244" s="21">
        <v>11.529999732971191</v>
      </c>
      <c r="D244" s="17">
        <f>SUM($C$3:C244)/A244</f>
        <v>13.394876043461572</v>
      </c>
    </row>
    <row r="245" spans="1:4" ht="12.75" customHeight="1">
      <c r="A245" s="17">
        <f t="shared" si="3"/>
        <v>243</v>
      </c>
      <c r="B245" s="20" t="s">
        <v>91</v>
      </c>
      <c r="C245" s="21">
        <v>11.260000228881836</v>
      </c>
      <c r="D245" s="17">
        <f>SUM($C$3:C245)/A245</f>
        <v>13.386090546282231</v>
      </c>
    </row>
    <row r="246" spans="1:4" ht="12.75" customHeight="1">
      <c r="A246" s="17">
        <f t="shared" si="3"/>
        <v>244</v>
      </c>
      <c r="B246" s="20" t="s">
        <v>92</v>
      </c>
      <c r="C246" s="21">
        <v>11.439999580383301</v>
      </c>
      <c r="D246" s="17">
        <f>SUM($C$3:C246)/A246</f>
        <v>13.378114763635105</v>
      </c>
    </row>
    <row r="247" spans="1:4" ht="12.75" customHeight="1">
      <c r="A247" s="17">
        <f t="shared" si="3"/>
        <v>245</v>
      </c>
      <c r="B247" s="20" t="s">
        <v>93</v>
      </c>
      <c r="C247" s="21">
        <v>11.369999885559082</v>
      </c>
      <c r="D247" s="17">
        <f>SUM($C$3:C247)/A247</f>
        <v>13.369918376377651</v>
      </c>
    </row>
    <row r="248" spans="1:4" ht="12.75" customHeight="1">
      <c r="A248" s="17">
        <f t="shared" si="3"/>
        <v>246</v>
      </c>
      <c r="B248" s="20" t="s">
        <v>94</v>
      </c>
      <c r="C248" s="21">
        <v>11.539999961853027</v>
      </c>
      <c r="D248" s="17">
        <f>SUM($C$3:C248)/A248</f>
        <v>13.362479683635682</v>
      </c>
    </row>
    <row r="249" spans="1:4" ht="12.75" customHeight="1">
      <c r="A249" s="17">
        <f t="shared" si="3"/>
        <v>247</v>
      </c>
      <c r="B249" s="20" t="s">
        <v>95</v>
      </c>
      <c r="C249" s="21">
        <v>11.510000228881836</v>
      </c>
      <c r="D249" s="17">
        <f>SUM($C$3:C249)/A249</f>
        <v>13.354979766814816</v>
      </c>
    </row>
    <row r="250" spans="1:4" ht="12.75" customHeight="1">
      <c r="A250" s="17">
        <f t="shared" si="3"/>
        <v>248</v>
      </c>
      <c r="B250" s="20" t="s">
        <v>96</v>
      </c>
      <c r="C250" s="21">
        <v>11.409999847412109</v>
      </c>
      <c r="D250" s="17">
        <f>SUM($C$3:C250)/A250</f>
        <v>13.347137105849482</v>
      </c>
    </row>
    <row r="251" spans="1:4" ht="12.75" customHeight="1">
      <c r="A251" s="17">
        <f t="shared" si="3"/>
        <v>249</v>
      </c>
      <c r="B251" s="20" t="s">
        <v>97</v>
      </c>
      <c r="C251" s="21">
        <v>11.380000114440918</v>
      </c>
      <c r="D251" s="17">
        <f>SUM($C$3:C251)/A251</f>
        <v>13.339236957289609</v>
      </c>
    </row>
    <row r="252" spans="1:4" ht="12.75" customHeight="1">
      <c r="A252" s="17">
        <f t="shared" si="3"/>
        <v>250</v>
      </c>
      <c r="B252" s="20" t="s">
        <v>98</v>
      </c>
      <c r="C252" s="21">
        <v>11.229999542236328</v>
      </c>
      <c r="D252" s="17">
        <f>SUM($C$3:C252)/A252</f>
        <v>13.330800007629396</v>
      </c>
    </row>
    <row r="253" spans="1:4" ht="12.75" customHeight="1">
      <c r="A253" s="17">
        <f t="shared" si="3"/>
        <v>251</v>
      </c>
      <c r="B253" s="20" t="s">
        <v>99</v>
      </c>
      <c r="C253" s="21">
        <v>11.029999732971191</v>
      </c>
      <c r="D253" s="17">
        <f>SUM($C$3:C253)/A253</f>
        <v>13.321633472670598</v>
      </c>
    </row>
    <row r="254" spans="1:4" ht="12.75" customHeight="1">
      <c r="A254" s="17">
        <f t="shared" si="3"/>
        <v>252</v>
      </c>
      <c r="B254" s="20" t="s">
        <v>100</v>
      </c>
      <c r="C254" s="21">
        <v>11.100000381469727</v>
      </c>
      <c r="D254" s="17">
        <f>SUM($C$3:C254)/A254</f>
        <v>13.312817468340436</v>
      </c>
    </row>
    <row r="255" spans="1:4" ht="12.75" customHeight="1">
      <c r="A255" s="17">
        <f t="shared" si="3"/>
        <v>253</v>
      </c>
      <c r="B255" s="20" t="s">
        <v>101</v>
      </c>
      <c r="C255" s="21">
        <v>10.600000381469727</v>
      </c>
      <c r="D255" s="17">
        <f>SUM($C$3:C255)/A255</f>
        <v>13.302094871159129</v>
      </c>
    </row>
    <row r="256" spans="1:4" ht="12.75" customHeight="1">
      <c r="A256" s="17">
        <f t="shared" si="3"/>
        <v>254</v>
      </c>
      <c r="B256" s="20" t="s">
        <v>102</v>
      </c>
      <c r="C256" s="21">
        <v>10.579999923706055</v>
      </c>
      <c r="D256" s="17">
        <f>SUM($C$3:C256)/A256</f>
        <v>13.291377961917187</v>
      </c>
    </row>
    <row r="257" spans="1:4" ht="12.75" customHeight="1">
      <c r="A257" s="17">
        <f t="shared" si="3"/>
        <v>255</v>
      </c>
      <c r="B257" s="20" t="s">
        <v>103</v>
      </c>
      <c r="C257" s="21">
        <v>10.819999694824219</v>
      </c>
      <c r="D257" s="17">
        <f>SUM($C$3:C257)/A257</f>
        <v>13.281686282438391</v>
      </c>
    </row>
    <row r="258" spans="1:4" ht="12.75" customHeight="1">
      <c r="A258" s="17">
        <f t="shared" si="3"/>
        <v>256</v>
      </c>
      <c r="B258" s="20">
        <v>44679</v>
      </c>
      <c r="C258" s="21">
        <v>10.960000038146973</v>
      </c>
      <c r="D258" s="17">
        <f>SUM($C$3:C258)/A258</f>
        <v>13.272617195546628</v>
      </c>
    </row>
    <row r="259" spans="1:4" ht="12.75" customHeight="1">
      <c r="A259" s="17">
        <f t="shared" si="3"/>
        <v>257</v>
      </c>
      <c r="B259" s="20">
        <v>44680</v>
      </c>
      <c r="C259" s="21">
        <v>11.140000343322754</v>
      </c>
      <c r="D259" s="17">
        <f>SUM($C$3:C259)/A259</f>
        <v>13.264319075499065</v>
      </c>
    </row>
    <row r="260" spans="1:4" ht="12.75" customHeight="1">
      <c r="A260" s="17">
        <f t="shared" si="3"/>
        <v>258</v>
      </c>
      <c r="B260" s="20" t="s">
        <v>104</v>
      </c>
      <c r="C260" s="21">
        <v>10.789999961853027</v>
      </c>
      <c r="D260" s="17">
        <f>SUM($C$3:C260)/A260</f>
        <v>13.254728691337645</v>
      </c>
    </row>
    <row r="261" spans="1:4" ht="12.75" customHeight="1">
      <c r="A261" s="17">
        <f t="shared" si="3"/>
        <v>259</v>
      </c>
      <c r="B261" s="20" t="s">
        <v>105</v>
      </c>
      <c r="C261" s="21">
        <v>10.539999961853027</v>
      </c>
      <c r="D261" s="17">
        <f>SUM($C$3:C261)/A261</f>
        <v>13.244247113231527</v>
      </c>
    </row>
    <row r="262" spans="1:4" ht="12.75" customHeight="1">
      <c r="A262" s="17">
        <f t="shared" si="3"/>
        <v>260</v>
      </c>
      <c r="B262" s="20" t="s">
        <v>106</v>
      </c>
      <c r="C262" s="21">
        <v>10.470000267028809</v>
      </c>
      <c r="D262" s="17">
        <f>SUM($C$3:C262)/A262</f>
        <v>13.233576933053826</v>
      </c>
    </row>
    <row r="263" spans="1:4" ht="12.75" customHeight="1">
      <c r="A263" s="17">
        <f t="shared" si="3"/>
        <v>261</v>
      </c>
      <c r="B263" s="20" t="s">
        <v>107</v>
      </c>
      <c r="C263" s="21">
        <v>10.539999961853027</v>
      </c>
      <c r="D263" s="17">
        <f>SUM($C$3:C263)/A263</f>
        <v>13.223256714773362</v>
      </c>
    </row>
    <row r="264" spans="1:4" ht="12.75" customHeight="1">
      <c r="A264" s="17">
        <f t="shared" si="3"/>
        <v>262</v>
      </c>
      <c r="B264" s="20" t="s">
        <v>108</v>
      </c>
      <c r="C264" s="21">
        <v>10.609999656677246</v>
      </c>
      <c r="D264" s="17">
        <f>SUM($C$3:C264)/A264</f>
        <v>13.213282451192843</v>
      </c>
    </row>
    <row r="265" spans="1:4" ht="12.75" customHeight="1">
      <c r="A265" s="17">
        <f t="shared" si="3"/>
        <v>263</v>
      </c>
      <c r="B265" s="20" t="s">
        <v>109</v>
      </c>
      <c r="C265" s="21">
        <v>10.560000419616699</v>
      </c>
      <c r="D265" s="17">
        <f>SUM($C$3:C265)/A265</f>
        <v>13.203193926357953</v>
      </c>
    </row>
    <row r="266" spans="1:4" ht="12.75" customHeight="1">
      <c r="A266" s="17">
        <f t="shared" si="3"/>
        <v>264</v>
      </c>
      <c r="B266" s="20" t="s">
        <v>110</v>
      </c>
      <c r="C266" s="21">
        <v>10.659999847412109</v>
      </c>
      <c r="D266" s="17">
        <f>SUM($C$3:C266)/A266</f>
        <v>13.193560615452855</v>
      </c>
    </row>
    <row r="267" spans="1:4" ht="12.75" customHeight="1">
      <c r="A267" s="17">
        <f t="shared" si="3"/>
        <v>265</v>
      </c>
      <c r="B267" s="20" t="s">
        <v>111</v>
      </c>
      <c r="C267" s="21">
        <v>10.590000152587891</v>
      </c>
      <c r="D267" s="17">
        <f>SUM($C$3:C267)/A267</f>
        <v>13.183735858989213</v>
      </c>
    </row>
    <row r="268" spans="1:4" ht="12.75" customHeight="1">
      <c r="A268" s="17">
        <f t="shared" si="3"/>
        <v>266</v>
      </c>
      <c r="B268" s="20" t="s">
        <v>112</v>
      </c>
      <c r="C268" s="21">
        <v>10.680000305175781</v>
      </c>
      <c r="D268" s="17">
        <f>SUM($C$3:C268)/A268</f>
        <v>13.174323319313222</v>
      </c>
    </row>
    <row r="269" spans="1:4" ht="12.75" customHeight="1">
      <c r="A269" s="17">
        <f t="shared" si="3"/>
        <v>267</v>
      </c>
      <c r="B269" s="20" t="s">
        <v>113</v>
      </c>
      <c r="C269" s="21">
        <v>10.619999885559082</v>
      </c>
      <c r="D269" s="17">
        <f>SUM($C$3:C269)/A269</f>
        <v>13.164756564879687</v>
      </c>
    </row>
    <row r="270" spans="1:4" ht="12.75" customHeight="1">
      <c r="A270" s="17">
        <f t="shared" si="3"/>
        <v>268</v>
      </c>
      <c r="B270" s="20" t="s">
        <v>114</v>
      </c>
      <c r="C270" s="21">
        <v>10.630000114440918</v>
      </c>
      <c r="D270" s="17">
        <f>SUM($C$3:C270)/A270</f>
        <v>13.155298518422825</v>
      </c>
    </row>
    <row r="271" spans="1:4" ht="12.75" customHeight="1">
      <c r="A271" s="17">
        <f t="shared" si="3"/>
        <v>269</v>
      </c>
      <c r="B271" s="20" t="s">
        <v>115</v>
      </c>
      <c r="C271" s="21">
        <v>10.83</v>
      </c>
      <c r="D271" s="17">
        <f>SUM($C$3:C271)/A271</f>
        <v>13.146654286012332</v>
      </c>
    </row>
    <row r="272" spans="1:4" ht="12.75" customHeight="1">
      <c r="A272" s="17">
        <f t="shared" si="3"/>
        <v>270</v>
      </c>
      <c r="B272" s="20" t="s">
        <v>116</v>
      </c>
      <c r="C272" s="21">
        <v>10.760000228881836</v>
      </c>
      <c r="D272" s="17">
        <f>SUM($C$3:C272)/A272</f>
        <v>13.137814826541478</v>
      </c>
    </row>
    <row r="273" spans="1:4" ht="12.75" customHeight="1">
      <c r="A273" s="17">
        <f t="shared" si="3"/>
        <v>271</v>
      </c>
      <c r="B273" s="20" t="s">
        <v>117</v>
      </c>
      <c r="C273" s="21">
        <v>10.569999694824219</v>
      </c>
      <c r="D273" s="17">
        <f>SUM($C$3:C273)/A273</f>
        <v>13.128339493952115</v>
      </c>
    </row>
    <row r="274" spans="1:4" ht="12.75" customHeight="1">
      <c r="A274" s="17">
        <f t="shared" si="3"/>
        <v>272</v>
      </c>
      <c r="B274" s="20" t="s">
        <v>118</v>
      </c>
      <c r="C274" s="21">
        <v>10.630000114440918</v>
      </c>
      <c r="D274" s="17">
        <f>SUM($C$3:C274)/A274</f>
        <v>13.119154422703913</v>
      </c>
    </row>
    <row r="275" spans="1:4" ht="12.75" customHeight="1">
      <c r="A275" s="17">
        <f t="shared" si="3"/>
        <v>273</v>
      </c>
      <c r="B275" s="20" t="s">
        <v>119</v>
      </c>
      <c r="C275" s="21">
        <v>10.670000076293945</v>
      </c>
      <c r="D275" s="17">
        <f>SUM($C$3:C275)/A275</f>
        <v>13.110183161361752</v>
      </c>
    </row>
    <row r="276" spans="1:4" ht="12.75" customHeight="1">
      <c r="A276" s="17">
        <f t="shared" si="3"/>
        <v>274</v>
      </c>
      <c r="B276" s="20" t="s">
        <v>120</v>
      </c>
      <c r="C276" s="21">
        <v>10.720000267028809</v>
      </c>
      <c r="D276" s="17">
        <f>SUM($C$3:C276)/A276</f>
        <v>13.101459866126959</v>
      </c>
    </row>
    <row r="277" spans="1:4" ht="12.75" customHeight="1">
      <c r="A277" s="17">
        <f t="shared" si="3"/>
        <v>275</v>
      </c>
      <c r="B277" s="20">
        <v>44711</v>
      </c>
      <c r="C277" s="21">
        <v>10.779999732971191</v>
      </c>
      <c r="D277" s="17">
        <f>SUM($C$3:C277)/A277</f>
        <v>13.093018192915483</v>
      </c>
    </row>
    <row r="278" spans="1:4" ht="12.75" customHeight="1">
      <c r="A278" s="17">
        <f t="shared" si="3"/>
        <v>276</v>
      </c>
      <c r="B278" s="20">
        <v>44712</v>
      </c>
      <c r="C278" s="21">
        <v>10.939999580383301</v>
      </c>
      <c r="D278" s="17">
        <f>SUM($C$3:C278)/A278</f>
        <v>13.085217400841092</v>
      </c>
    </row>
    <row r="279" spans="1:4" ht="12.75" customHeight="1">
      <c r="A279" s="17">
        <f t="shared" si="3"/>
        <v>277</v>
      </c>
      <c r="B279" s="20" t="s">
        <v>121</v>
      </c>
      <c r="C279" s="21">
        <v>10.899999618530273</v>
      </c>
      <c r="D279" s="17">
        <f>SUM($C$3:C279)/A279</f>
        <v>13.077328527980765</v>
      </c>
    </row>
    <row r="280" spans="1:4" ht="12.75" customHeight="1">
      <c r="A280" s="17">
        <f t="shared" si="3"/>
        <v>278</v>
      </c>
      <c r="B280" s="20" t="s">
        <v>122</v>
      </c>
      <c r="C280" s="21">
        <v>10.880000114440918</v>
      </c>
      <c r="D280" s="17">
        <f>SUM($C$3:C280)/A280</f>
        <v>13.069424468939253</v>
      </c>
    </row>
    <row r="281" spans="1:4" ht="12.75" customHeight="1">
      <c r="A281" s="17">
        <f t="shared" si="3"/>
        <v>279</v>
      </c>
      <c r="B281" s="20" t="s">
        <v>123</v>
      </c>
      <c r="C281" s="21">
        <v>11</v>
      </c>
      <c r="D281" s="17">
        <f>SUM($C$3:C281)/A281</f>
        <v>13.062007176935888</v>
      </c>
    </row>
    <row r="282" spans="1:4" ht="12.75" customHeight="1">
      <c r="A282" s="17">
        <f t="shared" si="3"/>
        <v>280</v>
      </c>
      <c r="B282" s="20" t="s">
        <v>124</v>
      </c>
      <c r="C282" s="21">
        <v>11.060000419616699</v>
      </c>
      <c r="D282" s="17">
        <f>SUM($C$3:C282)/A282</f>
        <v>13.054857152802605</v>
      </c>
    </row>
    <row r="283" spans="1:4" ht="12.75" customHeight="1">
      <c r="A283" s="17">
        <f t="shared" si="3"/>
        <v>281</v>
      </c>
      <c r="B283" s="20" t="s">
        <v>125</v>
      </c>
      <c r="C283" s="21">
        <v>11.159999847412109</v>
      </c>
      <c r="D283" s="17">
        <f>SUM($C$3:C283)/A283</f>
        <v>13.04811388837061</v>
      </c>
    </row>
    <row r="284" spans="1:4" ht="12.75" customHeight="1">
      <c r="A284" s="17">
        <f t="shared" si="3"/>
        <v>282</v>
      </c>
      <c r="B284" s="20" t="s">
        <v>126</v>
      </c>
      <c r="C284" s="21">
        <v>11.090000152587891</v>
      </c>
      <c r="D284" s="17">
        <f>SUM($C$3:C284)/A284</f>
        <v>13.041170222640885</v>
      </c>
    </row>
    <row r="285" spans="1:4" ht="12.75" customHeight="1">
      <c r="A285" s="17">
        <f t="shared" si="3"/>
        <v>283</v>
      </c>
      <c r="B285" s="20" t="s">
        <v>127</v>
      </c>
      <c r="C285" s="21">
        <v>11.220000267028809</v>
      </c>
      <c r="D285" s="17">
        <f>SUM($C$3:C285)/A285</f>
        <v>13.034734993115753</v>
      </c>
    </row>
    <row r="286" spans="1:4" ht="12.75" customHeight="1">
      <c r="A286" s="17">
        <f t="shared" si="3"/>
        <v>284</v>
      </c>
      <c r="B286" s="20" t="s">
        <v>128</v>
      </c>
      <c r="C286" s="21">
        <v>3.1099998950958252</v>
      </c>
      <c r="D286" s="17">
        <f>SUM($C$3:C286)/A286</f>
        <v>12.999788742770612</v>
      </c>
    </row>
    <row r="287" spans="1:4" ht="12.75" customHeight="1">
      <c r="A287" s="17">
        <f t="shared" si="3"/>
        <v>285</v>
      </c>
      <c r="B287" s="20" t="s">
        <v>129</v>
      </c>
      <c r="C287" s="21">
        <v>11.5</v>
      </c>
      <c r="D287" s="17">
        <f>SUM($C$3:C287)/A287</f>
        <v>12.994526326129312</v>
      </c>
    </row>
    <row r="288" spans="1:4" ht="12.75" customHeight="1">
      <c r="A288" s="17">
        <f t="shared" si="3"/>
        <v>286</v>
      </c>
      <c r="B288" s="20" t="s">
        <v>130</v>
      </c>
      <c r="C288" s="21">
        <v>11.619999885559082</v>
      </c>
      <c r="D288" s="17">
        <f>SUM($C$3:C288)/A288</f>
        <v>12.989720289623822</v>
      </c>
    </row>
    <row r="289" spans="1:4" ht="12.75" customHeight="1">
      <c r="A289" s="17">
        <f t="shared" si="3"/>
        <v>287</v>
      </c>
      <c r="B289" s="20" t="s">
        <v>131</v>
      </c>
      <c r="C289" s="21">
        <v>11.529999732971191</v>
      </c>
      <c r="D289" s="17">
        <f>SUM($C$3:C289)/A289</f>
        <v>12.984634155280084</v>
      </c>
    </row>
    <row r="290" spans="1:4" ht="12.75" customHeight="1">
      <c r="A290" s="17">
        <f t="shared" si="3"/>
        <v>288</v>
      </c>
      <c r="B290" s="20" t="s">
        <v>132</v>
      </c>
      <c r="C290" s="21">
        <v>11.699999809265137</v>
      </c>
      <c r="D290" s="17">
        <f>SUM($C$3:C290)/A290</f>
        <v>12.980173619356421</v>
      </c>
    </row>
    <row r="291" spans="1:4" ht="12.75" customHeight="1">
      <c r="A291" s="17">
        <f t="shared" si="3"/>
        <v>289</v>
      </c>
      <c r="B291" s="20" t="s">
        <v>133</v>
      </c>
      <c r="C291" s="21">
        <v>11.720000267028809</v>
      </c>
      <c r="D291" s="17">
        <f>SUM($C$3:C291)/A291</f>
        <v>12.975813157929682</v>
      </c>
    </row>
    <row r="292" spans="1:4" ht="12.75" customHeight="1">
      <c r="A292" s="17">
        <f t="shared" si="3"/>
        <v>290</v>
      </c>
      <c r="B292" s="20" t="s">
        <v>134</v>
      </c>
      <c r="C292" s="21">
        <v>11.699999809265137</v>
      </c>
      <c r="D292" s="17">
        <f>SUM($C$3:C292)/A292</f>
        <v>12.971413801554977</v>
      </c>
    </row>
    <row r="293" spans="1:4" ht="12.75" customHeight="1">
      <c r="A293" s="17">
        <f t="shared" si="3"/>
        <v>291</v>
      </c>
      <c r="B293" s="20" t="s">
        <v>135</v>
      </c>
      <c r="C293" s="21">
        <v>11.550000190734863</v>
      </c>
      <c r="D293" s="17">
        <f>SUM($C$3:C293)/A293</f>
        <v>12.966529218699925</v>
      </c>
    </row>
    <row r="294" spans="1:4" ht="12.75" customHeight="1">
      <c r="A294" s="17">
        <f t="shared" si="3"/>
        <v>292</v>
      </c>
      <c r="B294" s="20" t="s">
        <v>136</v>
      </c>
      <c r="C294" s="21">
        <v>11.720000267028809</v>
      </c>
      <c r="D294" s="17">
        <f>SUM($C$3:C294)/A294</f>
        <v>12.962260283933928</v>
      </c>
    </row>
    <row r="295" spans="1:4" ht="12.75" customHeight="1">
      <c r="A295" s="17">
        <f t="shared" si="3"/>
        <v>293</v>
      </c>
      <c r="B295" s="20" t="s">
        <v>137</v>
      </c>
      <c r="C295" s="21">
        <v>11.850000381469727</v>
      </c>
      <c r="D295" s="17">
        <f>SUM($C$3:C295)/A295</f>
        <v>12.958464175051796</v>
      </c>
    </row>
    <row r="296" spans="1:4" ht="12.75" customHeight="1">
      <c r="A296" s="17">
        <f t="shared" si="3"/>
        <v>294</v>
      </c>
      <c r="B296" s="20" t="s">
        <v>138</v>
      </c>
      <c r="C296" s="21">
        <v>11.960000038146973</v>
      </c>
      <c r="D296" s="17">
        <f>SUM($C$3:C296)/A296</f>
        <v>12.955068038531714</v>
      </c>
    </row>
    <row r="297" spans="1:4" ht="12.75" customHeight="1">
      <c r="A297" s="17">
        <f t="shared" si="3"/>
        <v>295</v>
      </c>
      <c r="B297" s="20" t="s">
        <v>139</v>
      </c>
      <c r="C297" s="21">
        <v>12.050000190734863</v>
      </c>
      <c r="D297" s="17">
        <f>SUM($C$3:C297)/A297</f>
        <v>12.952000011929012</v>
      </c>
    </row>
    <row r="298" spans="1:4" ht="12.75" customHeight="1">
      <c r="A298" s="17">
        <f t="shared" si="3"/>
        <v>296</v>
      </c>
      <c r="B298" s="20">
        <v>44741</v>
      </c>
      <c r="C298" s="21">
        <v>11.920000076293945</v>
      </c>
      <c r="D298" s="17">
        <f>SUM($C$3:C298)/A298</f>
        <v>12.948513525659974</v>
      </c>
    </row>
    <row r="299" spans="1:4" ht="12.75" customHeight="1">
      <c r="A299" s="17">
        <f t="shared" si="3"/>
        <v>297</v>
      </c>
      <c r="B299" s="20">
        <v>44742</v>
      </c>
      <c r="C299" s="21">
        <v>12.100000381469727</v>
      </c>
      <c r="D299" s="17">
        <f>SUM($C$3:C299)/A299</f>
        <v>12.945656579046538</v>
      </c>
    </row>
    <row r="300" spans="1:4" ht="12.75" customHeight="1">
      <c r="A300" s="17">
        <f t="shared" si="3"/>
        <v>298</v>
      </c>
      <c r="B300" s="20" t="s">
        <v>140</v>
      </c>
      <c r="C300" s="21">
        <v>12.050000190734863</v>
      </c>
      <c r="D300" s="17">
        <f>SUM($C$3:C300)/A300</f>
        <v>12.9426510206965</v>
      </c>
    </row>
    <row r="301" spans="1:4" ht="12.75" customHeight="1">
      <c r="A301" s="17">
        <f t="shared" si="3"/>
        <v>299</v>
      </c>
      <c r="B301" s="20" t="s">
        <v>141</v>
      </c>
      <c r="C301" s="21">
        <v>12.149999618530273</v>
      </c>
      <c r="D301" s="17">
        <f>SUM($C$3:C301)/A301</f>
        <v>12.9400000126625</v>
      </c>
    </row>
    <row r="302" spans="1:4" ht="12.75" customHeight="1">
      <c r="A302" s="17">
        <f t="shared" si="3"/>
        <v>300</v>
      </c>
      <c r="B302" s="20" t="s">
        <v>142</v>
      </c>
      <c r="C302" s="21">
        <v>12.140000343322754</v>
      </c>
      <c r="D302" s="17">
        <f>SUM($C$3:C302)/A302</f>
        <v>12.937333347098033</v>
      </c>
    </row>
    <row r="303" spans="1:4" ht="12.75" customHeight="1">
      <c r="A303" s="17">
        <f t="shared" si="3"/>
        <v>301</v>
      </c>
      <c r="B303" s="20" t="s">
        <v>143</v>
      </c>
      <c r="C303" s="21">
        <v>11.930000305175781</v>
      </c>
      <c r="D303" s="17">
        <f>SUM($C$3:C303)/A303</f>
        <v>12.933986725696299</v>
      </c>
    </row>
    <row r="304" spans="1:4" ht="12.75" customHeight="1">
      <c r="A304" s="17">
        <f t="shared" si="3"/>
        <v>302</v>
      </c>
      <c r="B304" s="20" t="s">
        <v>144</v>
      </c>
      <c r="C304" s="21">
        <v>11.949999809265137</v>
      </c>
      <c r="D304" s="17">
        <f>SUM($C$3:C304)/A304</f>
        <v>12.930728490873678</v>
      </c>
    </row>
    <row r="305" spans="1:4" ht="12.75" customHeight="1">
      <c r="A305" s="17">
        <f t="shared" si="3"/>
        <v>303</v>
      </c>
      <c r="B305" s="20" t="s">
        <v>145</v>
      </c>
      <c r="C305" s="21">
        <v>11.930000305175781</v>
      </c>
      <c r="D305" s="17">
        <f>SUM($C$3:C305)/A305</f>
        <v>12.927425757587546</v>
      </c>
    </row>
    <row r="306" spans="1:4" ht="12.75" customHeight="1">
      <c r="A306" s="17">
        <f t="shared" si="3"/>
        <v>304</v>
      </c>
      <c r="B306" s="20" t="s">
        <v>146</v>
      </c>
      <c r="C306" s="21">
        <v>11.75</v>
      </c>
      <c r="D306" s="17">
        <f>SUM($C$3:C306)/A306</f>
        <v>12.92355264654285</v>
      </c>
    </row>
    <row r="307" spans="1:4" ht="12.75" customHeight="1">
      <c r="A307" s="17">
        <f t="shared" si="3"/>
        <v>305</v>
      </c>
      <c r="B307" s="20" t="s">
        <v>147</v>
      </c>
      <c r="C307" s="21">
        <v>11.649999618530273</v>
      </c>
      <c r="D307" s="17">
        <f>SUM($C$3:C307)/A307</f>
        <v>12.919377062844449</v>
      </c>
    </row>
    <row r="308" spans="1:4" ht="12.75" customHeight="1">
      <c r="A308" s="17">
        <f t="shared" si="3"/>
        <v>306</v>
      </c>
      <c r="B308" s="20" t="s">
        <v>148</v>
      </c>
      <c r="C308" s="21">
        <v>11.659999847412109</v>
      </c>
      <c r="D308" s="17">
        <f>SUM($C$3:C308)/A308</f>
        <v>12.915261451029311</v>
      </c>
    </row>
    <row r="309" spans="1:4" ht="12.75" customHeight="1">
      <c r="A309" s="17">
        <f t="shared" si="3"/>
        <v>307</v>
      </c>
      <c r="B309" s="20" t="s">
        <v>149</v>
      </c>
      <c r="C309" s="21">
        <v>11.619999885559082</v>
      </c>
      <c r="D309" s="17">
        <f>SUM($C$3:C309)/A309</f>
        <v>12.911042357982176</v>
      </c>
    </row>
    <row r="310" spans="1:4" ht="12.75" customHeight="1">
      <c r="A310" s="17">
        <f t="shared" si="3"/>
        <v>308</v>
      </c>
      <c r="B310" s="20" t="s">
        <v>150</v>
      </c>
      <c r="C310" s="21">
        <v>11.409999847412109</v>
      </c>
      <c r="D310" s="17">
        <f>SUM($C$3:C310)/A310</f>
        <v>12.906168843337468</v>
      </c>
    </row>
    <row r="311" spans="1:4" ht="12.75" customHeight="1">
      <c r="A311" s="17">
        <f t="shared" si="3"/>
        <v>309</v>
      </c>
      <c r="B311" s="20" t="s">
        <v>151</v>
      </c>
      <c r="C311" s="21">
        <v>11.550000190734863</v>
      </c>
      <c r="D311" s="17">
        <f>SUM($C$3:C311)/A311</f>
        <v>12.901779948021602</v>
      </c>
    </row>
    <row r="312" spans="1:4" ht="12.75" customHeight="1">
      <c r="A312" s="17">
        <f t="shared" si="3"/>
        <v>310</v>
      </c>
      <c r="B312" s="20" t="s">
        <v>152</v>
      </c>
      <c r="C312" s="21">
        <v>11.510000228881836</v>
      </c>
      <c r="D312" s="17">
        <f>SUM($C$3:C312)/A312</f>
        <v>12.897290336024378</v>
      </c>
    </row>
    <row r="313" spans="1:4" ht="12.75" customHeight="1">
      <c r="A313" s="17">
        <f t="shared" si="3"/>
        <v>311</v>
      </c>
      <c r="B313" s="20" t="s">
        <v>153</v>
      </c>
      <c r="C313" s="21">
        <v>13.520000457763672</v>
      </c>
      <c r="D313" s="17">
        <f>SUM($C$3:C313)/A313</f>
        <v>12.899292619374021</v>
      </c>
    </row>
    <row r="314" spans="1:4" ht="12.75" customHeight="1">
      <c r="A314" s="17">
        <f t="shared" si="3"/>
        <v>312</v>
      </c>
      <c r="B314" s="20" t="s">
        <v>154</v>
      </c>
      <c r="C314" s="21">
        <v>11.399999618530273</v>
      </c>
      <c r="D314" s="17">
        <f>SUM($C$3:C314)/A314</f>
        <v>12.894487193089265</v>
      </c>
    </row>
    <row r="315" spans="1:4" ht="12.75" customHeight="1">
      <c r="A315" s="17">
        <f t="shared" si="3"/>
        <v>313</v>
      </c>
      <c r="B315" s="20" t="s">
        <v>155</v>
      </c>
      <c r="C315" s="21">
        <v>11.399999618530273</v>
      </c>
      <c r="D315" s="17">
        <f>SUM($C$3:C315)/A315</f>
        <v>12.889712472403774</v>
      </c>
    </row>
    <row r="316" spans="1:4" ht="12.75" customHeight="1">
      <c r="A316" s="17">
        <f t="shared" si="3"/>
        <v>314</v>
      </c>
      <c r="B316" s="20" t="s">
        <v>156</v>
      </c>
      <c r="C316" s="21">
        <v>11.369999885559082</v>
      </c>
      <c r="D316" s="17">
        <f>SUM($C$3:C316)/A316</f>
        <v>12.884872623401083</v>
      </c>
    </row>
    <row r="317" spans="1:4" ht="12.75" customHeight="1">
      <c r="A317" s="17">
        <f t="shared" si="3"/>
        <v>315</v>
      </c>
      <c r="B317" s="20" t="s">
        <v>157</v>
      </c>
      <c r="C317" s="21">
        <v>11.449999809265137</v>
      </c>
      <c r="D317" s="17">
        <f>SUM($C$3:C317)/A317</f>
        <v>12.880317471610176</v>
      </c>
    </row>
    <row r="318" spans="1:4" ht="12.75" customHeight="1">
      <c r="A318" s="17">
        <f t="shared" si="3"/>
        <v>316</v>
      </c>
      <c r="B318" s="20" t="s">
        <v>158</v>
      </c>
      <c r="C318" s="21">
        <v>11.390000343322754</v>
      </c>
      <c r="D318" s="17">
        <f>SUM($C$3:C318)/A318</f>
        <v>12.875601278166227</v>
      </c>
    </row>
    <row r="319" spans="1:4" ht="12.75" customHeight="1">
      <c r="A319" s="17">
        <f t="shared" si="3"/>
        <v>317</v>
      </c>
      <c r="B319" s="20">
        <v>44770</v>
      </c>
      <c r="C319" s="21">
        <v>11.390000343322754</v>
      </c>
      <c r="D319" s="17">
        <f>SUM($C$3:C319)/A319</f>
        <v>12.870914839885964</v>
      </c>
    </row>
    <row r="320" spans="1:4" ht="12.75" customHeight="1">
      <c r="A320" s="17">
        <f t="shared" si="3"/>
        <v>318</v>
      </c>
      <c r="B320" s="20">
        <v>44771</v>
      </c>
      <c r="C320" s="21">
        <v>11.239999771118164</v>
      </c>
      <c r="D320" s="17">
        <f>SUM($C$3:C320)/A320</f>
        <v>12.865786176147701</v>
      </c>
    </row>
    <row r="321" spans="1:4" ht="12.75" customHeight="1">
      <c r="A321" s="17">
        <f t="shared" si="3"/>
        <v>319</v>
      </c>
      <c r="B321" s="20" t="s">
        <v>159</v>
      </c>
      <c r="C321" s="21">
        <v>11.279999732971191</v>
      </c>
      <c r="D321" s="17">
        <f>SUM($C$3:C321)/A321</f>
        <v>12.860815058770974</v>
      </c>
    </row>
    <row r="322" spans="1:4" ht="12.75" customHeight="1">
      <c r="A322" s="17">
        <f t="shared" si="3"/>
        <v>320</v>
      </c>
      <c r="B322" s="20" t="s">
        <v>160</v>
      </c>
      <c r="C322" s="21">
        <v>11.06</v>
      </c>
      <c r="D322" s="17">
        <f>SUM($C$3:C322)/A322</f>
        <v>12.855187511712316</v>
      </c>
    </row>
    <row r="323" spans="1:4" ht="12.75" customHeight="1">
      <c r="A323" s="17">
        <f t="shared" si="3"/>
        <v>321</v>
      </c>
      <c r="B323" s="20" t="s">
        <v>161</v>
      </c>
      <c r="C323" s="21">
        <v>10.95</v>
      </c>
      <c r="D323" s="17">
        <f>SUM($C$3:C323)/A323</f>
        <v>12.849252348124427</v>
      </c>
    </row>
    <row r="324" spans="1:4" ht="12.75" customHeight="1">
      <c r="A324" s="17">
        <f t="shared" si="3"/>
        <v>322</v>
      </c>
      <c r="B324" s="20" t="s">
        <v>162</v>
      </c>
      <c r="C324" s="21">
        <v>11.04</v>
      </c>
      <c r="D324" s="17">
        <f>SUM($C$3:C324)/A324</f>
        <v>12.843633552012239</v>
      </c>
    </row>
    <row r="325" spans="1:4" ht="12.75" customHeight="1">
      <c r="A325" s="17">
        <f t="shared" si="3"/>
        <v>323</v>
      </c>
      <c r="B325" s="20" t="s">
        <v>163</v>
      </c>
      <c r="C325" s="21">
        <v>11.149999618530273</v>
      </c>
      <c r="D325" s="17">
        <f>SUM($C$3:C325)/A325</f>
        <v>12.838390103301768</v>
      </c>
    </row>
    <row r="326" spans="1:4" ht="12.75" customHeight="1">
      <c r="A326" s="17">
        <f t="shared" si="3"/>
        <v>324</v>
      </c>
      <c r="B326" s="20" t="s">
        <v>164</v>
      </c>
      <c r="C326" s="21">
        <v>11.140000343322754</v>
      </c>
      <c r="D326" s="17">
        <f>SUM($C$3:C326)/A326</f>
        <v>12.83314815959813</v>
      </c>
    </row>
    <row r="327" spans="1:4" ht="12.75" customHeight="1">
      <c r="A327" s="17">
        <f t="shared" si="3"/>
        <v>325</v>
      </c>
      <c r="B327" s="20" t="s">
        <v>165</v>
      </c>
      <c r="C327" s="21">
        <v>11.180000305175781</v>
      </c>
      <c r="D327" s="17">
        <f>SUM($C$3:C327)/A327</f>
        <v>12.828061550815292</v>
      </c>
    </row>
    <row r="328" spans="1:4" ht="12.75" customHeight="1">
      <c r="A328" s="17">
        <f t="shared" si="3"/>
        <v>326</v>
      </c>
      <c r="B328" s="20" t="s">
        <v>166</v>
      </c>
      <c r="C328" s="21">
        <v>11.090000152587891</v>
      </c>
      <c r="D328" s="17">
        <f>SUM($C$3:C328)/A328</f>
        <v>12.822730074133613</v>
      </c>
    </row>
    <row r="329" spans="1:4" ht="12.75" customHeight="1">
      <c r="A329" s="17">
        <f t="shared" si="3"/>
        <v>327</v>
      </c>
      <c r="B329" s="20" t="s">
        <v>167</v>
      </c>
      <c r="C329" s="21">
        <v>11.28</v>
      </c>
      <c r="D329" s="17">
        <f>SUM($C$3:C329)/A329</f>
        <v>12.818012245160725</v>
      </c>
    </row>
    <row r="330" spans="1:4" ht="12.75" customHeight="1">
      <c r="A330" s="17">
        <f t="shared" si="3"/>
        <v>328</v>
      </c>
      <c r="B330" s="20" t="s">
        <v>168</v>
      </c>
      <c r="C330" s="21">
        <v>11.289999961853027</v>
      </c>
      <c r="D330" s="17">
        <f>SUM($C$3:C330)/A330</f>
        <v>12.813353671126251</v>
      </c>
    </row>
    <row r="331" spans="1:4" ht="12.75" customHeight="1">
      <c r="A331" s="17">
        <f t="shared" si="3"/>
        <v>329</v>
      </c>
      <c r="B331" s="20" t="s">
        <v>169</v>
      </c>
      <c r="C331" s="21">
        <v>11.279999732971191</v>
      </c>
      <c r="D331" s="17">
        <f>SUM($C$3:C331)/A331</f>
        <v>12.808693020858303</v>
      </c>
    </row>
    <row r="332" spans="1:4" ht="12.75" customHeight="1">
      <c r="A332" s="17">
        <f t="shared" si="3"/>
        <v>330</v>
      </c>
      <c r="B332" s="20" t="s">
        <v>170</v>
      </c>
      <c r="C332" s="21">
        <v>11.260000228881836</v>
      </c>
      <c r="D332" s="17">
        <f>SUM($C$3:C332)/A332</f>
        <v>12.804000012397768</v>
      </c>
    </row>
    <row r="333" spans="1:4" ht="12.75" customHeight="1">
      <c r="A333" s="17">
        <f t="shared" si="3"/>
        <v>331</v>
      </c>
      <c r="B333" s="20" t="s">
        <v>171</v>
      </c>
      <c r="C333" s="21">
        <v>11.329999923706055</v>
      </c>
      <c r="D333" s="17">
        <f>SUM($C$3:C333)/A333</f>
        <v>12.799546839924378</v>
      </c>
    </row>
    <row r="334" spans="1:4" ht="12.75" customHeight="1">
      <c r="A334" s="17">
        <f t="shared" si="3"/>
        <v>332</v>
      </c>
      <c r="B334" s="20" t="s">
        <v>172</v>
      </c>
      <c r="C334" s="21">
        <v>11.239999771118164</v>
      </c>
      <c r="D334" s="17">
        <f>SUM($C$3:C334)/A334</f>
        <v>12.79484940899424</v>
      </c>
    </row>
    <row r="335" spans="1:4" ht="12.75" customHeight="1">
      <c r="A335" s="17">
        <f t="shared" si="3"/>
        <v>333</v>
      </c>
      <c r="B335" s="20" t="s">
        <v>173</v>
      </c>
      <c r="C335" s="21">
        <v>11.210000038146973</v>
      </c>
      <c r="D335" s="17">
        <f>SUM($C$3:C335)/A335</f>
        <v>12.790090101574277</v>
      </c>
    </row>
    <row r="336" spans="1:4" ht="12.75" customHeight="1">
      <c r="A336" s="17">
        <f t="shared" si="3"/>
        <v>334</v>
      </c>
      <c r="B336" s="20" t="s">
        <v>174</v>
      </c>
      <c r="C336" s="21">
        <v>11.279999732971191</v>
      </c>
      <c r="D336" s="17">
        <f>SUM($C$3:C336)/A336</f>
        <v>12.785568872925765</v>
      </c>
    </row>
    <row r="337" spans="1:4" ht="12.75" customHeight="1">
      <c r="A337" s="17">
        <f t="shared" si="3"/>
        <v>335</v>
      </c>
      <c r="B337" s="20" t="s">
        <v>175</v>
      </c>
      <c r="C337" s="21">
        <v>11.239999771118164</v>
      </c>
      <c r="D337" s="17">
        <f>SUM($C$3:C337)/A337</f>
        <v>12.780955233815892</v>
      </c>
    </row>
    <row r="338" spans="1:4" ht="12.75" customHeight="1">
      <c r="A338" s="17">
        <f t="shared" si="3"/>
        <v>336</v>
      </c>
      <c r="B338" s="20" t="s">
        <v>176</v>
      </c>
      <c r="C338" s="21">
        <v>11.069999694824219</v>
      </c>
      <c r="D338" s="17">
        <f>SUM($C$3:C338)/A338</f>
        <v>12.77586310423556</v>
      </c>
    </row>
    <row r="339" spans="1:4" ht="12.75" customHeight="1">
      <c r="A339" s="17">
        <f t="shared" si="3"/>
        <v>337</v>
      </c>
      <c r="B339" s="20" t="s">
        <v>177</v>
      </c>
      <c r="C339" s="21">
        <v>11.189999580383301</v>
      </c>
      <c r="D339" s="17">
        <f>SUM($C$3:C339)/A339</f>
        <v>12.771157277755286</v>
      </c>
    </row>
    <row r="340" spans="1:4" ht="12.75" customHeight="1">
      <c r="A340" s="17">
        <f t="shared" si="3"/>
        <v>338</v>
      </c>
      <c r="B340" s="20" t="s">
        <v>178</v>
      </c>
      <c r="C340" s="21">
        <v>11.149999618530273</v>
      </c>
      <c r="D340" s="17">
        <f>SUM($C$3:C340)/A340</f>
        <v>12.76636095331971</v>
      </c>
    </row>
    <row r="341" spans="1:4" ht="12.75" customHeight="1">
      <c r="A341" s="17">
        <f t="shared" si="3"/>
        <v>339</v>
      </c>
      <c r="B341" s="20" t="s">
        <v>179</v>
      </c>
      <c r="C341" s="21">
        <v>11.119999885559082</v>
      </c>
      <c r="D341" s="17">
        <f>SUM($C$3:C341)/A341</f>
        <v>12.761504430995931</v>
      </c>
    </row>
    <row r="342" spans="1:4" ht="12.75" customHeight="1">
      <c r="A342" s="17">
        <f t="shared" si="3"/>
        <v>340</v>
      </c>
      <c r="B342" s="20">
        <v>44803</v>
      </c>
      <c r="C342" s="21">
        <v>11.079999923706055</v>
      </c>
      <c r="D342" s="17">
        <f>SUM($C$3:C342)/A342</f>
        <v>12.756558829503902</v>
      </c>
    </row>
    <row r="343" spans="1:4" ht="12.75" customHeight="1">
      <c r="A343" s="17">
        <f t="shared" si="3"/>
        <v>341</v>
      </c>
      <c r="B343" s="20">
        <v>44804</v>
      </c>
      <c r="C343" s="21">
        <v>11.100000381469727</v>
      </c>
      <c r="D343" s="17">
        <f>SUM($C$3:C343)/A343</f>
        <v>12.751700886841046</v>
      </c>
    </row>
    <row r="344" spans="1:4" ht="12.75" customHeight="1">
      <c r="A344" s="17">
        <f t="shared" si="3"/>
        <v>342</v>
      </c>
      <c r="B344" s="20" t="s">
        <v>182</v>
      </c>
      <c r="C344" s="21">
        <v>10.779999732971191</v>
      </c>
      <c r="D344" s="17">
        <f>SUM($C$3:C344)/A344</f>
        <v>12.745935678788795</v>
      </c>
    </row>
    <row r="345" spans="1:4" ht="12.75" customHeight="1">
      <c r="A345" s="17">
        <f t="shared" si="3"/>
        <v>343</v>
      </c>
      <c r="B345" s="20" t="s">
        <v>183</v>
      </c>
      <c r="C345" s="21">
        <v>10.7211</v>
      </c>
      <c r="D345" s="17">
        <f>SUM($C$3:C345)/A345</f>
        <v>12.740032367771917</v>
      </c>
    </row>
    <row r="346" spans="1:4" ht="12.75" customHeight="1">
      <c r="A346" s="17">
        <f t="shared" si="3"/>
        <v>344</v>
      </c>
      <c r="B346" s="20" t="s">
        <v>184</v>
      </c>
      <c r="C346" s="21">
        <v>10.729999542236328</v>
      </c>
      <c r="D346" s="17">
        <f>SUM($C$3:C346)/A346</f>
        <v>12.734189249093035</v>
      </c>
    </row>
    <row r="347" spans="1:4" ht="12.75" customHeight="1">
      <c r="A347" s="17">
        <f t="shared" si="3"/>
        <v>345</v>
      </c>
      <c r="B347" s="20" t="s">
        <v>185</v>
      </c>
      <c r="C347" s="21">
        <v>10.819999694824219</v>
      </c>
      <c r="D347" s="17">
        <f>SUM($C$3:C347)/A347</f>
        <v>12.728640873573415</v>
      </c>
    </row>
    <row r="348" spans="1:4" ht="12.75" customHeight="1">
      <c r="A348" s="17">
        <f t="shared" si="3"/>
        <v>346</v>
      </c>
      <c r="B348" s="20" t="s">
        <v>186</v>
      </c>
      <c r="C348" s="21">
        <v>10.800000190734863</v>
      </c>
      <c r="D348" s="17">
        <f>SUM($C$3:C348)/A348</f>
        <v>12.72306676755365</v>
      </c>
    </row>
    <row r="349" spans="1:4" ht="12.75" customHeight="1">
      <c r="A349" s="17">
        <f t="shared" si="3"/>
        <v>347</v>
      </c>
      <c r="B349" s="20" t="s">
        <v>187</v>
      </c>
      <c r="C349" s="21">
        <v>10.760000228881836</v>
      </c>
      <c r="D349" s="17">
        <f>SUM($C$3:C349)/A349</f>
        <v>12.717409515280821</v>
      </c>
    </row>
    <row r="350" spans="1:4" ht="12.75" customHeight="1">
      <c r="A350" s="17">
        <f t="shared" si="3"/>
        <v>348</v>
      </c>
      <c r="B350" s="20" t="s">
        <v>188</v>
      </c>
      <c r="C350" s="21">
        <v>10.9177</v>
      </c>
      <c r="D350" s="17">
        <f>SUM($C$3:C350)/A350</f>
        <v>12.712237936213922</v>
      </c>
    </row>
    <row r="351" spans="1:4" ht="12.75" customHeight="1">
      <c r="A351" s="17">
        <f t="shared" si="3"/>
        <v>349</v>
      </c>
      <c r="B351" s="20" t="s">
        <v>189</v>
      </c>
      <c r="C351" s="21">
        <v>10.96</v>
      </c>
      <c r="D351" s="17">
        <f>SUM($C$3:C351)/A351</f>
        <v>12.707217197141675</v>
      </c>
    </row>
    <row r="352" spans="1:4" ht="12.75" customHeight="1">
      <c r="A352" s="17">
        <f t="shared" si="3"/>
        <v>350</v>
      </c>
      <c r="B352" s="20" t="s">
        <v>190</v>
      </c>
      <c r="C352" s="21">
        <v>10.85</v>
      </c>
      <c r="D352" s="17">
        <f>SUM($C$3:C352)/A352</f>
        <v>12.701910862292701</v>
      </c>
    </row>
    <row r="353" spans="1:4" ht="12.75" customHeight="1">
      <c r="A353" s="17">
        <f t="shared" si="3"/>
        <v>351</v>
      </c>
      <c r="B353" s="20" t="s">
        <v>191</v>
      </c>
      <c r="C353" s="21">
        <v>10.78</v>
      </c>
      <c r="D353" s="17">
        <f>SUM($C$3:C353)/A353</f>
        <v>12.696435332770498</v>
      </c>
    </row>
    <row r="354" spans="1:4" ht="12.75" customHeight="1">
      <c r="A354" s="17">
        <f t="shared" si="3"/>
        <v>352</v>
      </c>
      <c r="B354" s="20" t="s">
        <v>192</v>
      </c>
      <c r="C354" s="21">
        <v>10.55</v>
      </c>
      <c r="D354" s="17">
        <f>SUM($C$3:C354)/A354</f>
        <v>12.690337505120583</v>
      </c>
    </row>
    <row r="355" spans="1:4" ht="12.75" customHeight="1">
      <c r="A355" s="17">
        <f t="shared" si="3"/>
        <v>353</v>
      </c>
      <c r="B355" s="20" t="s">
        <v>193</v>
      </c>
      <c r="C355" s="21">
        <v>10.550000190734863</v>
      </c>
      <c r="D355" s="17">
        <f>SUM($C$3:C355)/A355</f>
        <v>12.684274226609574</v>
      </c>
    </row>
    <row r="356" spans="1:4" ht="12.75" customHeight="1">
      <c r="A356" s="17">
        <f t="shared" si="3"/>
        <v>354</v>
      </c>
      <c r="B356" s="20" t="s">
        <v>194</v>
      </c>
      <c r="C356" s="21">
        <v>10.55</v>
      </c>
      <c r="D356" s="17">
        <f>SUM($C$3:C356)/A356</f>
        <v>12.678245203370565</v>
      </c>
    </row>
    <row r="357" spans="1:4" ht="12.75" customHeight="1">
      <c r="A357" s="17">
        <f t="shared" si="3"/>
        <v>355</v>
      </c>
      <c r="B357" s="20" t="s">
        <v>195</v>
      </c>
      <c r="C357" s="21">
        <v>10.49</v>
      </c>
      <c r="D357" s="17">
        <f>SUM($C$3:C357)/A357</f>
        <v>12.672081132375155</v>
      </c>
    </row>
    <row r="358" spans="1:4" ht="12.75" customHeight="1">
      <c r="A358" s="17">
        <f t="shared" si="3"/>
        <v>356</v>
      </c>
      <c r="B358" s="20" t="s">
        <v>196</v>
      </c>
      <c r="C358" s="21">
        <v>10.42</v>
      </c>
      <c r="D358" s="17">
        <f>SUM($C$3:C358)/A358</f>
        <v>12.665755061778595</v>
      </c>
    </row>
    <row r="359" spans="1:4" ht="12.75" customHeight="1">
      <c r="A359" s="17">
        <f t="shared" si="3"/>
        <v>357</v>
      </c>
      <c r="B359" s="20" t="s">
        <v>197</v>
      </c>
      <c r="C359" s="21">
        <v>10.4</v>
      </c>
      <c r="D359" s="17">
        <f>SUM($C$3:C359)/A359</f>
        <v>12.659408408944481</v>
      </c>
    </row>
    <row r="360" spans="1:4" ht="12.75" customHeight="1">
      <c r="A360" s="17">
        <f t="shared" si="3"/>
        <v>358</v>
      </c>
      <c r="B360" s="20" t="s">
        <v>198</v>
      </c>
      <c r="C360" s="21">
        <v>10.34</v>
      </c>
      <c r="D360" s="17">
        <f>SUM($C$3:C360)/A360</f>
        <v>12.652929614506089</v>
      </c>
    </row>
    <row r="361" spans="1:4" ht="12.75" customHeight="1">
      <c r="A361" s="17">
        <f t="shared" si="3"/>
        <v>359</v>
      </c>
      <c r="B361" s="20" t="s">
        <v>199</v>
      </c>
      <c r="C361" s="21">
        <v>10.48</v>
      </c>
      <c r="D361" s="17">
        <f>SUM($C$3:C361)/A361</f>
        <v>12.646876885774873</v>
      </c>
    </row>
    <row r="362" spans="1:4" ht="12.75" customHeight="1">
      <c r="A362" s="17">
        <f t="shared" si="3"/>
        <v>360</v>
      </c>
      <c r="B362" s="20" t="s">
        <v>200</v>
      </c>
      <c r="C362" s="21">
        <v>10.37</v>
      </c>
      <c r="D362" s="17">
        <f>SUM($C$3:C362)/A362</f>
        <v>12.640552227758832</v>
      </c>
    </row>
    <row r="363" spans="1:4" ht="12.75" customHeight="1">
      <c r="A363" s="17">
        <f t="shared" si="3"/>
        <v>361</v>
      </c>
      <c r="B363" s="20" t="s">
        <v>201</v>
      </c>
      <c r="C363" s="21">
        <v>10.37</v>
      </c>
      <c r="D363" s="17">
        <f>SUM($C$3:C363)/A363</f>
        <v>12.634262609399388</v>
      </c>
    </row>
    <row r="364" spans="1:4" ht="12.75" customHeight="1">
      <c r="A364" s="17">
        <f t="shared" si="3"/>
        <v>362</v>
      </c>
      <c r="B364" s="20">
        <v>44834</v>
      </c>
      <c r="C364" s="21">
        <v>10.350000381469727</v>
      </c>
      <c r="D364" s="17">
        <f>SUM($C$3:C364)/A364</f>
        <v>12.627952492747649</v>
      </c>
    </row>
    <row r="365" spans="1:4" ht="12.75" customHeight="1">
      <c r="A365" s="17">
        <f t="shared" si="3"/>
        <v>363</v>
      </c>
      <c r="B365" s="20" t="s">
        <v>202</v>
      </c>
      <c r="C365" s="21">
        <v>10.149999618530273</v>
      </c>
      <c r="D365" s="17">
        <f>SUM($C$3:C365)/A365</f>
        <v>12.621126176289749</v>
      </c>
    </row>
    <row r="366" spans="1:4" ht="12.75" customHeight="1">
      <c r="A366" s="17">
        <f t="shared" si="3"/>
        <v>364</v>
      </c>
      <c r="B366" s="20" t="s">
        <v>203</v>
      </c>
      <c r="C366" s="21">
        <v>10.159999847412109</v>
      </c>
      <c r="D366" s="17">
        <f>SUM($C$3:C366)/A366</f>
        <v>12.614364840221404</v>
      </c>
    </row>
    <row r="367" spans="1:4" ht="12.75" customHeight="1">
      <c r="A367" s="17">
        <f t="shared" si="3"/>
        <v>365</v>
      </c>
      <c r="B367" s="20" t="s">
        <v>204</v>
      </c>
      <c r="C367" s="21">
        <v>10.260000228881836</v>
      </c>
      <c r="D367" s="17">
        <f>SUM($C$3:C367)/A367</f>
        <v>12.607914526217735</v>
      </c>
    </row>
    <row r="368" spans="1:4" ht="12.75" customHeight="1">
      <c r="A368" s="17">
        <f t="shared" si="3"/>
        <v>366</v>
      </c>
      <c r="B368" s="20" t="s">
        <v>205</v>
      </c>
      <c r="C368" s="21">
        <v>10.170000076293945</v>
      </c>
      <c r="D368" s="17">
        <f>SUM($C$3:C368)/A368</f>
        <v>12.601253557775319</v>
      </c>
    </row>
    <row r="369" spans="1:4" ht="12.75" customHeight="1">
      <c r="A369" s="17">
        <f t="shared" si="3"/>
        <v>367</v>
      </c>
      <c r="B369" s="20" t="s">
        <v>206</v>
      </c>
      <c r="C369" s="21">
        <v>10.390000343322754</v>
      </c>
      <c r="D369" s="17">
        <f>SUM($C$3:C369)/A369</f>
        <v>12.59522834465692</v>
      </c>
    </row>
    <row r="370" spans="1:4" ht="12.75" customHeight="1">
      <c r="A370" s="17">
        <f t="shared" si="3"/>
        <v>368</v>
      </c>
      <c r="B370" s="20" t="s">
        <v>207</v>
      </c>
      <c r="C370" s="21">
        <v>10.369999885559082</v>
      </c>
      <c r="D370" s="17">
        <f>SUM($C$3:C370)/A370</f>
        <v>12.589181528191981</v>
      </c>
    </row>
    <row r="371" spans="1:4" ht="12.75" customHeight="1">
      <c r="A371" s="17">
        <f t="shared" si="3"/>
        <v>369</v>
      </c>
      <c r="B371" s="20" t="s">
        <v>208</v>
      </c>
      <c r="C371" s="21">
        <v>10.350000381469727</v>
      </c>
      <c r="D371" s="17">
        <f>SUM($C$3:C371)/A371</f>
        <v>12.583113286601947</v>
      </c>
    </row>
    <row r="372" spans="1:4" ht="12.75" customHeight="1">
      <c r="A372" s="17">
        <f t="shared" si="3"/>
        <v>370</v>
      </c>
      <c r="B372" s="20" t="s">
        <v>209</v>
      </c>
      <c r="C372" s="21">
        <v>10.180000305175781</v>
      </c>
      <c r="D372" s="17">
        <f>SUM($C$3:C372)/A372</f>
        <v>12.576618386652147</v>
      </c>
    </row>
    <row r="373" spans="1:4" ht="12.75" customHeight="1">
      <c r="A373" s="17">
        <f t="shared" si="3"/>
        <v>371</v>
      </c>
      <c r="B373" s="20" t="s">
        <v>210</v>
      </c>
      <c r="C373" s="21">
        <v>10.119999885559082</v>
      </c>
      <c r="D373" s="17">
        <f>SUM($C$3:C373)/A373</f>
        <v>12.569996773441654</v>
      </c>
    </row>
    <row r="374" spans="1:4" ht="12.75" customHeight="1">
      <c r="A374" s="17">
        <f t="shared" si="3"/>
        <v>372</v>
      </c>
      <c r="B374" s="20" t="s">
        <v>211</v>
      </c>
      <c r="C374" s="21">
        <v>10.100000381469727</v>
      </c>
      <c r="D374" s="17">
        <f>SUM($C$3:C374)/A374</f>
        <v>12.563356998194417</v>
      </c>
    </row>
    <row r="375" spans="1:4" ht="12.75" customHeight="1">
      <c r="A375" s="17">
        <f t="shared" si="3"/>
        <v>373</v>
      </c>
      <c r="B375" s="20" t="s">
        <v>212</v>
      </c>
      <c r="C375" s="21">
        <v>9.8100004196166992</v>
      </c>
      <c r="D375" s="17">
        <f>SUM($C$3:C375)/A375</f>
        <v>12.55597534516874</v>
      </c>
    </row>
    <row r="376" spans="1:4" ht="12.75" customHeight="1">
      <c r="A376" s="17">
        <f t="shared" si="3"/>
        <v>374</v>
      </c>
      <c r="B376" s="20" t="s">
        <v>213</v>
      </c>
      <c r="C376" s="21">
        <v>9.7799997329711914</v>
      </c>
      <c r="D376" s="17">
        <f>SUM($C$3:C376)/A376</f>
        <v>12.548552950483719</v>
      </c>
    </row>
    <row r="377" spans="1:4" ht="12.75" customHeight="1">
      <c r="A377" s="17">
        <f t="shared" si="3"/>
        <v>375</v>
      </c>
      <c r="B377" s="20" t="s">
        <v>214</v>
      </c>
      <c r="C377" s="21">
        <v>9.8299999237060547</v>
      </c>
      <c r="D377" s="17">
        <f>SUM($C$3:C377)/A377</f>
        <v>12.541303475745645</v>
      </c>
    </row>
    <row r="378" spans="1:4" ht="12.75" customHeight="1">
      <c r="A378" s="17">
        <f t="shared" si="3"/>
        <v>376</v>
      </c>
      <c r="B378" s="20" t="s">
        <v>215</v>
      </c>
      <c r="C378" s="21">
        <v>9.7399997711181641</v>
      </c>
      <c r="D378" s="17">
        <f>SUM($C$3:C378)/A378</f>
        <v>12.533853199935466</v>
      </c>
    </row>
    <row r="379" spans="1:4" ht="12.75" customHeight="1">
      <c r="A379" s="17">
        <f t="shared" si="3"/>
        <v>377</v>
      </c>
      <c r="B379" s="20">
        <v>44862</v>
      </c>
      <c r="C379" s="21">
        <v>9.5299997329711914</v>
      </c>
      <c r="D379" s="17">
        <f>SUM($C$3:C379)/A379</f>
        <v>12.525885418855985</v>
      </c>
    </row>
    <row r="380" spans="1:4" ht="12.75" customHeight="1">
      <c r="A380" s="17">
        <f t="shared" si="3"/>
        <v>378</v>
      </c>
      <c r="B380" s="20">
        <v>44865</v>
      </c>
      <c r="C380" s="21">
        <v>9.3900003433227539</v>
      </c>
      <c r="D380" s="17">
        <f>SUM($C$3:C380)/A380</f>
        <v>12.51758942659267</v>
      </c>
    </row>
    <row r="381" spans="1:4" ht="12.75" customHeight="1">
      <c r="A381" s="17">
        <f t="shared" si="3"/>
        <v>379</v>
      </c>
      <c r="B381" s="20" t="s">
        <v>216</v>
      </c>
      <c r="C381" s="21">
        <v>9.7100000381469727</v>
      </c>
      <c r="D381" s="17">
        <f>SUM($C$3:C381)/A381</f>
        <v>12.510181539024211</v>
      </c>
    </row>
    <row r="382" spans="1:4" ht="12.75" customHeight="1">
      <c r="A382" s="17">
        <f t="shared" si="3"/>
        <v>380</v>
      </c>
      <c r="B382" s="20" t="s">
        <v>217</v>
      </c>
      <c r="C382" s="21">
        <v>9.8100004196166992</v>
      </c>
      <c r="D382" s="17">
        <f>SUM($C$3:C382)/A382</f>
        <v>12.503075799236298</v>
      </c>
    </row>
    <row r="383" spans="1:4" ht="12.75" customHeight="1">
      <c r="A383" s="17">
        <f t="shared" si="3"/>
        <v>381</v>
      </c>
      <c r="B383" s="20" t="s">
        <v>218</v>
      </c>
      <c r="C383" s="21">
        <v>9.7399997711181641</v>
      </c>
      <c r="D383" s="17">
        <f>SUM($C$3:C383)/A383</f>
        <v>12.495823631183493</v>
      </c>
    </row>
    <row r="384" spans="1:4" ht="12.75" customHeight="1">
      <c r="A384" s="17">
        <f t="shared" si="3"/>
        <v>382</v>
      </c>
      <c r="B384" s="20" t="s">
        <v>219</v>
      </c>
      <c r="C384" s="21">
        <v>10.020000457763672</v>
      </c>
      <c r="D384" s="17">
        <f>SUM($C$3:C384)/A384</f>
        <v>12.489342418687631</v>
      </c>
    </row>
    <row r="385" spans="1:4" ht="12.75" customHeight="1">
      <c r="A385" s="17">
        <f t="shared" si="3"/>
        <v>383</v>
      </c>
      <c r="B385" s="20" t="s">
        <v>220</v>
      </c>
      <c r="C385" s="21">
        <v>10.060000419616699</v>
      </c>
      <c r="D385" s="17">
        <f>SUM($C$3:C385)/A385</f>
        <v>12.48299948918614</v>
      </c>
    </row>
    <row r="386" spans="1:4" ht="12.75" customHeight="1">
      <c r="A386" s="17">
        <f t="shared" si="3"/>
        <v>384</v>
      </c>
      <c r="B386" s="20" t="s">
        <v>221</v>
      </c>
      <c r="C386" s="21">
        <v>9.9899997711181641</v>
      </c>
      <c r="D386" s="17">
        <f>SUM($C$3:C386)/A386</f>
        <v>12.476507302420337</v>
      </c>
    </row>
    <row r="387" spans="1:4" ht="12.75" customHeight="1">
      <c r="A387" s="17">
        <f t="shared" si="3"/>
        <v>385</v>
      </c>
      <c r="B387" s="20" t="s">
        <v>222</v>
      </c>
      <c r="C387" s="21">
        <v>9.9200000762939453</v>
      </c>
      <c r="D387" s="17">
        <f>SUM($C$3:C387)/A387</f>
        <v>12.469867023910918</v>
      </c>
    </row>
    <row r="388" spans="1:4" ht="12.75" customHeight="1">
      <c r="A388" s="17">
        <f t="shared" si="3"/>
        <v>386</v>
      </c>
      <c r="B388" s="20" t="s">
        <v>223</v>
      </c>
      <c r="C388" s="21">
        <v>9.880000114440918</v>
      </c>
      <c r="D388" s="17">
        <f>SUM($C$3:C388)/A388</f>
        <v>12.463157524145451</v>
      </c>
    </row>
    <row r="389" spans="1:4" ht="12.75" customHeight="1">
      <c r="A389" s="17">
        <f t="shared" si="3"/>
        <v>387</v>
      </c>
      <c r="B389" s="20" t="s">
        <v>224</v>
      </c>
      <c r="C389" s="21">
        <v>10.130000114440918</v>
      </c>
      <c r="D389" s="17">
        <f>SUM($C$3:C389)/A389</f>
        <v>12.45712869362942</v>
      </c>
    </row>
    <row r="390" spans="1:4" ht="12.75" customHeight="1">
      <c r="A390" s="17">
        <f t="shared" si="3"/>
        <v>388</v>
      </c>
      <c r="B390" s="20" t="s">
        <v>225</v>
      </c>
      <c r="C390" s="21">
        <v>10.159999847412109</v>
      </c>
      <c r="D390" s="17">
        <f>SUM($C$3:C390)/A390</f>
        <v>12.451208258458756</v>
      </c>
    </row>
    <row r="391" spans="1:4" ht="12.75" customHeight="1">
      <c r="A391" s="17">
        <f t="shared" si="3"/>
        <v>389</v>
      </c>
      <c r="B391" s="20" t="s">
        <v>226</v>
      </c>
      <c r="C391" s="21">
        <v>10.310000419616699</v>
      </c>
      <c r="D391" s="17">
        <f>SUM($C$3:C391)/A391</f>
        <v>12.445703868127543</v>
      </c>
    </row>
    <row r="392" spans="1:4" ht="12.75" customHeight="1">
      <c r="A392" s="17">
        <f t="shared" si="3"/>
        <v>390</v>
      </c>
      <c r="B392" s="20" t="s">
        <v>227</v>
      </c>
      <c r="C392" s="21">
        <v>10.260000228881836</v>
      </c>
      <c r="D392" s="17">
        <f>SUM($C$3:C392)/A392</f>
        <v>12.440099499821784</v>
      </c>
    </row>
    <row r="393" spans="1:4" ht="12.75" customHeight="1">
      <c r="A393" s="17">
        <f t="shared" si="3"/>
        <v>391</v>
      </c>
      <c r="B393" s="20" t="s">
        <v>228</v>
      </c>
      <c r="C393" s="21">
        <v>10.199999809265137</v>
      </c>
      <c r="D393" s="17">
        <f>SUM($C$3:C393)/A393</f>
        <v>12.43437034460297</v>
      </c>
    </row>
    <row r="394" spans="1:4" ht="12.75" customHeight="1">
      <c r="A394" s="17">
        <f t="shared" si="3"/>
        <v>392</v>
      </c>
      <c r="B394" s="20" t="s">
        <v>229</v>
      </c>
      <c r="C394" s="21">
        <v>10.189999580383301</v>
      </c>
      <c r="D394" s="17">
        <f>SUM($C$3:C394)/A394</f>
        <v>12.42864490897996</v>
      </c>
    </row>
    <row r="395" spans="1:4" ht="12.75" customHeight="1">
      <c r="A395" s="17">
        <f t="shared" si="3"/>
        <v>393</v>
      </c>
      <c r="B395" s="20" t="s">
        <v>230</v>
      </c>
      <c r="C395" s="21">
        <v>10.119999885559082</v>
      </c>
      <c r="D395" s="17">
        <f>SUM($C$3:C395)/A395</f>
        <v>12.422770494162096</v>
      </c>
    </row>
    <row r="396" spans="1:4" ht="12.75" customHeight="1">
      <c r="A396" s="17">
        <f t="shared" si="3"/>
        <v>394</v>
      </c>
      <c r="B396" s="20" t="s">
        <v>231</v>
      </c>
      <c r="C396" s="21">
        <v>10.130000114440918</v>
      </c>
      <c r="D396" s="17">
        <f>SUM($C$3:C396)/A396</f>
        <v>12.416951280000367</v>
      </c>
    </row>
    <row r="397" spans="1:4" ht="12.75" customHeight="1">
      <c r="A397" s="17">
        <f t="shared" si="3"/>
        <v>395</v>
      </c>
      <c r="B397" s="20" t="s">
        <v>232</v>
      </c>
      <c r="C397" s="21">
        <v>10.170000076293945</v>
      </c>
      <c r="D397" s="17">
        <f>SUM($C$3:C397)/A397</f>
        <v>12.411262795940351</v>
      </c>
    </row>
    <row r="398" spans="1:4" ht="12.75" customHeight="1">
      <c r="A398" s="17">
        <f t="shared" si="3"/>
        <v>396</v>
      </c>
      <c r="B398" s="20" t="s">
        <v>233</v>
      </c>
      <c r="C398" s="21">
        <v>10.130000114440918</v>
      </c>
      <c r="D398" s="17">
        <f>SUM($C$3:C398)/A398</f>
        <v>12.40550203159313</v>
      </c>
    </row>
    <row r="399" spans="1:4" ht="12.75" customHeight="1">
      <c r="A399" s="17">
        <f t="shared" si="3"/>
        <v>397</v>
      </c>
      <c r="B399" s="20" t="s">
        <v>234</v>
      </c>
      <c r="C399" s="21">
        <v>10.199999809265137</v>
      </c>
      <c r="D399" s="17">
        <f>SUM($C$3:C399)/A399</f>
        <v>12.399946610378198</v>
      </c>
    </row>
    <row r="400" spans="1:4" ht="12.75" customHeight="1">
      <c r="A400" s="17">
        <f t="shared" si="3"/>
        <v>398</v>
      </c>
      <c r="B400" s="20" t="s">
        <v>235</v>
      </c>
      <c r="C400" s="21">
        <v>10.100000381469727</v>
      </c>
      <c r="D400" s="17">
        <f>SUM($C$3:C400)/A400</f>
        <v>12.394167851009081</v>
      </c>
    </row>
    <row r="401" spans="1:4" ht="12.75" customHeight="1">
      <c r="A401" s="17">
        <f t="shared" si="3"/>
        <v>399</v>
      </c>
      <c r="B401" s="20" t="s">
        <v>236</v>
      </c>
      <c r="C401" s="21">
        <v>10.390000343322754</v>
      </c>
      <c r="D401" s="17">
        <f>SUM($C$3:C401)/A401</f>
        <v>12.38914487479934</v>
      </c>
    </row>
    <row r="402" spans="1:4" ht="12.75" customHeight="1">
      <c r="A402" s="17">
        <f t="shared" si="3"/>
        <v>400</v>
      </c>
      <c r="B402" s="20">
        <v>44895</v>
      </c>
      <c r="C402" s="21">
        <v>10.380000114440918</v>
      </c>
      <c r="D402" s="17">
        <f>SUM($C$3:C402)/A402</f>
        <v>12.384122012898445</v>
      </c>
    </row>
    <row r="403" spans="1:4">
      <c r="A403" s="17">
        <f t="shared" si="3"/>
        <v>401</v>
      </c>
      <c r="B403" s="20" t="s">
        <v>237</v>
      </c>
      <c r="C403" s="21">
        <v>10.470000267028809</v>
      </c>
      <c r="D403" s="17">
        <f>SUM($C$3:C403)/A403</f>
        <v>12.379348641961114</v>
      </c>
    </row>
    <row r="404" spans="1:4">
      <c r="A404" s="17">
        <f t="shared" si="3"/>
        <v>402</v>
      </c>
      <c r="B404" s="20" t="s">
        <v>238</v>
      </c>
      <c r="C404" s="21">
        <v>10.420000076293945</v>
      </c>
      <c r="D404" s="17">
        <f>SUM($C$3:C404)/A404</f>
        <v>12.374474640553981</v>
      </c>
    </row>
    <row r="405" spans="1:4">
      <c r="A405" s="17">
        <f t="shared" si="3"/>
        <v>403</v>
      </c>
      <c r="B405" s="20" t="s">
        <v>239</v>
      </c>
      <c r="C405" s="21">
        <v>10.609999656677246</v>
      </c>
      <c r="D405" s="17">
        <f>SUM($C$3:C405)/A405</f>
        <v>12.37009629071806</v>
      </c>
    </row>
    <row r="406" spans="1:4">
      <c r="A406" s="17">
        <f t="shared" si="3"/>
        <v>404</v>
      </c>
      <c r="B406" s="20" t="s">
        <v>240</v>
      </c>
      <c r="C406" s="21">
        <v>10.680000305175781</v>
      </c>
      <c r="D406" s="17">
        <f>SUM($C$3:C406)/A406</f>
        <v>12.365912884813252</v>
      </c>
    </row>
    <row r="407" spans="1:4">
      <c r="A407" s="17">
        <f t="shared" si="3"/>
        <v>405</v>
      </c>
      <c r="B407" s="20" t="s">
        <v>241</v>
      </c>
      <c r="C407" s="21">
        <v>10.649999618530273</v>
      </c>
      <c r="D407" s="17">
        <f>SUM($C$3:C407)/A407</f>
        <v>12.36167606193354</v>
      </c>
    </row>
    <row r="408" spans="1:4">
      <c r="A408" s="17">
        <f t="shared" si="3"/>
        <v>406</v>
      </c>
      <c r="B408" s="20" t="s">
        <v>242</v>
      </c>
      <c r="C408" s="21">
        <v>10.659999847412109</v>
      </c>
      <c r="D408" s="17">
        <f>SUM($C$3:C408)/A408</f>
        <v>12.357484741208118</v>
      </c>
    </row>
    <row r="409" spans="1:4">
      <c r="A409" s="17">
        <f t="shared" si="3"/>
        <v>407</v>
      </c>
      <c r="B409" s="20" t="s">
        <v>243</v>
      </c>
      <c r="C409" s="21">
        <v>10.770000457763672</v>
      </c>
      <c r="D409" s="17">
        <f>SUM($C$3:C409)/A409</f>
        <v>12.353584288423242</v>
      </c>
    </row>
    <row r="410" spans="1:4">
      <c r="A410" s="17">
        <f t="shared" si="3"/>
        <v>408</v>
      </c>
      <c r="B410" s="20" t="s">
        <v>244</v>
      </c>
      <c r="C410" s="21">
        <v>10.920000076293945</v>
      </c>
      <c r="D410" s="17">
        <f>SUM($C$3:C410)/A410</f>
        <v>12.350070601628808</v>
      </c>
    </row>
    <row r="411" spans="1:4">
      <c r="A411" s="17">
        <f t="shared" si="3"/>
        <v>409</v>
      </c>
      <c r="B411" s="20" t="s">
        <v>245</v>
      </c>
      <c r="C411" s="21">
        <v>10.909999847412109</v>
      </c>
      <c r="D411" s="17">
        <f>SUM($C$3:C411)/A411</f>
        <v>12.346549646239525</v>
      </c>
    </row>
    <row r="412" spans="1:4">
      <c r="A412" s="17">
        <f t="shared" si="3"/>
        <v>410</v>
      </c>
      <c r="B412" s="20" t="s">
        <v>246</v>
      </c>
      <c r="C412" s="21">
        <v>10.939999580383301</v>
      </c>
      <c r="D412" s="17">
        <f>SUM($C$3:C412)/A412</f>
        <v>12.343119036322802</v>
      </c>
    </row>
    <row r="413" spans="1:4">
      <c r="A413" s="17">
        <f t="shared" si="3"/>
        <v>411</v>
      </c>
      <c r="B413" s="20" t="s">
        <v>247</v>
      </c>
      <c r="C413" s="21">
        <v>10.909999847412109</v>
      </c>
      <c r="D413" s="17">
        <f>SUM($C$3:C413)/A413</f>
        <v>12.339632128320586</v>
      </c>
    </row>
    <row r="414" spans="1:4">
      <c r="A414" s="17">
        <f t="shared" si="3"/>
        <v>412</v>
      </c>
      <c r="B414" s="20" t="s">
        <v>248</v>
      </c>
      <c r="C414" s="21">
        <v>10.949999809265137</v>
      </c>
      <c r="D414" s="17">
        <f>SUM($C$3:C414)/A414</f>
        <v>12.336259234342297</v>
      </c>
    </row>
    <row r="415" spans="1:4">
      <c r="A415" s="17">
        <f t="shared" si="3"/>
        <v>413</v>
      </c>
      <c r="B415" s="20" t="s">
        <v>249</v>
      </c>
      <c r="C415" s="21">
        <v>10.779999732971191</v>
      </c>
      <c r="D415" s="17">
        <f>SUM($C$3:C415)/A415</f>
        <v>12.33249105153026</v>
      </c>
    </row>
    <row r="416" spans="1:4">
      <c r="A416" s="17">
        <f t="shared" si="3"/>
        <v>414</v>
      </c>
      <c r="B416" s="20" t="s">
        <v>250</v>
      </c>
      <c r="C416" s="21">
        <v>10.600000381469727</v>
      </c>
      <c r="D416" s="17">
        <f>SUM($C$3:C416)/A416</f>
        <v>12.32830629145765</v>
      </c>
    </row>
    <row r="417" spans="1:4">
      <c r="A417" s="17">
        <f t="shared" si="3"/>
        <v>415</v>
      </c>
      <c r="B417" s="20" t="s">
        <v>251</v>
      </c>
      <c r="C417" s="21">
        <v>10.609999656677246</v>
      </c>
      <c r="D417" s="17">
        <f>SUM($C$3:C417)/A417</f>
        <v>12.324165793542516</v>
      </c>
    </row>
    <row r="418" spans="1:4">
      <c r="A418" s="17">
        <f t="shared" si="3"/>
        <v>416</v>
      </c>
      <c r="B418" s="20" t="s">
        <v>252</v>
      </c>
      <c r="C418" s="21">
        <v>10.640000343322754</v>
      </c>
      <c r="D418" s="17">
        <f>SUM($C$3:C418)/A418</f>
        <v>12.320117318902565</v>
      </c>
    </row>
    <row r="419" spans="1:4">
      <c r="A419" s="17">
        <f t="shared" si="3"/>
        <v>417</v>
      </c>
      <c r="B419" s="20" t="s">
        <v>253</v>
      </c>
      <c r="C419" s="21">
        <v>10.630000114440918</v>
      </c>
      <c r="D419" s="17">
        <f>SUM($C$3:C419)/A419</f>
        <v>12.316064280042944</v>
      </c>
    </row>
    <row r="420" spans="1:4">
      <c r="A420" s="17">
        <f t="shared" si="3"/>
        <v>418</v>
      </c>
      <c r="B420" s="20" t="s">
        <v>254</v>
      </c>
      <c r="C420" s="21">
        <v>10.630000114440918</v>
      </c>
      <c r="D420" s="17">
        <f>SUM($C$3:C420)/A420</f>
        <v>12.312030633713754</v>
      </c>
    </row>
    <row r="421" spans="1:4">
      <c r="A421" s="17">
        <f t="shared" si="3"/>
        <v>419</v>
      </c>
      <c r="B421" s="20" t="s">
        <v>255</v>
      </c>
      <c r="C421" s="21">
        <v>10.75</v>
      </c>
      <c r="D421" s="17">
        <f>SUM($C$3:C421)/A421</f>
        <v>12.308302636974579</v>
      </c>
    </row>
    <row r="422" spans="1:4">
      <c r="A422" s="17">
        <f t="shared" si="3"/>
        <v>420</v>
      </c>
      <c r="B422" s="20" t="s">
        <v>256</v>
      </c>
      <c r="C422" s="21">
        <v>10.739999771118164</v>
      </c>
      <c r="D422" s="17">
        <f>SUM($C$3:C422)/A422</f>
        <v>12.304568582532065</v>
      </c>
    </row>
    <row r="423" spans="1:4">
      <c r="A423" s="17">
        <f t="shared" si="3"/>
        <v>421</v>
      </c>
      <c r="B423" s="20">
        <v>44924</v>
      </c>
      <c r="C423" s="21">
        <v>10.680000305175781</v>
      </c>
      <c r="D423" s="17">
        <f>SUM($C$3:C423)/A423</f>
        <v>12.300709750519342</v>
      </c>
    </row>
    <row r="424" spans="1:4">
      <c r="A424" s="17">
        <f t="shared" si="3"/>
        <v>422</v>
      </c>
      <c r="B424" s="20">
        <v>44925</v>
      </c>
      <c r="C424" s="21">
        <v>10.729999542236328</v>
      </c>
      <c r="D424" s="17">
        <f>SUM($C$3:C424)/A424</f>
        <v>12.296987688414406</v>
      </c>
    </row>
    <row r="425" spans="1:4">
      <c r="A425" s="17">
        <f t="shared" si="3"/>
        <v>423</v>
      </c>
      <c r="B425" s="20" t="s">
        <v>257</v>
      </c>
      <c r="C425" s="21">
        <v>10.760000228881836</v>
      </c>
      <c r="D425" s="17">
        <f>SUM($C$3:C425)/A425</f>
        <v>12.293354148320949</v>
      </c>
    </row>
    <row r="426" spans="1:4">
      <c r="A426" s="17">
        <f t="shared" si="3"/>
        <v>424</v>
      </c>
      <c r="B426" s="20" t="s">
        <v>258</v>
      </c>
      <c r="C426" s="21">
        <v>10.779999732971191</v>
      </c>
      <c r="D426" s="17">
        <f>SUM($C$3:C426)/A426</f>
        <v>12.289784916209275</v>
      </c>
    </row>
    <row r="427" spans="1:4">
      <c r="A427" s="17">
        <f t="shared" si="3"/>
        <v>425</v>
      </c>
      <c r="B427" s="20" t="s">
        <v>259</v>
      </c>
      <c r="C427" s="21">
        <v>10.960000038146973</v>
      </c>
      <c r="D427" s="17">
        <f>SUM($C$3:C427)/A427</f>
        <v>12.286656010613834</v>
      </c>
    </row>
    <row r="428" spans="1:4">
      <c r="A428" s="17">
        <f t="shared" si="3"/>
        <v>426</v>
      </c>
      <c r="B428" s="20" t="s">
        <v>260</v>
      </c>
      <c r="C428" s="21">
        <v>11</v>
      </c>
      <c r="D428" s="17">
        <f>SUM($C$3:C428)/A428</f>
        <v>12.283635691340093</v>
      </c>
    </row>
    <row r="429" spans="1:4">
      <c r="A429" s="17">
        <f t="shared" si="3"/>
        <v>427</v>
      </c>
      <c r="B429" s="20" t="s">
        <v>261</v>
      </c>
      <c r="C429" s="21">
        <v>11.069999694824219</v>
      </c>
      <c r="D429" s="17">
        <f>SUM($C$3:C429)/A429</f>
        <v>12.280793452472373</v>
      </c>
    </row>
    <row r="430" spans="1:4">
      <c r="A430" s="17">
        <f t="shared" si="3"/>
        <v>428</v>
      </c>
      <c r="B430" s="20" t="s">
        <v>262</v>
      </c>
      <c r="C430" s="21">
        <v>11.079999923706055</v>
      </c>
      <c r="D430" s="17">
        <f>SUM($C$3:C430)/A430</f>
        <v>12.277987860115443</v>
      </c>
    </row>
    <row r="431" spans="1:4">
      <c r="A431" s="17">
        <f t="shared" si="3"/>
        <v>429</v>
      </c>
      <c r="B431" s="20" t="s">
        <v>263</v>
      </c>
      <c r="C431" s="21">
        <v>11.079999923706055</v>
      </c>
      <c r="D431" s="17">
        <f>SUM($C$3:C431)/A431</f>
        <v>12.275195347443161</v>
      </c>
    </row>
    <row r="432" spans="1:4">
      <c r="A432" s="17">
        <f t="shared" si="3"/>
        <v>430</v>
      </c>
      <c r="B432" s="20" t="s">
        <v>264</v>
      </c>
      <c r="C432" s="21">
        <v>11.079999923706055</v>
      </c>
      <c r="D432" s="17">
        <f>SUM($C$3:C432)/A432</f>
        <v>12.272415823201911</v>
      </c>
    </row>
    <row r="433" spans="1:4">
      <c r="A433" s="17">
        <f t="shared" si="3"/>
        <v>431</v>
      </c>
      <c r="B433" s="20" t="s">
        <v>265</v>
      </c>
      <c r="C433" s="21">
        <v>11.25</v>
      </c>
      <c r="D433" s="17">
        <f>SUM($C$3:C433)/A433</f>
        <v>12.270043628716524</v>
      </c>
    </row>
    <row r="434" spans="1:4">
      <c r="A434" s="17">
        <f t="shared" si="3"/>
        <v>432</v>
      </c>
      <c r="B434" s="20" t="s">
        <v>266</v>
      </c>
      <c r="C434" s="21">
        <v>11.390000343322754</v>
      </c>
      <c r="D434" s="17">
        <f>SUM($C$3:C434)/A434</f>
        <v>12.268006491481815</v>
      </c>
    </row>
    <row r="435" spans="1:4">
      <c r="A435" s="17">
        <f t="shared" si="3"/>
        <v>433</v>
      </c>
      <c r="B435" s="20" t="s">
        <v>267</v>
      </c>
      <c r="C435" s="21">
        <v>11.369999885559082</v>
      </c>
      <c r="D435" s="17">
        <f>SUM($C$3:C435)/A435</f>
        <v>12.265932573223333</v>
      </c>
    </row>
    <row r="436" spans="1:4">
      <c r="A436" s="17">
        <f t="shared" si="3"/>
        <v>434</v>
      </c>
      <c r="B436" s="20" t="s">
        <v>268</v>
      </c>
      <c r="C436" s="21">
        <v>11.350000381469727</v>
      </c>
      <c r="D436" s="17">
        <f>SUM($C$3:C436)/A436</f>
        <v>12.263822130385192</v>
      </c>
    </row>
    <row r="437" spans="1:4">
      <c r="A437" s="17">
        <f t="shared" si="3"/>
        <v>435</v>
      </c>
      <c r="B437" s="20" t="s">
        <v>269</v>
      </c>
      <c r="C437" s="21">
        <v>11.390000343322754</v>
      </c>
      <c r="D437" s="17">
        <f>SUM($C$3:C437)/A437</f>
        <v>12.261813344667807</v>
      </c>
    </row>
    <row r="438" spans="1:4">
      <c r="A438" s="17">
        <f t="shared" si="3"/>
        <v>436</v>
      </c>
      <c r="B438" s="20" t="s">
        <v>270</v>
      </c>
      <c r="C438" s="21">
        <v>11.460000038146973</v>
      </c>
      <c r="D438" s="17">
        <f>SUM($C$3:C438)/A438</f>
        <v>12.259974323322576</v>
      </c>
    </row>
    <row r="439" spans="1:4">
      <c r="A439" s="17">
        <f t="shared" si="3"/>
        <v>437</v>
      </c>
      <c r="B439" s="20">
        <v>44956</v>
      </c>
      <c r="C439" s="21">
        <v>11.489999771118164</v>
      </c>
      <c r="D439" s="17">
        <f>SUM($C$3:C439)/A439</f>
        <v>12.258212367825541</v>
      </c>
    </row>
    <row r="440" spans="1:4">
      <c r="A440" s="17">
        <f t="shared" si="3"/>
        <v>438</v>
      </c>
      <c r="B440" s="20">
        <v>44957</v>
      </c>
      <c r="C440" s="21">
        <v>11.390000343322754</v>
      </c>
      <c r="D440" s="17">
        <f>SUM($C$3:C440)/A440</f>
        <v>12.256230148591516</v>
      </c>
    </row>
    <row r="441" spans="1:4">
      <c r="A441" s="17">
        <f t="shared" si="3"/>
        <v>439</v>
      </c>
      <c r="B441" s="20" t="s">
        <v>271</v>
      </c>
      <c r="C441" s="21">
        <v>11.449999809265137</v>
      </c>
      <c r="D441" s="17">
        <f>SUM($C$3:C441)/A441</f>
        <v>12.254393633012185</v>
      </c>
    </row>
    <row r="442" spans="1:4">
      <c r="A442" s="17">
        <f t="shared" si="3"/>
        <v>440</v>
      </c>
      <c r="B442" s="20" t="s">
        <v>272</v>
      </c>
      <c r="C442" s="21">
        <v>11.430000305175781</v>
      </c>
      <c r="D442" s="17">
        <f>SUM($C$3:C442)/A442</f>
        <v>12.252520011812557</v>
      </c>
    </row>
    <row r="443" spans="1:4">
      <c r="A443" s="17">
        <f t="shared" si="3"/>
        <v>441</v>
      </c>
      <c r="B443" s="20" t="s">
        <v>273</v>
      </c>
      <c r="C443" s="21">
        <v>11.319999694824219</v>
      </c>
      <c r="D443" s="17">
        <f>SUM($C$3:C443)/A443</f>
        <v>12.250405453270632</v>
      </c>
    </row>
    <row r="444" spans="1:4">
      <c r="A444" s="17">
        <f t="shared" si="3"/>
        <v>442</v>
      </c>
      <c r="B444" s="20" t="s">
        <v>274</v>
      </c>
      <c r="C444" s="21">
        <v>11.189999580383301</v>
      </c>
      <c r="D444" s="17">
        <f>SUM($C$3:C444)/A444</f>
        <v>12.248006344960933</v>
      </c>
    </row>
    <row r="445" spans="1:4">
      <c r="A445" s="17">
        <f t="shared" si="3"/>
        <v>443</v>
      </c>
      <c r="B445" s="20" t="s">
        <v>275</v>
      </c>
      <c r="C445" s="21">
        <v>11.210000038146973</v>
      </c>
      <c r="D445" s="17">
        <f>SUM($C$3:C445)/A445</f>
        <v>12.24566321560018</v>
      </c>
    </row>
    <row r="446" spans="1:4">
      <c r="A446" s="17">
        <f t="shared" si="3"/>
        <v>444</v>
      </c>
      <c r="B446" s="20" t="s">
        <v>276</v>
      </c>
      <c r="C446" s="21">
        <v>11.170000076293945</v>
      </c>
      <c r="D446" s="17">
        <f>SUM($C$3:C446)/A446</f>
        <v>12.243240550872011</v>
      </c>
    </row>
    <row r="447" spans="1:4">
      <c r="A447" s="17">
        <f t="shared" si="3"/>
        <v>445</v>
      </c>
      <c r="B447" s="20" t="s">
        <v>277</v>
      </c>
      <c r="C447" s="21">
        <v>11.310000419616699</v>
      </c>
      <c r="D447" s="17">
        <f>SUM($C$3:C447)/A447</f>
        <v>12.24114338203773</v>
      </c>
    </row>
    <row r="448" spans="1:4">
      <c r="A448" s="17">
        <f t="shared" si="3"/>
        <v>446</v>
      </c>
      <c r="B448" s="20" t="s">
        <v>278</v>
      </c>
      <c r="C448" s="21">
        <v>11.270000457763672</v>
      </c>
      <c r="D448" s="17">
        <f>SUM($C$3:C448)/A448</f>
        <v>12.238965931534874</v>
      </c>
    </row>
    <row r="449" spans="1:4">
      <c r="A449" s="17">
        <f t="shared" si="3"/>
        <v>447</v>
      </c>
      <c r="B449" s="20" t="s">
        <v>279</v>
      </c>
      <c r="C449" s="21">
        <v>11.369999885559082</v>
      </c>
      <c r="D449" s="17">
        <f>SUM($C$3:C449)/A449</f>
        <v>12.237021935906293</v>
      </c>
    </row>
    <row r="450" spans="1:4">
      <c r="A450" s="17">
        <f t="shared" si="3"/>
        <v>448</v>
      </c>
      <c r="B450" s="20" t="s">
        <v>280</v>
      </c>
      <c r="C450" s="21">
        <v>11.390000343322754</v>
      </c>
      <c r="D450" s="17">
        <f>SUM($C$3:C450)/A450</f>
        <v>12.235131262708562</v>
      </c>
    </row>
    <row r="451" spans="1:4">
      <c r="A451" s="17">
        <f t="shared" si="3"/>
        <v>449</v>
      </c>
      <c r="B451" s="20" t="s">
        <v>281</v>
      </c>
      <c r="C451" s="21">
        <v>11.319999694824219</v>
      </c>
      <c r="D451" s="17">
        <f>SUM($C$3:C451)/A451</f>
        <v>12.233093107768953</v>
      </c>
    </row>
    <row r="452" spans="1:4">
      <c r="A452" s="17">
        <f t="shared" ref="A452:A706" si="4">A451+1</f>
        <v>450</v>
      </c>
      <c r="B452" s="20" t="s">
        <v>282</v>
      </c>
      <c r="C452" s="21">
        <v>11.260000228881836</v>
      </c>
      <c r="D452" s="17">
        <f>SUM($C$3:C452)/A452</f>
        <v>12.230930679149203</v>
      </c>
    </row>
    <row r="453" spans="1:4">
      <c r="A453" s="17">
        <f t="shared" si="4"/>
        <v>451</v>
      </c>
      <c r="B453" s="20" t="s">
        <v>283</v>
      </c>
      <c r="C453" s="21">
        <v>11.159999847412109</v>
      </c>
      <c r="D453" s="17">
        <f>SUM($C$3:C453)/A453</f>
        <v>12.228556109677502</v>
      </c>
    </row>
    <row r="454" spans="1:4">
      <c r="A454" s="17">
        <f t="shared" si="4"/>
        <v>452</v>
      </c>
      <c r="B454" s="20" t="s">
        <v>284</v>
      </c>
      <c r="C454" s="21">
        <v>11.409999847412109</v>
      </c>
      <c r="D454" s="17">
        <f>SUM($C$3:C454)/A454</f>
        <v>12.226745144495499</v>
      </c>
    </row>
    <row r="455" spans="1:4">
      <c r="A455" s="17">
        <f t="shared" si="4"/>
        <v>453</v>
      </c>
      <c r="B455" s="20" t="s">
        <v>285</v>
      </c>
      <c r="C455" s="21">
        <v>11.439999580383301</v>
      </c>
      <c r="D455" s="17">
        <f>SUM($C$3:C455)/A455</f>
        <v>12.225008399320858</v>
      </c>
    </row>
    <row r="456" spans="1:4">
      <c r="A456" s="17">
        <f t="shared" si="4"/>
        <v>454</v>
      </c>
      <c r="B456" s="20" t="s">
        <v>286</v>
      </c>
      <c r="C456" s="21">
        <v>11.350000381469727</v>
      </c>
      <c r="D456" s="17">
        <f>SUM($C$3:C456)/A456</f>
        <v>12.223081068885064</v>
      </c>
    </row>
    <row r="457" spans="1:4">
      <c r="A457" s="17">
        <f t="shared" si="4"/>
        <v>455</v>
      </c>
      <c r="B457" s="20" t="s">
        <v>287</v>
      </c>
      <c r="C457" s="21">
        <v>11.350000381469727</v>
      </c>
      <c r="D457" s="17">
        <f>SUM($C$3:C457)/A457</f>
        <v>12.221162210231403</v>
      </c>
    </row>
    <row r="458" spans="1:4">
      <c r="A458" s="17">
        <f t="shared" si="4"/>
        <v>456</v>
      </c>
      <c r="B458" s="20" t="s">
        <v>288</v>
      </c>
      <c r="C458" s="21">
        <v>11.229999542236328</v>
      </c>
      <c r="D458" s="17">
        <f>SUM($C$3:C458)/A458</f>
        <v>12.218988607889308</v>
      </c>
    </row>
    <row r="459" spans="1:4">
      <c r="A459" s="17">
        <f t="shared" si="4"/>
        <v>457</v>
      </c>
      <c r="B459" s="20">
        <v>44984</v>
      </c>
      <c r="C459" s="21">
        <v>11.210000038146973</v>
      </c>
      <c r="D459" s="17">
        <f>SUM($C$3:C459)/A459</f>
        <v>12.216780755439107</v>
      </c>
    </row>
    <row r="460" spans="1:4">
      <c r="A460" s="17">
        <f t="shared" si="4"/>
        <v>458</v>
      </c>
      <c r="B460" s="20">
        <v>44985</v>
      </c>
      <c r="C460" s="21">
        <v>11.270000457763672</v>
      </c>
      <c r="D460" s="17">
        <f>SUM($C$3:C460)/A460</f>
        <v>12.214713549548986</v>
      </c>
    </row>
    <row r="461" spans="1:4">
      <c r="A461" s="17">
        <f t="shared" si="4"/>
        <v>459</v>
      </c>
      <c r="B461" s="20" t="s">
        <v>289</v>
      </c>
      <c r="C461" s="21">
        <v>11.390000343322754</v>
      </c>
      <c r="D461" s="17">
        <f>SUM($C$3:C461)/A461</f>
        <v>12.212916788751107</v>
      </c>
    </row>
    <row r="462" spans="1:4">
      <c r="A462" s="17">
        <f t="shared" si="4"/>
        <v>460</v>
      </c>
      <c r="B462" s="20" t="s">
        <v>290</v>
      </c>
      <c r="C462" s="21">
        <v>11.380000114440918</v>
      </c>
      <c r="D462" s="17">
        <f>SUM($C$3:C462)/A462</f>
        <v>12.211106100328694</v>
      </c>
    </row>
    <row r="463" spans="1:4">
      <c r="A463" s="17">
        <f t="shared" si="4"/>
        <v>461</v>
      </c>
      <c r="B463" s="20" t="s">
        <v>291</v>
      </c>
      <c r="C463" s="21">
        <v>11.430000305175781</v>
      </c>
      <c r="D463" s="17">
        <f>SUM($C$3:C463)/A463</f>
        <v>12.209411727671096</v>
      </c>
    </row>
    <row r="464" spans="1:4">
      <c r="A464" s="17">
        <f t="shared" si="4"/>
        <v>462</v>
      </c>
      <c r="B464" s="20" t="s">
        <v>292</v>
      </c>
      <c r="C464" s="21">
        <v>11.369999885559082</v>
      </c>
      <c r="D464" s="17">
        <f>SUM($C$3:C464)/A464</f>
        <v>12.207594818921935</v>
      </c>
    </row>
    <row r="465" spans="1:4">
      <c r="A465" s="17">
        <f t="shared" si="4"/>
        <v>463</v>
      </c>
      <c r="B465" s="20" t="s">
        <v>293</v>
      </c>
      <c r="C465" s="21">
        <v>11.270000457763672</v>
      </c>
      <c r="D465" s="17">
        <f>SUM($C$3:C465)/A465</f>
        <v>12.205569777105179</v>
      </c>
    </row>
    <row r="466" spans="1:4">
      <c r="A466" s="17">
        <f t="shared" si="4"/>
        <v>464</v>
      </c>
      <c r="B466" s="20" t="s">
        <v>294</v>
      </c>
      <c r="C466" s="21">
        <v>11.220000267028809</v>
      </c>
      <c r="D466" s="17">
        <f>SUM($C$3:C466)/A466</f>
        <v>12.203445704885187</v>
      </c>
    </row>
    <row r="467" spans="1:4">
      <c r="A467" s="17">
        <f t="shared" si="4"/>
        <v>465</v>
      </c>
      <c r="B467" s="20" t="s">
        <v>295</v>
      </c>
      <c r="C467" s="21">
        <v>11.170000076293945</v>
      </c>
      <c r="D467" s="17">
        <f>SUM($C$3:C467)/A467</f>
        <v>12.201223241167785</v>
      </c>
    </row>
    <row r="468" spans="1:4">
      <c r="A468" s="17">
        <f t="shared" si="4"/>
        <v>466</v>
      </c>
      <c r="B468" s="20" t="s">
        <v>296</v>
      </c>
      <c r="C468" s="21">
        <v>11.029999732971191</v>
      </c>
      <c r="D468" s="17">
        <f>SUM($C$3:C468)/A468</f>
        <v>12.198709885999982</v>
      </c>
    </row>
    <row r="469" spans="1:4">
      <c r="A469" s="17">
        <f t="shared" si="4"/>
        <v>467</v>
      </c>
      <c r="B469" s="20" t="s">
        <v>297</v>
      </c>
      <c r="C469" s="21">
        <v>11.170000076293945</v>
      </c>
      <c r="D469" s="17">
        <f>SUM($C$3:C469)/A469</f>
        <v>12.196507081268278</v>
      </c>
    </row>
    <row r="470" spans="1:4">
      <c r="A470" s="17">
        <f t="shared" si="4"/>
        <v>468</v>
      </c>
      <c r="B470" s="20" t="s">
        <v>298</v>
      </c>
      <c r="C470" s="21">
        <v>11.079999923706055</v>
      </c>
      <c r="D470" s="17">
        <f>SUM($C$3:C470)/A470</f>
        <v>12.194121382213657</v>
      </c>
    </row>
    <row r="471" spans="1:4">
      <c r="A471" s="17">
        <f t="shared" si="4"/>
        <v>469</v>
      </c>
      <c r="B471" s="20" t="s">
        <v>299</v>
      </c>
      <c r="C471" s="21">
        <v>11.119999885559082</v>
      </c>
      <c r="D471" s="17">
        <f>SUM($C$3:C471)/A471</f>
        <v>12.191831144480918</v>
      </c>
    </row>
    <row r="472" spans="1:4">
      <c r="A472" s="17">
        <f t="shared" si="4"/>
        <v>470</v>
      </c>
      <c r="B472" s="20" t="s">
        <v>300</v>
      </c>
      <c r="C472" s="21">
        <v>11.020000457763672</v>
      </c>
      <c r="D472" s="17">
        <f>SUM($C$3:C472)/A472</f>
        <v>12.189337887700669</v>
      </c>
    </row>
    <row r="473" spans="1:4">
      <c r="A473" s="17">
        <f t="shared" si="4"/>
        <v>471</v>
      </c>
      <c r="B473" s="20" t="s">
        <v>301</v>
      </c>
      <c r="C473" s="21">
        <v>11.069999694824219</v>
      </c>
      <c r="D473" s="17">
        <f>SUM($C$3:C473)/A473</f>
        <v>12.186961373490741</v>
      </c>
    </row>
    <row r="474" spans="1:4">
      <c r="A474" s="17">
        <f t="shared" si="4"/>
        <v>472</v>
      </c>
      <c r="B474" s="20" t="s">
        <v>302</v>
      </c>
      <c r="C474" s="21">
        <v>11.039999961853027</v>
      </c>
      <c r="D474" s="17">
        <f>SUM($C$3:C474)/A474</f>
        <v>12.184531370499982</v>
      </c>
    </row>
    <row r="475" spans="1:4">
      <c r="A475" s="17">
        <f t="shared" si="4"/>
        <v>473</v>
      </c>
      <c r="B475" s="20" t="s">
        <v>303</v>
      </c>
      <c r="C475" s="21">
        <v>11.119999885559082</v>
      </c>
      <c r="D475" s="17">
        <f>SUM($C$3:C475)/A475</f>
        <v>12.1822807753944</v>
      </c>
    </row>
    <row r="476" spans="1:4">
      <c r="A476" s="17">
        <f t="shared" si="4"/>
        <v>474</v>
      </c>
      <c r="B476" s="20" t="s">
        <v>304</v>
      </c>
      <c r="C476" s="21">
        <v>11.189999580383301</v>
      </c>
      <c r="D476" s="17">
        <f>SUM($C$3:C476)/A476</f>
        <v>12.180187355151759</v>
      </c>
    </row>
    <row r="477" spans="1:4">
      <c r="A477" s="17">
        <f t="shared" si="4"/>
        <v>475</v>
      </c>
      <c r="B477" s="20" t="s">
        <v>305</v>
      </c>
      <c r="C477" s="21">
        <v>11.260000228881836</v>
      </c>
      <c r="D477" s="17">
        <f>SUM($C$3:C477)/A477</f>
        <v>12.178250119096454</v>
      </c>
    </row>
    <row r="478" spans="1:4">
      <c r="A478" s="17">
        <f t="shared" si="4"/>
        <v>476</v>
      </c>
      <c r="B478" s="20" t="s">
        <v>306</v>
      </c>
      <c r="C478" s="21">
        <v>11.199999809265137</v>
      </c>
      <c r="D478" s="17">
        <f>SUM($C$3:C478)/A478</f>
        <v>12.176194971386725</v>
      </c>
    </row>
    <row r="479" spans="1:4">
      <c r="A479" s="17">
        <f t="shared" si="4"/>
        <v>477</v>
      </c>
      <c r="B479" s="20" t="s">
        <v>307</v>
      </c>
      <c r="C479" s="21">
        <v>11.159999847412109</v>
      </c>
      <c r="D479" s="17">
        <f>SUM($C$3:C479)/A479</f>
        <v>12.17406458328615</v>
      </c>
    </row>
    <row r="480" spans="1:4">
      <c r="A480" s="17">
        <f t="shared" si="4"/>
        <v>478</v>
      </c>
      <c r="B480" s="20" t="s">
        <v>308</v>
      </c>
      <c r="C480" s="21">
        <v>11.159999847412109</v>
      </c>
      <c r="D480" s="17">
        <f>SUM($C$3:C480)/A480</f>
        <v>12.171943108943315</v>
      </c>
    </row>
    <row r="481" spans="1:4">
      <c r="A481" s="17">
        <f t="shared" si="4"/>
        <v>479</v>
      </c>
      <c r="B481" s="20" t="s">
        <v>309</v>
      </c>
      <c r="C481" s="21">
        <v>11.159999847412109</v>
      </c>
      <c r="D481" s="17">
        <f>SUM($C$3:C481)/A481</f>
        <v>12.169830492530934</v>
      </c>
    </row>
    <row r="482" spans="1:4">
      <c r="A482" s="17">
        <f t="shared" si="4"/>
        <v>480</v>
      </c>
      <c r="B482" s="20">
        <v>45015</v>
      </c>
      <c r="C482" s="21">
        <v>11.300000190734863</v>
      </c>
      <c r="D482" s="17">
        <f>SUM($C$3:C482)/A482</f>
        <v>12.168018346068859</v>
      </c>
    </row>
    <row r="483" spans="1:4">
      <c r="A483" s="17">
        <f t="shared" si="4"/>
        <v>481</v>
      </c>
      <c r="B483" s="20">
        <v>45016</v>
      </c>
      <c r="C483" s="21">
        <v>11.300000190734863</v>
      </c>
      <c r="D483" s="17">
        <f>SUM($C$3:C483)/A483</f>
        <v>12.166213734519308</v>
      </c>
    </row>
    <row r="484" spans="1:4">
      <c r="A484" s="17">
        <f t="shared" si="4"/>
        <v>482</v>
      </c>
      <c r="B484" s="20" t="s">
        <v>310</v>
      </c>
      <c r="C484" s="21">
        <v>11.319999694824219</v>
      </c>
      <c r="D484" s="17">
        <f>SUM($C$3:C484)/A484</f>
        <v>12.164458103731558</v>
      </c>
    </row>
    <row r="485" spans="1:4">
      <c r="A485" s="17">
        <f t="shared" si="4"/>
        <v>483</v>
      </c>
      <c r="B485" s="20" t="s">
        <v>311</v>
      </c>
      <c r="C485" s="21">
        <v>11.380000114440918</v>
      </c>
      <c r="D485" s="17">
        <f>SUM($C$3:C485)/A485</f>
        <v>12.162833967107769</v>
      </c>
    </row>
    <row r="486" spans="1:4">
      <c r="A486" s="17">
        <f t="shared" si="4"/>
        <v>484</v>
      </c>
      <c r="B486" s="20" t="s">
        <v>312</v>
      </c>
      <c r="C486" s="21">
        <v>11.369999885559082</v>
      </c>
      <c r="D486" s="17">
        <f>SUM($C$3:C486)/A486</f>
        <v>12.16119588016242</v>
      </c>
    </row>
    <row r="487" spans="1:4">
      <c r="A487" s="17">
        <f t="shared" si="4"/>
        <v>485</v>
      </c>
      <c r="B487" s="20" t="s">
        <v>313</v>
      </c>
      <c r="C487" s="21">
        <v>11.420000076293945</v>
      </c>
      <c r="D487" s="17">
        <f>SUM($C$3:C487)/A487</f>
        <v>12.159667641391557</v>
      </c>
    </row>
    <row r="488" spans="1:4">
      <c r="A488" s="17">
        <f t="shared" si="4"/>
        <v>486</v>
      </c>
      <c r="B488" s="20" t="s">
        <v>314</v>
      </c>
      <c r="C488" s="21">
        <v>11.409999847412109</v>
      </c>
      <c r="D488" s="17">
        <f>SUM($C$3:C488)/A488</f>
        <v>12.158125115066497</v>
      </c>
    </row>
    <row r="489" spans="1:4">
      <c r="A489" s="17">
        <f t="shared" si="4"/>
        <v>487</v>
      </c>
      <c r="B489" s="20" t="s">
        <v>315</v>
      </c>
      <c r="C489" s="21">
        <v>11.399999618530273</v>
      </c>
      <c r="D489" s="17">
        <f>SUM($C$3:C489)/A489</f>
        <v>12.156568389200919</v>
      </c>
    </row>
    <row r="490" spans="1:4">
      <c r="A490" s="17">
        <f t="shared" si="4"/>
        <v>488</v>
      </c>
      <c r="B490" s="20" t="s">
        <v>316</v>
      </c>
      <c r="C490" s="21">
        <v>11.399999618530273</v>
      </c>
      <c r="D490" s="17">
        <f>SUM($C$3:C490)/A490</f>
        <v>12.15501804335938</v>
      </c>
    </row>
    <row r="491" spans="1:4">
      <c r="A491" s="17">
        <f t="shared" si="4"/>
        <v>489</v>
      </c>
      <c r="B491" s="20" t="s">
        <v>317</v>
      </c>
      <c r="C491" s="21">
        <v>11.380000114440918</v>
      </c>
      <c r="D491" s="17">
        <f>SUM($C$3:C491)/A491</f>
        <v>12.153433139619262</v>
      </c>
    </row>
    <row r="492" spans="1:4">
      <c r="A492" s="17">
        <f t="shared" si="4"/>
        <v>490</v>
      </c>
      <c r="B492" s="20" t="s">
        <v>318</v>
      </c>
      <c r="C492" s="21">
        <v>11.409999847412109</v>
      </c>
      <c r="D492" s="17">
        <f>SUM($C$3:C492)/A492</f>
        <v>12.151915928818838</v>
      </c>
    </row>
    <row r="493" spans="1:4">
      <c r="A493" s="17">
        <f t="shared" si="4"/>
        <v>491</v>
      </c>
      <c r="B493" s="20" t="s">
        <v>319</v>
      </c>
      <c r="C493" s="21">
        <v>11.590000152587891</v>
      </c>
      <c r="D493" s="17">
        <f>SUM($C$3:C493)/A493</f>
        <v>12.150771497502685</v>
      </c>
    </row>
    <row r="494" spans="1:4">
      <c r="A494" s="17">
        <f t="shared" si="4"/>
        <v>492</v>
      </c>
      <c r="B494" s="20" t="s">
        <v>320</v>
      </c>
      <c r="C494" s="21">
        <v>11.649999618530273</v>
      </c>
      <c r="D494" s="17">
        <f>SUM($C$3:C494)/A494</f>
        <v>12.149753668480384</v>
      </c>
    </row>
    <row r="495" spans="1:4">
      <c r="A495" s="17">
        <f t="shared" si="4"/>
        <v>493</v>
      </c>
      <c r="B495" s="20" t="s">
        <v>321</v>
      </c>
      <c r="C495" s="21">
        <v>11.560000419616699</v>
      </c>
      <c r="D495" s="17">
        <f>SUM($C$3:C495)/A495</f>
        <v>12.148557414425895</v>
      </c>
    </row>
    <row r="496" spans="1:4">
      <c r="A496" s="17">
        <f t="shared" si="4"/>
        <v>494</v>
      </c>
      <c r="B496" s="20" t="s">
        <v>322</v>
      </c>
      <c r="C496" s="21">
        <v>11.5</v>
      </c>
      <c r="D496" s="17">
        <f>SUM($C$3:C496)/A496</f>
        <v>12.147244545165922</v>
      </c>
    </row>
    <row r="497" spans="1:4">
      <c r="A497" s="17">
        <f t="shared" si="4"/>
        <v>495</v>
      </c>
      <c r="B497" s="20" t="s">
        <v>323</v>
      </c>
      <c r="C497" s="21">
        <v>11.340000152587891</v>
      </c>
      <c r="D497" s="17">
        <f>SUM($C$3:C497)/A497</f>
        <v>12.14561374841324</v>
      </c>
    </row>
    <row r="498" spans="1:4">
      <c r="A498" s="17">
        <f t="shared" si="4"/>
        <v>496</v>
      </c>
      <c r="B498" s="20" t="s">
        <v>324</v>
      </c>
      <c r="C498" s="21">
        <v>11.229999542236328</v>
      </c>
      <c r="D498" s="17">
        <f>SUM($C$3:C498)/A498</f>
        <v>12.143767752029818</v>
      </c>
    </row>
    <row r="499" spans="1:4">
      <c r="A499" s="17">
        <f t="shared" si="4"/>
        <v>497</v>
      </c>
      <c r="B499" s="20" t="s">
        <v>325</v>
      </c>
      <c r="C499" s="21">
        <v>11.239999771118164</v>
      </c>
      <c r="D499" s="17">
        <f>SUM($C$3:C499)/A499</f>
        <v>12.141949305388145</v>
      </c>
    </row>
    <row r="500" spans="1:4">
      <c r="A500" s="17">
        <f t="shared" si="4"/>
        <v>498</v>
      </c>
      <c r="B500" s="20" t="s">
        <v>326</v>
      </c>
      <c r="C500" s="21">
        <v>11.220000267028809</v>
      </c>
      <c r="D500" s="17">
        <f>SUM($C$3:C500)/A500</f>
        <v>12.140098002098267</v>
      </c>
    </row>
    <row r="501" spans="1:4">
      <c r="A501" s="17">
        <f t="shared" si="4"/>
        <v>499</v>
      </c>
      <c r="B501" s="20">
        <v>45043</v>
      </c>
      <c r="C501" s="21">
        <v>11.310000419616699</v>
      </c>
      <c r="D501" s="17">
        <f>SUM($C$3:C501)/A501</f>
        <v>12.138434479888884</v>
      </c>
    </row>
    <row r="502" spans="1:4">
      <c r="A502" s="17">
        <f t="shared" si="4"/>
        <v>500</v>
      </c>
      <c r="B502" s="20">
        <v>45044</v>
      </c>
      <c r="C502" s="21">
        <v>11.409999847412109</v>
      </c>
      <c r="D502" s="17">
        <f>SUM($C$3:C502)/A502</f>
        <v>12.136977610623932</v>
      </c>
    </row>
    <row r="503" spans="1:4">
      <c r="A503" s="17">
        <f t="shared" si="4"/>
        <v>501</v>
      </c>
      <c r="B503" s="20" t="s">
        <v>327</v>
      </c>
      <c r="C503" s="21">
        <v>11.600000381469727</v>
      </c>
      <c r="D503" s="17">
        <f>SUM($C$3:C503)/A503</f>
        <v>12.135905799787297</v>
      </c>
    </row>
    <row r="504" spans="1:4">
      <c r="A504" s="17">
        <f t="shared" si="4"/>
        <v>502</v>
      </c>
      <c r="B504" s="20" t="s">
        <v>328</v>
      </c>
      <c r="C504" s="21">
        <v>11.569999694824219</v>
      </c>
      <c r="D504" s="17">
        <f>SUM($C$3:C504)/A504</f>
        <v>12.134778496789362</v>
      </c>
    </row>
    <row r="505" spans="1:4">
      <c r="A505" s="17">
        <f t="shared" si="4"/>
        <v>503</v>
      </c>
      <c r="B505" s="20" t="s">
        <v>329</v>
      </c>
      <c r="C505" s="21">
        <v>11.779999732971191</v>
      </c>
      <c r="D505" s="17">
        <f>SUM($C$3:C505)/A505</f>
        <v>12.134073171215171</v>
      </c>
    </row>
    <row r="506" spans="1:4">
      <c r="A506" s="17">
        <f t="shared" si="4"/>
        <v>504</v>
      </c>
      <c r="B506" s="20" t="s">
        <v>330</v>
      </c>
      <c r="C506" s="21">
        <v>11.649999618530273</v>
      </c>
      <c r="D506" s="17">
        <f>SUM($C$3:C506)/A506</f>
        <v>12.133112707816986</v>
      </c>
    </row>
    <row r="507" spans="1:4">
      <c r="A507" s="17">
        <f t="shared" si="4"/>
        <v>505</v>
      </c>
      <c r="B507" s="20" t="s">
        <v>331</v>
      </c>
      <c r="C507" s="21">
        <v>11.510000228881836</v>
      </c>
      <c r="D507" s="17">
        <f>SUM($C$3:C507)/A507</f>
        <v>12.131878821720084</v>
      </c>
    </row>
    <row r="508" spans="1:4">
      <c r="A508" s="17">
        <f t="shared" si="4"/>
        <v>506</v>
      </c>
      <c r="B508" s="20" t="s">
        <v>332</v>
      </c>
      <c r="C508" s="21">
        <v>11.470000267028809</v>
      </c>
      <c r="D508" s="17">
        <f>SUM($C$3:C508)/A508</f>
        <v>12.130570761335319</v>
      </c>
    </row>
    <row r="509" spans="1:4">
      <c r="A509" s="17">
        <f t="shared" si="4"/>
        <v>507</v>
      </c>
      <c r="B509" s="20" t="s">
        <v>333</v>
      </c>
      <c r="C509" s="21">
        <v>11.340000152587891</v>
      </c>
      <c r="D509" s="17">
        <f>SUM($C$3:C509)/A509</f>
        <v>12.129011450469941</v>
      </c>
    </row>
    <row r="510" spans="1:4">
      <c r="A510" s="17">
        <f t="shared" si="4"/>
        <v>508</v>
      </c>
      <c r="B510" s="20" t="s">
        <v>334</v>
      </c>
      <c r="C510" s="21">
        <v>11.479999542236328</v>
      </c>
      <c r="D510" s="17">
        <f>SUM($C$3:C510)/A510</f>
        <v>12.127733867973417</v>
      </c>
    </row>
    <row r="511" spans="1:4">
      <c r="A511" s="17">
        <f t="shared" si="4"/>
        <v>509</v>
      </c>
      <c r="B511" s="20" t="s">
        <v>335</v>
      </c>
      <c r="C511" s="21">
        <v>11.439999580383301</v>
      </c>
      <c r="D511" s="17">
        <f>SUM($C$3:C511)/A511</f>
        <v>12.126382720060667</v>
      </c>
    </row>
    <row r="512" spans="1:4">
      <c r="A512" s="17">
        <f t="shared" si="4"/>
        <v>510</v>
      </c>
      <c r="B512" s="20" t="s">
        <v>336</v>
      </c>
      <c r="C512" s="21">
        <v>11.390000343322754</v>
      </c>
      <c r="D512" s="17">
        <f>SUM($C$3:C512)/A512</f>
        <v>12.124938833047455</v>
      </c>
    </row>
    <row r="513" spans="1:4">
      <c r="A513" s="17">
        <f t="shared" si="4"/>
        <v>511</v>
      </c>
      <c r="B513" s="20" t="s">
        <v>337</v>
      </c>
      <c r="C513" s="21">
        <v>11.420000076293945</v>
      </c>
      <c r="D513" s="17">
        <f>SUM($C$3:C513)/A513</f>
        <v>12.123559305147742</v>
      </c>
    </row>
    <row r="514" spans="1:4">
      <c r="A514" s="17">
        <f t="shared" si="4"/>
        <v>512</v>
      </c>
      <c r="B514" s="20" t="s">
        <v>338</v>
      </c>
      <c r="C514" s="21">
        <v>11.369999885559082</v>
      </c>
      <c r="D514" s="17">
        <f>SUM($C$3:C514)/A514</f>
        <v>12.122087509406358</v>
      </c>
    </row>
    <row r="515" spans="1:4">
      <c r="A515" s="17">
        <f t="shared" si="4"/>
        <v>513</v>
      </c>
      <c r="B515" s="20" t="s">
        <v>339</v>
      </c>
      <c r="C515" s="21">
        <v>11.449999809265137</v>
      </c>
      <c r="D515" s="17">
        <f>SUM($C$3:C515)/A515</f>
        <v>12.120777396930448</v>
      </c>
    </row>
    <row r="516" spans="1:4">
      <c r="A516" s="17">
        <f t="shared" si="4"/>
        <v>514</v>
      </c>
      <c r="B516" s="20" t="s">
        <v>340</v>
      </c>
      <c r="C516" s="21">
        <v>11.279999732971191</v>
      </c>
      <c r="D516" s="17">
        <f>SUM($C$3:C516)/A516</f>
        <v>12.119141642720411</v>
      </c>
    </row>
    <row r="517" spans="1:4">
      <c r="A517" s="17">
        <f t="shared" si="4"/>
        <v>515</v>
      </c>
      <c r="B517" s="20" t="s">
        <v>341</v>
      </c>
      <c r="C517" s="21">
        <v>11.109999656677246</v>
      </c>
      <c r="D517" s="17">
        <f>SUM($C$3:C517)/A517</f>
        <v>12.117182143718386</v>
      </c>
    </row>
    <row r="518" spans="1:4">
      <c r="A518" s="17">
        <f t="shared" si="4"/>
        <v>516</v>
      </c>
      <c r="B518" s="20" t="s">
        <v>342</v>
      </c>
      <c r="C518" s="21">
        <v>11.090000152587891</v>
      </c>
      <c r="D518" s="17">
        <f>SUM($C$3:C518)/A518</f>
        <v>12.115191480944876</v>
      </c>
    </row>
    <row r="519" spans="1:4">
      <c r="A519" s="17">
        <f t="shared" si="4"/>
        <v>517</v>
      </c>
      <c r="B519" s="20" t="s">
        <v>343</v>
      </c>
      <c r="C519" s="21">
        <v>11.090000152587891</v>
      </c>
      <c r="D519" s="17">
        <f>SUM($C$3:C519)/A519</f>
        <v>12.113208518994476</v>
      </c>
    </row>
    <row r="520" spans="1:4">
      <c r="A520" s="17">
        <f t="shared" si="4"/>
        <v>518</v>
      </c>
      <c r="B520" s="20" t="s">
        <v>344</v>
      </c>
      <c r="C520" s="21">
        <v>11.109999656677246</v>
      </c>
      <c r="D520" s="17">
        <f>SUM($C$3:C520)/A520</f>
        <v>12.111271822349076</v>
      </c>
    </row>
    <row r="521" spans="1:4">
      <c r="A521" s="17">
        <f t="shared" si="4"/>
        <v>519</v>
      </c>
      <c r="B521" s="20">
        <v>45076</v>
      </c>
      <c r="C521" s="21">
        <v>11.079999923706055</v>
      </c>
      <c r="D521" s="17">
        <f>SUM($C$3:C521)/A521</f>
        <v>12.109284785935506</v>
      </c>
    </row>
    <row r="522" spans="1:4">
      <c r="A522" s="17">
        <f t="shared" si="4"/>
        <v>520</v>
      </c>
      <c r="B522" s="20">
        <v>45077</v>
      </c>
      <c r="C522" s="21">
        <v>10.939999580383301</v>
      </c>
      <c r="D522" s="17">
        <f>SUM($C$3:C522)/A522</f>
        <v>12.107036160540213</v>
      </c>
    </row>
    <row r="523" spans="1:4">
      <c r="A523" s="17">
        <f t="shared" si="4"/>
        <v>521</v>
      </c>
      <c r="B523" s="20" t="s">
        <v>345</v>
      </c>
      <c r="C523" s="21">
        <v>10.960000038146973</v>
      </c>
      <c r="D523" s="17">
        <f>SUM($C$3:C523)/A523</f>
        <v>12.104834555698767</v>
      </c>
    </row>
    <row r="524" spans="1:4">
      <c r="A524" s="17">
        <f t="shared" si="4"/>
        <v>522</v>
      </c>
      <c r="B524" s="20" t="s">
        <v>346</v>
      </c>
      <c r="C524" s="21">
        <v>11.100000381469727</v>
      </c>
      <c r="D524" s="17">
        <f>SUM($C$3:C524)/A524</f>
        <v>12.102909586016336</v>
      </c>
    </row>
    <row r="525" spans="1:4">
      <c r="A525" s="17">
        <f t="shared" si="4"/>
        <v>523</v>
      </c>
      <c r="B525" s="20" t="s">
        <v>347</v>
      </c>
      <c r="C525" s="21">
        <v>11.090000152587891</v>
      </c>
      <c r="D525" s="17">
        <f>SUM($C$3:C525)/A525</f>
        <v>12.100972856698117</v>
      </c>
    </row>
    <row r="526" spans="1:4">
      <c r="A526" s="17">
        <f t="shared" si="4"/>
        <v>524</v>
      </c>
      <c r="B526" s="20" t="s">
        <v>348</v>
      </c>
      <c r="C526" s="21">
        <v>11.020000457763672</v>
      </c>
      <c r="D526" s="17">
        <f>SUM($C$3:C526)/A526</f>
        <v>12.098909932272671</v>
      </c>
    </row>
    <row r="527" spans="1:4">
      <c r="A527" s="17">
        <f t="shared" si="4"/>
        <v>525</v>
      </c>
      <c r="B527" s="20" t="s">
        <v>349</v>
      </c>
      <c r="C527" s="21">
        <v>10.979999542236328</v>
      </c>
      <c r="D527" s="17">
        <f>SUM($C$3:C527)/A527</f>
        <v>12.096778674386886</v>
      </c>
    </row>
    <row r="528" spans="1:4">
      <c r="A528" s="17">
        <f t="shared" si="4"/>
        <v>526</v>
      </c>
      <c r="B528" s="20" t="s">
        <v>350</v>
      </c>
      <c r="C528" s="21">
        <v>11.090000152587891</v>
      </c>
      <c r="D528" s="17">
        <f>SUM($C$3:C528)/A528</f>
        <v>12.094864646778904</v>
      </c>
    </row>
    <row r="529" spans="1:4">
      <c r="A529" s="17">
        <f t="shared" si="4"/>
        <v>527</v>
      </c>
      <c r="B529" s="20" t="s">
        <v>351</v>
      </c>
      <c r="C529" s="21">
        <v>11.119999885559082</v>
      </c>
      <c r="D529" s="17">
        <f>SUM($C$3:C529)/A529</f>
        <v>12.093014808522319</v>
      </c>
    </row>
    <row r="530" spans="1:4">
      <c r="A530" s="17">
        <f t="shared" si="4"/>
        <v>528</v>
      </c>
      <c r="B530" s="20" t="s">
        <v>352</v>
      </c>
      <c r="C530" s="21">
        <v>11.449999809265137</v>
      </c>
      <c r="D530" s="17">
        <f>SUM($C$3:C530)/A530</f>
        <v>12.091796977084332</v>
      </c>
    </row>
    <row r="531" spans="1:4">
      <c r="A531" s="17">
        <f t="shared" si="4"/>
        <v>529</v>
      </c>
      <c r="B531" s="20" t="s">
        <v>353</v>
      </c>
      <c r="C531" s="21">
        <v>11.489999771118164</v>
      </c>
      <c r="D531" s="17">
        <f>SUM($C$3:C531)/A531</f>
        <v>12.090659364218613</v>
      </c>
    </row>
    <row r="532" spans="1:4">
      <c r="A532" s="17">
        <f t="shared" si="4"/>
        <v>530</v>
      </c>
      <c r="B532" s="20" t="s">
        <v>354</v>
      </c>
      <c r="C532" s="21">
        <v>11.479999542236328</v>
      </c>
      <c r="D532" s="17">
        <f>SUM($C$3:C532)/A532</f>
        <v>12.08950717587525</v>
      </c>
    </row>
    <row r="533" spans="1:4">
      <c r="A533" s="17">
        <f t="shared" si="4"/>
        <v>531</v>
      </c>
      <c r="B533" s="20" t="s">
        <v>355</v>
      </c>
      <c r="C533" s="21">
        <v>11.640000343322754</v>
      </c>
      <c r="D533" s="17">
        <f>SUM($C$3:C533)/A533</f>
        <v>12.088660647000387</v>
      </c>
    </row>
    <row r="534" spans="1:4">
      <c r="A534" s="17">
        <f t="shared" si="4"/>
        <v>532</v>
      </c>
      <c r="B534" s="20" t="s">
        <v>356</v>
      </c>
      <c r="C534" s="21">
        <v>11.720000267028809</v>
      </c>
      <c r="D534" s="17">
        <f>SUM($C$3:C534)/A534</f>
        <v>12.087967676361341</v>
      </c>
    </row>
    <row r="535" spans="1:4">
      <c r="A535" s="17">
        <f t="shared" si="4"/>
        <v>533</v>
      </c>
      <c r="B535" s="20" t="s">
        <v>357</v>
      </c>
      <c r="C535" s="21">
        <v>11.609999656677246</v>
      </c>
      <c r="D535" s="17">
        <f>SUM($C$3:C535)/A535</f>
        <v>12.087070925855368</v>
      </c>
    </row>
    <row r="536" spans="1:4">
      <c r="A536" s="17">
        <f t="shared" si="4"/>
        <v>534</v>
      </c>
      <c r="B536" s="20" t="s">
        <v>358</v>
      </c>
      <c r="C536" s="21">
        <v>11.569999694824219</v>
      </c>
      <c r="D536" s="17">
        <f>SUM($C$3:C536)/A536</f>
        <v>12.086102627669916</v>
      </c>
    </row>
    <row r="537" spans="1:4">
      <c r="A537" s="17">
        <f t="shared" si="4"/>
        <v>535</v>
      </c>
      <c r="B537" s="20" t="s">
        <v>359</v>
      </c>
      <c r="C537" s="21">
        <v>11.439999580383301</v>
      </c>
      <c r="D537" s="17">
        <f>SUM($C$3:C537)/A537</f>
        <v>12.084894958422652</v>
      </c>
    </row>
    <row r="538" spans="1:4">
      <c r="A538" s="17">
        <f t="shared" si="4"/>
        <v>536</v>
      </c>
      <c r="B538" s="20" t="s">
        <v>360</v>
      </c>
      <c r="C538" s="21">
        <v>11.270000457763672</v>
      </c>
      <c r="D538" s="17">
        <f>SUM($C$3:C538)/A538</f>
        <v>12.083374632861721</v>
      </c>
    </row>
    <row r="539" spans="1:4">
      <c r="A539" s="17">
        <f t="shared" si="4"/>
        <v>537</v>
      </c>
      <c r="B539" s="20" t="s">
        <v>361</v>
      </c>
      <c r="C539" s="21">
        <v>11.399999618530273</v>
      </c>
      <c r="D539" s="17">
        <f>SUM($C$3:C539)/A539</f>
        <v>12.082102053691644</v>
      </c>
    </row>
    <row r="540" spans="1:4">
      <c r="A540" s="17">
        <f t="shared" si="4"/>
        <v>538</v>
      </c>
      <c r="B540" s="20" t="s">
        <v>362</v>
      </c>
      <c r="C540" s="21">
        <v>11.399999618530273</v>
      </c>
      <c r="D540" s="17">
        <f>SUM($C$3:C540)/A540</f>
        <v>12.08083420529915</v>
      </c>
    </row>
    <row r="541" spans="1:4">
      <c r="A541" s="17">
        <f t="shared" si="4"/>
        <v>539</v>
      </c>
      <c r="B541" s="20">
        <v>45106</v>
      </c>
      <c r="C541" s="21">
        <v>11.340000152587891</v>
      </c>
      <c r="D541" s="17">
        <f>SUM($C$3:C541)/A541</f>
        <v>12.079459745090038</v>
      </c>
    </row>
    <row r="542" spans="1:4">
      <c r="A542" s="17">
        <f t="shared" si="4"/>
        <v>540</v>
      </c>
      <c r="B542" s="20">
        <v>45107</v>
      </c>
      <c r="C542" s="21">
        <v>11.399999618530273</v>
      </c>
      <c r="D542" s="17">
        <f>SUM($C$3:C542)/A542</f>
        <v>12.078201485596409</v>
      </c>
    </row>
    <row r="543" spans="1:4">
      <c r="A543" s="17">
        <f t="shared" si="4"/>
        <v>541</v>
      </c>
      <c r="B543" s="20" t="s">
        <v>363</v>
      </c>
      <c r="C543" s="21">
        <v>11.560000419616699</v>
      </c>
      <c r="D543" s="17">
        <f>SUM($C$3:C543)/A543</f>
        <v>12.077243627803471</v>
      </c>
    </row>
    <row r="544" spans="1:4">
      <c r="A544" s="17">
        <f t="shared" si="4"/>
        <v>542</v>
      </c>
      <c r="B544" s="20" t="s">
        <v>364</v>
      </c>
      <c r="C544" s="21">
        <v>11.550000190734863</v>
      </c>
      <c r="D544" s="17">
        <f>SUM($C$3:C544)/A544</f>
        <v>12.076270853934341</v>
      </c>
    </row>
    <row r="545" spans="1:4">
      <c r="A545" s="17">
        <f t="shared" si="4"/>
        <v>543</v>
      </c>
      <c r="B545" s="20" t="s">
        <v>365</v>
      </c>
      <c r="C545" s="21">
        <v>11.460000038146973</v>
      </c>
      <c r="D545" s="17">
        <f>SUM($C$3:C545)/A545</f>
        <v>12.075135916888691</v>
      </c>
    </row>
    <row r="546" spans="1:4">
      <c r="A546" s="17">
        <f t="shared" si="4"/>
        <v>544</v>
      </c>
      <c r="B546" s="20" t="s">
        <v>366</v>
      </c>
      <c r="C546" s="21">
        <v>11.380000114440918</v>
      </c>
      <c r="D546" s="17">
        <f>SUM($C$3:C546)/A546</f>
        <v>12.073858093722427</v>
      </c>
    </row>
    <row r="547" spans="1:4">
      <c r="A547" s="17">
        <f t="shared" si="4"/>
        <v>545</v>
      </c>
      <c r="B547" s="20" t="s">
        <v>367</v>
      </c>
      <c r="C547" s="21">
        <v>11.329999923706055</v>
      </c>
      <c r="D547" s="17">
        <f>SUM($C$3:C547)/A547</f>
        <v>12.072493216346251</v>
      </c>
    </row>
    <row r="548" spans="1:4">
      <c r="A548" s="17">
        <f t="shared" si="4"/>
        <v>546</v>
      </c>
      <c r="B548" s="20" t="s">
        <v>368</v>
      </c>
      <c r="C548" s="21">
        <v>11.380000114440918</v>
      </c>
      <c r="D548" s="17">
        <f>SUM($C$3:C548)/A548</f>
        <v>12.071224913961808</v>
      </c>
    </row>
    <row r="549" spans="1:4">
      <c r="A549" s="17">
        <f t="shared" si="4"/>
        <v>547</v>
      </c>
      <c r="B549" s="20" t="s">
        <v>369</v>
      </c>
      <c r="C549" s="21">
        <v>11.439999580383301</v>
      </c>
      <c r="D549" s="17">
        <f>SUM($C$3:C549)/A549</f>
        <v>12.070070937117972</v>
      </c>
    </row>
    <row r="550" spans="1:4">
      <c r="A550" s="17">
        <f t="shared" si="4"/>
        <v>548</v>
      </c>
      <c r="B550" s="20" t="s">
        <v>370</v>
      </c>
      <c r="C550" s="21">
        <v>11.390000343322754</v>
      </c>
      <c r="D550" s="17">
        <f>SUM($C$3:C550)/A550</f>
        <v>12.068829932384769</v>
      </c>
    </row>
    <row r="551" spans="1:4">
      <c r="A551" s="17">
        <f t="shared" si="4"/>
        <v>549</v>
      </c>
      <c r="B551" s="20" t="s">
        <v>371</v>
      </c>
      <c r="C551" s="21">
        <v>11.579999923706055</v>
      </c>
      <c r="D551" s="17">
        <f>SUM($C$3:C551)/A551</f>
        <v>12.067939531640363</v>
      </c>
    </row>
    <row r="552" spans="1:4">
      <c r="A552" s="17">
        <f t="shared" si="4"/>
        <v>550</v>
      </c>
      <c r="B552" s="20" t="s">
        <v>372</v>
      </c>
      <c r="C552" s="21">
        <v>11.590000152587891</v>
      </c>
      <c r="D552" s="17">
        <f>SUM($C$3:C552)/A552</f>
        <v>12.067070550951177</v>
      </c>
    </row>
    <row r="553" spans="1:4">
      <c r="A553" s="17">
        <f t="shared" si="4"/>
        <v>551</v>
      </c>
      <c r="B553" s="20" t="s">
        <v>373</v>
      </c>
      <c r="C553" s="21">
        <v>11.439999580383301</v>
      </c>
      <c r="D553" s="17">
        <f>SUM($C$3:C553)/A553</f>
        <v>12.065932491113486</v>
      </c>
    </row>
    <row r="554" spans="1:4">
      <c r="A554" s="17">
        <f t="shared" si="4"/>
        <v>552</v>
      </c>
      <c r="B554" s="20" t="s">
        <v>374</v>
      </c>
      <c r="C554" s="21">
        <v>11.369999885559082</v>
      </c>
      <c r="D554" s="17">
        <f>SUM($C$3:C554)/A554</f>
        <v>12.064671743639655</v>
      </c>
    </row>
    <row r="555" spans="1:4">
      <c r="A555" s="17">
        <f t="shared" si="4"/>
        <v>553</v>
      </c>
      <c r="B555" s="20" t="s">
        <v>375</v>
      </c>
      <c r="C555" s="21">
        <v>11.380000114440918</v>
      </c>
      <c r="D555" s="17">
        <f>SUM($C$3:C555)/A555</f>
        <v>12.063433639427723</v>
      </c>
    </row>
    <row r="556" spans="1:4">
      <c r="A556" s="17">
        <f t="shared" si="4"/>
        <v>554</v>
      </c>
      <c r="B556" s="20" t="s">
        <v>376</v>
      </c>
      <c r="C556" s="21">
        <v>11.310000419616699</v>
      </c>
      <c r="D556" s="17">
        <f>SUM($C$3:C556)/A556</f>
        <v>12.062073651666331</v>
      </c>
    </row>
    <row r="557" spans="1:4">
      <c r="A557" s="17">
        <f t="shared" si="4"/>
        <v>555</v>
      </c>
      <c r="B557" s="20" t="s">
        <v>377</v>
      </c>
      <c r="C557" s="21">
        <v>11.310000419616699</v>
      </c>
      <c r="D557" s="17">
        <f>SUM($C$3:C557)/A557</f>
        <v>12.060718564761737</v>
      </c>
    </row>
    <row r="558" spans="1:4">
      <c r="A558" s="17">
        <f t="shared" si="4"/>
        <v>556</v>
      </c>
      <c r="B558" s="20" t="s">
        <v>378</v>
      </c>
      <c r="C558" s="21">
        <v>11.270000457763672</v>
      </c>
      <c r="D558" s="17">
        <f>SUM($C$3:C558)/A558</f>
        <v>12.059296409893035</v>
      </c>
    </row>
    <row r="559" spans="1:4">
      <c r="A559" s="17">
        <f t="shared" si="4"/>
        <v>557</v>
      </c>
      <c r="B559" s="20" t="s">
        <v>379</v>
      </c>
      <c r="C559" s="21">
        <v>11.569999694824219</v>
      </c>
      <c r="D559" s="17">
        <f>SUM($C$3:C559)/A559</f>
        <v>12.058417959776216</v>
      </c>
    </row>
    <row r="560" spans="1:4">
      <c r="A560" s="17">
        <f t="shared" si="4"/>
        <v>558</v>
      </c>
      <c r="B560" s="20" t="s">
        <v>380</v>
      </c>
      <c r="C560" s="21">
        <v>11.550000190734863</v>
      </c>
      <c r="D560" s="17">
        <f>SUM($C$3:C560)/A560</f>
        <v>12.057506816820943</v>
      </c>
    </row>
    <row r="561" spans="1:4">
      <c r="A561" s="17">
        <f t="shared" si="4"/>
        <v>559</v>
      </c>
      <c r="B561" s="20" t="s">
        <v>381</v>
      </c>
      <c r="C561" s="21">
        <v>11.560000419616699</v>
      </c>
      <c r="D561" s="17">
        <f>SUM($C$3:C561)/A561</f>
        <v>12.056616823266017</v>
      </c>
    </row>
    <row r="562" spans="1:4">
      <c r="A562" s="17">
        <f t="shared" si="4"/>
        <v>560</v>
      </c>
      <c r="B562" s="20">
        <v>45135</v>
      </c>
      <c r="C562" s="21">
        <v>11.779999732971191</v>
      </c>
      <c r="D562" s="17">
        <f>SUM($C$3:C562)/A562</f>
        <v>12.056122864176205</v>
      </c>
    </row>
    <row r="563" spans="1:4">
      <c r="A563" s="17">
        <f t="shared" si="4"/>
        <v>561</v>
      </c>
      <c r="B563" s="20">
        <v>45138</v>
      </c>
      <c r="C563" s="21">
        <v>11.819999694824219</v>
      </c>
      <c r="D563" s="17">
        <f>SUM($C$3:C563)/A563</f>
        <v>12.05570196726114</v>
      </c>
    </row>
    <row r="564" spans="1:4">
      <c r="A564" s="17">
        <f t="shared" si="4"/>
        <v>562</v>
      </c>
      <c r="B564" s="20" t="s">
        <v>382</v>
      </c>
      <c r="C564" s="21">
        <v>11.800000190734863</v>
      </c>
      <c r="D564" s="17">
        <f>SUM($C$3:C564)/A564</f>
        <v>12.055246981893655</v>
      </c>
    </row>
    <row r="565" spans="1:4">
      <c r="A565" s="17">
        <f t="shared" si="4"/>
        <v>563</v>
      </c>
      <c r="B565" s="20" t="s">
        <v>383</v>
      </c>
      <c r="C565" s="21">
        <v>11.659999847412109</v>
      </c>
      <c r="D565" s="17">
        <f>SUM($C$3:C565)/A565</f>
        <v>12.05454494435461</v>
      </c>
    </row>
    <row r="566" spans="1:4">
      <c r="A566" s="17">
        <f t="shared" si="4"/>
        <v>564</v>
      </c>
      <c r="B566" s="20" t="s">
        <v>384</v>
      </c>
      <c r="C566" s="21">
        <v>11.75</v>
      </c>
      <c r="D566" s="17">
        <f>SUM($C$3:C566)/A566</f>
        <v>12.054004971049018</v>
      </c>
    </row>
    <row r="567" spans="1:4">
      <c r="A567" s="17">
        <f t="shared" si="4"/>
        <v>565</v>
      </c>
      <c r="B567" s="20" t="s">
        <v>385</v>
      </c>
      <c r="C567" s="21">
        <v>11.789999961853027</v>
      </c>
      <c r="D567" s="17">
        <f>SUM($C$3:C567)/A567</f>
        <v>12.053537705546017</v>
      </c>
    </row>
    <row r="568" spans="1:4">
      <c r="A568" s="17">
        <f t="shared" si="4"/>
        <v>566</v>
      </c>
      <c r="B568" s="20" t="s">
        <v>386</v>
      </c>
      <c r="C568" s="21">
        <v>11.720000267028809</v>
      </c>
      <c r="D568" s="17">
        <f>SUM($C$3:C568)/A568</f>
        <v>12.052948416785386</v>
      </c>
    </row>
    <row r="569" spans="1:4">
      <c r="A569" s="17">
        <f t="shared" si="4"/>
        <v>567</v>
      </c>
      <c r="B569" s="20" t="s">
        <v>387</v>
      </c>
      <c r="C569" s="21">
        <v>11.699999809265137</v>
      </c>
      <c r="D569" s="17">
        <f>SUM($C$3:C569)/A569</f>
        <v>12.05232593246877</v>
      </c>
    </row>
    <row r="570" spans="1:4">
      <c r="A570" s="17">
        <f t="shared" si="4"/>
        <v>568</v>
      </c>
      <c r="B570" s="20" t="s">
        <v>388</v>
      </c>
      <c r="C570" s="21">
        <v>11.670000076293945</v>
      </c>
      <c r="D570" s="17">
        <f>SUM($C$3:C570)/A570</f>
        <v>12.051652823567053</v>
      </c>
    </row>
    <row r="571" spans="1:4">
      <c r="A571" s="17">
        <f t="shared" si="4"/>
        <v>569</v>
      </c>
      <c r="B571" s="20" t="s">
        <v>389</v>
      </c>
      <c r="C571" s="21">
        <v>11.680000305175781</v>
      </c>
      <c r="D571" s="17">
        <f>SUM($C$3:C571)/A571</f>
        <v>12.050999655696419</v>
      </c>
    </row>
    <row r="572" spans="1:4">
      <c r="A572" s="17">
        <f t="shared" si="4"/>
        <v>570</v>
      </c>
      <c r="B572" s="20" t="s">
        <v>390</v>
      </c>
      <c r="C572" s="21">
        <v>11.439999580383301</v>
      </c>
      <c r="D572" s="17">
        <f>SUM($C$3:C572)/A572</f>
        <v>12.04992772573973</v>
      </c>
    </row>
    <row r="573" spans="1:4">
      <c r="A573" s="17">
        <f t="shared" si="4"/>
        <v>571</v>
      </c>
      <c r="B573" s="20" t="s">
        <v>391</v>
      </c>
      <c r="C573" s="21">
        <v>11.359999656677246</v>
      </c>
      <c r="D573" s="17">
        <f>SUM($C$3:C573)/A573</f>
        <v>12.048719445408622</v>
      </c>
    </row>
    <row r="574" spans="1:4">
      <c r="A574" s="17">
        <f t="shared" si="4"/>
        <v>572</v>
      </c>
      <c r="B574" s="20" t="s">
        <v>392</v>
      </c>
      <c r="C574" s="21">
        <v>11.359999656677246</v>
      </c>
      <c r="D574" s="17">
        <f>SUM($C$3:C574)/A574</f>
        <v>12.047515389833917</v>
      </c>
    </row>
    <row r="575" spans="1:4">
      <c r="A575" s="17">
        <f t="shared" si="4"/>
        <v>573</v>
      </c>
      <c r="B575" s="20" t="s">
        <v>393</v>
      </c>
      <c r="C575" s="21">
        <v>11.289999961853027</v>
      </c>
      <c r="D575" s="17">
        <f>SUM($C$3:C575)/A575</f>
        <v>12.046193373380198</v>
      </c>
    </row>
    <row r="576" spans="1:4">
      <c r="A576" s="17">
        <f t="shared" si="4"/>
        <v>574</v>
      </c>
      <c r="B576" s="20" t="s">
        <v>394</v>
      </c>
      <c r="C576" s="21">
        <v>11.329999923706055</v>
      </c>
      <c r="D576" s="17">
        <f>SUM($C$3:C576)/A576</f>
        <v>12.044945649600278</v>
      </c>
    </row>
    <row r="577" spans="1:4">
      <c r="A577" s="17">
        <f t="shared" si="4"/>
        <v>575</v>
      </c>
      <c r="B577" s="20" t="s">
        <v>395</v>
      </c>
      <c r="C577" s="21">
        <v>11.210000038146973</v>
      </c>
      <c r="D577" s="17">
        <f>SUM($C$3:C577)/A577</f>
        <v>12.043493570276011</v>
      </c>
    </row>
    <row r="578" spans="1:4">
      <c r="A578" s="17">
        <f t="shared" si="4"/>
        <v>576</v>
      </c>
      <c r="B578" s="20" t="s">
        <v>396</v>
      </c>
      <c r="C578" s="21">
        <v>11.079999923706055</v>
      </c>
      <c r="D578" s="17">
        <f>SUM($C$3:C578)/A578</f>
        <v>12.041820838250716</v>
      </c>
    </row>
    <row r="579" spans="1:4">
      <c r="A579" s="17">
        <f t="shared" si="4"/>
        <v>577</v>
      </c>
      <c r="B579" s="20" t="s">
        <v>397</v>
      </c>
      <c r="C579" s="21">
        <v>11.170000076293945</v>
      </c>
      <c r="D579" s="17">
        <f>SUM($C$3:C579)/A579</f>
        <v>12.040309883723928</v>
      </c>
    </row>
    <row r="580" spans="1:4">
      <c r="A580" s="17">
        <f t="shared" si="4"/>
        <v>578</v>
      </c>
      <c r="B580" s="20" t="s">
        <v>398</v>
      </c>
      <c r="C580" s="21">
        <v>11.039999961853027</v>
      </c>
      <c r="D580" s="17">
        <f>SUM($C$3:C580)/A580</f>
        <v>12.038579243720692</v>
      </c>
    </row>
    <row r="581" spans="1:4">
      <c r="A581" s="17">
        <f t="shared" si="4"/>
        <v>579</v>
      </c>
      <c r="B581" s="20" t="s">
        <v>399</v>
      </c>
      <c r="C581" s="21">
        <v>11.090000152587891</v>
      </c>
      <c r="D581" s="17">
        <f>SUM($C$3:C581)/A581</f>
        <v>12.036940937863813</v>
      </c>
    </row>
    <row r="582" spans="1:4">
      <c r="A582" s="17">
        <f t="shared" si="4"/>
        <v>580</v>
      </c>
      <c r="B582" s="20" t="s">
        <v>400</v>
      </c>
      <c r="C582" s="21">
        <v>11.069999694824219</v>
      </c>
      <c r="D582" s="17">
        <f>SUM($C$3:C582)/A582</f>
        <v>12.035273797789607</v>
      </c>
    </row>
    <row r="583" spans="1:4">
      <c r="A583" s="17">
        <f t="shared" si="4"/>
        <v>581</v>
      </c>
      <c r="B583" s="20" t="s">
        <v>401</v>
      </c>
      <c r="C583" s="21">
        <v>11.199999809265137</v>
      </c>
      <c r="D583" s="17">
        <f>SUM($C$3:C583)/A583</f>
        <v>12.033836148928119</v>
      </c>
    </row>
    <row r="584" spans="1:4">
      <c r="A584" s="17">
        <f t="shared" si="4"/>
        <v>582</v>
      </c>
      <c r="B584" s="20" t="s">
        <v>402</v>
      </c>
      <c r="C584" s="21">
        <v>11.270000457763672</v>
      </c>
      <c r="D584" s="17">
        <f>SUM($C$3:C584)/A584</f>
        <v>12.032523716469074</v>
      </c>
    </row>
    <row r="585" spans="1:4">
      <c r="A585" s="17">
        <f t="shared" si="4"/>
        <v>583</v>
      </c>
      <c r="B585" s="20">
        <v>45168</v>
      </c>
      <c r="C585" s="21">
        <v>11.270000457763672</v>
      </c>
      <c r="D585" s="17">
        <f>SUM($C$3:C585)/A585</f>
        <v>12.031215786351225</v>
      </c>
    </row>
    <row r="586" spans="1:4">
      <c r="A586" s="17">
        <f t="shared" si="4"/>
        <v>584</v>
      </c>
      <c r="B586" s="20">
        <v>45169</v>
      </c>
      <c r="C586" s="21">
        <v>11.220000267028809</v>
      </c>
      <c r="D586" s="17">
        <f>SUM($C$3:C586)/A586</f>
        <v>12.029826718681152</v>
      </c>
    </row>
    <row r="587" spans="1:4">
      <c r="A587" s="17">
        <f t="shared" si="4"/>
        <v>585</v>
      </c>
      <c r="B587" s="20" t="s">
        <v>403</v>
      </c>
      <c r="C587" s="21">
        <v>11.539999961853027</v>
      </c>
      <c r="D587" s="17">
        <f>SUM($C$3:C587)/A587</f>
        <v>12.028989407985719</v>
      </c>
    </row>
    <row r="588" spans="1:4">
      <c r="A588" s="17">
        <f t="shared" si="4"/>
        <v>586</v>
      </c>
      <c r="B588" s="20" t="s">
        <v>404</v>
      </c>
      <c r="C588" s="21">
        <v>11.710000038146973</v>
      </c>
      <c r="D588" s="17">
        <f>SUM($C$3:C588)/A588</f>
        <v>12.028445057525245</v>
      </c>
    </row>
    <row r="589" spans="1:4">
      <c r="A589" s="17">
        <f t="shared" si="4"/>
        <v>587</v>
      </c>
      <c r="B589" s="20" t="s">
        <v>405</v>
      </c>
      <c r="C589" s="21">
        <v>11.640000343322754</v>
      </c>
      <c r="D589" s="17">
        <f>SUM($C$3:C589)/A589</f>
        <v>12.027783311845171</v>
      </c>
    </row>
    <row r="590" spans="1:4">
      <c r="A590" s="17">
        <f t="shared" si="4"/>
        <v>588</v>
      </c>
      <c r="B590" s="20" t="s">
        <v>406</v>
      </c>
      <c r="C590" s="21">
        <v>11.619999885559082</v>
      </c>
      <c r="D590" s="17">
        <f>SUM($C$3:C590)/A590</f>
        <v>12.027089802616795</v>
      </c>
    </row>
    <row r="591" spans="1:4">
      <c r="A591" s="17">
        <f t="shared" si="4"/>
        <v>589</v>
      </c>
      <c r="B591" s="20" t="s">
        <v>407</v>
      </c>
      <c r="C591" s="21">
        <v>11.489999771118164</v>
      </c>
      <c r="D591" s="17">
        <f>SUM($C$3:C591)/A591</f>
        <v>12.026177934991159</v>
      </c>
    </row>
    <row r="592" spans="1:4">
      <c r="A592" s="17">
        <f t="shared" si="4"/>
        <v>590</v>
      </c>
      <c r="B592" s="20" t="s">
        <v>408</v>
      </c>
      <c r="C592" s="21">
        <v>11.430000305175781</v>
      </c>
      <c r="D592" s="17">
        <f>SUM($C$3:C592)/A592</f>
        <v>12.025167464432151</v>
      </c>
    </row>
    <row r="593" spans="1:4">
      <c r="A593" s="17">
        <f t="shared" si="4"/>
        <v>591</v>
      </c>
      <c r="B593" s="20" t="s">
        <v>409</v>
      </c>
      <c r="C593" s="21">
        <v>11.5</v>
      </c>
      <c r="D593" s="17">
        <f>SUM($C$3:C593)/A593</f>
        <v>12.024278856201301</v>
      </c>
    </row>
    <row r="594" spans="1:4">
      <c r="A594" s="17">
        <f t="shared" si="4"/>
        <v>592</v>
      </c>
      <c r="B594" s="20" t="s">
        <v>410</v>
      </c>
      <c r="C594" s="21">
        <v>11.470000267028809</v>
      </c>
      <c r="D594" s="17">
        <f>SUM($C$3:C594)/A594</f>
        <v>12.023342574800671</v>
      </c>
    </row>
    <row r="595" spans="1:4">
      <c r="A595" s="17">
        <f t="shared" si="4"/>
        <v>593</v>
      </c>
      <c r="B595" s="20" t="s">
        <v>411</v>
      </c>
      <c r="C595" s="21">
        <v>11.439999580383301</v>
      </c>
      <c r="D595" s="17">
        <f>SUM($C$3:C595)/A595</f>
        <v>12.022358859801654</v>
      </c>
    </row>
    <row r="596" spans="1:4">
      <c r="A596" s="17">
        <f t="shared" si="4"/>
        <v>594</v>
      </c>
      <c r="B596" s="20" t="s">
        <v>412</v>
      </c>
      <c r="C596" s="21">
        <v>11.460000038146973</v>
      </c>
      <c r="D596" s="17">
        <f>SUM($C$3:C596)/A596</f>
        <v>12.021412127778666</v>
      </c>
    </row>
    <row r="597" spans="1:4">
      <c r="A597" s="17">
        <f t="shared" si="4"/>
        <v>595</v>
      </c>
      <c r="B597" s="20" t="s">
        <v>413</v>
      </c>
      <c r="C597" s="21">
        <v>11.380000114440918</v>
      </c>
      <c r="D597" s="17">
        <f>SUM($C$3:C597)/A597</f>
        <v>12.020334124394905</v>
      </c>
    </row>
    <row r="598" spans="1:4">
      <c r="A598" s="17">
        <f t="shared" si="4"/>
        <v>596</v>
      </c>
      <c r="B598" s="20" t="s">
        <v>414</v>
      </c>
      <c r="C598" s="21">
        <v>11.439999580383301</v>
      </c>
      <c r="D598" s="17">
        <f>SUM($C$3:C598)/A598</f>
        <v>12.019360408717034</v>
      </c>
    </row>
    <row r="599" spans="1:4">
      <c r="A599" s="17">
        <f t="shared" si="4"/>
        <v>597</v>
      </c>
      <c r="B599" s="20" t="s">
        <v>415</v>
      </c>
      <c r="C599" s="21">
        <v>11.449999809265137</v>
      </c>
      <c r="D599" s="17">
        <f>SUM($C$3:C599)/A599</f>
        <v>12.01840670587038</v>
      </c>
    </row>
    <row r="600" spans="1:4">
      <c r="A600" s="17">
        <f t="shared" si="4"/>
        <v>598</v>
      </c>
      <c r="B600" s="20" t="s">
        <v>416</v>
      </c>
      <c r="C600" s="21">
        <v>11.409999847412109</v>
      </c>
      <c r="D600" s="17">
        <f>SUM($C$3:C600)/A600</f>
        <v>12.017389303097039</v>
      </c>
    </row>
    <row r="601" spans="1:4">
      <c r="A601" s="17">
        <f t="shared" si="4"/>
        <v>599</v>
      </c>
      <c r="B601" s="20" t="s">
        <v>417</v>
      </c>
      <c r="C601" s="21">
        <v>11.300000190734863</v>
      </c>
      <c r="D601" s="17">
        <f>SUM($C$3:C601)/A601</f>
        <v>12.016191658502111</v>
      </c>
    </row>
    <row r="602" spans="1:4">
      <c r="A602" s="17">
        <f t="shared" si="4"/>
        <v>600</v>
      </c>
      <c r="B602" s="20" t="s">
        <v>418</v>
      </c>
      <c r="C602" s="21">
        <v>11.489999771118164</v>
      </c>
      <c r="D602" s="17">
        <f>SUM($C$3:C602)/A602</f>
        <v>12.015314672023138</v>
      </c>
    </row>
    <row r="603" spans="1:4">
      <c r="A603" s="17">
        <f t="shared" si="4"/>
        <v>601</v>
      </c>
      <c r="B603" s="20" t="s">
        <v>419</v>
      </c>
      <c r="C603" s="21">
        <v>11.439999580383301</v>
      </c>
      <c r="D603" s="17">
        <f>SUM($C$3:C603)/A603</f>
        <v>12.014357408975483</v>
      </c>
    </row>
    <row r="604" spans="1:4">
      <c r="A604" s="17">
        <f t="shared" si="4"/>
        <v>602</v>
      </c>
      <c r="B604" s="20" t="s">
        <v>420</v>
      </c>
      <c r="C604" s="21">
        <v>11.380000114440918</v>
      </c>
      <c r="D604" s="17">
        <f>SUM($C$3:C604)/A604</f>
        <v>12.013303659316788</v>
      </c>
    </row>
    <row r="605" spans="1:4">
      <c r="A605" s="17">
        <f t="shared" si="4"/>
        <v>603</v>
      </c>
      <c r="B605" s="20">
        <v>45196</v>
      </c>
      <c r="C605" s="21">
        <v>11.390000343322754</v>
      </c>
      <c r="D605" s="17">
        <f>SUM($C$3:C605)/A605</f>
        <v>12.012269988809335</v>
      </c>
    </row>
    <row r="606" spans="1:4">
      <c r="A606" s="17">
        <f t="shared" si="4"/>
        <v>604</v>
      </c>
      <c r="B606" s="20">
        <v>45197</v>
      </c>
      <c r="C606" s="21">
        <v>11.359999656677246</v>
      </c>
      <c r="D606" s="17">
        <f>SUM($C$3:C606)/A606</f>
        <v>12.011190071040904</v>
      </c>
    </row>
    <row r="607" spans="1:4">
      <c r="A607" s="17">
        <f t="shared" si="4"/>
        <v>605</v>
      </c>
      <c r="B607" s="20" t="s">
        <v>421</v>
      </c>
      <c r="C607" s="21">
        <v>19.739999771118164</v>
      </c>
      <c r="D607" s="17">
        <f>SUM($C$3:C607)/A607</f>
        <v>12.023964963107149</v>
      </c>
    </row>
    <row r="608" spans="1:4">
      <c r="A608" s="17">
        <f t="shared" si="4"/>
        <v>606</v>
      </c>
      <c r="B608" s="20" t="s">
        <v>422</v>
      </c>
      <c r="C608" s="21">
        <v>11.229999542236328</v>
      </c>
      <c r="D608" s="17">
        <f>SUM($C$3:C608)/A608</f>
        <v>12.022654789145315</v>
      </c>
    </row>
    <row r="609" spans="1:4">
      <c r="A609" s="17">
        <f t="shared" si="4"/>
        <v>607</v>
      </c>
      <c r="B609" s="20" t="s">
        <v>423</v>
      </c>
      <c r="C609" s="21">
        <v>11.260000228881836</v>
      </c>
      <c r="D609" s="17">
        <f>SUM($C$3:C609)/A609</f>
        <v>12.021398356591339</v>
      </c>
    </row>
    <row r="610" spans="1:4">
      <c r="A610" s="17">
        <f t="shared" si="4"/>
        <v>608</v>
      </c>
      <c r="B610" s="20" t="s">
        <v>424</v>
      </c>
      <c r="C610" s="21">
        <v>11.350000381469727</v>
      </c>
      <c r="D610" s="17">
        <f>SUM($C$3:C610)/A610</f>
        <v>12.020294083605942</v>
      </c>
    </row>
    <row r="611" spans="1:4">
      <c r="A611" s="17">
        <f t="shared" si="4"/>
        <v>609</v>
      </c>
      <c r="B611" s="20" t="s">
        <v>425</v>
      </c>
      <c r="C611" s="21">
        <v>11.270000457763672</v>
      </c>
      <c r="D611" s="17">
        <f>SUM($C$3:C611)/A611</f>
        <v>12.019062074368106</v>
      </c>
    </row>
    <row r="612" spans="1:4">
      <c r="A612" s="17">
        <f t="shared" si="4"/>
        <v>610</v>
      </c>
      <c r="B612" s="20" t="s">
        <v>426</v>
      </c>
      <c r="C612" s="21">
        <v>11.189999580383301</v>
      </c>
      <c r="D612" s="17">
        <f>SUM($C$3:C612)/A612</f>
        <v>12.017702955525507</v>
      </c>
    </row>
    <row r="613" spans="1:4">
      <c r="A613" s="17">
        <f t="shared" si="4"/>
        <v>611</v>
      </c>
      <c r="B613" s="20" t="s">
        <v>427</v>
      </c>
      <c r="C613" s="21">
        <v>11.220000267028809</v>
      </c>
      <c r="D613" s="17">
        <f>SUM($C$3:C613)/A613</f>
        <v>12.016397386477232</v>
      </c>
    </row>
    <row r="614" spans="1:4">
      <c r="A614" s="17">
        <f t="shared" si="4"/>
        <v>612</v>
      </c>
      <c r="B614" s="20" t="s">
        <v>428</v>
      </c>
      <c r="C614" s="21">
        <v>11.149999618530273</v>
      </c>
      <c r="D614" s="17">
        <f>SUM($C$3:C614)/A614</f>
        <v>12.014981703849866</v>
      </c>
    </row>
    <row r="615" spans="1:4">
      <c r="A615" s="17">
        <f t="shared" si="4"/>
        <v>613</v>
      </c>
      <c r="B615" s="20" t="s">
        <v>429</v>
      </c>
      <c r="C615" s="21">
        <v>10.899999618530273</v>
      </c>
      <c r="D615" s="17">
        <f>SUM($C$3:C615)/A615</f>
        <v>12.013162809746571</v>
      </c>
    </row>
    <row r="616" spans="1:4">
      <c r="A616" s="17">
        <f t="shared" si="4"/>
        <v>614</v>
      </c>
      <c r="B616" s="20" t="s">
        <v>430</v>
      </c>
      <c r="C616" s="21">
        <v>10.880000114440918</v>
      </c>
      <c r="D616" s="17">
        <f>SUM($C$3:C616)/A616</f>
        <v>12.011317267897541</v>
      </c>
    </row>
    <row r="617" spans="1:4">
      <c r="A617" s="17">
        <f t="shared" si="4"/>
        <v>615</v>
      </c>
      <c r="B617" s="20" t="s">
        <v>431</v>
      </c>
      <c r="C617" s="21">
        <v>10.770000457763672</v>
      </c>
      <c r="D617" s="17">
        <f>SUM($C$3:C617)/A617</f>
        <v>12.009298866580249</v>
      </c>
    </row>
    <row r="618" spans="1:4">
      <c r="A618" s="17">
        <f t="shared" si="4"/>
        <v>616</v>
      </c>
      <c r="B618" s="20" t="s">
        <v>432</v>
      </c>
      <c r="C618" s="21">
        <v>10.789999961853027</v>
      </c>
      <c r="D618" s="17">
        <f>SUM($C$3:C618)/A618</f>
        <v>12.007319485241407</v>
      </c>
    </row>
    <row r="619" spans="1:4">
      <c r="A619" s="17">
        <f t="shared" si="4"/>
        <v>617</v>
      </c>
      <c r="B619" s="20" t="s">
        <v>433</v>
      </c>
      <c r="C619" s="21">
        <v>10.800000190734863</v>
      </c>
      <c r="D619" s="17">
        <f>SUM($C$3:C619)/A619</f>
        <v>12.005362727875918</v>
      </c>
    </row>
    <row r="620" spans="1:4">
      <c r="A620" s="17">
        <f t="shared" si="4"/>
        <v>618</v>
      </c>
      <c r="B620" s="20" t="s">
        <v>434</v>
      </c>
      <c r="C620" s="21">
        <v>10.850000381469727</v>
      </c>
      <c r="D620" s="17">
        <f>SUM($C$3:C620)/A620</f>
        <v>12.003493209516037</v>
      </c>
    </row>
    <row r="621" spans="1:4">
      <c r="A621" s="17">
        <f t="shared" si="4"/>
        <v>619</v>
      </c>
      <c r="B621" s="20" t="s">
        <v>435</v>
      </c>
      <c r="C621" s="21">
        <v>10.979999542236328</v>
      </c>
      <c r="D621" s="17">
        <f>SUM($C$3:C621)/A621</f>
        <v>12.001839746402499</v>
      </c>
    </row>
    <row r="622" spans="1:4">
      <c r="A622" s="17">
        <f t="shared" si="4"/>
        <v>620</v>
      </c>
      <c r="B622" s="20">
        <v>45229</v>
      </c>
      <c r="C622" s="21">
        <v>10.979999542236328</v>
      </c>
      <c r="D622" s="17">
        <f>SUM($C$3:C622)/A622</f>
        <v>12.000191617040942</v>
      </c>
    </row>
    <row r="623" spans="1:4">
      <c r="A623" s="17">
        <f t="shared" si="4"/>
        <v>621</v>
      </c>
      <c r="B623" s="20">
        <v>45230</v>
      </c>
      <c r="C623" s="21">
        <v>10.970000267028809</v>
      </c>
      <c r="D623" s="17">
        <f>SUM($C$3:C623)/A623</f>
        <v>11.998532693772001</v>
      </c>
    </row>
    <row r="624" spans="1:4">
      <c r="A624" s="17">
        <f t="shared" si="4"/>
        <v>622</v>
      </c>
      <c r="B624" s="20" t="s">
        <v>436</v>
      </c>
      <c r="C624" s="21">
        <v>11.060000419616699</v>
      </c>
      <c r="D624" s="17">
        <f>SUM($C$3:C624)/A624</f>
        <v>11.997023799440562</v>
      </c>
    </row>
    <row r="625" spans="1:4">
      <c r="A625" s="17">
        <f t="shared" si="4"/>
        <v>623</v>
      </c>
      <c r="B625" s="20" t="s">
        <v>437</v>
      </c>
      <c r="C625" s="21">
        <v>11.039999961853027</v>
      </c>
      <c r="D625" s="17">
        <f>SUM($C$3:C625)/A625</f>
        <v>11.995487645608158</v>
      </c>
    </row>
    <row r="626" spans="1:4">
      <c r="A626" s="17">
        <f t="shared" si="4"/>
        <v>624</v>
      </c>
      <c r="B626" s="20" t="s">
        <v>438</v>
      </c>
      <c r="C626" s="21">
        <v>11.090000152587891</v>
      </c>
      <c r="D626" s="17">
        <f>SUM($C$3:C626)/A626</f>
        <v>11.994036543856522</v>
      </c>
    </row>
    <row r="627" spans="1:4">
      <c r="A627" s="17">
        <f t="shared" si="4"/>
        <v>625</v>
      </c>
      <c r="B627" s="20" t="s">
        <v>439</v>
      </c>
      <c r="C627" s="21">
        <v>11.170000076293945</v>
      </c>
      <c r="D627" s="17">
        <f>SUM($C$3:C627)/A627</f>
        <v>11.992718085508422</v>
      </c>
    </row>
    <row r="628" spans="1:4">
      <c r="A628" s="17">
        <f t="shared" si="4"/>
        <v>626</v>
      </c>
      <c r="B628" s="20" t="s">
        <v>440</v>
      </c>
      <c r="C628" s="21">
        <v>11.130000114440918</v>
      </c>
      <c r="D628" s="17">
        <f>SUM($C$3:C628)/A628</f>
        <v>11.991339941784673</v>
      </c>
    </row>
    <row r="629" spans="1:4">
      <c r="A629" s="17">
        <f t="shared" si="4"/>
        <v>627</v>
      </c>
      <c r="B629" s="20" t="s">
        <v>441</v>
      </c>
      <c r="C629" s="21">
        <v>11.109999656677246</v>
      </c>
      <c r="D629" s="17">
        <f>SUM($C$3:C629)/A629</f>
        <v>11.989934295396941</v>
      </c>
    </row>
    <row r="630" spans="1:4">
      <c r="A630" s="17">
        <f t="shared" si="4"/>
        <v>628</v>
      </c>
      <c r="B630" s="20" t="s">
        <v>442</v>
      </c>
      <c r="C630" s="21">
        <v>11.140000343322754</v>
      </c>
      <c r="D630" s="17">
        <f>SUM($C$3:C630)/A630</f>
        <v>11.988580897384084</v>
      </c>
    </row>
    <row r="631" spans="1:4">
      <c r="A631" s="17">
        <f t="shared" si="4"/>
        <v>629</v>
      </c>
      <c r="B631" s="20" t="s">
        <v>443</v>
      </c>
      <c r="C631" s="21">
        <v>11.079999923706055</v>
      </c>
      <c r="D631" s="17">
        <f>SUM($C$3:C631)/A631</f>
        <v>11.987136412529271</v>
      </c>
    </row>
    <row r="632" spans="1:4">
      <c r="A632" s="17">
        <f t="shared" si="4"/>
        <v>630</v>
      </c>
      <c r="B632" s="20" t="s">
        <v>444</v>
      </c>
      <c r="C632" s="21">
        <v>11.060000419616699</v>
      </c>
      <c r="D632" s="17">
        <f>SUM($C$3:C632)/A632</f>
        <v>11.985664768096076</v>
      </c>
    </row>
    <row r="633" spans="1:4">
      <c r="A633" s="17">
        <f t="shared" si="4"/>
        <v>631</v>
      </c>
      <c r="B633" s="20" t="s">
        <v>445</v>
      </c>
      <c r="C633" s="21">
        <v>11.060000419616699</v>
      </c>
      <c r="D633" s="17">
        <f>SUM($C$3:C633)/A633</f>
        <v>11.984197788146028</v>
      </c>
    </row>
    <row r="634" spans="1:4">
      <c r="A634" s="17">
        <f t="shared" si="4"/>
        <v>632</v>
      </c>
      <c r="B634" s="20" t="s">
        <v>446</v>
      </c>
      <c r="C634" s="21">
        <v>11.140000343322754</v>
      </c>
      <c r="D634" s="17">
        <f>SUM($C$3:C634)/A634</f>
        <v>11.98286203269536</v>
      </c>
    </row>
    <row r="635" spans="1:4">
      <c r="A635" s="17">
        <f t="shared" si="4"/>
        <v>633</v>
      </c>
      <c r="B635" s="20" t="s">
        <v>447</v>
      </c>
      <c r="C635" s="21">
        <v>11.050000190734863</v>
      </c>
      <c r="D635" s="17">
        <f>SUM($C$3:C635)/A635</f>
        <v>11.981388317305216</v>
      </c>
    </row>
    <row r="636" spans="1:4">
      <c r="A636" s="17">
        <f t="shared" si="4"/>
        <v>634</v>
      </c>
      <c r="B636" s="20" t="s">
        <v>448</v>
      </c>
      <c r="C636" s="21">
        <v>11.029999732971191</v>
      </c>
      <c r="D636" s="17">
        <f>SUM($C$3:C636)/A636</f>
        <v>11.979887704396173</v>
      </c>
    </row>
    <row r="637" spans="1:4">
      <c r="A637" s="17">
        <f t="shared" si="4"/>
        <v>635</v>
      </c>
      <c r="B637" s="20" t="s">
        <v>449</v>
      </c>
      <c r="C637" s="21">
        <v>11.060000419616699</v>
      </c>
      <c r="D637" s="17">
        <f>SUM($C$3:C637)/A637</f>
        <v>11.978439063002819</v>
      </c>
    </row>
    <row r="638" spans="1:4">
      <c r="A638" s="17">
        <f t="shared" si="4"/>
        <v>636</v>
      </c>
      <c r="B638" s="20" t="s">
        <v>450</v>
      </c>
      <c r="C638" s="21">
        <v>11.090000152587891</v>
      </c>
      <c r="D638" s="17">
        <f>SUM($C$3:C638)/A638</f>
        <v>11.977042146477009</v>
      </c>
    </row>
    <row r="639" spans="1:4">
      <c r="A639" s="17">
        <f t="shared" si="4"/>
        <v>637</v>
      </c>
      <c r="B639" s="20" t="s">
        <v>451</v>
      </c>
      <c r="C639" s="21">
        <v>11</v>
      </c>
      <c r="D639" s="17">
        <f>SUM($C$3:C639)/A639</f>
        <v>11.975508328350672</v>
      </c>
    </row>
    <row r="640" spans="1:4">
      <c r="A640" s="17">
        <f t="shared" si="4"/>
        <v>638</v>
      </c>
      <c r="B640" s="20" t="s">
        <v>452</v>
      </c>
      <c r="C640" s="21">
        <v>11.050000190734863</v>
      </c>
      <c r="D640" s="17">
        <f>SUM($C$3:C640)/A640</f>
        <v>11.97405768863654</v>
      </c>
    </row>
    <row r="641" spans="1:4">
      <c r="A641" s="17">
        <f t="shared" si="4"/>
        <v>639</v>
      </c>
      <c r="B641" s="20" t="s">
        <v>453</v>
      </c>
      <c r="C641" s="21">
        <v>11.010000228881836</v>
      </c>
      <c r="D641" s="17">
        <f>SUM($C$3:C641)/A641</f>
        <v>11.972548991516424</v>
      </c>
    </row>
    <row r="642" spans="1:4">
      <c r="A642" s="17">
        <f t="shared" si="4"/>
        <v>640</v>
      </c>
      <c r="B642" s="20" t="s">
        <v>454</v>
      </c>
      <c r="C642" s="21">
        <v>10.920000076293945</v>
      </c>
      <c r="D642" s="17">
        <f>SUM($C$3:C642)/A642</f>
        <v>11.970904383836388</v>
      </c>
    </row>
    <row r="643" spans="1:4">
      <c r="A643" s="17">
        <f t="shared" si="4"/>
        <v>641</v>
      </c>
      <c r="B643" s="20" t="s">
        <v>455</v>
      </c>
      <c r="C643" s="21">
        <v>10.949999809265137</v>
      </c>
      <c r="D643" s="17">
        <f>SUM($C$3:C643)/A643</f>
        <v>11.969311708993063</v>
      </c>
    </row>
    <row r="644" spans="1:4">
      <c r="A644" s="17">
        <f t="shared" si="4"/>
        <v>642</v>
      </c>
      <c r="B644" s="20" t="s">
        <v>456</v>
      </c>
      <c r="C644" s="21">
        <v>10.869999885559082</v>
      </c>
      <c r="D644" s="17">
        <f>SUM($C$3:C644)/A644</f>
        <v>11.967599385280549</v>
      </c>
    </row>
    <row r="645" spans="1:4">
      <c r="A645" s="17">
        <f t="shared" si="4"/>
        <v>643</v>
      </c>
      <c r="B645" s="20">
        <v>45260</v>
      </c>
      <c r="C645" s="21">
        <v>10.920000076293945</v>
      </c>
      <c r="D645" s="17">
        <f>SUM($C$3:C645)/A645</f>
        <v>11.965970148408097</v>
      </c>
    </row>
    <row r="646" spans="1:4">
      <c r="A646" s="17">
        <f t="shared" si="4"/>
        <v>644</v>
      </c>
      <c r="B646" s="20" t="s">
        <v>457</v>
      </c>
      <c r="C646" s="21">
        <v>10.869999885559082</v>
      </c>
      <c r="D646" s="17">
        <f>SUM($C$3:C646)/A646</f>
        <v>11.964268331229761</v>
      </c>
    </row>
    <row r="647" spans="1:4">
      <c r="A647" s="17">
        <f t="shared" si="4"/>
        <v>645</v>
      </c>
      <c r="B647" s="20" t="s">
        <v>458</v>
      </c>
      <c r="C647" s="21">
        <v>10.800000190734863</v>
      </c>
      <c r="D647" s="17">
        <f>SUM($C$3:C647)/A647</f>
        <v>11.962463264345272</v>
      </c>
    </row>
    <row r="648" spans="1:4">
      <c r="A648" s="17">
        <f t="shared" si="4"/>
        <v>646</v>
      </c>
      <c r="B648" s="20" t="s">
        <v>459</v>
      </c>
      <c r="C648" s="21">
        <v>10.609999656677246</v>
      </c>
      <c r="D648" s="17">
        <f>SUM($C$3:C648)/A648</f>
        <v>11.960369667429378</v>
      </c>
    </row>
    <row r="649" spans="1:4">
      <c r="A649" s="17">
        <f t="shared" si="4"/>
        <v>647</v>
      </c>
      <c r="B649" s="20" t="s">
        <v>460</v>
      </c>
      <c r="C649" s="21">
        <v>10.579999923706055</v>
      </c>
      <c r="D649" s="17">
        <f>SUM($C$3:C649)/A649</f>
        <v>11.958236174780655</v>
      </c>
    </row>
    <row r="650" spans="1:4">
      <c r="A650" s="17">
        <f t="shared" si="4"/>
        <v>648</v>
      </c>
      <c r="B650" s="20" t="s">
        <v>461</v>
      </c>
      <c r="C650" s="21">
        <v>10.560000419616699</v>
      </c>
      <c r="D650" s="17">
        <f>SUM($C$3:C650)/A650</f>
        <v>11.956078403553549</v>
      </c>
    </row>
    <row r="651" spans="1:4">
      <c r="A651" s="17">
        <f t="shared" si="4"/>
        <v>649</v>
      </c>
      <c r="B651" s="20" t="s">
        <v>462</v>
      </c>
      <c r="C651" s="21">
        <v>10.600000381469727</v>
      </c>
      <c r="D651" s="17">
        <f>SUM($C$3:C651)/A651</f>
        <v>11.953988915075763</v>
      </c>
    </row>
    <row r="652" spans="1:4">
      <c r="A652" s="17">
        <f t="shared" si="4"/>
        <v>650</v>
      </c>
      <c r="B652" s="20" t="s">
        <v>463</v>
      </c>
      <c r="C652" s="21">
        <v>10.899999618530273</v>
      </c>
      <c r="D652" s="17">
        <f>SUM($C$3:C652)/A652</f>
        <v>11.952367393081078</v>
      </c>
    </row>
    <row r="653" spans="1:4">
      <c r="A653" s="17">
        <f t="shared" si="4"/>
        <v>651</v>
      </c>
      <c r="B653" s="20" t="s">
        <v>464</v>
      </c>
      <c r="C653" s="21">
        <v>10.939999580383301</v>
      </c>
      <c r="D653" s="17">
        <f>SUM($C$3:C653)/A653</f>
        <v>11.950812296594599</v>
      </c>
    </row>
    <row r="654" spans="1:4">
      <c r="A654" s="17">
        <f t="shared" si="4"/>
        <v>652</v>
      </c>
      <c r="B654" s="20" t="s">
        <v>465</v>
      </c>
      <c r="C654" s="21">
        <v>10.770000457763672</v>
      </c>
      <c r="D654" s="17">
        <f>SUM($C$3:C654)/A654</f>
        <v>11.949001235492098</v>
      </c>
    </row>
    <row r="655" spans="1:4">
      <c r="A655" s="17">
        <f t="shared" si="4"/>
        <v>653</v>
      </c>
      <c r="B655" s="20" t="s">
        <v>466</v>
      </c>
      <c r="C655" s="21">
        <v>10.720000267028809</v>
      </c>
      <c r="D655" s="17">
        <f>SUM($C$3:C655)/A655</f>
        <v>11.947119151313746</v>
      </c>
    </row>
    <row r="656" spans="1:4">
      <c r="A656" s="17">
        <f t="shared" si="4"/>
        <v>654</v>
      </c>
      <c r="B656" s="20" t="s">
        <v>467</v>
      </c>
      <c r="C656" s="21">
        <v>10.670000076293945</v>
      </c>
      <c r="D656" s="17">
        <f>SUM($C$3:C656)/A656</f>
        <v>11.945166369853471</v>
      </c>
    </row>
    <row r="657" spans="1:4">
      <c r="A657" s="17">
        <f t="shared" si="4"/>
        <v>655</v>
      </c>
      <c r="B657" s="20" t="s">
        <v>468</v>
      </c>
      <c r="C657" s="21">
        <v>10.659999847412109</v>
      </c>
      <c r="D657" s="17">
        <f>SUM($C$3:C657)/A657</f>
        <v>11.943204283559668</v>
      </c>
    </row>
    <row r="658" spans="1:4">
      <c r="A658" s="17">
        <f t="shared" si="4"/>
        <v>656</v>
      </c>
      <c r="B658" s="20" t="s">
        <v>469</v>
      </c>
      <c r="C658" s="21">
        <v>10.670000076293945</v>
      </c>
      <c r="D658" s="17">
        <f>SUM($C$3:C658)/A658</f>
        <v>11.941263423487616</v>
      </c>
    </row>
    <row r="659" spans="1:4">
      <c r="A659" s="17">
        <f t="shared" si="4"/>
        <v>657</v>
      </c>
      <c r="B659" s="20" t="s">
        <v>470</v>
      </c>
      <c r="C659" s="21">
        <v>10.590000152587891</v>
      </c>
      <c r="D659" s="17">
        <f>SUM($C$3:C659)/A659</f>
        <v>11.939206706180311</v>
      </c>
    </row>
    <row r="660" spans="1:4">
      <c r="A660" s="17">
        <f t="shared" si="4"/>
        <v>658</v>
      </c>
      <c r="B660" s="20" t="s">
        <v>471</v>
      </c>
      <c r="C660" s="21">
        <v>10.680000305175781</v>
      </c>
      <c r="D660" s="17">
        <f>SUM($C$3:C660)/A660</f>
        <v>11.937293018640791</v>
      </c>
    </row>
    <row r="661" spans="1:4">
      <c r="A661" s="17">
        <f t="shared" si="4"/>
        <v>659</v>
      </c>
      <c r="B661" s="20" t="s">
        <v>472</v>
      </c>
      <c r="C661" s="21">
        <v>10.699999809265137</v>
      </c>
      <c r="D661" s="17">
        <f>SUM($C$3:C661)/A661</f>
        <v>11.935415487215334</v>
      </c>
    </row>
    <row r="662" spans="1:4">
      <c r="A662" s="17">
        <f t="shared" si="4"/>
        <v>660</v>
      </c>
      <c r="B662" s="20" t="s">
        <v>473</v>
      </c>
      <c r="C662" s="21">
        <v>10.739999771118164</v>
      </c>
      <c r="D662" s="17">
        <f>SUM($C$3:C662)/A662</f>
        <v>11.933604251281853</v>
      </c>
    </row>
    <row r="663" spans="1:4">
      <c r="A663" s="17">
        <f t="shared" si="4"/>
        <v>661</v>
      </c>
      <c r="B663" s="20" t="s">
        <v>474</v>
      </c>
      <c r="C663" s="21">
        <v>10.689999580383301</v>
      </c>
      <c r="D663" s="17">
        <f>SUM($C$3:C663)/A663</f>
        <v>11.931722852384882</v>
      </c>
    </row>
    <row r="664" spans="1:4">
      <c r="A664" s="17">
        <f t="shared" si="4"/>
        <v>662</v>
      </c>
      <c r="B664" s="20" t="s">
        <v>475</v>
      </c>
      <c r="C664" s="21">
        <v>10.729999542236328</v>
      </c>
      <c r="D664" s="17">
        <f>SUM($C$3:C664)/A664</f>
        <v>11.929907560375593</v>
      </c>
    </row>
    <row r="665" spans="1:4">
      <c r="A665" s="17">
        <f t="shared" si="4"/>
        <v>663</v>
      </c>
      <c r="B665" s="20">
        <v>45288</v>
      </c>
      <c r="C665" s="21">
        <v>10.920000076293945</v>
      </c>
      <c r="D665" s="17">
        <f>SUM($C$3:C665)/A665</f>
        <v>11.928384321334747</v>
      </c>
    </row>
    <row r="666" spans="1:4">
      <c r="A666" s="17">
        <f t="shared" si="4"/>
        <v>664</v>
      </c>
      <c r="B666" s="20">
        <v>45289</v>
      </c>
      <c r="C666" s="21">
        <v>10.970000267028809</v>
      </c>
      <c r="D666" s="17">
        <f>SUM($C$3:C666)/A666</f>
        <v>11.92694097185537</v>
      </c>
    </row>
    <row r="667" spans="1:4">
      <c r="A667" s="17">
        <f t="shared" si="4"/>
        <v>665</v>
      </c>
      <c r="B667" s="20" t="s">
        <v>476</v>
      </c>
      <c r="C667" s="21">
        <v>10.869999885559082</v>
      </c>
      <c r="D667" s="17">
        <f>SUM($C$3:C667)/A667</f>
        <v>11.925351586763195</v>
      </c>
    </row>
    <row r="668" spans="1:4">
      <c r="A668" s="17">
        <f t="shared" si="4"/>
        <v>666</v>
      </c>
      <c r="B668" s="20" t="s">
        <v>477</v>
      </c>
      <c r="C668" s="21">
        <v>10.890000343322754</v>
      </c>
      <c r="D668" s="17">
        <f>SUM($C$3:C668)/A668</f>
        <v>11.923797005316588</v>
      </c>
    </row>
    <row r="669" spans="1:4">
      <c r="A669" s="17">
        <f t="shared" si="4"/>
        <v>667</v>
      </c>
      <c r="B669" s="20" t="s">
        <v>478</v>
      </c>
      <c r="C669" s="21">
        <v>10.84</v>
      </c>
      <c r="D669" s="17">
        <f>SUM($C$3:C669)/A669</f>
        <v>11.922172122250146</v>
      </c>
    </row>
    <row r="670" spans="1:4">
      <c r="A670" s="17">
        <f t="shared" si="4"/>
        <v>668</v>
      </c>
      <c r="B670" s="20" t="s">
        <v>479</v>
      </c>
      <c r="C670" s="21">
        <v>10.77</v>
      </c>
      <c r="D670" s="17">
        <f>SUM($C$3:C670)/A670</f>
        <v>11.920447313683905</v>
      </c>
    </row>
    <row r="671" spans="1:4">
      <c r="A671" s="17">
        <f t="shared" si="4"/>
        <v>669</v>
      </c>
      <c r="B671" s="20" t="s">
        <v>480</v>
      </c>
      <c r="C671" s="21">
        <v>10.659999847412109</v>
      </c>
      <c r="D671" s="17">
        <f>SUM($C$3:C671)/A671</f>
        <v>11.918563236753752</v>
      </c>
    </row>
    <row r="672" spans="1:4">
      <c r="A672" s="17">
        <f t="shared" si="4"/>
        <v>670</v>
      </c>
      <c r="B672" s="20" t="s">
        <v>481</v>
      </c>
      <c r="C672" s="21">
        <v>10.670000076293945</v>
      </c>
      <c r="D672" s="17">
        <f>SUM($C$3:C672)/A672</f>
        <v>11.916699709648588</v>
      </c>
    </row>
    <row r="673" spans="1:4">
      <c r="A673" s="17">
        <f t="shared" si="4"/>
        <v>671</v>
      </c>
      <c r="B673" s="20" t="s">
        <v>482</v>
      </c>
      <c r="C673" s="21">
        <v>10.630000114440918</v>
      </c>
      <c r="D673" s="17">
        <f>SUM($C$3:C673)/A673</f>
        <v>11.91478212455886</v>
      </c>
    </row>
    <row r="674" spans="1:4">
      <c r="A674" s="17">
        <f t="shared" si="4"/>
        <v>672</v>
      </c>
      <c r="B674" s="20" t="s">
        <v>483</v>
      </c>
      <c r="C674" s="21">
        <v>10.630000114440918</v>
      </c>
      <c r="D674" s="17">
        <f>SUM($C$3:C674)/A674</f>
        <v>11.912870246567612</v>
      </c>
    </row>
    <row r="675" spans="1:4">
      <c r="A675" s="17">
        <f t="shared" si="4"/>
        <v>673</v>
      </c>
      <c r="B675" s="20" t="s">
        <v>484</v>
      </c>
      <c r="C675" s="21">
        <v>10.630000114440918</v>
      </c>
      <c r="D675" s="17">
        <f>SUM($C$3:C675)/A675</f>
        <v>11.910964050234586</v>
      </c>
    </row>
    <row r="676" spans="1:4">
      <c r="A676" s="17">
        <f t="shared" si="4"/>
        <v>674</v>
      </c>
      <c r="B676" s="20" t="s">
        <v>485</v>
      </c>
      <c r="C676" s="21">
        <v>10.630000114440918</v>
      </c>
      <c r="D676" s="17">
        <f>SUM($C$3:C676)/A676</f>
        <v>11.909063510270501</v>
      </c>
    </row>
    <row r="677" spans="1:4">
      <c r="A677" s="17">
        <f t="shared" si="4"/>
        <v>675</v>
      </c>
      <c r="B677" s="20" t="s">
        <v>486</v>
      </c>
      <c r="C677" s="21">
        <v>10.689999580383301</v>
      </c>
      <c r="D677" s="17">
        <f>SUM($C$3:C677)/A677</f>
        <v>11.907257489633631</v>
      </c>
    </row>
    <row r="678" spans="1:4">
      <c r="A678" s="17">
        <f t="shared" si="4"/>
        <v>676</v>
      </c>
      <c r="B678" s="20" t="s">
        <v>487</v>
      </c>
      <c r="C678" s="21">
        <v>10.479999542236328</v>
      </c>
      <c r="D678" s="17">
        <f>SUM($C$3:C678)/A678</f>
        <v>11.905146161309078</v>
      </c>
    </row>
    <row r="679" spans="1:4">
      <c r="A679" s="17">
        <f t="shared" si="4"/>
        <v>677</v>
      </c>
      <c r="B679" s="20" t="s">
        <v>488</v>
      </c>
      <c r="C679" s="21">
        <v>10.590000152587891</v>
      </c>
      <c r="D679" s="17">
        <f>SUM($C$3:C679)/A679</f>
        <v>11.903203552728989</v>
      </c>
    </row>
    <row r="680" spans="1:4">
      <c r="A680" s="17">
        <f t="shared" si="4"/>
        <v>678</v>
      </c>
      <c r="B680" s="20" t="s">
        <v>489</v>
      </c>
      <c r="C680" s="21">
        <v>10.569999694824219</v>
      </c>
      <c r="D680" s="17">
        <f>SUM($C$3:C680)/A680</f>
        <v>11.901237175357448</v>
      </c>
    </row>
    <row r="681" spans="1:4">
      <c r="A681" s="17">
        <f t="shared" si="4"/>
        <v>679</v>
      </c>
      <c r="B681" s="20" t="s">
        <v>490</v>
      </c>
      <c r="C681" s="21">
        <v>10.420000076293945</v>
      </c>
      <c r="D681" s="17">
        <f>SUM($C$3:C681)/A681</f>
        <v>11.899055677420682</v>
      </c>
    </row>
    <row r="682" spans="1:4">
      <c r="A682" s="17">
        <f t="shared" si="4"/>
        <v>680</v>
      </c>
      <c r="B682" s="20" t="s">
        <v>491</v>
      </c>
      <c r="C682" s="21">
        <v>10.449999809265137</v>
      </c>
      <c r="D682" s="17">
        <f>SUM($C$3:C682)/A682</f>
        <v>11.896924712908689</v>
      </c>
    </row>
    <row r="683" spans="1:4">
      <c r="A683" s="17">
        <f t="shared" si="4"/>
        <v>681</v>
      </c>
      <c r="B683" s="20" t="s">
        <v>492</v>
      </c>
      <c r="C683" s="21">
        <v>10.619999885559082</v>
      </c>
      <c r="D683" s="17">
        <f>SUM($C$3:C683)/A683</f>
        <v>11.895049639740774</v>
      </c>
    </row>
    <row r="684" spans="1:4">
      <c r="A684" s="17">
        <f t="shared" si="4"/>
        <v>682</v>
      </c>
      <c r="B684" s="20" t="s">
        <v>493</v>
      </c>
      <c r="C684" s="21">
        <v>10.869999885559082</v>
      </c>
      <c r="D684" s="17">
        <f>SUM($C$3:C684)/A684</f>
        <v>11.89354663423611</v>
      </c>
    </row>
    <row r="685" spans="1:4">
      <c r="A685" s="17">
        <f t="shared" si="4"/>
        <v>683</v>
      </c>
      <c r="B685" s="20" t="s">
        <v>494</v>
      </c>
      <c r="C685" s="21">
        <v>10.890000343322754</v>
      </c>
      <c r="D685" s="17">
        <f>SUM($C$3:C685)/A685</f>
        <v>11.892077313165958</v>
      </c>
    </row>
    <row r="686" spans="1:4">
      <c r="A686" s="17">
        <f t="shared" si="4"/>
        <v>684</v>
      </c>
      <c r="B686" s="20" t="s">
        <v>495</v>
      </c>
      <c r="C686" s="21">
        <v>10.829999923706055</v>
      </c>
      <c r="D686" s="17">
        <f>SUM($C$3:C686)/A686</f>
        <v>11.890524568444526</v>
      </c>
    </row>
    <row r="687" spans="1:4">
      <c r="A687" s="17">
        <f t="shared" si="4"/>
        <v>685</v>
      </c>
      <c r="B687" s="20">
        <v>45321</v>
      </c>
      <c r="C687" s="21">
        <v>10.649999618530273</v>
      </c>
      <c r="D687" s="17">
        <f>SUM($C$3:C687)/A687</f>
        <v>11.888713583116184</v>
      </c>
    </row>
    <row r="688" spans="1:4">
      <c r="A688" s="17">
        <f t="shared" si="4"/>
        <v>686</v>
      </c>
      <c r="B688" s="20">
        <v>45322</v>
      </c>
      <c r="C688" s="21">
        <v>10.600000381469727</v>
      </c>
      <c r="D688" s="17">
        <f>SUM($C$3:C688)/A688</f>
        <v>11.88683499244323</v>
      </c>
    </row>
    <row r="689" spans="1:4">
      <c r="A689" s="17">
        <f t="shared" si="4"/>
        <v>687</v>
      </c>
      <c r="B689" s="20" t="s">
        <v>496</v>
      </c>
      <c r="C689" s="21">
        <v>10.579999923706055</v>
      </c>
      <c r="D689" s="17">
        <f>SUM($C$3:C689)/A689</f>
        <v>11.884932757990919</v>
      </c>
    </row>
    <row r="690" spans="1:4">
      <c r="A690" s="17">
        <f t="shared" si="4"/>
        <v>688</v>
      </c>
      <c r="B690" s="20" t="s">
        <v>497</v>
      </c>
      <c r="C690" s="21">
        <v>10.489999771118164</v>
      </c>
      <c r="D690" s="17">
        <f>SUM($C$3:C690)/A690</f>
        <v>11.882905239114651</v>
      </c>
    </row>
    <row r="691" spans="1:4">
      <c r="A691" s="17">
        <f t="shared" si="4"/>
        <v>689</v>
      </c>
      <c r="B691" s="20" t="s">
        <v>498</v>
      </c>
      <c r="C691" s="21">
        <v>10.62</v>
      </c>
      <c r="D691" s="17">
        <f>SUM($C$3:C691)/A691</f>
        <v>11.881072285211728</v>
      </c>
    </row>
    <row r="692" spans="1:4">
      <c r="A692" s="17">
        <f t="shared" si="4"/>
        <v>690</v>
      </c>
      <c r="B692" s="20" t="s">
        <v>499</v>
      </c>
      <c r="C692" s="21">
        <v>10.949999809265137</v>
      </c>
      <c r="D692" s="17">
        <f>SUM($C$3:C692)/A692</f>
        <v>11.879722904811803</v>
      </c>
    </row>
    <row r="693" spans="1:4">
      <c r="A693" s="17">
        <f t="shared" si="4"/>
        <v>691</v>
      </c>
      <c r="B693" s="20" t="s">
        <v>500</v>
      </c>
      <c r="C693" s="21">
        <v>11.069999694824219</v>
      </c>
      <c r="D693" s="17">
        <f>SUM($C$3:C693)/A693</f>
        <v>11.878551091193877</v>
      </c>
    </row>
    <row r="694" spans="1:4">
      <c r="A694" s="17">
        <f t="shared" si="4"/>
        <v>692</v>
      </c>
      <c r="B694" s="20" t="s">
        <v>501</v>
      </c>
      <c r="C694" s="21">
        <v>11.090000152587891</v>
      </c>
      <c r="D694" s="17">
        <f>SUM($C$3:C694)/A694</f>
        <v>11.877411566716123</v>
      </c>
    </row>
    <row r="695" spans="1:4">
      <c r="A695" s="17">
        <f t="shared" si="4"/>
        <v>693</v>
      </c>
      <c r="B695" s="20" t="s">
        <v>502</v>
      </c>
      <c r="C695" s="21">
        <v>11.239999771118164</v>
      </c>
      <c r="D695" s="17">
        <f>SUM($C$3:C695)/A695</f>
        <v>11.876491780575289</v>
      </c>
    </row>
    <row r="696" spans="1:4">
      <c r="A696" s="17">
        <f t="shared" si="4"/>
        <v>694</v>
      </c>
      <c r="B696" s="20" t="s">
        <v>503</v>
      </c>
      <c r="C696" s="21">
        <v>11.279999732971191</v>
      </c>
      <c r="D696" s="17">
        <f>SUM($C$3:C696)/A696</f>
        <v>11.875632281947617</v>
      </c>
    </row>
    <row r="697" spans="1:4">
      <c r="A697" s="17">
        <f t="shared" si="4"/>
        <v>695</v>
      </c>
      <c r="B697" s="20" t="s">
        <v>504</v>
      </c>
      <c r="C697" s="21">
        <v>11.409999847412109</v>
      </c>
      <c r="D697" s="17">
        <f>SUM($C$3:C697)/A697</f>
        <v>11.874962307221667</v>
      </c>
    </row>
    <row r="698" spans="1:4">
      <c r="A698" s="17">
        <f t="shared" si="4"/>
        <v>696</v>
      </c>
      <c r="B698" s="20" t="s">
        <v>505</v>
      </c>
      <c r="C698" s="21">
        <v>11.520000457763672</v>
      </c>
      <c r="D698" s="17">
        <f>SUM($C$3:C698)/A698</f>
        <v>11.8744523045644</v>
      </c>
    </row>
    <row r="699" spans="1:4">
      <c r="A699" s="17">
        <f t="shared" si="4"/>
        <v>697</v>
      </c>
      <c r="B699" s="20" t="s">
        <v>506</v>
      </c>
      <c r="C699" s="21">
        <v>11.520000457763672</v>
      </c>
      <c r="D699" s="17">
        <f>SUM($C$3:C699)/A699</f>
        <v>11.873943765329392</v>
      </c>
    </row>
    <row r="700" spans="1:4">
      <c r="A700" s="17">
        <f t="shared" si="4"/>
        <v>698</v>
      </c>
      <c r="B700" s="20" t="s">
        <v>507</v>
      </c>
      <c r="C700" s="21">
        <v>11.359999656677246</v>
      </c>
      <c r="D700" s="17">
        <f>SUM($C$3:C700)/A700</f>
        <v>11.873207455718141</v>
      </c>
    </row>
    <row r="701" spans="1:4">
      <c r="A701" s="17">
        <f t="shared" si="4"/>
        <v>699</v>
      </c>
      <c r="B701" s="20" t="s">
        <v>508</v>
      </c>
      <c r="C701" s="21">
        <v>11.449999809265137</v>
      </c>
      <c r="D701" s="17">
        <f>SUM($C$3:C701)/A701</f>
        <v>11.872602008441385</v>
      </c>
    </row>
    <row r="702" spans="1:4">
      <c r="A702" s="17">
        <f t="shared" si="4"/>
        <v>700</v>
      </c>
      <c r="B702" s="20" t="s">
        <v>509</v>
      </c>
      <c r="C702" s="21">
        <v>11.350000381469727</v>
      </c>
      <c r="D702" s="17">
        <f>SUM($C$3:C702)/A702</f>
        <v>11.871855434688568</v>
      </c>
    </row>
    <row r="703" spans="1:4">
      <c r="A703" s="17">
        <f t="shared" si="4"/>
        <v>701</v>
      </c>
      <c r="B703" s="20">
        <v>45351</v>
      </c>
      <c r="C703" s="21">
        <v>11.510000228881836</v>
      </c>
      <c r="D703" s="17">
        <f>SUM($C$3:C703)/A703</f>
        <v>11.871339236106818</v>
      </c>
    </row>
    <row r="704" spans="1:4">
      <c r="A704" s="17">
        <f t="shared" si="4"/>
        <v>702</v>
      </c>
      <c r="B704" s="20" t="s">
        <v>510</v>
      </c>
      <c r="C704" s="21">
        <v>11.550000190734863</v>
      </c>
      <c r="D704" s="17">
        <f>SUM($C$3:C704)/A704</f>
        <v>11.870881488178938</v>
      </c>
    </row>
    <row r="705" spans="1:4">
      <c r="A705" s="17">
        <f t="shared" si="4"/>
        <v>703</v>
      </c>
      <c r="B705" s="20" t="s">
        <v>511</v>
      </c>
      <c r="C705" s="21">
        <v>11.600000381469727</v>
      </c>
      <c r="D705" s="17">
        <f>SUM($C$3:C705)/A705</f>
        <v>11.870496166547772</v>
      </c>
    </row>
    <row r="706" spans="1:4">
      <c r="A706" s="17">
        <f t="shared" si="4"/>
        <v>704</v>
      </c>
      <c r="B706" s="20" t="s">
        <v>512</v>
      </c>
      <c r="C706" s="21">
        <v>11.710000038146973</v>
      </c>
      <c r="D706" s="17">
        <f>SUM($C$3:C706)/A706</f>
        <v>11.870268189092657</v>
      </c>
    </row>
    <row r="707" spans="1:4">
      <c r="A707" s="17">
        <f t="shared" ref="A707:A806" si="5">A706+1</f>
        <v>705</v>
      </c>
      <c r="B707" s="20" t="s">
        <v>513</v>
      </c>
      <c r="C707" s="21">
        <v>11.640000343322754</v>
      </c>
      <c r="D707" s="17">
        <f>SUM($C$3:C707)/A707</f>
        <v>11.869941568034829</v>
      </c>
    </row>
    <row r="708" spans="1:4">
      <c r="A708" s="17">
        <f t="shared" si="5"/>
        <v>706</v>
      </c>
      <c r="B708" s="20" t="s">
        <v>514</v>
      </c>
      <c r="C708" s="21">
        <v>11.609999656677246</v>
      </c>
      <c r="D708" s="17">
        <f>SUM($C$3:C708)/A708</f>
        <v>11.869573378358684</v>
      </c>
    </row>
    <row r="709" spans="1:4">
      <c r="A709" s="17">
        <f t="shared" si="5"/>
        <v>707</v>
      </c>
      <c r="B709" s="20" t="s">
        <v>515</v>
      </c>
      <c r="C709" s="21">
        <v>11.659999847412109</v>
      </c>
      <c r="D709" s="17">
        <f>SUM($C$3:C709)/A709</f>
        <v>11.869276951865125</v>
      </c>
    </row>
    <row r="710" spans="1:4">
      <c r="A710" s="17">
        <f t="shared" si="5"/>
        <v>708</v>
      </c>
      <c r="B710" s="20" t="s">
        <v>516</v>
      </c>
      <c r="C710" s="21">
        <v>11.760000228881836</v>
      </c>
      <c r="D710" s="17">
        <f>SUM($C$3:C710)/A710</f>
        <v>11.869122606211194</v>
      </c>
    </row>
    <row r="711" spans="1:4">
      <c r="A711" s="17">
        <f t="shared" si="5"/>
        <v>709</v>
      </c>
      <c r="B711" s="20" t="s">
        <v>517</v>
      </c>
      <c r="C711" s="21">
        <v>11.729999542236328</v>
      </c>
      <c r="D711" s="17">
        <f>SUM($C$3:C711)/A711</f>
        <v>11.86892638186144</v>
      </c>
    </row>
    <row r="712" spans="1:4">
      <c r="A712" s="17">
        <f t="shared" si="5"/>
        <v>710</v>
      </c>
      <c r="B712" s="20" t="s">
        <v>518</v>
      </c>
      <c r="C712" s="21">
        <v>11.649999618530273</v>
      </c>
      <c r="D712" s="17">
        <f>SUM($C$3:C712)/A712</f>
        <v>11.868618034307453</v>
      </c>
    </row>
    <row r="713" spans="1:4">
      <c r="A713" s="17">
        <f t="shared" si="5"/>
        <v>711</v>
      </c>
      <c r="B713" s="20" t="s">
        <v>519</v>
      </c>
      <c r="C713" s="21">
        <v>11.640000343322754</v>
      </c>
      <c r="D713" s="17">
        <f>SUM($C$3:C713)/A713</f>
        <v>11.868296490438276</v>
      </c>
    </row>
    <row r="714" spans="1:4">
      <c r="A714" s="17">
        <f t="shared" si="5"/>
        <v>712</v>
      </c>
      <c r="B714" s="20" t="s">
        <v>520</v>
      </c>
      <c r="C714" s="21">
        <v>11.659999847412109</v>
      </c>
      <c r="D714" s="17">
        <f>SUM($C$3:C714)/A714</f>
        <v>11.868003938973352</v>
      </c>
    </row>
    <row r="715" spans="1:4">
      <c r="A715" s="17">
        <f t="shared" si="5"/>
        <v>713</v>
      </c>
      <c r="B715" s="20" t="s">
        <v>521</v>
      </c>
      <c r="C715" s="21">
        <v>11.729999542236328</v>
      </c>
      <c r="D715" s="17">
        <f>SUM($C$3:C715)/A715</f>
        <v>11.867810384419723</v>
      </c>
    </row>
    <row r="716" spans="1:4">
      <c r="A716" s="17">
        <f t="shared" si="5"/>
        <v>714</v>
      </c>
      <c r="B716" s="20" t="s">
        <v>522</v>
      </c>
      <c r="C716" s="21">
        <v>11.680000305175781</v>
      </c>
      <c r="D716" s="17">
        <f>SUM($C$3:C716)/A716</f>
        <v>11.867547345093051</v>
      </c>
    </row>
    <row r="717" spans="1:4">
      <c r="A717" s="17">
        <f t="shared" si="5"/>
        <v>715</v>
      </c>
      <c r="B717" s="20" t="s">
        <v>523</v>
      </c>
      <c r="C717" s="21">
        <v>11.720000267028809</v>
      </c>
      <c r="D717" s="17">
        <f>SUM($C$3:C717)/A717</f>
        <v>11.867340985543311</v>
      </c>
    </row>
    <row r="718" spans="1:4">
      <c r="A718" s="17">
        <f t="shared" si="5"/>
        <v>716</v>
      </c>
      <c r="B718" s="20" t="s">
        <v>524</v>
      </c>
      <c r="C718" s="21">
        <v>11.699999809265137</v>
      </c>
      <c r="D718" s="17">
        <f>SUM($C$3:C718)/A718</f>
        <v>11.867107268816666</v>
      </c>
    </row>
    <row r="719" spans="1:4">
      <c r="A719" s="17">
        <f t="shared" si="5"/>
        <v>717</v>
      </c>
      <c r="B719" s="20" t="s">
        <v>525</v>
      </c>
      <c r="C719" s="21">
        <v>11.609999656677246</v>
      </c>
      <c r="D719" s="17">
        <f>SUM($C$3:C719)/A719</f>
        <v>11.866748680794156</v>
      </c>
    </row>
    <row r="720" spans="1:4">
      <c r="A720" s="17">
        <f t="shared" si="5"/>
        <v>718</v>
      </c>
      <c r="B720" s="20" t="s">
        <v>526</v>
      </c>
      <c r="C720" s="21">
        <v>11.600000381469727</v>
      </c>
      <c r="D720" s="17">
        <f>SUM($C$3:C720)/A720</f>
        <v>11.866377165056935</v>
      </c>
    </row>
    <row r="721" spans="1:4">
      <c r="A721" s="17">
        <f t="shared" si="5"/>
        <v>719</v>
      </c>
      <c r="B721" s="20" t="s">
        <v>527</v>
      </c>
      <c r="C721" s="21">
        <v>11.659999847412109</v>
      </c>
      <c r="D721" s="17">
        <f>SUM($C$3:C721)/A721</f>
        <v>11.866090131235454</v>
      </c>
    </row>
    <row r="722" spans="1:4">
      <c r="A722" s="17">
        <f t="shared" si="5"/>
        <v>720</v>
      </c>
      <c r="B722" s="20" t="s">
        <v>528</v>
      </c>
      <c r="C722" s="21">
        <v>11.569999694824219</v>
      </c>
      <c r="D722" s="17">
        <f>SUM($C$3:C722)/A722</f>
        <v>11.865678894518217</v>
      </c>
    </row>
    <row r="723" spans="1:4">
      <c r="A723" s="17">
        <f t="shared" si="5"/>
        <v>721</v>
      </c>
      <c r="B723" s="20">
        <v>45379</v>
      </c>
      <c r="C723" s="21">
        <v>11.579999923706055</v>
      </c>
      <c r="D723" s="17">
        <f>SUM($C$3:C723)/A723</f>
        <v>11.865282668483804</v>
      </c>
    </row>
    <row r="724" spans="1:4">
      <c r="A724" s="17">
        <f t="shared" si="5"/>
        <v>722</v>
      </c>
      <c r="B724" s="20">
        <v>45380</v>
      </c>
      <c r="C724" s="21">
        <v>11.680000305175781</v>
      </c>
      <c r="D724" s="17">
        <f>SUM($C$3:C724)/A724</f>
        <v>11.865026044711909</v>
      </c>
    </row>
    <row r="725" spans="1:4">
      <c r="A725" s="17">
        <f t="shared" si="5"/>
        <v>723</v>
      </c>
      <c r="B725" s="20" t="s">
        <v>529</v>
      </c>
      <c r="C725" s="21">
        <v>11.829999923706055</v>
      </c>
      <c r="D725" s="17">
        <f>SUM($C$3:C725)/A725</f>
        <v>11.864977599178014</v>
      </c>
    </row>
    <row r="726" spans="1:4">
      <c r="A726" s="17">
        <f t="shared" si="5"/>
        <v>724</v>
      </c>
      <c r="B726" s="20" t="s">
        <v>530</v>
      </c>
      <c r="C726" s="21">
        <v>11.819999694824219</v>
      </c>
      <c r="D726" s="17">
        <f>SUM($C$3:C726)/A726</f>
        <v>11.86491547500073</v>
      </c>
    </row>
    <row r="727" spans="1:4">
      <c r="A727" s="17">
        <f t="shared" si="5"/>
        <v>725</v>
      </c>
      <c r="B727" s="20" t="s">
        <v>531</v>
      </c>
      <c r="C727" s="21">
        <v>11.800000190734863</v>
      </c>
      <c r="D727" s="17">
        <f>SUM($C$3:C727)/A727</f>
        <v>11.864825936677605</v>
      </c>
    </row>
    <row r="728" spans="1:4">
      <c r="A728" s="17">
        <f t="shared" si="5"/>
        <v>726</v>
      </c>
      <c r="B728" s="20" t="s">
        <v>532</v>
      </c>
      <c r="C728" s="21">
        <v>11.729999542236328</v>
      </c>
      <c r="D728" s="17">
        <f>SUM($C$3:C728)/A728</f>
        <v>11.864640225390495</v>
      </c>
    </row>
    <row r="729" spans="1:4">
      <c r="A729" s="17">
        <f t="shared" si="5"/>
        <v>727</v>
      </c>
      <c r="B729" s="20" t="s">
        <v>533</v>
      </c>
      <c r="C729" s="21">
        <v>11.699999809265137</v>
      </c>
      <c r="D729" s="17">
        <f>SUM($C$3:C729)/A729</f>
        <v>11.864413759893761</v>
      </c>
    </row>
    <row r="730" spans="1:4">
      <c r="A730" s="17">
        <f t="shared" si="5"/>
        <v>728</v>
      </c>
      <c r="B730" s="20" t="s">
        <v>534</v>
      </c>
      <c r="C730" s="21">
        <v>11.640000343322754</v>
      </c>
      <c r="D730" s="17">
        <f>SUM($C$3:C730)/A730</f>
        <v>11.864105499706163</v>
      </c>
    </row>
    <row r="731" spans="1:4">
      <c r="A731" s="17">
        <f t="shared" si="5"/>
        <v>729</v>
      </c>
      <c r="B731" s="20" t="s">
        <v>535</v>
      </c>
      <c r="C731" s="21">
        <v>11.640000343322754</v>
      </c>
      <c r="D731" s="17">
        <f>SUM($C$3:C731)/A731</f>
        <v>11.863798085225529</v>
      </c>
    </row>
    <row r="732" spans="1:4">
      <c r="A732" s="17">
        <f t="shared" si="5"/>
        <v>730</v>
      </c>
      <c r="B732" s="20" t="s">
        <v>536</v>
      </c>
      <c r="C732" s="21">
        <v>11.579999923706055</v>
      </c>
      <c r="D732" s="17">
        <f>SUM($C$3:C732)/A732</f>
        <v>11.863409320620708</v>
      </c>
    </row>
    <row r="733" spans="1:4">
      <c r="A733" s="17">
        <f t="shared" si="5"/>
        <v>731</v>
      </c>
      <c r="B733" s="20" t="s">
        <v>537</v>
      </c>
      <c r="C733" s="21">
        <v>11.850000381469727</v>
      </c>
      <c r="D733" s="17">
        <f>SUM($C$3:C733)/A733</f>
        <v>11.863390977338694</v>
      </c>
    </row>
    <row r="734" spans="1:4">
      <c r="A734" s="17">
        <f t="shared" si="5"/>
        <v>732</v>
      </c>
      <c r="B734" s="20" t="s">
        <v>538</v>
      </c>
      <c r="C734" s="21">
        <v>11.789999961853027</v>
      </c>
      <c r="D734" s="17">
        <f>SUM($C$3:C734)/A734</f>
        <v>11.863290716388578</v>
      </c>
    </row>
    <row r="735" spans="1:4">
      <c r="A735" s="17">
        <f t="shared" si="5"/>
        <v>733</v>
      </c>
      <c r="B735" s="20" t="s">
        <v>539</v>
      </c>
      <c r="C735" s="21">
        <v>11.930000305175781</v>
      </c>
      <c r="D735" s="17">
        <f>SUM($C$3:C735)/A735</f>
        <v>11.863381725377373</v>
      </c>
    </row>
    <row r="736" spans="1:4">
      <c r="A736" s="17">
        <f t="shared" si="5"/>
        <v>734</v>
      </c>
      <c r="B736" s="20" t="s">
        <v>540</v>
      </c>
      <c r="C736" s="21">
        <v>11.930000305175781</v>
      </c>
      <c r="D736" s="17">
        <f>SUM($C$3:C736)/A736</f>
        <v>11.863472486385273</v>
      </c>
    </row>
    <row r="737" spans="1:4">
      <c r="A737" s="17">
        <f t="shared" si="5"/>
        <v>735</v>
      </c>
      <c r="B737" s="20" t="s">
        <v>541</v>
      </c>
      <c r="C737" s="21">
        <v>11.890000343322754</v>
      </c>
      <c r="D737" s="17">
        <f>SUM($C$3:C737)/A737</f>
        <v>11.863508578707638</v>
      </c>
    </row>
    <row r="738" spans="1:4">
      <c r="A738" s="17">
        <f t="shared" si="5"/>
        <v>736</v>
      </c>
      <c r="B738" s="20" t="s">
        <v>542</v>
      </c>
      <c r="C738" s="21">
        <v>11.819999694824219</v>
      </c>
      <c r="D738" s="17">
        <f>SUM($C$3:C738)/A738</f>
        <v>11.863449463376273</v>
      </c>
    </row>
    <row r="739" spans="1:4">
      <c r="A739" s="17">
        <f t="shared" si="5"/>
        <v>737</v>
      </c>
      <c r="B739" s="20" t="s">
        <v>543</v>
      </c>
      <c r="C739" s="21">
        <v>11.739999771118164</v>
      </c>
      <c r="D739" s="17">
        <f>SUM($C$3:C739)/A739</f>
        <v>11.863281960401704</v>
      </c>
    </row>
    <row r="740" spans="1:4">
      <c r="A740" s="17">
        <f t="shared" si="5"/>
        <v>738</v>
      </c>
      <c r="B740" s="20" t="s">
        <v>544</v>
      </c>
      <c r="C740" s="21">
        <v>11.789999961853027</v>
      </c>
      <c r="D740" s="17">
        <f>SUM($C$3:C740)/A740</f>
        <v>11.863182662300689</v>
      </c>
    </row>
    <row r="741" spans="1:4">
      <c r="A741" s="17">
        <f t="shared" si="5"/>
        <v>739</v>
      </c>
      <c r="B741" s="20" t="s">
        <v>545</v>
      </c>
      <c r="C741" s="21">
        <v>11.819999694824219</v>
      </c>
      <c r="D741" s="17">
        <f>SUM($C$3:C741)/A741</f>
        <v>11.863124227973929</v>
      </c>
    </row>
    <row r="742" spans="1:4">
      <c r="A742" s="17">
        <f t="shared" si="5"/>
        <v>740</v>
      </c>
      <c r="B742" s="20" t="s">
        <v>546</v>
      </c>
      <c r="C742" s="21">
        <v>11.949999809265137</v>
      </c>
      <c r="D742" s="17">
        <f>SUM($C$3:C742)/A742</f>
        <v>11.863241627408105</v>
      </c>
    </row>
    <row r="743" spans="1:4">
      <c r="A743" s="17">
        <f t="shared" si="5"/>
        <v>741</v>
      </c>
      <c r="B743" s="20">
        <v>45411</v>
      </c>
      <c r="C743" s="21">
        <v>12.010000228881836</v>
      </c>
      <c r="D743" s="17">
        <f>SUM($C$3:C743)/A743</f>
        <v>11.863439682200918</v>
      </c>
    </row>
    <row r="744" spans="1:4">
      <c r="A744" s="17">
        <f t="shared" si="5"/>
        <v>742</v>
      </c>
      <c r="B744" s="20">
        <v>45412</v>
      </c>
      <c r="C744" s="21">
        <v>11.979999542236328</v>
      </c>
      <c r="D744" s="17">
        <f>SUM($C$3:C744)/A744</f>
        <v>11.863596770961072</v>
      </c>
    </row>
    <row r="745" spans="1:4">
      <c r="A745" s="17">
        <f t="shared" si="5"/>
        <v>743</v>
      </c>
      <c r="B745" s="20" t="s">
        <v>547</v>
      </c>
      <c r="C745" s="21">
        <v>12.430000305175781</v>
      </c>
      <c r="D745" s="17">
        <f>SUM($C$3:C745)/A745</f>
        <v>11.864359090657189</v>
      </c>
    </row>
    <row r="746" spans="1:4">
      <c r="A746" s="17">
        <f t="shared" si="5"/>
        <v>744</v>
      </c>
      <c r="B746" s="20" t="s">
        <v>548</v>
      </c>
      <c r="C746" s="21">
        <v>12.470000267028809</v>
      </c>
      <c r="D746" s="17">
        <f>SUM($C$3:C746)/A746</f>
        <v>11.865173124496399</v>
      </c>
    </row>
    <row r="747" spans="1:4">
      <c r="A747" s="17">
        <f t="shared" si="5"/>
        <v>745</v>
      </c>
      <c r="B747" s="20" t="s">
        <v>549</v>
      </c>
      <c r="C747" s="21">
        <v>12.390000343322754</v>
      </c>
      <c r="D747" s="17">
        <f>SUM($C$3:C747)/A747</f>
        <v>11.865877590561938</v>
      </c>
    </row>
    <row r="748" spans="1:4">
      <c r="A748" s="17">
        <f t="shared" si="5"/>
        <v>746</v>
      </c>
      <c r="B748" s="20" t="s">
        <v>550</v>
      </c>
      <c r="C748" s="21">
        <v>12.460000038146973</v>
      </c>
      <c r="D748" s="17">
        <f>SUM($C$3:C748)/A748</f>
        <v>11.866674001349585</v>
      </c>
    </row>
    <row r="749" spans="1:4">
      <c r="A749" s="17">
        <f t="shared" si="5"/>
        <v>747</v>
      </c>
      <c r="B749" s="20" t="s">
        <v>551</v>
      </c>
      <c r="C749" s="21">
        <v>12.470000267028809</v>
      </c>
      <c r="D749" s="17">
        <f>SUM($C$3:C749)/A749</f>
        <v>11.867481667033225</v>
      </c>
    </row>
    <row r="750" spans="1:4">
      <c r="A750" s="17">
        <f t="shared" si="5"/>
        <v>748</v>
      </c>
      <c r="B750" s="20" t="s">
        <v>552</v>
      </c>
      <c r="C750" s="21">
        <v>12.460000038146973</v>
      </c>
      <c r="D750" s="17">
        <f>SUM($C$3:C750)/A750</f>
        <v>11.868273803893002</v>
      </c>
    </row>
    <row r="751" spans="1:4">
      <c r="A751" s="17">
        <f t="shared" si="5"/>
        <v>749</v>
      </c>
      <c r="B751" s="20" t="s">
        <v>553</v>
      </c>
      <c r="C751" s="21">
        <v>12.409999847412109</v>
      </c>
      <c r="D751" s="17">
        <f>SUM($C$3:C751)/A751</f>
        <v>11.86899706963869</v>
      </c>
    </row>
    <row r="752" spans="1:4">
      <c r="A752" s="17">
        <f t="shared" si="5"/>
        <v>750</v>
      </c>
      <c r="B752" s="20" t="s">
        <v>554</v>
      </c>
      <c r="C752" s="21">
        <v>12.340000152587891</v>
      </c>
      <c r="D752" s="17">
        <f>SUM($C$3:C752)/A752</f>
        <v>11.869625073749289</v>
      </c>
    </row>
    <row r="753" spans="1:4">
      <c r="A753" s="17">
        <f t="shared" si="5"/>
        <v>751</v>
      </c>
      <c r="B753" s="20" t="s">
        <v>555</v>
      </c>
      <c r="C753" s="21">
        <v>12.369999885559082</v>
      </c>
      <c r="D753" s="17">
        <f>SUM($C$3:C753)/A753</f>
        <v>11.870291351794307</v>
      </c>
    </row>
    <row r="754" spans="1:4">
      <c r="A754" s="17">
        <f t="shared" si="5"/>
        <v>752</v>
      </c>
      <c r="B754" s="20" t="s">
        <v>556</v>
      </c>
      <c r="C754" s="21">
        <v>12.489999771118164</v>
      </c>
      <c r="D754" s="17">
        <f>SUM($C$3:C754)/A754</f>
        <v>11.871115432139154</v>
      </c>
    </row>
    <row r="755" spans="1:4">
      <c r="A755" s="17">
        <f t="shared" si="5"/>
        <v>753</v>
      </c>
      <c r="B755" s="20" t="s">
        <v>557</v>
      </c>
      <c r="C755" s="21">
        <v>12.539999961853027</v>
      </c>
      <c r="D755" s="17">
        <f>SUM($C$3:C755)/A755</f>
        <v>11.8720037250073</v>
      </c>
    </row>
    <row r="756" spans="1:4">
      <c r="A756" s="17">
        <f t="shared" si="5"/>
        <v>754</v>
      </c>
      <c r="B756" s="20" t="s">
        <v>558</v>
      </c>
      <c r="C756" s="21">
        <v>12.510000228881836</v>
      </c>
      <c r="D756" s="17">
        <f>SUM($C$3:C756)/A756</f>
        <v>11.872849874216682</v>
      </c>
    </row>
    <row r="757" spans="1:4">
      <c r="A757" s="17">
        <f t="shared" si="5"/>
        <v>755</v>
      </c>
      <c r="B757" s="20" t="s">
        <v>559</v>
      </c>
      <c r="C757" s="21">
        <v>12.510000228881836</v>
      </c>
      <c r="D757" s="17">
        <f>SUM($C$3:C757)/A757</f>
        <v>11.873693781971205</v>
      </c>
    </row>
    <row r="758" spans="1:4">
      <c r="A758" s="17">
        <f t="shared" si="5"/>
        <v>756</v>
      </c>
      <c r="B758" s="20" t="s">
        <v>560</v>
      </c>
      <c r="C758" s="21">
        <v>12.390000343322754</v>
      </c>
      <c r="D758" s="17">
        <f>SUM($C$3:C758)/A758</f>
        <v>11.874376727158179</v>
      </c>
    </row>
    <row r="759" spans="1:4">
      <c r="A759" s="17">
        <f t="shared" si="5"/>
        <v>757</v>
      </c>
      <c r="B759" s="20" t="s">
        <v>561</v>
      </c>
      <c r="C759" s="21">
        <v>12.279999732971191</v>
      </c>
      <c r="D759" s="17">
        <f>SUM($C$3:C759)/A759</f>
        <v>11.874912556756346</v>
      </c>
    </row>
    <row r="760" spans="1:4">
      <c r="A760" s="17">
        <f t="shared" si="5"/>
        <v>758</v>
      </c>
      <c r="B760" s="20" t="s">
        <v>562</v>
      </c>
      <c r="C760" s="21">
        <v>12.399999618530273</v>
      </c>
      <c r="D760" s="17">
        <f>SUM($C$3:C760)/A760</f>
        <v>11.875605283750771</v>
      </c>
    </row>
    <row r="761" spans="1:4">
      <c r="A761" s="17">
        <f t="shared" si="5"/>
        <v>759</v>
      </c>
      <c r="B761" s="20" t="s">
        <v>563</v>
      </c>
      <c r="C761" s="21">
        <v>12.340000152587891</v>
      </c>
      <c r="D761" s="17">
        <f>SUM($C$3:C761)/A761</f>
        <v>11.876217134697855</v>
      </c>
    </row>
    <row r="762" spans="1:4">
      <c r="A762" s="17">
        <f t="shared" si="5"/>
        <v>760</v>
      </c>
      <c r="B762" s="20" t="s">
        <v>564</v>
      </c>
      <c r="C762" s="21">
        <v>12.350000381469727</v>
      </c>
      <c r="D762" s="17">
        <f>SUM($C$3:C762)/A762</f>
        <v>11.876840533706766</v>
      </c>
    </row>
    <row r="763" spans="1:4">
      <c r="A763" s="17">
        <f t="shared" si="5"/>
        <v>761</v>
      </c>
      <c r="B763" s="20">
        <v>45442</v>
      </c>
      <c r="C763" s="21">
        <v>12.25</v>
      </c>
      <c r="D763" s="17">
        <f>SUM($C$3:C763)/A763</f>
        <v>11.877330887801763</v>
      </c>
    </row>
    <row r="764" spans="1:4">
      <c r="A764" s="17">
        <f t="shared" si="5"/>
        <v>762</v>
      </c>
      <c r="B764" s="20">
        <v>45443</v>
      </c>
      <c r="C764" s="21">
        <v>12.18999958</v>
      </c>
      <c r="D764" s="17">
        <f>SUM($C$3:C764)/A764</f>
        <v>11.877741214169477</v>
      </c>
    </row>
    <row r="765" spans="1:4">
      <c r="A765" s="17">
        <f t="shared" si="5"/>
        <v>763</v>
      </c>
      <c r="B765" s="20" t="s">
        <v>565</v>
      </c>
      <c r="C765" s="21">
        <v>12.22000027</v>
      </c>
      <c r="D765" s="17">
        <f>SUM($C$3:C765)/A765</f>
        <v>11.878189784360604</v>
      </c>
    </row>
    <row r="766" spans="1:4">
      <c r="A766" s="17">
        <f t="shared" si="5"/>
        <v>764</v>
      </c>
      <c r="B766" s="20" t="s">
        <v>566</v>
      </c>
      <c r="C766" s="21">
        <v>12.30000019</v>
      </c>
      <c r="D766" s="17">
        <f>SUM($C$3:C766)/A766</f>
        <v>11.878741892221388</v>
      </c>
    </row>
    <row r="767" spans="1:4">
      <c r="A767" s="17">
        <f t="shared" si="5"/>
        <v>765</v>
      </c>
      <c r="B767" s="20" t="s">
        <v>567</v>
      </c>
      <c r="C767" s="21">
        <v>12.22999954</v>
      </c>
      <c r="D767" s="17">
        <f>SUM($C$3:C767)/A767</f>
        <v>11.879201052545284</v>
      </c>
    </row>
    <row r="768" spans="1:4">
      <c r="A768" s="17">
        <f t="shared" si="5"/>
        <v>766</v>
      </c>
      <c r="B768" s="20" t="s">
        <v>568</v>
      </c>
      <c r="C768" s="21">
        <v>12.260000229999999</v>
      </c>
      <c r="D768" s="17">
        <f>SUM($C$3:C768)/A768</f>
        <v>11.879698179408802</v>
      </c>
    </row>
    <row r="769" spans="1:4">
      <c r="A769" s="17">
        <f t="shared" si="5"/>
        <v>767</v>
      </c>
      <c r="B769" s="20" t="s">
        <v>569</v>
      </c>
      <c r="C769" s="21">
        <v>12.18000031</v>
      </c>
      <c r="D769" s="17">
        <f>SUM($C$3:C769)/A769</f>
        <v>11.880089707610354</v>
      </c>
    </row>
    <row r="770" spans="1:4">
      <c r="A770" s="17">
        <f t="shared" si="5"/>
        <v>768</v>
      </c>
      <c r="B770" s="20" t="s">
        <v>570</v>
      </c>
      <c r="C770" s="21">
        <v>12.039999959999999</v>
      </c>
      <c r="D770" s="17">
        <f>SUM($C$3:C770)/A770</f>
        <v>11.88029792408482</v>
      </c>
    </row>
    <row r="771" spans="1:4">
      <c r="A771" s="17">
        <f t="shared" si="5"/>
        <v>769</v>
      </c>
      <c r="B771" s="20" t="s">
        <v>571</v>
      </c>
      <c r="C771" s="21">
        <v>12.05000019</v>
      </c>
      <c r="D771" s="17">
        <f>SUM($C$3:C771)/A771</f>
        <v>11.880518603234254</v>
      </c>
    </row>
    <row r="772" spans="1:4">
      <c r="A772" s="17">
        <f t="shared" si="5"/>
        <v>770</v>
      </c>
      <c r="B772" s="20" t="s">
        <v>572</v>
      </c>
      <c r="C772" s="21">
        <v>12.010000229999999</v>
      </c>
      <c r="D772" s="17">
        <f>SUM($C$3:C772)/A772</f>
        <v>11.880686761191093</v>
      </c>
    </row>
    <row r="773" spans="1:4">
      <c r="A773" s="17">
        <f t="shared" si="5"/>
        <v>771</v>
      </c>
      <c r="B773" s="20" t="s">
        <v>573</v>
      </c>
      <c r="C773" s="21">
        <v>12.05000019</v>
      </c>
      <c r="D773" s="17">
        <f>SUM($C$3:C773)/A773</f>
        <v>11.880906363563088</v>
      </c>
    </row>
    <row r="774" spans="1:4">
      <c r="A774" s="17">
        <f t="shared" si="5"/>
        <v>772</v>
      </c>
      <c r="B774" s="20" t="s">
        <v>574</v>
      </c>
      <c r="C774" s="21">
        <v>12.31999969</v>
      </c>
      <c r="D774" s="17">
        <f>SUM($C$3:C774)/A774</f>
        <v>11.881475137301997</v>
      </c>
    </row>
    <row r="775" spans="1:4">
      <c r="A775" s="17">
        <f t="shared" si="5"/>
        <v>773</v>
      </c>
      <c r="B775" s="20" t="s">
        <v>575</v>
      </c>
      <c r="C775" s="21">
        <v>12.350000380000001</v>
      </c>
      <c r="D775" s="17">
        <f>SUM($C$3:C775)/A775</f>
        <v>11.882081250164479</v>
      </c>
    </row>
    <row r="776" spans="1:4">
      <c r="A776" s="17">
        <f t="shared" si="5"/>
        <v>774</v>
      </c>
      <c r="B776" s="20" t="s">
        <v>576</v>
      </c>
      <c r="C776" s="21">
        <v>12.31000042</v>
      </c>
      <c r="D776" s="17">
        <f>SUM($C$3:C776)/A776</f>
        <v>11.882634117308969</v>
      </c>
    </row>
    <row r="777" spans="1:4">
      <c r="A777" s="17">
        <f t="shared" si="5"/>
        <v>775</v>
      </c>
      <c r="B777" s="20" t="s">
        <v>577</v>
      </c>
      <c r="C777" s="21">
        <v>12.27000046</v>
      </c>
      <c r="D777" s="17">
        <f>SUM($C$3:C777)/A777</f>
        <v>11.883133944847925</v>
      </c>
    </row>
    <row r="778" spans="1:4">
      <c r="A778" s="17">
        <f t="shared" si="5"/>
        <v>776</v>
      </c>
      <c r="B778" s="20" t="s">
        <v>578</v>
      </c>
      <c r="C778" s="21">
        <v>12.210000040000001</v>
      </c>
      <c r="D778" s="17">
        <f>SUM($C$3:C778)/A778</f>
        <v>11.88355516404271</v>
      </c>
    </row>
    <row r="779" spans="1:4">
      <c r="A779" s="17">
        <f t="shared" si="5"/>
        <v>777</v>
      </c>
      <c r="B779" s="20" t="s">
        <v>579</v>
      </c>
      <c r="C779" s="21">
        <v>12.18999958</v>
      </c>
      <c r="D779" s="17">
        <f>SUM($C$3:C779)/A779</f>
        <v>11.88394955840044</v>
      </c>
    </row>
    <row r="780" spans="1:4">
      <c r="A780" s="17">
        <f t="shared" si="5"/>
        <v>778</v>
      </c>
      <c r="B780" s="20" t="s">
        <v>580</v>
      </c>
      <c r="C780" s="21">
        <v>12.149999619999999</v>
      </c>
      <c r="D780" s="17">
        <f>SUM($C$3:C780)/A780</f>
        <v>11.884291525060593</v>
      </c>
    </row>
    <row r="781" spans="1:4">
      <c r="A781" s="17">
        <f t="shared" si="5"/>
        <v>779</v>
      </c>
      <c r="B781" s="20" t="s">
        <v>581</v>
      </c>
      <c r="C781" s="21">
        <v>12.18000031</v>
      </c>
      <c r="D781" s="17">
        <f>SUM($C$3:C781)/A781</f>
        <v>11.884671125554739</v>
      </c>
    </row>
    <row r="782" spans="1:4">
      <c r="A782" s="17">
        <f t="shared" si="5"/>
        <v>780</v>
      </c>
      <c r="B782" s="20">
        <v>45470</v>
      </c>
      <c r="C782" s="21">
        <v>12.10999966</v>
      </c>
      <c r="D782" s="17">
        <f>SUM($C$3:C782)/A782</f>
        <v>11.884960008291207</v>
      </c>
    </row>
    <row r="783" spans="1:4">
      <c r="A783" s="17">
        <f t="shared" si="5"/>
        <v>781</v>
      </c>
      <c r="B783" s="20">
        <v>45471</v>
      </c>
      <c r="C783" s="21">
        <v>12.15999985</v>
      </c>
      <c r="D783" s="17">
        <f>SUM($C$3:C783)/A783</f>
        <v>11.885312171980976</v>
      </c>
    </row>
    <row r="784" spans="1:4">
      <c r="A784" s="17">
        <f t="shared" si="5"/>
        <v>782</v>
      </c>
      <c r="B784" s="20" t="s">
        <v>582</v>
      </c>
      <c r="C784" s="21">
        <v>12.25</v>
      </c>
      <c r="D784" s="17">
        <f>SUM($C$3:C784)/A784</f>
        <v>11.885778524702229</v>
      </c>
    </row>
    <row r="785" spans="1:4">
      <c r="A785" s="17">
        <f t="shared" si="5"/>
        <v>783</v>
      </c>
      <c r="B785" s="20" t="s">
        <v>583</v>
      </c>
      <c r="C785" s="21">
        <v>12.27000046</v>
      </c>
      <c r="D785" s="17">
        <f>SUM($C$3:C785)/A785</f>
        <v>11.886269229600437</v>
      </c>
    </row>
    <row r="786" spans="1:4">
      <c r="A786" s="17">
        <f t="shared" si="5"/>
        <v>784</v>
      </c>
      <c r="B786" s="20" t="s">
        <v>584</v>
      </c>
      <c r="C786" s="21">
        <v>12.210000040000001</v>
      </c>
      <c r="D786" s="17">
        <f>SUM($C$3:C786)/A786</f>
        <v>11.886682151552478</v>
      </c>
    </row>
    <row r="787" spans="1:4">
      <c r="A787" s="17">
        <f t="shared" si="5"/>
        <v>785</v>
      </c>
      <c r="B787" s="20" t="s">
        <v>585</v>
      </c>
      <c r="C787" s="21">
        <v>12.18999958</v>
      </c>
      <c r="D787" s="17">
        <f>SUM($C$3:C787)/A787</f>
        <v>11.887068543181073</v>
      </c>
    </row>
    <row r="788" spans="1:4">
      <c r="A788" s="17">
        <f t="shared" si="5"/>
        <v>786</v>
      </c>
      <c r="B788" s="20" t="s">
        <v>586</v>
      </c>
      <c r="C788" s="21">
        <v>12.10999966</v>
      </c>
      <c r="D788" s="17">
        <f>SUM($C$3:C788)/A788</f>
        <v>11.887352170556161</v>
      </c>
    </row>
    <row r="789" spans="1:4">
      <c r="A789" s="17">
        <f t="shared" si="5"/>
        <v>787</v>
      </c>
      <c r="B789" s="20" t="s">
        <v>587</v>
      </c>
      <c r="C789" s="21">
        <v>12.039999959999999</v>
      </c>
      <c r="D789" s="17">
        <f>SUM($C$3:C789)/A789</f>
        <v>11.887546132169176</v>
      </c>
    </row>
    <row r="790" spans="1:4">
      <c r="A790" s="17">
        <f t="shared" si="5"/>
        <v>788</v>
      </c>
      <c r="B790" s="20" t="s">
        <v>588</v>
      </c>
      <c r="C790" s="21">
        <v>12.15999985</v>
      </c>
      <c r="D790" s="17">
        <f>SUM($C$3:C790)/A790</f>
        <v>11.887891885618201</v>
      </c>
    </row>
    <row r="791" spans="1:4">
      <c r="A791" s="17">
        <f t="shared" si="5"/>
        <v>789</v>
      </c>
      <c r="B791" s="20" t="s">
        <v>589</v>
      </c>
      <c r="C791" s="21">
        <v>12.10999966</v>
      </c>
      <c r="D791" s="17">
        <f>SUM($C$3:C791)/A791</f>
        <v>11.88817339103567</v>
      </c>
    </row>
    <row r="792" spans="1:4">
      <c r="A792" s="17">
        <f t="shared" si="5"/>
        <v>790</v>
      </c>
      <c r="B792" s="20" t="s">
        <v>590</v>
      </c>
      <c r="C792" s="21">
        <v>12.210000040000001</v>
      </c>
      <c r="D792" s="17">
        <f>SUM($C$3:C792)/A792</f>
        <v>11.888580766540688</v>
      </c>
    </row>
    <row r="793" spans="1:4">
      <c r="A793" s="17">
        <f t="shared" si="5"/>
        <v>791</v>
      </c>
      <c r="B793" s="20" t="s">
        <v>591</v>
      </c>
      <c r="C793" s="21">
        <v>12.22999954</v>
      </c>
      <c r="D793" s="17">
        <f>SUM($C$3:C793)/A793</f>
        <v>11.889012395837097</v>
      </c>
    </row>
    <row r="794" spans="1:4">
      <c r="A794" s="17">
        <f t="shared" si="5"/>
        <v>792</v>
      </c>
      <c r="B794" s="20" t="s">
        <v>592</v>
      </c>
      <c r="C794" s="21">
        <v>12.27000046</v>
      </c>
      <c r="D794" s="17">
        <f>SUM($C$3:C794)/A794</f>
        <v>11.889493441372656</v>
      </c>
    </row>
    <row r="795" spans="1:4">
      <c r="A795" s="17">
        <f t="shared" si="5"/>
        <v>793</v>
      </c>
      <c r="B795" s="20" t="s">
        <v>593</v>
      </c>
      <c r="C795" s="21">
        <v>12.289999959999999</v>
      </c>
      <c r="D795" s="17">
        <f>SUM($C$3:C795)/A795</f>
        <v>11.889998493729058</v>
      </c>
    </row>
    <row r="796" spans="1:4">
      <c r="A796" s="17">
        <f t="shared" si="5"/>
        <v>794</v>
      </c>
      <c r="B796" s="20" t="s">
        <v>594</v>
      </c>
      <c r="C796" s="21">
        <v>12.260000229999999</v>
      </c>
      <c r="D796" s="17">
        <f>SUM($C$3:C796)/A796</f>
        <v>11.890464490878013</v>
      </c>
    </row>
    <row r="797" spans="1:4">
      <c r="A797" s="17">
        <f t="shared" si="5"/>
        <v>795</v>
      </c>
      <c r="B797" s="20" t="s">
        <v>595</v>
      </c>
      <c r="C797" s="21">
        <v>12.329999920000001</v>
      </c>
      <c r="D797" s="17">
        <f>SUM($C$3:C797)/A797</f>
        <v>11.891017365631628</v>
      </c>
    </row>
    <row r="798" spans="1:4">
      <c r="A798" s="17">
        <f t="shared" si="5"/>
        <v>796</v>
      </c>
      <c r="B798" s="20" t="s">
        <v>596</v>
      </c>
      <c r="C798" s="21">
        <v>12.34000015</v>
      </c>
      <c r="D798" s="17">
        <f>SUM($C$3:C798)/A798</f>
        <v>11.891581414355707</v>
      </c>
    </row>
    <row r="799" spans="1:4">
      <c r="A799" s="17">
        <f t="shared" si="5"/>
        <v>797</v>
      </c>
      <c r="B799" s="20" t="s">
        <v>597</v>
      </c>
      <c r="C799" s="21">
        <v>12.22999954</v>
      </c>
      <c r="D799" s="17">
        <f>SUM($C$3:C799)/A799</f>
        <v>11.892006029318877</v>
      </c>
    </row>
    <row r="800" spans="1:4">
      <c r="A800" s="17">
        <f t="shared" si="5"/>
        <v>798</v>
      </c>
      <c r="B800" s="20" t="s">
        <v>598</v>
      </c>
      <c r="C800" s="21">
        <v>12.039999959999999</v>
      </c>
      <c r="D800" s="17">
        <f>SUM($C$3:C800)/A800</f>
        <v>11.892191485372361</v>
      </c>
    </row>
    <row r="801" spans="1:4">
      <c r="A801" s="17">
        <f t="shared" si="5"/>
        <v>799</v>
      </c>
      <c r="B801" s="20" t="s">
        <v>599</v>
      </c>
      <c r="C801" s="21">
        <v>12.039999959999999</v>
      </c>
      <c r="D801" s="17">
        <f>SUM($C$3:C801)/A801</f>
        <v>11.892376477205437</v>
      </c>
    </row>
    <row r="802" spans="1:4">
      <c r="A802" s="17">
        <f t="shared" si="5"/>
        <v>800</v>
      </c>
      <c r="B802" s="20" t="s">
        <v>600</v>
      </c>
      <c r="C802" s="21">
        <v>11.90999985</v>
      </c>
      <c r="D802" s="17">
        <f>SUM($C$3:C802)/A802</f>
        <v>11.892398506421429</v>
      </c>
    </row>
    <row r="803" spans="1:4">
      <c r="A803" s="17">
        <f t="shared" si="5"/>
        <v>801</v>
      </c>
      <c r="B803" s="20" t="s">
        <v>601</v>
      </c>
      <c r="C803" s="21">
        <v>11.899999619999999</v>
      </c>
      <c r="D803" s="17">
        <f>SUM($C$3:C803)/A803</f>
        <v>11.892407995951491</v>
      </c>
    </row>
    <row r="804" spans="1:4">
      <c r="A804" s="17">
        <f t="shared" si="5"/>
        <v>802</v>
      </c>
      <c r="B804" s="20" t="s">
        <v>602</v>
      </c>
      <c r="C804" s="21">
        <v>11.869999890000001</v>
      </c>
      <c r="D804" s="17">
        <f>SUM($C$3:C804)/A804</f>
        <v>11.892380055669754</v>
      </c>
    </row>
    <row r="805" spans="1:4">
      <c r="A805" s="17">
        <f t="shared" si="5"/>
        <v>803</v>
      </c>
      <c r="B805" s="20">
        <v>45503</v>
      </c>
      <c r="C805" s="21">
        <v>11.760000229999999</v>
      </c>
      <c r="D805" s="17">
        <f>SUM($C$3:C805)/A805</f>
        <v>11.892215199099805</v>
      </c>
    </row>
    <row r="806" spans="1:4">
      <c r="A806" s="17">
        <f t="shared" si="5"/>
        <v>804</v>
      </c>
      <c r="B806" s="20">
        <v>45504</v>
      </c>
      <c r="C806" s="21">
        <v>11.960000040000001</v>
      </c>
      <c r="D806" s="17">
        <f>SUM($C$3:C806)/A806</f>
        <v>11.892299508603413</v>
      </c>
    </row>
    <row r="807" spans="1:4">
      <c r="A807" s="17">
        <f t="shared" ref="A807:A1061" si="6">A806+1</f>
        <v>805</v>
      </c>
      <c r="B807" s="37" t="s">
        <v>603</v>
      </c>
      <c r="C807" s="38">
        <v>11.89000034</v>
      </c>
      <c r="D807" s="17">
        <f>SUM(C$3:C807)/A807</f>
        <v>11.892296652493346</v>
      </c>
    </row>
    <row r="808" spans="1:4">
      <c r="A808" s="17">
        <f t="shared" si="6"/>
        <v>806</v>
      </c>
      <c r="B808" s="37" t="s">
        <v>604</v>
      </c>
      <c r="C808" s="38">
        <v>11.77999973</v>
      </c>
      <c r="D808" s="17">
        <f>SUM(C$3:C808)/A808</f>
        <v>11.89215732628678</v>
      </c>
    </row>
    <row r="809" spans="1:4">
      <c r="A809" s="17">
        <f t="shared" si="6"/>
        <v>807</v>
      </c>
      <c r="B809" s="37" t="s">
        <v>605</v>
      </c>
      <c r="C809" s="38">
        <v>11.649999619999999</v>
      </c>
      <c r="D809" s="17">
        <f>SUM(C$3:C809)/A809</f>
        <v>11.891857254779609</v>
      </c>
    </row>
    <row r="810" spans="1:4">
      <c r="A810" s="17">
        <f t="shared" si="6"/>
        <v>808</v>
      </c>
      <c r="B810" s="37" t="s">
        <v>606</v>
      </c>
      <c r="C810" s="38">
        <v>11.630000109999999</v>
      </c>
      <c r="D810" s="17">
        <f>SUM(C$3:C810)/A810</f>
        <v>11.891533174154883</v>
      </c>
    </row>
    <row r="811" spans="1:4">
      <c r="A811" s="17">
        <f t="shared" si="6"/>
        <v>809</v>
      </c>
      <c r="B811" s="37" t="s">
        <v>607</v>
      </c>
      <c r="C811" s="38">
        <v>11.649999619999999</v>
      </c>
      <c r="D811" s="17">
        <f>SUM(C$3:C811)/A811</f>
        <v>11.891234615991527</v>
      </c>
    </row>
    <row r="812" spans="1:4">
      <c r="A812" s="17">
        <f t="shared" si="6"/>
        <v>810</v>
      </c>
      <c r="B812" s="37" t="s">
        <v>608</v>
      </c>
      <c r="C812" s="38">
        <v>11.670000079999999</v>
      </c>
      <c r="D812" s="17">
        <f>SUM(C$3:C812)/A812</f>
        <v>11.890961486934746</v>
      </c>
    </row>
    <row r="813" spans="1:4">
      <c r="A813" s="17">
        <f t="shared" si="6"/>
        <v>811</v>
      </c>
      <c r="B813" s="37" t="s">
        <v>609</v>
      </c>
      <c r="C813" s="38">
        <v>11.65999985</v>
      </c>
      <c r="D813" s="17">
        <f>SUM(C$3:C813)/A813</f>
        <v>11.890676700699316</v>
      </c>
    </row>
    <row r="814" spans="1:4">
      <c r="A814" s="17">
        <f t="shared" si="6"/>
        <v>812</v>
      </c>
      <c r="B814" s="37" t="s">
        <v>610</v>
      </c>
      <c r="C814" s="38">
        <v>11.65999985</v>
      </c>
      <c r="D814" s="17">
        <f>SUM(C$3:C814)/A814</f>
        <v>11.890392615907814</v>
      </c>
    </row>
    <row r="815" spans="1:4">
      <c r="A815" s="17">
        <f t="shared" si="6"/>
        <v>813</v>
      </c>
      <c r="B815" s="37" t="s">
        <v>611</v>
      </c>
      <c r="C815" s="38">
        <v>11.68000031</v>
      </c>
      <c r="D815" s="17">
        <f>SUM(C$3:C815)/A815</f>
        <v>11.890133830783697</v>
      </c>
    </row>
    <row r="816" spans="1:4">
      <c r="A816" s="17">
        <f t="shared" si="6"/>
        <v>814</v>
      </c>
      <c r="B816" s="37" t="s">
        <v>612</v>
      </c>
      <c r="C816" s="38">
        <v>11.60999966</v>
      </c>
      <c r="D816" s="17">
        <f>SUM(C$3:C816)/A816</f>
        <v>11.889789685610744</v>
      </c>
    </row>
    <row r="817" spans="1:4">
      <c r="A817" s="17">
        <f t="shared" si="6"/>
        <v>815</v>
      </c>
      <c r="B817" s="37" t="s">
        <v>613</v>
      </c>
      <c r="C817" s="38">
        <v>11.710000040000001</v>
      </c>
      <c r="D817" s="17">
        <f>SUM(C$3:C817)/A817</f>
        <v>11.889569084818584</v>
      </c>
    </row>
    <row r="818" spans="1:4">
      <c r="A818" s="17">
        <f t="shared" si="6"/>
        <v>816</v>
      </c>
      <c r="B818" s="37" t="s">
        <v>614</v>
      </c>
      <c r="C818" s="38">
        <v>11.760000229999999</v>
      </c>
      <c r="D818" s="17">
        <f>SUM(C$3:C818)/A818</f>
        <v>11.889410299457287</v>
      </c>
    </row>
    <row r="819" spans="1:4">
      <c r="A819" s="17">
        <f t="shared" si="6"/>
        <v>817</v>
      </c>
      <c r="B819" s="37" t="s">
        <v>615</v>
      </c>
      <c r="C819" s="38">
        <v>11.755000000000001</v>
      </c>
      <c r="D819" s="17">
        <f>SUM(C$3:C819)/A819</f>
        <v>11.889245782566887</v>
      </c>
    </row>
    <row r="820" spans="1:4">
      <c r="A820" s="17">
        <f t="shared" si="6"/>
        <v>818</v>
      </c>
      <c r="B820" s="37" t="s">
        <v>616</v>
      </c>
      <c r="C820" s="38">
        <v>11.75</v>
      </c>
      <c r="D820" s="17">
        <f>SUM(C$3:C820)/A820</f>
        <v>11.889075555448834</v>
      </c>
    </row>
    <row r="821" spans="1:4">
      <c r="A821" s="17">
        <f t="shared" si="6"/>
        <v>819</v>
      </c>
      <c r="B821" s="37" t="s">
        <v>617</v>
      </c>
      <c r="C821" s="38">
        <v>11.72000027</v>
      </c>
      <c r="D821" s="17">
        <f>SUM(C$3:C821)/A821</f>
        <v>11.888869114318858</v>
      </c>
    </row>
    <row r="822" spans="1:4">
      <c r="A822" s="17">
        <f t="shared" si="6"/>
        <v>820</v>
      </c>
      <c r="B822" s="37" t="s">
        <v>618</v>
      </c>
      <c r="C822" s="38">
        <v>11.72999954</v>
      </c>
      <c r="D822" s="17">
        <f>SUM(C$3:C822)/A822</f>
        <v>11.888675370935545</v>
      </c>
    </row>
    <row r="823" spans="1:4">
      <c r="A823" s="17">
        <f t="shared" si="6"/>
        <v>821</v>
      </c>
      <c r="B823" s="37" t="s">
        <v>619</v>
      </c>
      <c r="C823" s="38">
        <v>11.77999973</v>
      </c>
      <c r="D823" s="17">
        <f>SUM(C$3:C823)/A823</f>
        <v>11.888543001092749</v>
      </c>
    </row>
    <row r="824" spans="1:4">
      <c r="A824" s="17">
        <f t="shared" si="6"/>
        <v>822</v>
      </c>
      <c r="B824" s="37" t="s">
        <v>620</v>
      </c>
      <c r="C824" s="38">
        <v>11.77000046</v>
      </c>
      <c r="D824" s="17">
        <f>SUM(C$3:C824)/A824</f>
        <v>11.888398788755651</v>
      </c>
    </row>
    <row r="825" spans="1:4">
      <c r="A825" s="17">
        <f t="shared" si="6"/>
        <v>823</v>
      </c>
      <c r="B825" s="37" t="s">
        <v>621</v>
      </c>
      <c r="C825" s="38">
        <v>11.77999973</v>
      </c>
      <c r="D825" s="17">
        <f>SUM(C$3:C825)/A825</f>
        <v>11.888267076655099</v>
      </c>
    </row>
    <row r="826" spans="1:4">
      <c r="A826" s="17">
        <f t="shared" si="6"/>
        <v>824</v>
      </c>
      <c r="B826" s="37" t="s">
        <v>622</v>
      </c>
      <c r="C826" s="38">
        <v>11.69999981</v>
      </c>
      <c r="D826" s="17">
        <f>SUM(C$3:C826)/A826</f>
        <v>11.888038596962557</v>
      </c>
    </row>
    <row r="827" spans="1:4">
      <c r="A827" s="17">
        <f t="shared" si="6"/>
        <v>825</v>
      </c>
      <c r="B827" s="37">
        <v>45533</v>
      </c>
      <c r="C827" s="38">
        <v>11.600000380000001</v>
      </c>
      <c r="D827" s="17">
        <f>SUM(C$3:C827)/A827</f>
        <v>11.887689459729875</v>
      </c>
    </row>
    <row r="828" spans="1:4">
      <c r="A828" s="17">
        <f t="shared" si="6"/>
        <v>826</v>
      </c>
      <c r="B828" s="37">
        <v>45534</v>
      </c>
      <c r="C828" s="38">
        <v>11.69999981</v>
      </c>
      <c r="D828" s="17">
        <f>SUM(C$3:C828)/A828</f>
        <v>11.887462232551025</v>
      </c>
    </row>
    <row r="829" spans="1:4">
      <c r="A829" s="17">
        <f t="shared" si="6"/>
        <v>827</v>
      </c>
      <c r="B829" s="37" t="s">
        <v>623</v>
      </c>
      <c r="C829" s="38">
        <v>11.350000380000001</v>
      </c>
      <c r="D829" s="17">
        <f>SUM(C$3:C829)/A829</f>
        <v>11.886812339138025</v>
      </c>
    </row>
    <row r="830" spans="1:4">
      <c r="A830" s="17">
        <f t="shared" si="6"/>
        <v>828</v>
      </c>
      <c r="B830" s="37" t="s">
        <v>624</v>
      </c>
      <c r="C830" s="38">
        <v>11.289999959999999</v>
      </c>
      <c r="D830" s="17">
        <f>SUM(C$3:C830)/A830</f>
        <v>11.886091551240515</v>
      </c>
    </row>
    <row r="831" spans="1:4">
      <c r="A831" s="17">
        <f t="shared" si="6"/>
        <v>829</v>
      </c>
      <c r="B831" s="37" t="s">
        <v>625</v>
      </c>
      <c r="C831" s="38">
        <v>11.19999981</v>
      </c>
      <c r="D831" s="17">
        <f>SUM(C$3:C831)/A831</f>
        <v>11.885263937559888</v>
      </c>
    </row>
    <row r="832" spans="1:4">
      <c r="A832" s="17">
        <f t="shared" si="6"/>
        <v>830</v>
      </c>
      <c r="B832" s="37" t="s">
        <v>626</v>
      </c>
      <c r="C832" s="38">
        <v>11.19999981</v>
      </c>
      <c r="D832" s="17">
        <f>SUM(C$3:C832)/A832</f>
        <v>11.884438318129092</v>
      </c>
    </row>
    <row r="833" spans="1:4">
      <c r="A833" s="17">
        <f t="shared" si="6"/>
        <v>831</v>
      </c>
      <c r="B833" s="37" t="s">
        <v>627</v>
      </c>
      <c r="C833" s="38">
        <v>11.10999966</v>
      </c>
      <c r="D833" s="17">
        <f>SUM(C$3:C833)/A833</f>
        <v>11.883506382319069</v>
      </c>
    </row>
    <row r="834" spans="1:4">
      <c r="A834" s="17">
        <f t="shared" si="6"/>
        <v>832</v>
      </c>
      <c r="B834" s="37" t="s">
        <v>628</v>
      </c>
      <c r="C834" s="38">
        <v>10.97000027</v>
      </c>
      <c r="D834" s="17">
        <f>SUM(C$3:C834)/A834</f>
        <v>11.882408418241763</v>
      </c>
    </row>
    <row r="835" spans="1:4">
      <c r="A835" s="17">
        <f t="shared" si="6"/>
        <v>833</v>
      </c>
      <c r="B835" s="37" t="s">
        <v>629</v>
      </c>
      <c r="C835" s="38">
        <v>11.010000229999999</v>
      </c>
      <c r="D835" s="17">
        <f>SUM(C$3:C835)/A835</f>
        <v>11.881361109492373</v>
      </c>
    </row>
    <row r="836" spans="1:4">
      <c r="A836" s="17">
        <f t="shared" si="6"/>
        <v>834</v>
      </c>
      <c r="B836" s="37" t="s">
        <v>630</v>
      </c>
      <c r="C836" s="38">
        <v>10.920000079999999</v>
      </c>
      <c r="D836" s="17">
        <f>SUM(C$3:C836)/A836</f>
        <v>11.880208398425834</v>
      </c>
    </row>
    <row r="837" spans="1:4">
      <c r="A837" s="17">
        <f t="shared" si="6"/>
        <v>835</v>
      </c>
      <c r="B837" s="37" t="s">
        <v>631</v>
      </c>
      <c r="C837" s="38">
        <v>10.89000034</v>
      </c>
      <c r="D837" s="17">
        <f>SUM(C$3:C837)/A837</f>
        <v>11.879022520511551</v>
      </c>
    </row>
    <row r="838" spans="1:4">
      <c r="A838" s="17">
        <f t="shared" si="6"/>
        <v>836</v>
      </c>
      <c r="B838" s="37" t="s">
        <v>632</v>
      </c>
      <c r="C838" s="38">
        <v>10.850000380000001</v>
      </c>
      <c r="D838" s="17">
        <f>SUM(C$3:C838)/A838</f>
        <v>11.877791632783666</v>
      </c>
    </row>
    <row r="839" spans="1:4">
      <c r="A839" s="17">
        <f t="shared" si="6"/>
        <v>837</v>
      </c>
      <c r="B839" s="37" t="s">
        <v>633</v>
      </c>
      <c r="C839" s="38">
        <v>10.93999958</v>
      </c>
      <c r="D839" s="17">
        <f>SUM(C$3:C839)/A839</f>
        <v>11.87667121217102</v>
      </c>
    </row>
    <row r="840" spans="1:4">
      <c r="A840" s="17">
        <f t="shared" si="6"/>
        <v>838</v>
      </c>
      <c r="B840" s="37" t="s">
        <v>634</v>
      </c>
      <c r="C840" s="38">
        <v>10.97000027</v>
      </c>
      <c r="D840" s="17">
        <f>SUM(C$3:C840)/A840</f>
        <v>11.875589265939313</v>
      </c>
    </row>
    <row r="841" spans="1:4">
      <c r="A841" s="17">
        <f t="shared" si="6"/>
        <v>839</v>
      </c>
      <c r="B841" s="37" t="s">
        <v>635</v>
      </c>
      <c r="C841" s="38">
        <v>11</v>
      </c>
      <c r="D841" s="17">
        <f>SUM(C$3:C841)/A841</f>
        <v>11.874545655372042</v>
      </c>
    </row>
    <row r="842" spans="1:4">
      <c r="A842" s="17">
        <f t="shared" si="6"/>
        <v>840</v>
      </c>
      <c r="B842" s="37" t="s">
        <v>636</v>
      </c>
      <c r="C842" s="38">
        <v>11.06000042</v>
      </c>
      <c r="D842" s="17">
        <f>SUM(C$3:C842)/A842</f>
        <v>11.873575958663267</v>
      </c>
    </row>
    <row r="843" spans="1:4">
      <c r="A843" s="17">
        <f t="shared" si="6"/>
        <v>841</v>
      </c>
      <c r="B843" s="37" t="s">
        <v>637</v>
      </c>
      <c r="C843" s="38">
        <v>11.55000019</v>
      </c>
      <c r="D843" s="17">
        <f>SUM(C$3:C843)/A843</f>
        <v>11.873191207452015</v>
      </c>
    </row>
    <row r="844" spans="1:4">
      <c r="A844" s="17">
        <f t="shared" si="6"/>
        <v>842</v>
      </c>
      <c r="B844" s="37" t="s">
        <v>638</v>
      </c>
      <c r="C844" s="38">
        <v>11.69999981</v>
      </c>
      <c r="D844" s="17">
        <f>SUM(C$3:C844)/A844</f>
        <v>11.872985516956229</v>
      </c>
    </row>
    <row r="845" spans="1:4">
      <c r="A845" s="17">
        <f t="shared" si="6"/>
        <v>843</v>
      </c>
      <c r="B845" s="37" t="s">
        <v>639</v>
      </c>
      <c r="C845" s="38">
        <v>12.14000034</v>
      </c>
      <c r="D845" s="17">
        <f>SUM(C$3:C845)/A845</f>
        <v>11.873302260518557</v>
      </c>
    </row>
    <row r="846" spans="1:4">
      <c r="A846" s="17">
        <f t="shared" si="6"/>
        <v>844</v>
      </c>
      <c r="B846" s="37">
        <v>45562</v>
      </c>
      <c r="C846" s="38">
        <v>12.52000046</v>
      </c>
      <c r="D846" s="17">
        <f>SUM(C$3:C846)/A846</f>
        <v>11.874068490612729</v>
      </c>
    </row>
    <row r="847" spans="1:4">
      <c r="A847" s="17">
        <f t="shared" si="6"/>
        <v>845</v>
      </c>
      <c r="B847" s="37">
        <v>45565</v>
      </c>
      <c r="C847" s="38">
        <v>13.47999954</v>
      </c>
      <c r="D847" s="17">
        <f>SUM(C$3:C847)/A847</f>
        <v>11.875969000730349</v>
      </c>
    </row>
    <row r="848" spans="1:4">
      <c r="A848" s="17">
        <f t="shared" si="6"/>
        <v>846</v>
      </c>
      <c r="B848" s="37" t="s">
        <v>640</v>
      </c>
      <c r="C848" s="38">
        <v>14.100000380000001</v>
      </c>
      <c r="D848" s="17">
        <f>SUM(C$3:C848)/A848</f>
        <v>11.878597879429249</v>
      </c>
    </row>
    <row r="849" spans="1:4">
      <c r="A849" s="17">
        <f t="shared" si="6"/>
        <v>847</v>
      </c>
      <c r="B849" s="37" t="s">
        <v>641</v>
      </c>
      <c r="C849" s="38">
        <v>13.09000015</v>
      </c>
      <c r="D849" s="17">
        <f>SUM(C$3:C849)/A849</f>
        <v>11.880028106431102</v>
      </c>
    </row>
    <row r="850" spans="1:4">
      <c r="A850" s="17">
        <f t="shared" si="6"/>
        <v>848</v>
      </c>
      <c r="B850" s="37" t="s">
        <v>642</v>
      </c>
      <c r="C850" s="38">
        <v>13.329999920000001</v>
      </c>
      <c r="D850" s="17">
        <f>SUM(C$3:C850)/A850</f>
        <v>11.881737978852764</v>
      </c>
    </row>
    <row r="851" spans="1:4">
      <c r="A851" s="17">
        <f t="shared" si="6"/>
        <v>849</v>
      </c>
      <c r="B851" s="37" t="s">
        <v>643</v>
      </c>
      <c r="C851" s="38">
        <v>13.02000046</v>
      </c>
      <c r="D851" s="17">
        <f>SUM(C$3:C851)/A851</f>
        <v>11.883078688488979</v>
      </c>
    </row>
    <row r="852" spans="1:4">
      <c r="A852" s="17">
        <f t="shared" si="6"/>
        <v>850</v>
      </c>
      <c r="B852" s="37" t="s">
        <v>644</v>
      </c>
      <c r="C852" s="38">
        <v>13.260000229999999</v>
      </c>
      <c r="D852" s="17">
        <f>SUM(C$3:C852)/A852</f>
        <v>11.884698596184876</v>
      </c>
    </row>
    <row r="853" spans="1:4">
      <c r="A853" s="17">
        <f t="shared" si="6"/>
        <v>851</v>
      </c>
      <c r="B853" s="37" t="s">
        <v>645</v>
      </c>
      <c r="C853" s="38">
        <v>12.89000034</v>
      </c>
      <c r="D853" s="17">
        <f>SUM(C$3:C853)/A853</f>
        <v>11.885879914332719</v>
      </c>
    </row>
    <row r="854" spans="1:4">
      <c r="A854" s="17">
        <f t="shared" si="6"/>
        <v>852</v>
      </c>
      <c r="B854" s="37" t="s">
        <v>646</v>
      </c>
      <c r="C854" s="38">
        <v>12.829999920000001</v>
      </c>
      <c r="D854" s="17">
        <f>SUM(C$3:C854)/A854</f>
        <v>11.886988036405098</v>
      </c>
    </row>
    <row r="855" spans="1:4">
      <c r="A855" s="17">
        <f t="shared" si="6"/>
        <v>853</v>
      </c>
      <c r="B855" s="37" t="s">
        <v>647</v>
      </c>
      <c r="C855" s="38">
        <v>12.670000079999999</v>
      </c>
      <c r="D855" s="17">
        <f>SUM(C$3:C855)/A855</f>
        <v>11.887905987218222</v>
      </c>
    </row>
    <row r="856" spans="1:4">
      <c r="A856" s="17">
        <f t="shared" si="6"/>
        <v>854</v>
      </c>
      <c r="B856" s="37" t="s">
        <v>648</v>
      </c>
      <c r="C856" s="38">
        <v>13.039999959999999</v>
      </c>
      <c r="D856" s="17">
        <f>SUM(C$3:C856)/A856</f>
        <v>11.889255043392438</v>
      </c>
    </row>
    <row r="857" spans="1:4">
      <c r="A857" s="17">
        <f t="shared" si="6"/>
        <v>855</v>
      </c>
      <c r="B857" s="37" t="s">
        <v>649</v>
      </c>
      <c r="C857" s="38">
        <v>13.010000229999999</v>
      </c>
      <c r="D857" s="17">
        <f>SUM(C$3:C857)/A857</f>
        <v>11.890565856476192</v>
      </c>
    </row>
    <row r="858" spans="1:4">
      <c r="A858" s="17">
        <f t="shared" si="6"/>
        <v>856</v>
      </c>
      <c r="B858" s="37" t="s">
        <v>650</v>
      </c>
      <c r="C858" s="38">
        <v>13.100000380000001</v>
      </c>
      <c r="D858" s="17">
        <f>SUM(C$3:C858)/A858</f>
        <v>11.891978747274701</v>
      </c>
    </row>
    <row r="859" spans="1:4">
      <c r="A859" s="17">
        <f t="shared" si="6"/>
        <v>857</v>
      </c>
      <c r="B859" s="37" t="s">
        <v>651</v>
      </c>
      <c r="C859" s="38">
        <v>13.14000034</v>
      </c>
      <c r="D859" s="17">
        <f>SUM(C$3:C859)/A859</f>
        <v>11.893435015177529</v>
      </c>
    </row>
    <row r="860" spans="1:4">
      <c r="A860" s="17">
        <f t="shared" si="6"/>
        <v>858</v>
      </c>
      <c r="B860" s="37" t="s">
        <v>652</v>
      </c>
      <c r="C860" s="38">
        <v>13.02000046</v>
      </c>
      <c r="D860" s="17">
        <f>SUM(C$3:C860)/A860</f>
        <v>11.894748028516483</v>
      </c>
    </row>
    <row r="861" spans="1:4">
      <c r="A861" s="17">
        <f t="shared" si="6"/>
        <v>859</v>
      </c>
      <c r="B861" s="37" t="s">
        <v>653</v>
      </c>
      <c r="C861" s="38">
        <v>13.06999969</v>
      </c>
      <c r="D861" s="17">
        <f>SUM(C$3:C861)/A861</f>
        <v>11.89611619110261</v>
      </c>
    </row>
    <row r="862" spans="1:4">
      <c r="A862" s="17">
        <f t="shared" si="6"/>
        <v>860</v>
      </c>
      <c r="B862" s="37" t="s">
        <v>654</v>
      </c>
      <c r="C862" s="38">
        <v>13.079999920000001</v>
      </c>
      <c r="D862" s="17">
        <f>SUM(C$3:C862)/A862</f>
        <v>11.897492800089701</v>
      </c>
    </row>
    <row r="863" spans="1:4">
      <c r="A863" s="17">
        <f t="shared" si="6"/>
        <v>861</v>
      </c>
      <c r="B863" s="37" t="s">
        <v>655</v>
      </c>
      <c r="C863" s="38">
        <v>12.94999981</v>
      </c>
      <c r="D863" s="17">
        <f>SUM(C$3:C863)/A863</f>
        <v>11.89871522402688</v>
      </c>
    </row>
    <row r="864" spans="1:4">
      <c r="A864" s="17">
        <f t="shared" si="6"/>
        <v>862</v>
      </c>
      <c r="B864" s="37">
        <v>45595</v>
      </c>
      <c r="C864" s="38">
        <v>12.81000042</v>
      </c>
      <c r="D864" s="17">
        <f>SUM(C$3:C864)/A864</f>
        <v>11.89977239942824</v>
      </c>
    </row>
    <row r="865" spans="1:4">
      <c r="A865" s="17">
        <f t="shared" si="6"/>
        <v>863</v>
      </c>
      <c r="B865" s="37">
        <v>45596</v>
      </c>
      <c r="C865" s="38">
        <v>12.789999959999999</v>
      </c>
      <c r="D865" s="17">
        <f>SUM(C$3:C865)/A865</f>
        <v>11.900803949324615</v>
      </c>
    </row>
    <row r="866" spans="1:4">
      <c r="A866" s="17">
        <f t="shared" si="6"/>
        <v>864</v>
      </c>
      <c r="B866" s="37" t="s">
        <v>656</v>
      </c>
      <c r="C866" s="38">
        <v>12.47000027</v>
      </c>
      <c r="D866" s="17">
        <f>SUM(C$3:C866)/A866</f>
        <v>11.901462741362433</v>
      </c>
    </row>
    <row r="867" spans="1:4">
      <c r="A867" s="17">
        <f t="shared" si="6"/>
        <v>865</v>
      </c>
      <c r="B867" s="37" t="s">
        <v>657</v>
      </c>
      <c r="C867" s="38">
        <v>12.600000380000001</v>
      </c>
      <c r="D867" s="17">
        <f>SUM(C$3:C867)/A867</f>
        <v>11.902270299326176</v>
      </c>
    </row>
    <row r="868" spans="1:4">
      <c r="A868" s="17">
        <f t="shared" si="6"/>
        <v>866</v>
      </c>
      <c r="B868" s="37" t="s">
        <v>658</v>
      </c>
      <c r="C868" s="38">
        <v>12.850000380000001</v>
      </c>
      <c r="D868" s="17">
        <f>SUM(C$3:C868)/A868</f>
        <v>11.90336467586275</v>
      </c>
    </row>
    <row r="869" spans="1:4">
      <c r="A869" s="17">
        <f t="shared" si="6"/>
        <v>867</v>
      </c>
      <c r="B869" s="37" t="s">
        <v>659</v>
      </c>
      <c r="C869" s="38">
        <v>12.75</v>
      </c>
      <c r="D869" s="17">
        <f>SUM(C$3:C869)/A869</f>
        <v>11.904341187193936</v>
      </c>
    </row>
    <row r="870" spans="1:4">
      <c r="A870" s="17">
        <f t="shared" si="6"/>
        <v>868</v>
      </c>
      <c r="B870" s="37" t="s">
        <v>660</v>
      </c>
      <c r="C870" s="38">
        <v>13.130000109999999</v>
      </c>
      <c r="D870" s="17">
        <f>SUM(C$3:C870)/A870</f>
        <v>11.905753236644173</v>
      </c>
    </row>
    <row r="871" spans="1:4">
      <c r="A871" s="17">
        <f t="shared" si="6"/>
        <v>869</v>
      </c>
      <c r="B871" s="37" t="s">
        <v>661</v>
      </c>
      <c r="C871" s="38">
        <v>12.989999770000001</v>
      </c>
      <c r="D871" s="17">
        <f>SUM(C$3:C871)/A871</f>
        <v>11.907000931158967</v>
      </c>
    </row>
    <row r="872" spans="1:4">
      <c r="A872" s="17">
        <f t="shared" si="6"/>
        <v>870</v>
      </c>
      <c r="B872" s="37" t="s">
        <v>662</v>
      </c>
      <c r="C872" s="38">
        <v>12.97999954</v>
      </c>
      <c r="D872" s="17">
        <f>SUM(C$3:C872)/A872</f>
        <v>11.908234262893268</v>
      </c>
    </row>
    <row r="873" spans="1:4">
      <c r="A873" s="17">
        <f t="shared" si="6"/>
        <v>871</v>
      </c>
      <c r="B873" s="37" t="s">
        <v>663</v>
      </c>
      <c r="C873" s="38">
        <v>12.850000380000001</v>
      </c>
      <c r="D873" s="17">
        <f>SUM(C$3:C873)/A873</f>
        <v>11.909315509870428</v>
      </c>
    </row>
    <row r="874" spans="1:4">
      <c r="A874" s="17">
        <f t="shared" si="6"/>
        <v>872</v>
      </c>
      <c r="B874" s="37" t="s">
        <v>664</v>
      </c>
      <c r="C874" s="38">
        <v>12.93000031</v>
      </c>
      <c r="D874" s="17">
        <f>SUM(C$3:C874)/A874</f>
        <v>11.91048601996232</v>
      </c>
    </row>
    <row r="875" spans="1:4">
      <c r="A875" s="17">
        <f t="shared" si="6"/>
        <v>873</v>
      </c>
      <c r="B875" s="37" t="s">
        <v>665</v>
      </c>
      <c r="C875" s="38">
        <v>12.760000229999999</v>
      </c>
      <c r="D875" s="17">
        <f>SUM(C$3:C875)/A875</f>
        <v>11.91145911756832</v>
      </c>
    </row>
    <row r="876" spans="1:4">
      <c r="A876" s="17">
        <f t="shared" si="6"/>
        <v>874</v>
      </c>
      <c r="B876" s="37" t="s">
        <v>666</v>
      </c>
      <c r="C876" s="38">
        <v>12.600000380000001</v>
      </c>
      <c r="D876" s="17">
        <f>SUM(C$3:C876)/A876</f>
        <v>11.912246922216411</v>
      </c>
    </row>
    <row r="877" spans="1:4">
      <c r="A877" s="17">
        <f t="shared" si="6"/>
        <v>875</v>
      </c>
      <c r="B877" s="37" t="s">
        <v>667</v>
      </c>
      <c r="C877" s="38">
        <v>12.60999966</v>
      </c>
      <c r="D877" s="17">
        <f>SUM(C$3:C877)/A877</f>
        <v>11.913044353916735</v>
      </c>
    </row>
    <row r="878" spans="1:4">
      <c r="A878" s="17">
        <f t="shared" si="6"/>
        <v>876</v>
      </c>
      <c r="B878" s="37" t="s">
        <v>668</v>
      </c>
      <c r="C878" s="38">
        <v>12.64000034</v>
      </c>
      <c r="D878" s="17">
        <f>SUM(C$3:C878)/A878</f>
        <v>11.913874212348338</v>
      </c>
    </row>
    <row r="879" spans="1:4">
      <c r="A879" s="17">
        <f t="shared" si="6"/>
        <v>877</v>
      </c>
      <c r="B879" s="37" t="s">
        <v>669</v>
      </c>
      <c r="C879" s="38">
        <v>12.68000031</v>
      </c>
      <c r="D879" s="17">
        <f>SUM(C$3:C879)/A879</f>
        <v>11.914747788286366</v>
      </c>
    </row>
    <row r="880" spans="1:4">
      <c r="A880" s="17">
        <f t="shared" si="6"/>
        <v>878</v>
      </c>
      <c r="B880" s="37" t="s">
        <v>670</v>
      </c>
      <c r="C880" s="38">
        <v>12.670000079999999</v>
      </c>
      <c r="D880" s="17">
        <f>SUM(C$3:C880)/A880</f>
        <v>11.915607984518385</v>
      </c>
    </row>
    <row r="881" spans="1:4">
      <c r="A881" s="17">
        <f t="shared" si="6"/>
        <v>879</v>
      </c>
      <c r="B881" s="37" t="s">
        <v>671</v>
      </c>
      <c r="C881" s="38">
        <v>12.31000042</v>
      </c>
      <c r="D881" s="17">
        <f>SUM(C$3:C881)/A881</f>
        <v>11.916056667607672</v>
      </c>
    </row>
    <row r="882" spans="1:4">
      <c r="A882" s="17">
        <f t="shared" si="6"/>
        <v>880</v>
      </c>
      <c r="B882" s="37" t="s">
        <v>672</v>
      </c>
      <c r="C882" s="38">
        <v>12.27000046</v>
      </c>
      <c r="D882" s="17">
        <f>SUM(C$3:C882)/A882</f>
        <v>11.916458876462661</v>
      </c>
    </row>
    <row r="883" spans="1:4">
      <c r="A883" s="17">
        <f t="shared" si="6"/>
        <v>881</v>
      </c>
      <c r="B883" s="37" t="s">
        <v>673</v>
      </c>
      <c r="C883" s="38">
        <v>12.27999973</v>
      </c>
      <c r="D883" s="17">
        <f>SUM(C$3:C883)/A883</f>
        <v>11.916871522153397</v>
      </c>
    </row>
    <row r="884" spans="1:4">
      <c r="A884" s="17">
        <f t="shared" si="6"/>
        <v>882</v>
      </c>
      <c r="B884" s="37" t="s">
        <v>674</v>
      </c>
      <c r="C884" s="38">
        <v>12.44999981</v>
      </c>
      <c r="D884" s="17">
        <f>SUM(C$3:C884)/A884</f>
        <v>11.917475975994494</v>
      </c>
    </row>
    <row r="885" spans="1:4">
      <c r="A885" s="17">
        <f t="shared" si="6"/>
        <v>883</v>
      </c>
      <c r="B885" s="37">
        <v>45624</v>
      </c>
      <c r="C885" s="38">
        <v>12.350000380000001</v>
      </c>
      <c r="D885" s="17">
        <f>SUM(C$3:C885)/A885</f>
        <v>11.917965811106617</v>
      </c>
    </row>
    <row r="886" spans="1:4">
      <c r="A886" s="17">
        <f t="shared" si="6"/>
        <v>884</v>
      </c>
      <c r="B886" s="37">
        <v>45625</v>
      </c>
      <c r="C886" s="38">
        <v>12.43999958</v>
      </c>
      <c r="D886" s="17">
        <f>SUM(C$3:C886)/A886</f>
        <v>11.918556347044278</v>
      </c>
    </row>
    <row r="887" spans="1:4">
      <c r="A887" s="17">
        <f t="shared" si="6"/>
        <v>885</v>
      </c>
      <c r="B887" s="37" t="s">
        <v>675</v>
      </c>
      <c r="C887" s="38">
        <v>12.539999959999999</v>
      </c>
      <c r="D887" s="17">
        <f>SUM(C$3:C887)/A887</f>
        <v>11.91925854321711</v>
      </c>
    </row>
    <row r="888" spans="1:4">
      <c r="A888" s="17">
        <f t="shared" si="6"/>
        <v>886</v>
      </c>
      <c r="B888" s="37" t="s">
        <v>676</v>
      </c>
      <c r="C888" s="38">
        <v>12.579999920000001</v>
      </c>
      <c r="D888" s="17">
        <f>SUM(C$3:C888)/A888</f>
        <v>11.920004300978716</v>
      </c>
    </row>
    <row r="889" spans="1:4">
      <c r="A889" s="17">
        <f t="shared" si="6"/>
        <v>887</v>
      </c>
      <c r="B889" s="37" t="s">
        <v>677</v>
      </c>
      <c r="C889" s="38">
        <v>12.56000042</v>
      </c>
      <c r="D889" s="17">
        <f>SUM(C$3:C889)/A889</f>
        <v>11.920725829861492</v>
      </c>
    </row>
    <row r="890" spans="1:4">
      <c r="A890" s="17">
        <f t="shared" si="6"/>
        <v>888</v>
      </c>
      <c r="B890" s="37" t="s">
        <v>678</v>
      </c>
      <c r="C890" s="38">
        <v>12.510000229999999</v>
      </c>
      <c r="D890" s="17">
        <f>SUM(C$3:C890)/A890</f>
        <v>11.921389427158946</v>
      </c>
    </row>
    <row r="891" spans="1:4">
      <c r="A891" s="17">
        <f t="shared" si="6"/>
        <v>889</v>
      </c>
      <c r="B891" s="37" t="s">
        <v>679</v>
      </c>
      <c r="C891" s="38">
        <v>12.670000079999999</v>
      </c>
      <c r="D891" s="17">
        <f>SUM(C$3:C891)/A891</f>
        <v>11.922231508883176</v>
      </c>
    </row>
    <row r="892" spans="1:4">
      <c r="A892" s="17">
        <f t="shared" si="6"/>
        <v>890</v>
      </c>
      <c r="B892" s="37" t="s">
        <v>680</v>
      </c>
      <c r="C892" s="38">
        <v>12.68000031</v>
      </c>
      <c r="D892" s="17">
        <f>SUM(C$3:C892)/A892</f>
        <v>11.923082934502407</v>
      </c>
    </row>
    <row r="893" spans="1:4">
      <c r="A893" s="17">
        <f t="shared" si="6"/>
        <v>891</v>
      </c>
      <c r="B893" s="37" t="s">
        <v>681</v>
      </c>
      <c r="C893" s="38">
        <v>12.77000046</v>
      </c>
      <c r="D893" s="17">
        <f>SUM(C$3:C893)/A893</f>
        <v>11.924033459222381</v>
      </c>
    </row>
    <row r="894" spans="1:4">
      <c r="A894" s="17">
        <f t="shared" si="6"/>
        <v>892</v>
      </c>
      <c r="B894" s="37" t="s">
        <v>682</v>
      </c>
      <c r="C894" s="38">
        <v>12.75</v>
      </c>
      <c r="D894" s="17">
        <f>SUM(C$3:C894)/A894</f>
        <v>11.924959430680651</v>
      </c>
    </row>
    <row r="895" spans="1:4">
      <c r="A895" s="17">
        <f t="shared" si="6"/>
        <v>893</v>
      </c>
      <c r="B895" s="37" t="s">
        <v>683</v>
      </c>
      <c r="C895" s="38">
        <v>12.880000109999999</v>
      </c>
      <c r="D895" s="17">
        <f>SUM(C$3:C895)/A895</f>
        <v>11.92602890512558</v>
      </c>
    </row>
    <row r="896" spans="1:4">
      <c r="A896" s="17">
        <f t="shared" si="6"/>
        <v>894</v>
      </c>
      <c r="B896" s="37" t="s">
        <v>684</v>
      </c>
      <c r="C896" s="38">
        <v>12.600000380000001</v>
      </c>
      <c r="D896" s="17">
        <f>SUM(C$3:C896)/A896</f>
        <v>11.926782788207095</v>
      </c>
    </row>
    <row r="897" spans="1:4">
      <c r="A897" s="17">
        <f t="shared" si="6"/>
        <v>895</v>
      </c>
      <c r="B897" s="37" t="s">
        <v>685</v>
      </c>
      <c r="C897" s="38">
        <v>13.27999973</v>
      </c>
      <c r="D897" s="17">
        <f>SUM(C$3:C897)/A897</f>
        <v>11.928294762443736</v>
      </c>
    </row>
    <row r="898" spans="1:4">
      <c r="A898" s="17">
        <f t="shared" si="6"/>
        <v>896</v>
      </c>
      <c r="B898" s="37" t="s">
        <v>686</v>
      </c>
      <c r="C898" s="38">
        <v>13.329999920000001</v>
      </c>
      <c r="D898" s="17">
        <f>SUM(C$3:C898)/A898</f>
        <v>11.929859165521366</v>
      </c>
    </row>
    <row r="899" spans="1:4">
      <c r="A899" s="17">
        <f t="shared" si="6"/>
        <v>897</v>
      </c>
      <c r="B899" s="37" t="s">
        <v>687</v>
      </c>
      <c r="C899" s="38">
        <v>13.380000109999999</v>
      </c>
      <c r="D899" s="17">
        <f>SUM(C$3:C899)/A899</f>
        <v>11.931475822092692</v>
      </c>
    </row>
    <row r="900" spans="1:4">
      <c r="A900" s="17">
        <f t="shared" si="6"/>
        <v>898</v>
      </c>
      <c r="B900" s="37" t="s">
        <v>688</v>
      </c>
      <c r="C900" s="38">
        <v>13.34000015</v>
      </c>
      <c r="D900" s="17">
        <f>SUM(C$3:C900)/A900</f>
        <v>11.933044334707288</v>
      </c>
    </row>
    <row r="901" spans="1:4">
      <c r="A901" s="17">
        <f t="shared" si="6"/>
        <v>899</v>
      </c>
      <c r="B901" s="37" t="s">
        <v>689</v>
      </c>
      <c r="C901" s="38">
        <v>13.260000229999999</v>
      </c>
      <c r="D901" s="17">
        <f>SUM(C$3:C901)/A901</f>
        <v>11.934520370185924</v>
      </c>
    </row>
    <row r="902" spans="1:4">
      <c r="A902" s="17">
        <f t="shared" si="6"/>
        <v>900</v>
      </c>
      <c r="B902" s="37" t="s">
        <v>690</v>
      </c>
      <c r="C902" s="38">
        <v>13.31999969</v>
      </c>
      <c r="D902" s="17">
        <f>SUM(C$3:C902)/A902</f>
        <v>11.936059791652383</v>
      </c>
    </row>
    <row r="903" spans="1:4">
      <c r="A903" s="17">
        <f t="shared" si="6"/>
        <v>901</v>
      </c>
      <c r="B903" s="37" t="s">
        <v>691</v>
      </c>
      <c r="C903" s="38">
        <v>13.489999770000001</v>
      </c>
      <c r="D903" s="17">
        <f>SUM(C$3:C903)/A903</f>
        <v>11.937784475313146</v>
      </c>
    </row>
    <row r="904" spans="1:4">
      <c r="A904" s="17">
        <f t="shared" si="6"/>
        <v>902</v>
      </c>
      <c r="B904" s="37" t="s">
        <v>692</v>
      </c>
      <c r="C904" s="38">
        <v>13.52999973</v>
      </c>
      <c r="D904" s="17">
        <f>SUM(C$3:C904)/A904</f>
        <v>11.939549680695283</v>
      </c>
    </row>
    <row r="905" spans="1:4">
      <c r="A905" s="17">
        <f t="shared" si="6"/>
        <v>903</v>
      </c>
      <c r="B905" s="37" t="s">
        <v>693</v>
      </c>
      <c r="C905" s="38">
        <v>13.5</v>
      </c>
      <c r="D905" s="17">
        <f>SUM(C$3:C905)/A905</f>
        <v>11.941277754138589</v>
      </c>
    </row>
    <row r="906" spans="1:4">
      <c r="A906" s="17">
        <f t="shared" si="6"/>
        <v>904</v>
      </c>
      <c r="B906" s="37" t="s">
        <v>694</v>
      </c>
      <c r="C906" s="38">
        <v>13.489999770000001</v>
      </c>
      <c r="D906" s="17">
        <f>SUM(C$3:C906)/A906</f>
        <v>11.942990942209232</v>
      </c>
    </row>
    <row r="907" spans="1:4">
      <c r="A907" s="17">
        <f t="shared" si="6"/>
        <v>905</v>
      </c>
      <c r="B907" s="37">
        <v>45656</v>
      </c>
      <c r="C907" s="38">
        <v>13.55000019</v>
      </c>
      <c r="D907" s="17">
        <f>SUM(C$3:C907)/A907</f>
        <v>11.944766643035519</v>
      </c>
    </row>
    <row r="908" spans="1:4">
      <c r="A908" s="17">
        <f t="shared" si="6"/>
        <v>906</v>
      </c>
      <c r="B908" s="37">
        <v>45657</v>
      </c>
      <c r="C908" s="38">
        <v>13.39000034</v>
      </c>
      <c r="D908" s="17">
        <f>SUM(C$3:C908)/A908</f>
        <v>11.946361823716495</v>
      </c>
    </row>
    <row r="909" spans="1:4">
      <c r="A909" s="17">
        <f t="shared" si="6"/>
        <v>907</v>
      </c>
      <c r="B909" s="37" t="s">
        <v>695</v>
      </c>
      <c r="C909" s="38">
        <v>13.010000229999999</v>
      </c>
      <c r="D909" s="17">
        <f>SUM(C$3:C909)/A909</f>
        <v>11.947534523172155</v>
      </c>
    </row>
    <row r="910" spans="1:4">
      <c r="A910" s="17">
        <f t="shared" si="6"/>
        <v>908</v>
      </c>
      <c r="B910" s="37" t="s">
        <v>696</v>
      </c>
      <c r="C910" s="38">
        <v>12.89000034</v>
      </c>
      <c r="D910" s="17">
        <f>SUM(C$3:C910)/A910</f>
        <v>11.948572481120204</v>
      </c>
    </row>
    <row r="911" spans="1:4">
      <c r="A911" s="17">
        <f t="shared" si="6"/>
        <v>909</v>
      </c>
      <c r="B911" s="37" t="s">
        <v>697</v>
      </c>
      <c r="C911" s="38">
        <v>12.869999890000001</v>
      </c>
      <c r="D911" s="17">
        <f>SUM(C$3:C911)/A911</f>
        <v>11.949586152637121</v>
      </c>
    </row>
    <row r="912" spans="1:4">
      <c r="A912" s="17">
        <f t="shared" si="6"/>
        <v>910</v>
      </c>
      <c r="B912" s="37" t="s">
        <v>698</v>
      </c>
      <c r="C912" s="38">
        <v>12.90999985</v>
      </c>
      <c r="D912" s="17">
        <f>SUM(C$3:C912)/A912</f>
        <v>11.950641552304553</v>
      </c>
    </row>
    <row r="913" spans="1:4">
      <c r="A913" s="17">
        <f t="shared" si="6"/>
        <v>911</v>
      </c>
      <c r="B913" s="37" t="s">
        <v>699</v>
      </c>
      <c r="C913" s="38">
        <v>12.880000109999999</v>
      </c>
      <c r="D913" s="17">
        <f>SUM(C$3:C913)/A913</f>
        <v>11.951661704398623</v>
      </c>
    </row>
    <row r="914" spans="1:4">
      <c r="A914" s="17">
        <f t="shared" si="6"/>
        <v>912</v>
      </c>
      <c r="B914" s="37" t="s">
        <v>700</v>
      </c>
      <c r="C914" s="38">
        <v>12.81000042</v>
      </c>
      <c r="D914" s="17">
        <f>SUM(C$3:C914)/A914</f>
        <v>11.952602865270993</v>
      </c>
    </row>
    <row r="915" spans="1:4">
      <c r="A915" s="17">
        <f t="shared" si="6"/>
        <v>913</v>
      </c>
      <c r="B915" s="37" t="s">
        <v>701</v>
      </c>
      <c r="C915" s="38">
        <v>12.65999985</v>
      </c>
      <c r="D915" s="17">
        <f>SUM(C$3:C915)/A915</f>
        <v>11.953377670292602</v>
      </c>
    </row>
    <row r="916" spans="1:4">
      <c r="A916" s="17">
        <f t="shared" si="6"/>
        <v>914</v>
      </c>
      <c r="B916" s="37" t="s">
        <v>702</v>
      </c>
      <c r="C916" s="38">
        <v>12.630000109999999</v>
      </c>
      <c r="D916" s="17">
        <f>SUM(C$3:C916)/A916</f>
        <v>11.954117957425762</v>
      </c>
    </row>
    <row r="917" spans="1:4">
      <c r="A917" s="17">
        <f t="shared" si="6"/>
        <v>915</v>
      </c>
      <c r="B917" s="37" t="s">
        <v>703</v>
      </c>
      <c r="C917" s="38">
        <v>12.90999985</v>
      </c>
      <c r="D917" s="17">
        <f>SUM(C$3:C917)/A917</f>
        <v>11.955162637089778</v>
      </c>
    </row>
    <row r="918" spans="1:4">
      <c r="A918" s="17">
        <f t="shared" si="6"/>
        <v>916</v>
      </c>
      <c r="B918" s="37" t="s">
        <v>704</v>
      </c>
      <c r="C918" s="38">
        <v>12.84000015</v>
      </c>
      <c r="D918" s="17">
        <f>SUM(C$3:C918)/A918</f>
        <v>11.956128616907366</v>
      </c>
    </row>
    <row r="919" spans="1:4">
      <c r="A919" s="17">
        <f t="shared" si="6"/>
        <v>917</v>
      </c>
      <c r="B919" s="37" t="s">
        <v>705</v>
      </c>
      <c r="C919" s="38">
        <v>12.869999890000001</v>
      </c>
      <c r="D919" s="17">
        <f>SUM(C$3:C919)/A919</f>
        <v>11.957125204991435</v>
      </c>
    </row>
    <row r="920" spans="1:4">
      <c r="A920" s="17">
        <f t="shared" si="6"/>
        <v>918</v>
      </c>
      <c r="B920" s="37" t="s">
        <v>706</v>
      </c>
      <c r="C920" s="38">
        <v>12.89000034</v>
      </c>
      <c r="D920" s="17">
        <f>SUM(C$3:C920)/A920</f>
        <v>11.958141408842206</v>
      </c>
    </row>
    <row r="921" spans="1:4">
      <c r="A921" s="17">
        <f t="shared" si="6"/>
        <v>919</v>
      </c>
      <c r="B921" s="37" t="s">
        <v>707</v>
      </c>
      <c r="C921" s="38">
        <v>12.93000031</v>
      </c>
      <c r="D921" s="17">
        <f>SUM(C$3:C921)/A921</f>
        <v>11.95919892668895</v>
      </c>
    </row>
    <row r="922" spans="1:4">
      <c r="A922" s="17">
        <f t="shared" si="6"/>
        <v>920</v>
      </c>
      <c r="B922" s="37" t="s">
        <v>708</v>
      </c>
      <c r="C922" s="38">
        <v>12.920000079999999</v>
      </c>
      <c r="D922" s="17">
        <f>SUM(C$3:C922)/A922</f>
        <v>11.960243275768635</v>
      </c>
    </row>
    <row r="923" spans="1:4">
      <c r="A923" s="17">
        <f t="shared" si="6"/>
        <v>921</v>
      </c>
      <c r="B923" s="37" t="s">
        <v>709</v>
      </c>
      <c r="C923" s="38">
        <v>12.789999959999999</v>
      </c>
      <c r="D923" s="17">
        <f>SUM(C$3:C923)/A923</f>
        <v>11.961144205936096</v>
      </c>
    </row>
    <row r="924" spans="1:4">
      <c r="A924" s="17">
        <f t="shared" si="6"/>
        <v>922</v>
      </c>
      <c r="B924" s="37" t="s">
        <v>710</v>
      </c>
      <c r="C924" s="38">
        <v>12.850000380000001</v>
      </c>
      <c r="D924" s="17">
        <f>SUM(C$3:C924)/A924</f>
        <v>11.962108258185623</v>
      </c>
    </row>
    <row r="925" spans="1:4">
      <c r="A925" s="17">
        <f t="shared" si="6"/>
        <v>923</v>
      </c>
      <c r="B925" s="37">
        <v>45681</v>
      </c>
      <c r="C925" s="38">
        <v>12.920000079999999</v>
      </c>
      <c r="D925" s="17">
        <f>SUM(C$3:C925)/A925</f>
        <v>11.963146060809473</v>
      </c>
    </row>
    <row r="926" spans="1:4">
      <c r="A926" s="17">
        <f t="shared" si="6"/>
        <v>924</v>
      </c>
      <c r="B926" s="37">
        <v>45684</v>
      </c>
      <c r="C926" s="38">
        <v>12.920000079999999</v>
      </c>
      <c r="D926" s="17">
        <f>SUM(C$3:C926)/A926</f>
        <v>11.964181617107297</v>
      </c>
    </row>
    <row r="927" spans="1:4">
      <c r="A927" s="17">
        <f t="shared" si="6"/>
        <v>925</v>
      </c>
      <c r="B927" s="37" t="s">
        <v>711</v>
      </c>
      <c r="C927" s="38">
        <v>12.77999973</v>
      </c>
      <c r="D927" s="17">
        <f>SUM(C$3:C927)/A927</f>
        <v>11.96506358263475</v>
      </c>
    </row>
    <row r="928" spans="1:4">
      <c r="A928" s="17">
        <f t="shared" si="6"/>
        <v>926</v>
      </c>
      <c r="B928" s="37" t="s">
        <v>712</v>
      </c>
      <c r="C928" s="38">
        <v>12.90999985</v>
      </c>
      <c r="D928" s="17">
        <f>SUM(C$3:C928)/A928</f>
        <v>11.966084032167542</v>
      </c>
    </row>
    <row r="929" spans="1:4">
      <c r="A929" s="17">
        <f t="shared" si="6"/>
        <v>927</v>
      </c>
      <c r="B929" s="37" t="s">
        <v>713</v>
      </c>
      <c r="C929" s="38">
        <v>13.06999969</v>
      </c>
      <c r="D929" s="17">
        <f>SUM(C$3:C929)/A929</f>
        <v>11.96727487969487</v>
      </c>
    </row>
    <row r="930" spans="1:4">
      <c r="A930" s="17">
        <f t="shared" si="6"/>
        <v>928</v>
      </c>
      <c r="B930" s="37" t="s">
        <v>714</v>
      </c>
      <c r="C930" s="38">
        <v>13.079999920000001</v>
      </c>
      <c r="D930" s="17">
        <f>SUM(C$3:C930)/A930</f>
        <v>11.968473936850371</v>
      </c>
    </row>
    <row r="931" spans="1:4">
      <c r="A931" s="17">
        <f t="shared" si="6"/>
        <v>929</v>
      </c>
      <c r="B931" s="37" t="s">
        <v>715</v>
      </c>
      <c r="C931" s="38">
        <v>13.05000019</v>
      </c>
      <c r="D931" s="17">
        <f>SUM(C$3:C931)/A931</f>
        <v>11.969638120115333</v>
      </c>
    </row>
    <row r="932" spans="1:4">
      <c r="A932" s="17">
        <f t="shared" si="6"/>
        <v>930</v>
      </c>
      <c r="B932" s="37" t="s">
        <v>716</v>
      </c>
      <c r="C932" s="38">
        <v>13.15999985</v>
      </c>
      <c r="D932" s="17">
        <f>SUM(C$3:C932)/A932</f>
        <v>11.970918078964672</v>
      </c>
    </row>
    <row r="933" spans="1:4">
      <c r="A933" s="17">
        <f t="shared" si="6"/>
        <v>931</v>
      </c>
      <c r="B933" s="37" t="s">
        <v>717</v>
      </c>
      <c r="C933" s="38">
        <v>13.149999619999999</v>
      </c>
      <c r="D933" s="17">
        <f>SUM(C$3:C933)/A933</f>
        <v>11.972184546785334</v>
      </c>
    </row>
    <row r="934" spans="1:4">
      <c r="A934" s="17">
        <f t="shared" si="6"/>
        <v>932</v>
      </c>
      <c r="B934" s="37" t="s">
        <v>718</v>
      </c>
      <c r="C934" s="38">
        <v>13.239999770000001</v>
      </c>
      <c r="D934" s="17">
        <f>SUM(C$3:C934)/A934</f>
        <v>11.973544863548438</v>
      </c>
    </row>
    <row r="935" spans="1:4">
      <c r="A935" s="17">
        <f t="shared" si="6"/>
        <v>933</v>
      </c>
      <c r="B935" s="37" t="s">
        <v>719</v>
      </c>
      <c r="C935" s="38">
        <v>13.25</v>
      </c>
      <c r="D935" s="17">
        <f>SUM(C$3:C935)/A935</f>
        <v>11.974912982665749</v>
      </c>
    </row>
    <row r="936" spans="1:4">
      <c r="A936" s="17">
        <f t="shared" si="6"/>
        <v>934</v>
      </c>
      <c r="B936" s="37" t="s">
        <v>720</v>
      </c>
      <c r="C936" s="38">
        <v>13.18000031</v>
      </c>
      <c r="D936" s="17">
        <f>SUM(C$3:C936)/A936</f>
        <v>11.976203226056899</v>
      </c>
    </row>
    <row r="937" spans="1:4">
      <c r="A937" s="17">
        <f t="shared" si="6"/>
        <v>935</v>
      </c>
      <c r="B937" s="37" t="s">
        <v>721</v>
      </c>
      <c r="C937" s="38">
        <v>13.25</v>
      </c>
      <c r="D937" s="17">
        <f>SUM(C$3:C937)/A937</f>
        <v>11.977565575547748</v>
      </c>
    </row>
    <row r="938" spans="1:4">
      <c r="A938" s="17">
        <f t="shared" si="6"/>
        <v>936</v>
      </c>
      <c r="B938" s="37" t="s">
        <v>722</v>
      </c>
      <c r="C938" s="38">
        <v>13.22000027</v>
      </c>
      <c r="D938" s="17">
        <f>SUM(C$3:C938)/A938</f>
        <v>11.978892963041821</v>
      </c>
    </row>
    <row r="939" spans="1:4">
      <c r="A939" s="17">
        <f t="shared" si="6"/>
        <v>937</v>
      </c>
      <c r="B939" s="37" t="s">
        <v>723</v>
      </c>
      <c r="C939" s="38">
        <v>13.30000019</v>
      </c>
      <c r="D939" s="17">
        <f>SUM(C$3:C939)/A939</f>
        <v>11.98030289604818</v>
      </c>
    </row>
    <row r="940" spans="1:4">
      <c r="A940" s="17">
        <f t="shared" si="6"/>
        <v>938</v>
      </c>
      <c r="B940" s="37" t="s">
        <v>724</v>
      </c>
      <c r="C940" s="38">
        <v>13.260000229999999</v>
      </c>
      <c r="D940" s="17">
        <f>SUM(C$3:C940)/A940</f>
        <v>11.981667178920196</v>
      </c>
    </row>
    <row r="941" spans="1:4">
      <c r="A941" s="17">
        <f t="shared" si="6"/>
        <v>939</v>
      </c>
      <c r="B941" s="37" t="s">
        <v>725</v>
      </c>
      <c r="C941" s="38">
        <v>13.10999966</v>
      </c>
      <c r="D941" s="17">
        <f>SUM(C$3:C941)/A941</f>
        <v>11.982868810955425</v>
      </c>
    </row>
    <row r="942" spans="1:4">
      <c r="A942" s="17">
        <f t="shared" si="6"/>
        <v>940</v>
      </c>
      <c r="B942" s="37" t="s">
        <v>726</v>
      </c>
      <c r="C942" s="38">
        <v>13.19999981</v>
      </c>
      <c r="D942" s="17">
        <f>SUM(C$3:C942)/A942</f>
        <v>11.984163631167176</v>
      </c>
    </row>
    <row r="943" spans="1:4">
      <c r="A943" s="17">
        <f t="shared" si="6"/>
        <v>941</v>
      </c>
      <c r="B943" s="37">
        <v>45715</v>
      </c>
      <c r="C943" s="38">
        <v>13.260000229999999</v>
      </c>
      <c r="D943" s="17">
        <f>SUM(C$3:C943)/A943</f>
        <v>11.985519461771673</v>
      </c>
    </row>
    <row r="944" spans="1:4">
      <c r="A944" s="17">
        <f t="shared" si="6"/>
        <v>942</v>
      </c>
      <c r="B944" s="37">
        <v>45716</v>
      </c>
      <c r="C944" s="38">
        <v>13.050000190734863</v>
      </c>
      <c r="D944" s="17">
        <f>SUM(C$3:C944)/A944</f>
        <v>11.986649483776942</v>
      </c>
    </row>
    <row r="945" spans="1:4">
      <c r="A945" s="17">
        <f t="shared" si="6"/>
        <v>943</v>
      </c>
      <c r="B945" s="37" t="s">
        <v>727</v>
      </c>
      <c r="C945" s="38">
        <v>13.039999959999999</v>
      </c>
      <c r="D945" s="17">
        <f>SUM(C$3:C945)/A945</f>
        <v>11.987766504430413</v>
      </c>
    </row>
    <row r="946" spans="1:4">
      <c r="A946" s="17">
        <f t="shared" si="6"/>
        <v>944</v>
      </c>
      <c r="B946" s="37" t="s">
        <v>728</v>
      </c>
      <c r="C946" s="38">
        <v>12.97999954</v>
      </c>
      <c r="D946" s="17">
        <f>SUM(C$3:C946)/A946</f>
        <v>11.988817598747755</v>
      </c>
    </row>
    <row r="947" spans="1:4">
      <c r="A947" s="17">
        <f t="shared" si="6"/>
        <v>945</v>
      </c>
      <c r="B947" s="37" t="s">
        <v>729</v>
      </c>
      <c r="C947" s="38">
        <v>13.039999959999999</v>
      </c>
      <c r="D947" s="17">
        <f>SUM(C$3:C947)/A947</f>
        <v>11.989929961034793</v>
      </c>
    </row>
    <row r="948" spans="1:4">
      <c r="A948" s="17">
        <f t="shared" si="6"/>
        <v>946</v>
      </c>
      <c r="B948" s="37" t="s">
        <v>730</v>
      </c>
      <c r="C948" s="38">
        <v>13.18000031</v>
      </c>
      <c r="D948" s="17">
        <f>SUM(C$3:C948)/A948</f>
        <v>11.991187963517843</v>
      </c>
    </row>
    <row r="949" spans="1:4">
      <c r="A949" s="17">
        <f t="shared" si="6"/>
        <v>947</v>
      </c>
      <c r="B949" s="37" t="s">
        <v>731</v>
      </c>
      <c r="C949" s="38">
        <v>13.15999985</v>
      </c>
      <c r="D949" s="17">
        <f>SUM(C$3:C949)/A949</f>
        <v>11.992422189374741</v>
      </c>
    </row>
    <row r="950" spans="1:4">
      <c r="A950" s="17">
        <f t="shared" si="6"/>
        <v>948</v>
      </c>
      <c r="B950" s="37" t="s">
        <v>732</v>
      </c>
      <c r="C950" s="38">
        <v>13.10999966</v>
      </c>
      <c r="D950" s="17">
        <f>SUM(C$3:C950)/A950</f>
        <v>11.993601068563166</v>
      </c>
    </row>
    <row r="951" spans="1:4">
      <c r="A951" s="17">
        <f t="shared" si="6"/>
        <v>949</v>
      </c>
      <c r="B951" s="37" t="s">
        <v>733</v>
      </c>
      <c r="C951" s="38">
        <v>13.15999985</v>
      </c>
      <c r="D951" s="17">
        <f>SUM(C$3:C951)/A951</f>
        <v>11.994830150524638</v>
      </c>
    </row>
    <row r="952" spans="1:4">
      <c r="A952" s="17">
        <f t="shared" si="6"/>
        <v>950</v>
      </c>
      <c r="B952" s="37" t="s">
        <v>734</v>
      </c>
      <c r="C952" s="38">
        <v>13.10999966</v>
      </c>
      <c r="D952" s="17">
        <f>SUM(C$3:C952)/A952</f>
        <v>11.996004013166191</v>
      </c>
    </row>
    <row r="953" spans="1:4">
      <c r="A953" s="17">
        <f t="shared" si="6"/>
        <v>951</v>
      </c>
      <c r="B953" s="37" t="s">
        <v>735</v>
      </c>
      <c r="C953" s="38">
        <v>13.10999966</v>
      </c>
      <c r="D953" s="17">
        <f>SUM(C$3:C953)/A953</f>
        <v>11.997175407116595</v>
      </c>
    </row>
    <row r="954" spans="1:4">
      <c r="A954" s="17">
        <f t="shared" si="6"/>
        <v>952</v>
      </c>
      <c r="B954" s="37" t="s">
        <v>736</v>
      </c>
      <c r="C954" s="38">
        <v>13.420000079999999</v>
      </c>
      <c r="D954" s="17">
        <f>SUM(C$3:C954)/A954</f>
        <v>11.998669970848615</v>
      </c>
    </row>
    <row r="955" spans="1:4">
      <c r="A955" s="17">
        <f t="shared" si="6"/>
        <v>953</v>
      </c>
      <c r="B955" s="37" t="s">
        <v>737</v>
      </c>
      <c r="C955" s="38">
        <v>13.460000040000001</v>
      </c>
      <c r="D955" s="17">
        <f>SUM(C$3:C955)/A955</f>
        <v>12.000203370711313</v>
      </c>
    </row>
    <row r="956" spans="1:4">
      <c r="A956" s="17">
        <f t="shared" si="6"/>
        <v>954</v>
      </c>
      <c r="B956" s="37" t="s">
        <v>738</v>
      </c>
      <c r="C956" s="38">
        <v>13.47000027</v>
      </c>
      <c r="D956" s="17">
        <f>SUM(C$3:C956)/A956</f>
        <v>12.001744038320631</v>
      </c>
    </row>
    <row r="957" spans="1:4">
      <c r="A957" s="17">
        <f t="shared" si="6"/>
        <v>955</v>
      </c>
      <c r="B957" s="37" t="s">
        <v>739</v>
      </c>
      <c r="C957" s="38">
        <v>13.510000229999999</v>
      </c>
      <c r="D957" s="17">
        <f>SUM(C$3:C957)/A957</f>
        <v>12.003323364175792</v>
      </c>
    </row>
    <row r="958" spans="1:4">
      <c r="A958" s="17">
        <f t="shared" si="6"/>
        <v>956</v>
      </c>
      <c r="B958" s="37" t="s">
        <v>740</v>
      </c>
      <c r="C958" s="38">
        <v>13.39000034</v>
      </c>
      <c r="D958" s="17">
        <f>SUM(C$3:C958)/A958</f>
        <v>12.004773863104479</v>
      </c>
    </row>
    <row r="959" spans="1:4">
      <c r="A959" s="17">
        <f t="shared" si="6"/>
        <v>957</v>
      </c>
      <c r="B959" s="37" t="s">
        <v>741</v>
      </c>
      <c r="C959" s="38">
        <v>13.210000040000001</v>
      </c>
      <c r="D959" s="17">
        <f>SUM(C$3:C959)/A959</f>
        <v>12.006033242599667</v>
      </c>
    </row>
    <row r="960" spans="1:4">
      <c r="A960" s="17">
        <f t="shared" si="6"/>
        <v>958</v>
      </c>
      <c r="B960" s="37" t="s">
        <v>742</v>
      </c>
      <c r="C960" s="38">
        <v>13.27999973</v>
      </c>
      <c r="D960" s="17">
        <f>SUM(C$3:C960)/A960</f>
        <v>12.007363061480044</v>
      </c>
    </row>
    <row r="961" spans="1:4">
      <c r="A961" s="17">
        <f t="shared" si="6"/>
        <v>959</v>
      </c>
      <c r="B961" s="37" t="s">
        <v>743</v>
      </c>
      <c r="C961" s="38">
        <v>13.30000019</v>
      </c>
      <c r="D961" s="17">
        <f>SUM(C$3:C961)/A961</f>
        <v>12.008710962552536</v>
      </c>
    </row>
    <row r="962" spans="1:4">
      <c r="A962" s="17">
        <f t="shared" si="6"/>
        <v>960</v>
      </c>
      <c r="B962" s="37" t="s">
        <v>744</v>
      </c>
      <c r="C962" s="38">
        <v>13.260000229999999</v>
      </c>
      <c r="D962" s="17">
        <f>SUM(C$3:C962)/A962</f>
        <v>12.010014388872795</v>
      </c>
    </row>
    <row r="963" spans="1:4">
      <c r="A963" s="17">
        <f t="shared" si="6"/>
        <v>961</v>
      </c>
      <c r="B963" s="37" t="s">
        <v>745</v>
      </c>
      <c r="C963" s="38">
        <v>13.31000042</v>
      </c>
      <c r="D963" s="17">
        <f>SUM(C$3:C963)/A963</f>
        <v>12.011367131881252</v>
      </c>
    </row>
    <row r="964" spans="1:4">
      <c r="A964" s="17">
        <f t="shared" si="6"/>
        <v>962</v>
      </c>
      <c r="B964" s="37">
        <v>45744</v>
      </c>
      <c r="C964" s="38">
        <v>13.239999770000001</v>
      </c>
      <c r="D964" s="17">
        <f>SUM(C$3:C964)/A964</f>
        <v>12.012644296785741</v>
      </c>
    </row>
    <row r="965" spans="1:4">
      <c r="A965" s="17">
        <f t="shared" si="6"/>
        <v>963</v>
      </c>
      <c r="B965" s="37">
        <v>45747</v>
      </c>
      <c r="C965" s="38">
        <v>13.170000079999999</v>
      </c>
      <c r="D965" s="17">
        <f>SUM(C$3:C965)/A965</f>
        <v>12.013846120028953</v>
      </c>
    </row>
    <row r="966" spans="1:4">
      <c r="A966" s="17">
        <f t="shared" si="6"/>
        <v>964</v>
      </c>
      <c r="B966" s="37" t="s">
        <v>746</v>
      </c>
      <c r="C966" s="38">
        <v>13.18000031</v>
      </c>
      <c r="D966" s="17">
        <f>SUM(C$3:C966)/A966</f>
        <v>12.01505582354552</v>
      </c>
    </row>
    <row r="967" spans="1:4">
      <c r="A967" s="17">
        <f t="shared" si="6"/>
        <v>965</v>
      </c>
      <c r="B967" s="37" t="s">
        <v>747</v>
      </c>
      <c r="C967" s="38">
        <v>13.15999985</v>
      </c>
      <c r="D967" s="17">
        <f>SUM(C$3:C967)/A967</f>
        <v>12.016242294039257</v>
      </c>
    </row>
    <row r="968" spans="1:4">
      <c r="A968" s="17">
        <f t="shared" si="6"/>
        <v>966</v>
      </c>
      <c r="B968" s="37" t="s">
        <v>748</v>
      </c>
      <c r="C968" s="38">
        <v>13.109999656677246</v>
      </c>
      <c r="D968" s="17">
        <f>SUM(C$3:C968)/A968</f>
        <v>12.017374548037846</v>
      </c>
    </row>
    <row r="969" spans="1:4">
      <c r="A969" s="17">
        <f t="shared" si="6"/>
        <v>967</v>
      </c>
      <c r="B969" s="37" t="s">
        <v>749</v>
      </c>
      <c r="C969" s="38">
        <v>12.229999542236328</v>
      </c>
      <c r="D969" s="17">
        <f>SUM(C$3:C969)/A969</f>
        <v>12.017594429107339</v>
      </c>
    </row>
    <row r="970" spans="1:4">
      <c r="A970" s="17">
        <f t="shared" si="6"/>
        <v>968</v>
      </c>
      <c r="B970" s="37" t="s">
        <v>750</v>
      </c>
      <c r="C970" s="38">
        <v>12.460000038146973</v>
      </c>
      <c r="D970" s="17">
        <f>SUM(C$3:C970)/A970</f>
        <v>12.018051459695188</v>
      </c>
    </row>
    <row r="971" spans="1:4">
      <c r="A971" s="17">
        <f t="shared" si="6"/>
        <v>969</v>
      </c>
      <c r="B971" s="37" t="s">
        <v>751</v>
      </c>
      <c r="C971" s="38">
        <v>12.460000038146973</v>
      </c>
      <c r="D971" s="17">
        <f>SUM(C$3:C971)/A971</f>
        <v>12.018507546979453</v>
      </c>
    </row>
    <row r="972" spans="1:4">
      <c r="A972" s="17">
        <f t="shared" si="6"/>
        <v>970</v>
      </c>
      <c r="B972" s="37" t="s">
        <v>752</v>
      </c>
      <c r="C972" s="38">
        <v>12.659999847412109</v>
      </c>
      <c r="D972" s="17">
        <f>SUM(C$3:C972)/A972</f>
        <v>12.019168879247941</v>
      </c>
    </row>
    <row r="973" spans="1:4">
      <c r="A973" s="17">
        <f t="shared" si="6"/>
        <v>971</v>
      </c>
      <c r="B973" s="37" t="s">
        <v>753</v>
      </c>
      <c r="C973" s="38">
        <v>12.689999580383301</v>
      </c>
      <c r="D973" s="17">
        <f>SUM(C$3:C973)/A973</f>
        <v>12.019859745057554</v>
      </c>
    </row>
    <row r="974" spans="1:4">
      <c r="A974" s="17">
        <f t="shared" si="6"/>
        <v>972</v>
      </c>
      <c r="B974" s="37" t="s">
        <v>754</v>
      </c>
      <c r="C974" s="38">
        <v>12.739999771118164</v>
      </c>
      <c r="D974" s="17">
        <f>SUM(C$3:C974)/A974</f>
        <v>12.020600629858029</v>
      </c>
    </row>
    <row r="975" spans="1:4">
      <c r="A975" s="17">
        <f t="shared" si="6"/>
        <v>973</v>
      </c>
      <c r="B975" s="37" t="s">
        <v>755</v>
      </c>
      <c r="C975" s="38">
        <v>12.770000457763672</v>
      </c>
      <c r="D975" s="17">
        <f>SUM(C$3:C975)/A975</f>
        <v>12.021370824953513</v>
      </c>
    </row>
    <row r="976" spans="1:4">
      <c r="A976" s="17">
        <f t="shared" si="6"/>
        <v>974</v>
      </c>
      <c r="B976" s="37" t="s">
        <v>756</v>
      </c>
      <c r="C976" s="38">
        <v>12.770000457763672</v>
      </c>
      <c r="D976" s="17">
        <f>SUM(C$3:C976)/A976</f>
        <v>12.022139438539559</v>
      </c>
    </row>
    <row r="977" spans="1:4">
      <c r="A977" s="17">
        <f t="shared" si="6"/>
        <v>975</v>
      </c>
      <c r="B977" s="37" t="s">
        <v>757</v>
      </c>
      <c r="C977" s="38">
        <v>12.819999694824219</v>
      </c>
      <c r="D977" s="17">
        <f>SUM(C$3:C977)/A977</f>
        <v>12.022957756751133</v>
      </c>
    </row>
    <row r="978" spans="1:4">
      <c r="A978" s="17">
        <f t="shared" si="6"/>
        <v>976</v>
      </c>
      <c r="B978" s="37" t="s">
        <v>758</v>
      </c>
      <c r="C978" s="38">
        <v>12.819999694824219</v>
      </c>
      <c r="D978" s="17">
        <f>SUM(C$3:C978)/A978</f>
        <v>12.023774398081127</v>
      </c>
    </row>
    <row r="979" spans="1:4">
      <c r="A979" s="17">
        <f t="shared" si="6"/>
        <v>977</v>
      </c>
      <c r="B979" s="37" t="s">
        <v>759</v>
      </c>
      <c r="C979" s="38">
        <v>12.829999923706055</v>
      </c>
      <c r="D979" s="17">
        <f>SUM(C$3:C979)/A979</f>
        <v>12.024599603327417</v>
      </c>
    </row>
    <row r="980" spans="1:4">
      <c r="A980" s="17">
        <f t="shared" si="6"/>
        <v>978</v>
      </c>
      <c r="B980" s="37" t="s">
        <v>760</v>
      </c>
      <c r="C980" s="38">
        <v>12.859999656677246</v>
      </c>
      <c r="D980" s="17">
        <f>SUM(C$3:C980)/A980</f>
        <v>12.025453795611005</v>
      </c>
    </row>
    <row r="981" spans="1:4">
      <c r="A981" s="17">
        <f t="shared" si="6"/>
        <v>979</v>
      </c>
      <c r="B981" s="37" t="s">
        <v>761</v>
      </c>
      <c r="C981" s="38">
        <v>12.869999885559082</v>
      </c>
      <c r="D981" s="17">
        <f>SUM(C$3:C981)/A981</f>
        <v>12.02631645760278</v>
      </c>
    </row>
    <row r="982" spans="1:4">
      <c r="A982" s="17">
        <f t="shared" si="6"/>
        <v>980</v>
      </c>
      <c r="B982" s="37" t="s">
        <v>762</v>
      </c>
      <c r="C982" s="38">
        <v>12.869999885559082</v>
      </c>
      <c r="D982" s="17">
        <f>SUM(C$3:C982)/A982</f>
        <v>12.027177359059879</v>
      </c>
    </row>
    <row r="983" spans="1:4">
      <c r="A983" s="17">
        <f t="shared" si="6"/>
        <v>981</v>
      </c>
      <c r="B983" s="37" t="s">
        <v>763</v>
      </c>
      <c r="C983" s="38">
        <v>12.880000114440918</v>
      </c>
      <c r="D983" s="17">
        <f>SUM(C$3:C983)/A983</f>
        <v>12.028046699279431</v>
      </c>
    </row>
    <row r="984" spans="1:4">
      <c r="A984" s="17">
        <f t="shared" si="6"/>
        <v>982</v>
      </c>
      <c r="B984" s="37" t="s">
        <v>764</v>
      </c>
      <c r="C984" s="38">
        <v>12.859999656677246</v>
      </c>
      <c r="D984" s="17">
        <f>SUM(C$3:C984)/A984</f>
        <v>12.028893901883706</v>
      </c>
    </row>
    <row r="985" spans="1:4">
      <c r="A985" s="17">
        <f t="shared" si="6"/>
        <v>983</v>
      </c>
      <c r="B985" s="37">
        <v>45776</v>
      </c>
      <c r="C985" s="38">
        <v>12.819999694824219</v>
      </c>
      <c r="D985" s="17">
        <f>SUM(C$3:C985)/A985</f>
        <v>12.02969868905862</v>
      </c>
    </row>
    <row r="986" spans="1:4">
      <c r="A986" s="17">
        <f t="shared" si="6"/>
        <v>984</v>
      </c>
      <c r="B986" s="37">
        <v>45777</v>
      </c>
      <c r="C986" s="38">
        <v>12.770000457763672</v>
      </c>
      <c r="D986" s="17">
        <f>SUM(C$3:C986)/A986</f>
        <v>12.030451028254458</v>
      </c>
    </row>
    <row r="987" spans="1:4">
      <c r="A987" s="17">
        <f t="shared" si="6"/>
        <v>985</v>
      </c>
      <c r="B987" s="37" t="s">
        <v>765</v>
      </c>
      <c r="C987" s="38">
        <v>12.529999732971191</v>
      </c>
      <c r="D987" s="17">
        <f>SUM(C$3:C987)/A987</f>
        <v>12.030958184299855</v>
      </c>
    </row>
    <row r="988" spans="1:4">
      <c r="A988" s="17">
        <f t="shared" si="6"/>
        <v>986</v>
      </c>
      <c r="B988" s="37" t="s">
        <v>766</v>
      </c>
      <c r="C988" s="38">
        <v>12.630000114440918</v>
      </c>
      <c r="D988" s="17">
        <f>SUM(C$3:C988)/A988</f>
        <v>12.031565731896348</v>
      </c>
    </row>
    <row r="989" spans="1:4">
      <c r="A989" s="17">
        <f t="shared" si="6"/>
        <v>987</v>
      </c>
      <c r="B989" s="37" t="s">
        <v>767</v>
      </c>
      <c r="C989" s="38">
        <v>12.689999580383301</v>
      </c>
      <c r="D989" s="17">
        <f>SUM(C$3:C989)/A989</f>
        <v>12.032232838125818</v>
      </c>
    </row>
    <row r="990" spans="1:4">
      <c r="A990" s="17">
        <f t="shared" si="6"/>
        <v>988</v>
      </c>
      <c r="B990" s="37" t="s">
        <v>768</v>
      </c>
      <c r="C990" s="38">
        <v>12.699999809265137</v>
      </c>
      <c r="D990" s="17">
        <f>SUM(C$3:C990)/A990</f>
        <v>12.032908715626972</v>
      </c>
    </row>
    <row r="991" spans="1:4">
      <c r="A991" s="17">
        <f t="shared" si="6"/>
        <v>989</v>
      </c>
      <c r="B991" s="37" t="s">
        <v>769</v>
      </c>
      <c r="C991" s="38">
        <v>12.819999694824219</v>
      </c>
      <c r="D991" s="17">
        <f>SUM(C$3:C991)/A991</f>
        <v>12.033704560904217</v>
      </c>
    </row>
    <row r="992" spans="1:4">
      <c r="A992" s="17">
        <f t="shared" si="6"/>
        <v>990</v>
      </c>
      <c r="B992" s="37" t="s">
        <v>770</v>
      </c>
      <c r="C992" s="38">
        <v>12.850000381469727</v>
      </c>
      <c r="D992" s="17">
        <f>SUM(C$3:C992)/A992</f>
        <v>12.034529102137112</v>
      </c>
    </row>
    <row r="993" spans="1:4">
      <c r="A993" s="17">
        <f t="shared" si="6"/>
        <v>991</v>
      </c>
      <c r="B993" s="37" t="s">
        <v>771</v>
      </c>
      <c r="C993" s="38">
        <v>13.010000228881836</v>
      </c>
      <c r="D993" s="17">
        <f>SUM(C$3:C993)/A993</f>
        <v>12.035513432234735</v>
      </c>
    </row>
    <row r="994" spans="1:4">
      <c r="A994" s="17">
        <f t="shared" si="6"/>
        <v>992</v>
      </c>
      <c r="B994" s="37" t="s">
        <v>772</v>
      </c>
      <c r="C994" s="38">
        <v>12.930000305175781</v>
      </c>
      <c r="D994" s="17">
        <f>SUM(C$3:C994)/A994</f>
        <v>12.036415132711491</v>
      </c>
    </row>
    <row r="995" spans="1:4">
      <c r="A995" s="17">
        <f t="shared" si="6"/>
        <v>993</v>
      </c>
      <c r="B995" s="37" t="s">
        <v>773</v>
      </c>
      <c r="C995" s="38">
        <v>12.859999656677246</v>
      </c>
      <c r="D995" s="17">
        <f>SUM(C$3:C995)/A995</f>
        <v>12.037244522967248</v>
      </c>
    </row>
    <row r="996" spans="1:4">
      <c r="A996" s="17">
        <f t="shared" si="6"/>
        <v>994</v>
      </c>
      <c r="B996" s="37" t="s">
        <v>774</v>
      </c>
      <c r="C996" s="38">
        <v>12.819999694824219</v>
      </c>
      <c r="D996" s="17">
        <f>SUM(C$3:C996)/A996</f>
        <v>12.038032003019417</v>
      </c>
    </row>
    <row r="997" spans="1:4">
      <c r="A997" s="17">
        <f t="shared" si="6"/>
        <v>995</v>
      </c>
      <c r="B997" s="37" t="s">
        <v>775</v>
      </c>
      <c r="C997" s="38">
        <v>12.880000114440918</v>
      </c>
      <c r="D997" s="17">
        <f>SUM(C$3:C997)/A997</f>
        <v>12.038878202126373</v>
      </c>
    </row>
    <row r="998" spans="1:4">
      <c r="A998" s="17">
        <f t="shared" si="6"/>
        <v>996</v>
      </c>
      <c r="B998" s="37" t="s">
        <v>776</v>
      </c>
      <c r="C998" s="38">
        <v>12.949999809265137</v>
      </c>
      <c r="D998" s="17">
        <f>SUM(C$3:C998)/A998</f>
        <v>12.039792982856433</v>
      </c>
    </row>
    <row r="999" spans="1:4">
      <c r="A999" s="17">
        <f t="shared" si="6"/>
        <v>997</v>
      </c>
      <c r="B999" s="37" t="s">
        <v>777</v>
      </c>
      <c r="C999" s="38">
        <v>12.939999580383301</v>
      </c>
      <c r="D999" s="17">
        <f>SUM(C$3:C999)/A999</f>
        <v>12.04069589819999</v>
      </c>
    </row>
    <row r="1000" spans="1:4">
      <c r="A1000" s="17">
        <f t="shared" si="6"/>
        <v>998</v>
      </c>
      <c r="B1000" s="37" t="s">
        <v>778</v>
      </c>
      <c r="C1000" s="38">
        <v>12.829999923706055</v>
      </c>
      <c r="D1000" s="17">
        <f>SUM(C$3:C1000)/A1000</f>
        <v>12.04148678399709</v>
      </c>
    </row>
    <row r="1001" spans="1:4">
      <c r="A1001" s="17">
        <f t="shared" si="6"/>
        <v>999</v>
      </c>
      <c r="B1001" s="37" t="s">
        <v>779</v>
      </c>
      <c r="C1001" s="38">
        <v>12.739999771118164</v>
      </c>
      <c r="D1001" s="17">
        <f>SUM(C$3:C1001)/A1001</f>
        <v>12.042185996196411</v>
      </c>
    </row>
    <row r="1002" spans="1:4">
      <c r="A1002" s="17">
        <f t="shared" si="6"/>
        <v>1000</v>
      </c>
      <c r="B1002" s="37" t="s">
        <v>780</v>
      </c>
      <c r="C1002" s="38">
        <v>12.739999771118164</v>
      </c>
      <c r="D1002" s="17">
        <f>SUM(C$3:C1002)/A1002</f>
        <v>12.042883809971332</v>
      </c>
    </row>
    <row r="1003" spans="1:4">
      <c r="A1003" s="17">
        <f t="shared" si="6"/>
        <v>1001</v>
      </c>
      <c r="B1003" s="37" t="s">
        <v>781</v>
      </c>
      <c r="C1003" s="38">
        <v>12.699999809265137</v>
      </c>
      <c r="D1003" s="17">
        <f>SUM(C$3:C1003)/A1003</f>
        <v>12.043540269511086</v>
      </c>
    </row>
    <row r="1004" spans="1:4">
      <c r="A1004" s="17">
        <f t="shared" si="6"/>
        <v>1002</v>
      </c>
      <c r="B1004" s="37">
        <v>45806</v>
      </c>
      <c r="C1004" s="38">
        <v>12.75</v>
      </c>
      <c r="D1004" s="17">
        <f>SUM(C$3:C1004)/A1004</f>
        <v>12.044245319142313</v>
      </c>
    </row>
    <row r="1005" spans="1:4">
      <c r="A1005" s="17">
        <f t="shared" si="6"/>
        <v>1003</v>
      </c>
      <c r="B1005" s="37">
        <v>45807</v>
      </c>
      <c r="C1005" s="38">
        <v>12.689999580383301</v>
      </c>
      <c r="D1005" s="17">
        <f>SUM(C$3:C1005)/A1005</f>
        <v>12.044889141935174</v>
      </c>
    </row>
    <row r="1006" spans="1:4">
      <c r="A1006" s="17">
        <f t="shared" si="6"/>
        <v>1004</v>
      </c>
      <c r="B1006" s="37" t="s">
        <v>782</v>
      </c>
      <c r="C1006" s="38">
        <v>12.68999958</v>
      </c>
      <c r="D1006" s="17">
        <f>SUM(C$3:C1006)/A1006</f>
        <v>12.045531682212131</v>
      </c>
    </row>
    <row r="1007" spans="1:4">
      <c r="A1007" s="17">
        <f t="shared" si="6"/>
        <v>1005</v>
      </c>
      <c r="B1007" s="37" t="s">
        <v>783</v>
      </c>
      <c r="C1007" s="38">
        <v>12.77000046</v>
      </c>
      <c r="D1007" s="17">
        <f>SUM(C$3:C1007)/A1007</f>
        <v>12.046252546667642</v>
      </c>
    </row>
    <row r="1008" spans="1:4">
      <c r="A1008" s="17">
        <f t="shared" si="6"/>
        <v>1006</v>
      </c>
      <c r="B1008" s="37" t="s">
        <v>784</v>
      </c>
      <c r="C1008" s="38">
        <v>12.80000019</v>
      </c>
      <c r="D1008" s="17">
        <f>SUM(C$3:C1008)/A1008</f>
        <v>12.04700179879819</v>
      </c>
    </row>
    <row r="1009" spans="1:4">
      <c r="A1009" s="17">
        <f t="shared" si="6"/>
        <v>1007</v>
      </c>
      <c r="B1009" s="37" t="s">
        <v>785</v>
      </c>
      <c r="C1009" s="38">
        <v>12.80000019</v>
      </c>
      <c r="D1009" s="17">
        <f>SUM(C$3:C1009)/A1009</f>
        <v>12.047749562841092</v>
      </c>
    </row>
    <row r="1010" spans="1:4">
      <c r="A1010" s="17">
        <f t="shared" si="6"/>
        <v>1008</v>
      </c>
      <c r="B1010" s="37" t="s">
        <v>786</v>
      </c>
      <c r="C1010" s="38">
        <v>12.81000042</v>
      </c>
      <c r="D1010" s="17">
        <f>SUM(C$3:C1010)/A1010</f>
        <v>12.048505764088274</v>
      </c>
    </row>
    <row r="1011" spans="1:4">
      <c r="A1011" s="17">
        <f t="shared" si="6"/>
        <v>1009</v>
      </c>
      <c r="B1011" s="37" t="s">
        <v>787</v>
      </c>
      <c r="C1011" s="38">
        <v>12.77000046</v>
      </c>
      <c r="D1011" s="17">
        <f>SUM(C$3:C1011)/A1011</f>
        <v>12.049220823251714</v>
      </c>
    </row>
    <row r="1012" spans="1:4">
      <c r="A1012" s="17">
        <f t="shared" si="6"/>
        <v>1010</v>
      </c>
      <c r="B1012" s="37" t="s">
        <v>788</v>
      </c>
      <c r="C1012" s="38">
        <v>12.880000109999999</v>
      </c>
      <c r="D1012" s="17">
        <f>SUM(C$3:C1012)/A1012</f>
        <v>12.05004337700097</v>
      </c>
    </row>
    <row r="1013" spans="1:4">
      <c r="A1013" s="17">
        <f t="shared" si="6"/>
        <v>1011</v>
      </c>
      <c r="B1013" s="37" t="s">
        <v>789</v>
      </c>
      <c r="C1013" s="38">
        <v>12.85999966</v>
      </c>
      <c r="D1013" s="17">
        <f>SUM(C$3:C1013)/A1013</f>
        <v>12.050844520703244</v>
      </c>
    </row>
    <row r="1014" spans="1:4">
      <c r="A1014" s="17">
        <f t="shared" si="6"/>
        <v>1012</v>
      </c>
      <c r="B1014" s="37" t="s">
        <v>790</v>
      </c>
      <c r="C1014" s="38">
        <v>12.77000046</v>
      </c>
      <c r="D1014" s="17">
        <f>SUM(C$3:C1014)/A1014</f>
        <v>12.051555149101759</v>
      </c>
    </row>
    <row r="1015" spans="1:4">
      <c r="A1015" s="17">
        <f t="shared" si="6"/>
        <v>1013</v>
      </c>
      <c r="B1015" s="37" t="s">
        <v>791</v>
      </c>
      <c r="C1015" s="38">
        <v>12.93000031</v>
      </c>
      <c r="D1015" s="17">
        <f>SUM(C$3:C1015)/A1015</f>
        <v>12.05242232102762</v>
      </c>
    </row>
    <row r="1016" spans="1:4">
      <c r="A1016" s="17">
        <f t="shared" si="6"/>
        <v>1014</v>
      </c>
      <c r="B1016" s="37" t="s">
        <v>792</v>
      </c>
      <c r="C1016" s="38">
        <v>12.93999958</v>
      </c>
      <c r="D1016" s="17">
        <f>SUM(C$3:C1016)/A1016</f>
        <v>12.053297643768223</v>
      </c>
    </row>
    <row r="1017" spans="1:4">
      <c r="A1017" s="17">
        <f t="shared" si="6"/>
        <v>1015</v>
      </c>
      <c r="B1017" s="37" t="s">
        <v>793</v>
      </c>
      <c r="C1017" s="38">
        <v>12.960000040000001</v>
      </c>
      <c r="D1017" s="17">
        <f>SUM(C$3:C1017)/A1017</f>
        <v>12.054190946621654</v>
      </c>
    </row>
    <row r="1018" spans="1:4">
      <c r="A1018" s="17">
        <f t="shared" si="6"/>
        <v>1016</v>
      </c>
      <c r="B1018" s="37" t="s">
        <v>794</v>
      </c>
      <c r="C1018" s="38">
        <v>12.93000031</v>
      </c>
      <c r="D1018" s="17">
        <f>SUM(C$3:C1018)/A1018</f>
        <v>12.055052963711594</v>
      </c>
    </row>
    <row r="1019" spans="1:4">
      <c r="A1019" s="17">
        <f t="shared" si="6"/>
        <v>1017</v>
      </c>
      <c r="B1019" s="37" t="s">
        <v>795</v>
      </c>
      <c r="C1019" s="38">
        <v>12.93999958</v>
      </c>
      <c r="D1019" s="17">
        <f>SUM(C$3:C1019)/A1019</f>
        <v>12.055923117709909</v>
      </c>
    </row>
    <row r="1020" spans="1:4">
      <c r="A1020" s="17">
        <f t="shared" si="6"/>
        <v>1018</v>
      </c>
      <c r="B1020" s="37" t="s">
        <v>796</v>
      </c>
      <c r="C1020" s="38">
        <v>13.02000046</v>
      </c>
      <c r="D1020" s="17">
        <f>SUM(C$3:C1020)/A1020</f>
        <v>12.056870148498014</v>
      </c>
    </row>
    <row r="1021" spans="1:4">
      <c r="A1021" s="17">
        <f t="shared" si="6"/>
        <v>1019</v>
      </c>
      <c r="B1021" s="37" t="s">
        <v>797</v>
      </c>
      <c r="C1021" s="38">
        <v>13.149999619999999</v>
      </c>
      <c r="D1021" s="17">
        <f>SUM(C$3:C1021)/A1021</f>
        <v>12.057942895771323</v>
      </c>
    </row>
    <row r="1022" spans="1:4">
      <c r="A1022" s="17">
        <f t="shared" si="6"/>
        <v>1020</v>
      </c>
      <c r="B1022" s="37" t="s">
        <v>798</v>
      </c>
      <c r="C1022" s="38">
        <v>13.289999959999999</v>
      </c>
      <c r="D1022" s="17">
        <f>SUM(C$3:C1022)/A1022</f>
        <v>12.059150794853899</v>
      </c>
    </row>
    <row r="1023" spans="1:4">
      <c r="A1023" s="17">
        <f t="shared" si="6"/>
        <v>1021</v>
      </c>
      <c r="B1023" s="37" t="s">
        <v>799</v>
      </c>
      <c r="C1023" s="38">
        <v>13.289999959999999</v>
      </c>
      <c r="D1023" s="17">
        <f>SUM(C$3:C1023)/A1023</f>
        <v>12.060356327826618</v>
      </c>
    </row>
    <row r="1024" spans="1:4">
      <c r="A1024" s="17">
        <f t="shared" si="6"/>
        <v>1022</v>
      </c>
      <c r="B1024" s="37">
        <v>45835</v>
      </c>
      <c r="C1024" s="38">
        <v>13.170000079999999</v>
      </c>
      <c r="D1024" s="17">
        <f>SUM(C$3:C1024)/A1024</f>
        <v>12.061442084922676</v>
      </c>
    </row>
    <row r="1025" spans="1:4">
      <c r="A1025" s="17">
        <f t="shared" si="6"/>
        <v>1023</v>
      </c>
      <c r="B1025" s="37">
        <v>45838</v>
      </c>
      <c r="C1025" s="38">
        <v>13.210000040000001</v>
      </c>
      <c r="D1025" s="17">
        <f>SUM(C$3:C1025)/A1025</f>
        <v>12.062564819971628</v>
      </c>
    </row>
    <row r="1026" spans="1:4">
      <c r="A1026" s="17">
        <f t="shared" si="6"/>
        <v>1024</v>
      </c>
      <c r="B1026" s="37" t="s">
        <v>800</v>
      </c>
      <c r="C1026" s="38">
        <v>13.260000229999999</v>
      </c>
      <c r="D1026" s="17">
        <f>SUM(C$3:C1026)/A1026</f>
        <v>12.063734190489235</v>
      </c>
    </row>
    <row r="1027" spans="1:4">
      <c r="A1027" s="17">
        <f t="shared" si="6"/>
        <v>1025</v>
      </c>
      <c r="B1027" s="37" t="s">
        <v>801</v>
      </c>
      <c r="C1027" s="38">
        <v>13.260000229999999</v>
      </c>
      <c r="D1027" s="17">
        <f>SUM(C$3:C1027)/A1027</f>
        <v>12.064901279308271</v>
      </c>
    </row>
    <row r="1028" spans="1:4">
      <c r="A1028" s="17">
        <f t="shared" si="6"/>
        <v>1026</v>
      </c>
      <c r="B1028" s="37" t="s">
        <v>802</v>
      </c>
      <c r="C1028" s="38">
        <v>13.34000015</v>
      </c>
      <c r="D1028" s="17">
        <f>SUM(C$3:C1028)/A1028</f>
        <v>12.066144065731946</v>
      </c>
    </row>
    <row r="1029" spans="1:4">
      <c r="A1029" s="17">
        <f t="shared" si="6"/>
        <v>1027</v>
      </c>
      <c r="B1029" s="37" t="s">
        <v>803</v>
      </c>
      <c r="C1029" s="38">
        <v>13.399999619999999</v>
      </c>
      <c r="D1029" s="17">
        <f>SUM(C$3:C1029)/A1029</f>
        <v>12.067442854002898</v>
      </c>
    </row>
    <row r="1030" spans="1:4">
      <c r="A1030" s="17">
        <f t="shared" si="6"/>
        <v>1028</v>
      </c>
      <c r="B1030" s="37" t="s">
        <v>804</v>
      </c>
      <c r="C1030" s="38">
        <v>13.350000380000001</v>
      </c>
      <c r="D1030" s="17">
        <f>SUM(C$3:C1030)/A1030</f>
        <v>12.068690478055425</v>
      </c>
    </row>
    <row r="1031" spans="1:4">
      <c r="A1031" s="17">
        <f t="shared" si="6"/>
        <v>1029</v>
      </c>
      <c r="B1031" s="37" t="s">
        <v>805</v>
      </c>
      <c r="C1031" s="38">
        <v>13.460000040000001</v>
      </c>
      <c r="D1031" s="17">
        <f>SUM(C$3:C1031)/A1031</f>
        <v>12.07004257675508</v>
      </c>
    </row>
    <row r="1032" spans="1:4">
      <c r="A1032" s="17">
        <f t="shared" si="6"/>
        <v>1030</v>
      </c>
      <c r="B1032" s="37" t="s">
        <v>806</v>
      </c>
      <c r="C1032" s="38">
        <v>13.460000040000001</v>
      </c>
      <c r="D1032" s="17">
        <f>SUM(C$3:C1032)/A1032</f>
        <v>12.071392050020368</v>
      </c>
    </row>
    <row r="1033" spans="1:4">
      <c r="A1033" s="17">
        <f t="shared" si="6"/>
        <v>1031</v>
      </c>
      <c r="B1033" s="37" t="s">
        <v>807</v>
      </c>
      <c r="C1033" s="38">
        <v>13.52999973</v>
      </c>
      <c r="D1033" s="17">
        <f>SUM(C$3:C1033)/A1033</f>
        <v>12.072806800437419</v>
      </c>
    </row>
    <row r="1034" spans="1:4">
      <c r="A1034" s="17">
        <f t="shared" si="6"/>
        <v>1032</v>
      </c>
      <c r="B1034" s="37" t="s">
        <v>808</v>
      </c>
      <c r="C1034" s="38">
        <v>13.52000046</v>
      </c>
      <c r="D1034" s="17">
        <f>SUM(C$3:C1034)/A1034</f>
        <v>12.074209119874979</v>
      </c>
    </row>
    <row r="1035" spans="1:4">
      <c r="A1035" s="17">
        <f t="shared" si="6"/>
        <v>1033</v>
      </c>
      <c r="B1035" s="37" t="s">
        <v>809</v>
      </c>
      <c r="C1035" s="38">
        <v>13.56000042</v>
      </c>
      <c r="D1035" s="17">
        <f>SUM(C$3:C1035)/A1035</f>
        <v>12.075647446399785</v>
      </c>
    </row>
    <row r="1036" spans="1:4">
      <c r="A1036" s="17">
        <f t="shared" si="6"/>
        <v>1034</v>
      </c>
      <c r="B1036" s="37" t="s">
        <v>810</v>
      </c>
      <c r="C1036" s="38">
        <v>18.010000229999999</v>
      </c>
      <c r="D1036" s="17">
        <f>SUM(C$3:C1036)/A1036</f>
        <v>12.081386665726285</v>
      </c>
    </row>
    <row r="1037" spans="1:4">
      <c r="A1037" s="17">
        <f t="shared" si="6"/>
        <v>1035</v>
      </c>
      <c r="B1037" s="37" t="s">
        <v>811</v>
      </c>
      <c r="C1037" s="38">
        <v>13.52000046</v>
      </c>
      <c r="D1037" s="17">
        <f>SUM(C$3:C1037)/A1037</f>
        <v>12.082776630744906</v>
      </c>
    </row>
    <row r="1038" spans="1:4">
      <c r="A1038" s="17">
        <f t="shared" si="6"/>
        <v>1036</v>
      </c>
      <c r="B1038" s="37" t="s">
        <v>812</v>
      </c>
      <c r="C1038" s="38">
        <v>13.579999920000001</v>
      </c>
      <c r="D1038" s="17">
        <f>SUM(C$3:C1038)/A1038</f>
        <v>12.084221826970056</v>
      </c>
    </row>
    <row r="1039" spans="1:4">
      <c r="A1039" s="17">
        <f t="shared" si="6"/>
        <v>1037</v>
      </c>
      <c r="B1039" s="37" t="s">
        <v>813</v>
      </c>
      <c r="C1039" s="38">
        <v>13.649999619999999</v>
      </c>
      <c r="D1039" s="17">
        <f>SUM(C$3:C1039)/A1039</f>
        <v>12.085731738053017</v>
      </c>
    </row>
    <row r="1040" spans="1:4">
      <c r="A1040" s="17">
        <f t="shared" si="6"/>
        <v>1038</v>
      </c>
      <c r="B1040" s="37" t="s">
        <v>814</v>
      </c>
      <c r="C1040" s="38">
        <v>13.739999771118164</v>
      </c>
      <c r="D1040" s="17">
        <f>SUM(C$3:C1040)/A1040</f>
        <v>12.087325445213967</v>
      </c>
    </row>
    <row r="1041" spans="1:4">
      <c r="A1041" s="17">
        <f t="shared" si="6"/>
        <v>1039</v>
      </c>
      <c r="B1041" s="37" t="s">
        <v>815</v>
      </c>
      <c r="C1041" s="38">
        <v>13.859999656677246</v>
      </c>
      <c r="D1041" s="17">
        <f>SUM(C$3:C1041)/A1041</f>
        <v>12.089031580162439</v>
      </c>
    </row>
    <row r="1042" spans="1:4">
      <c r="A1042" s="17">
        <f t="shared" si="6"/>
        <v>1040</v>
      </c>
      <c r="B1042" s="37" t="s">
        <v>816</v>
      </c>
      <c r="C1042" s="38">
        <v>13.859999656677246</v>
      </c>
      <c r="D1042" s="17">
        <f>SUM(C$3:C1042)/A1042</f>
        <v>12.090734434082165</v>
      </c>
    </row>
    <row r="1043" spans="1:4">
      <c r="A1043" s="17">
        <f t="shared" si="6"/>
        <v>1041</v>
      </c>
      <c r="B1043" s="37" t="s">
        <v>817</v>
      </c>
      <c r="C1043" s="38">
        <v>13.930000305175781</v>
      </c>
      <c r="D1043" s="17">
        <f>SUM(C$3:C1043)/A1043</f>
        <v>12.092501260087058</v>
      </c>
    </row>
    <row r="1044" spans="1:4">
      <c r="A1044" s="17">
        <f t="shared" si="6"/>
        <v>1042</v>
      </c>
      <c r="B1044" s="37" t="s">
        <v>818</v>
      </c>
      <c r="C1044" s="38">
        <v>13.930000305175781</v>
      </c>
      <c r="D1044" s="17">
        <f>SUM(C$3:C1044)/A1044</f>
        <v>12.094264694871212</v>
      </c>
    </row>
    <row r="1045" spans="1:4">
      <c r="A1045" s="17">
        <f t="shared" si="6"/>
        <v>1043</v>
      </c>
      <c r="B1045" s="37" t="s">
        <v>819</v>
      </c>
      <c r="C1045" s="38">
        <v>13.880000114440918</v>
      </c>
      <c r="D1045" s="17">
        <f>SUM(C$3:C1045)/A1045</f>
        <v>12.095976809367444</v>
      </c>
    </row>
    <row r="1046" spans="1:4">
      <c r="A1046" s="17">
        <f t="shared" si="6"/>
        <v>1044</v>
      </c>
      <c r="B1046" s="37" t="s">
        <v>820</v>
      </c>
      <c r="C1046" s="38">
        <v>13.909999847412109</v>
      </c>
      <c r="D1046" s="17">
        <f>SUM(C$3:C1046)/A1046</f>
        <v>12.097714379327257</v>
      </c>
    </row>
    <row r="1047" spans="1:4">
      <c r="A1047" s="17">
        <f t="shared" si="6"/>
        <v>1045</v>
      </c>
      <c r="B1047" s="37">
        <v>45868</v>
      </c>
      <c r="C1047" s="38">
        <v>13.949999809265137</v>
      </c>
      <c r="D1047" s="17">
        <f>SUM(C$3:C1047)/A1047</f>
        <v>12.099486901269781</v>
      </c>
    </row>
    <row r="1048" spans="1:4">
      <c r="A1048" s="17">
        <f t="shared" si="6"/>
        <v>1046</v>
      </c>
      <c r="B1048" s="37">
        <v>45869</v>
      </c>
      <c r="C1048" s="38">
        <v>13.75</v>
      </c>
      <c r="D1048" s="17">
        <f>SUM(C$3:C1048)/A1048</f>
        <v>12.101064829662448</v>
      </c>
    </row>
    <row r="1049" spans="1:4">
      <c r="A1049" s="17">
        <f t="shared" si="6"/>
        <v>1047</v>
      </c>
      <c r="B1049" s="37" t="s">
        <v>821</v>
      </c>
      <c r="C1049" s="38">
        <v>13.649999619999999</v>
      </c>
      <c r="D1049" s="17">
        <f>SUM(C$3:C1049)/A1049</f>
        <v>12.10254423251855</v>
      </c>
    </row>
    <row r="1050" spans="1:4">
      <c r="A1050" s="17">
        <f t="shared" si="6"/>
        <v>1048</v>
      </c>
      <c r="B1050" s="37" t="s">
        <v>822</v>
      </c>
      <c r="C1050" s="38">
        <v>13.69999981</v>
      </c>
      <c r="D1050" s="17">
        <f>SUM(C$3:C1050)/A1050</f>
        <v>12.104068522191719</v>
      </c>
    </row>
    <row r="1051" spans="1:4">
      <c r="A1051" s="17">
        <f t="shared" si="6"/>
        <v>1049</v>
      </c>
      <c r="B1051" s="37" t="s">
        <v>823</v>
      </c>
      <c r="C1051" s="38">
        <v>13.829999920000001</v>
      </c>
      <c r="D1051" s="17">
        <f>SUM(C$3:C1051)/A1051</f>
        <v>12.10571383334311</v>
      </c>
    </row>
    <row r="1052" spans="1:4">
      <c r="A1052" s="17">
        <f t="shared" si="6"/>
        <v>1050</v>
      </c>
      <c r="B1052" s="37" t="s">
        <v>824</v>
      </c>
      <c r="C1052" s="38">
        <v>13.869999890000001</v>
      </c>
      <c r="D1052" s="17">
        <f>SUM(C$3:C1052)/A1052</f>
        <v>12.10739410577802</v>
      </c>
    </row>
    <row r="1053" spans="1:4">
      <c r="A1053" s="17">
        <f t="shared" si="6"/>
        <v>1051</v>
      </c>
      <c r="B1053" s="37" t="s">
        <v>825</v>
      </c>
      <c r="C1053" s="38">
        <v>13.880000109999999</v>
      </c>
      <c r="D1053" s="17">
        <f>SUM(C$3:C1053)/A1053</f>
        <v>12.109080695696406</v>
      </c>
    </row>
    <row r="1054" spans="1:4">
      <c r="A1054" s="17">
        <f t="shared" si="6"/>
        <v>1052</v>
      </c>
      <c r="B1054" s="37" t="s">
        <v>826</v>
      </c>
      <c r="C1054" s="38">
        <v>13.869999890000001</v>
      </c>
      <c r="D1054" s="17">
        <f>SUM(C$3:C1054)/A1054</f>
        <v>12.11075457325753</v>
      </c>
    </row>
    <row r="1055" spans="1:4">
      <c r="A1055" s="17">
        <f t="shared" si="6"/>
        <v>1053</v>
      </c>
      <c r="B1055" s="37" t="s">
        <v>827</v>
      </c>
      <c r="C1055" s="38">
        <v>13.899999619999999</v>
      </c>
      <c r="D1055" s="17">
        <f>SUM(C$3:C1055)/A1055</f>
        <v>12.112453761336107</v>
      </c>
    </row>
    <row r="1056" spans="1:4">
      <c r="A1056" s="17">
        <f t="shared" si="6"/>
        <v>1054</v>
      </c>
      <c r="B1056" s="37" t="s">
        <v>828</v>
      </c>
      <c r="C1056" s="38">
        <v>13.899999619999999</v>
      </c>
      <c r="D1056" s="17">
        <f>SUM(C$3:C1056)/A1056</f>
        <v>12.114149725148883</v>
      </c>
    </row>
    <row r="1057" spans="1:4">
      <c r="A1057" s="17">
        <f t="shared" si="6"/>
        <v>1055</v>
      </c>
      <c r="B1057" s="37" t="s">
        <v>829</v>
      </c>
      <c r="C1057" s="38">
        <v>14.09000015</v>
      </c>
      <c r="D1057" s="17">
        <f>SUM(C$3:C1057)/A1057</f>
        <v>12.116022569153479</v>
      </c>
    </row>
    <row r="1058" spans="1:4">
      <c r="A1058" s="17">
        <f t="shared" si="6"/>
        <v>1056</v>
      </c>
      <c r="B1058" s="37" t="s">
        <v>830</v>
      </c>
      <c r="C1058" s="38">
        <v>14.06999969</v>
      </c>
      <c r="D1058" s="17">
        <f>SUM(C$3:C1058)/A1058</f>
        <v>12.117872926275494</v>
      </c>
    </row>
    <row r="1059" spans="1:4">
      <c r="A1059" s="17">
        <f t="shared" si="6"/>
        <v>1057</v>
      </c>
      <c r="B1059" s="37" t="s">
        <v>831</v>
      </c>
      <c r="C1059" s="38">
        <v>14.14000034</v>
      </c>
      <c r="D1059" s="17">
        <f>SUM(C$3:C1059)/A1059</f>
        <v>12.119786008029253</v>
      </c>
    </row>
    <row r="1060" spans="1:4">
      <c r="A1060" s="17">
        <f t="shared" si="6"/>
        <v>1058</v>
      </c>
      <c r="B1060" s="37" t="s">
        <v>832</v>
      </c>
      <c r="C1060" s="38">
        <v>14.25</v>
      </c>
      <c r="D1060" s="17">
        <f>SUM(C$3:C1060)/A1060</f>
        <v>12.121799442804273</v>
      </c>
    </row>
    <row r="1061" spans="1:4">
      <c r="A1061" s="17">
        <f t="shared" si="6"/>
        <v>1059</v>
      </c>
      <c r="B1061" s="37" t="s">
        <v>833</v>
      </c>
      <c r="C1061" s="38">
        <v>14.239999770000001</v>
      </c>
      <c r="D1061" s="17">
        <f>SUM(C$3:C1061)/A1061</f>
        <v>12.123799631970652</v>
      </c>
    </row>
    <row r="1062" spans="1:4">
      <c r="A1062" s="17">
        <f t="shared" ref="A1062:A1128" si="7">A1061+1</f>
        <v>1060</v>
      </c>
      <c r="B1062" s="37" t="s">
        <v>834</v>
      </c>
      <c r="C1062" s="38">
        <v>14.399999619999999</v>
      </c>
      <c r="D1062" s="17">
        <f>SUM(C$3:C1062)/A1062</f>
        <v>12.125946990449924</v>
      </c>
    </row>
    <row r="1063" spans="1:4">
      <c r="A1063" s="17">
        <f t="shared" si="7"/>
        <v>1061</v>
      </c>
      <c r="B1063" s="37" t="s">
        <v>835</v>
      </c>
      <c r="C1063" s="38">
        <v>14.399999619999999</v>
      </c>
      <c r="D1063" s="17">
        <f>SUM(C$3:C1063)/A1063</f>
        <v>12.128090301128106</v>
      </c>
    </row>
    <row r="1064" spans="1:4">
      <c r="A1064" s="17">
        <f t="shared" si="7"/>
        <v>1062</v>
      </c>
      <c r="B1064" s="37" t="s">
        <v>836</v>
      </c>
      <c r="C1064" s="38">
        <v>14.64000034</v>
      </c>
      <c r="D1064" s="17">
        <f>SUM(C$3:C1064)/A1064</f>
        <v>12.130455564818192</v>
      </c>
    </row>
    <row r="1065" spans="1:4">
      <c r="A1065" s="17">
        <f t="shared" si="7"/>
        <v>1063</v>
      </c>
      <c r="B1065" s="37" t="s">
        <v>837</v>
      </c>
      <c r="C1065" s="38">
        <v>14.89000034</v>
      </c>
      <c r="D1065" s="17">
        <f>SUM(C$3:C1065)/A1065</f>
        <v>12.133051561784496</v>
      </c>
    </row>
    <row r="1066" spans="1:4">
      <c r="A1066" s="17">
        <f t="shared" si="7"/>
        <v>1064</v>
      </c>
      <c r="B1066" s="37" t="s">
        <v>838</v>
      </c>
      <c r="C1066" s="38">
        <v>14.85999966</v>
      </c>
      <c r="D1066" s="17">
        <f>SUM(C$3:C1066)/A1066</f>
        <v>12.135614482929435</v>
      </c>
    </row>
    <row r="1067" spans="1:4">
      <c r="A1067" s="17">
        <f t="shared" si="7"/>
        <v>1065</v>
      </c>
      <c r="B1067" s="37" t="s">
        <v>839</v>
      </c>
      <c r="C1067" s="38">
        <v>14.85999966</v>
      </c>
      <c r="D1067" s="17">
        <f>SUM(C$3:C1067)/A1067</f>
        <v>12.13817259107692</v>
      </c>
    </row>
    <row r="1068" spans="1:4">
      <c r="A1068" s="17">
        <f t="shared" si="7"/>
        <v>1066</v>
      </c>
      <c r="B1068" s="37">
        <v>45897</v>
      </c>
      <c r="C1068" s="38">
        <v>14.760000229999999</v>
      </c>
      <c r="D1068" s="17">
        <f>SUM(C$3:C1068)/A1068</f>
        <v>12.140632091676286</v>
      </c>
    </row>
    <row r="1069" spans="1:4">
      <c r="A1069" s="17">
        <f t="shared" si="7"/>
        <v>1067</v>
      </c>
      <c r="B1069" s="37">
        <v>45898</v>
      </c>
      <c r="C1069" s="38">
        <v>14.94999981</v>
      </c>
      <c r="D1069" s="17">
        <f>SUM(C$3:C1069)/A1069</f>
        <v>12.14326505111239</v>
      </c>
    </row>
    <row r="1070" spans="1:4">
      <c r="A1070" s="17">
        <f t="shared" si="7"/>
        <v>1068</v>
      </c>
      <c r="B1070" s="37" t="s">
        <v>840</v>
      </c>
      <c r="C1070" s="38">
        <v>14.85999966</v>
      </c>
      <c r="D1070" s="17">
        <f>SUM(C$3:C1070)/A1070</f>
        <v>12.145808810109477</v>
      </c>
    </row>
    <row r="1071" spans="1:4">
      <c r="A1071" s="17">
        <f t="shared" si="7"/>
        <v>1069</v>
      </c>
      <c r="B1071" s="37" t="s">
        <v>841</v>
      </c>
      <c r="C1071" s="38">
        <v>14.81999969</v>
      </c>
      <c r="D1071" s="17">
        <f>SUM(C$3:C1071)/A1071</f>
        <v>12.148310391849318</v>
      </c>
    </row>
    <row r="1072" spans="1:4">
      <c r="A1072" s="17">
        <f t="shared" si="7"/>
        <v>1070</v>
      </c>
      <c r="B1072" s="37" t="s">
        <v>842</v>
      </c>
      <c r="C1072" s="38">
        <v>14.72999954</v>
      </c>
      <c r="D1072" s="17">
        <f>SUM(C$3:C1072)/A1072</f>
        <v>12.150723185445722</v>
      </c>
    </row>
    <row r="1073" spans="1:4">
      <c r="A1073" s="17">
        <f t="shared" si="7"/>
        <v>1071</v>
      </c>
      <c r="B1073" s="37" t="s">
        <v>843</v>
      </c>
      <c r="C1073" s="38">
        <v>14.579999920000001</v>
      </c>
      <c r="D1073" s="17">
        <f>SUM(C$3:C1073)/A1073</f>
        <v>12.15299141769087</v>
      </c>
    </row>
    <row r="1074" spans="1:4">
      <c r="A1074" s="17">
        <f t="shared" si="7"/>
        <v>1072</v>
      </c>
      <c r="B1074" s="37" t="s">
        <v>844</v>
      </c>
      <c r="C1074" s="38">
        <v>14.579999920000001</v>
      </c>
      <c r="D1074" s="17">
        <f>SUM(C$3:C1074)/A1074</f>
        <v>12.155255418159443</v>
      </c>
    </row>
    <row r="1075" spans="1:4">
      <c r="A1075" s="17">
        <f t="shared" si="7"/>
        <v>1073</v>
      </c>
      <c r="B1075" s="37" t="s">
        <v>845</v>
      </c>
      <c r="C1075" s="38">
        <v>14.850000380000001</v>
      </c>
      <c r="D1075" s="17">
        <f>SUM(C$3:C1075)/A1075</f>
        <v>12.157766830053051</v>
      </c>
    </row>
    <row r="1076" spans="1:4">
      <c r="A1076" s="17">
        <f t="shared" si="7"/>
        <v>1074</v>
      </c>
      <c r="B1076" s="37" t="s">
        <v>846</v>
      </c>
      <c r="C1076" s="38">
        <v>14.75</v>
      </c>
      <c r="D1076" s="17">
        <f>SUM(C$3:C1076)/A1076</f>
        <v>12.160180454978514</v>
      </c>
    </row>
    <row r="1077" spans="1:4">
      <c r="A1077" s="17">
        <f t="shared" si="7"/>
        <v>1075</v>
      </c>
      <c r="B1077" s="37" t="s">
        <v>847</v>
      </c>
      <c r="C1077" s="38">
        <v>14.789999959999999</v>
      </c>
      <c r="D1077" s="17">
        <f>SUM(C$3:C1077)/A1077</f>
        <v>12.162626798704114</v>
      </c>
    </row>
    <row r="1078" spans="1:4">
      <c r="A1078" s="17">
        <f t="shared" si="7"/>
        <v>1076</v>
      </c>
      <c r="B1078" s="37" t="s">
        <v>848</v>
      </c>
      <c r="C1078" s="38">
        <v>15.05000019</v>
      </c>
      <c r="D1078" s="17">
        <f>SUM(C$3:C1078)/A1078</f>
        <v>12.165310231223906</v>
      </c>
    </row>
    <row r="1079" spans="1:4">
      <c r="A1079" s="17">
        <f t="shared" si="7"/>
        <v>1077</v>
      </c>
      <c r="B1079" s="37" t="s">
        <v>849</v>
      </c>
      <c r="C1079" s="38">
        <v>14.97999954</v>
      </c>
      <c r="D1079" s="17">
        <f>SUM(C$3:C1079)/A1079</f>
        <v>12.167923684621099</v>
      </c>
    </row>
    <row r="1080" spans="1:4">
      <c r="A1080" s="17">
        <f t="shared" si="7"/>
        <v>1078</v>
      </c>
      <c r="B1080" s="37" t="s">
        <v>850</v>
      </c>
      <c r="C1080" s="38">
        <v>15.010000229999999</v>
      </c>
      <c r="D1080" s="17">
        <f>SUM(C$3:C1080)/A1080</f>
        <v>12.170560119264309</v>
      </c>
    </row>
    <row r="1081" spans="1:4">
      <c r="A1081" s="17">
        <f t="shared" si="7"/>
        <v>1079</v>
      </c>
      <c r="B1081" s="37" t="s">
        <v>851</v>
      </c>
      <c r="C1081" s="38">
        <v>14.97000027</v>
      </c>
      <c r="D1081" s="17">
        <f>SUM(C$3:C1081)/A1081</f>
        <v>12.173154595771013</v>
      </c>
    </row>
    <row r="1082" spans="1:4">
      <c r="A1082" s="17">
        <f t="shared" si="7"/>
        <v>1080</v>
      </c>
      <c r="B1082" s="37" t="s">
        <v>852</v>
      </c>
      <c r="C1082" s="38">
        <v>15.06999969</v>
      </c>
      <c r="D1082" s="17">
        <f>SUM(C$3:C1082)/A1082</f>
        <v>12.175836859747152</v>
      </c>
    </row>
    <row r="1083" spans="1:4">
      <c r="A1083" s="17">
        <f t="shared" si="7"/>
        <v>1081</v>
      </c>
      <c r="B1083" s="37" t="s">
        <v>853</v>
      </c>
      <c r="C1083" s="38">
        <v>14.899999619999999</v>
      </c>
      <c r="D1083" s="17">
        <f>SUM(C$3:C1083)/A1083</f>
        <v>12.178356899303353</v>
      </c>
    </row>
    <row r="1084" spans="1:4">
      <c r="A1084" s="17">
        <f t="shared" si="7"/>
        <v>1082</v>
      </c>
      <c r="B1084" s="37" t="s">
        <v>854</v>
      </c>
      <c r="C1084" s="38">
        <v>14.899999619999999</v>
      </c>
      <c r="D1084" s="17">
        <f>SUM(C$3:C1084)/A1084</f>
        <v>12.180872280745771</v>
      </c>
    </row>
    <row r="1085" spans="1:4">
      <c r="A1085" s="17">
        <f t="shared" si="7"/>
        <v>1083</v>
      </c>
      <c r="B1085" s="37" t="s">
        <v>855</v>
      </c>
      <c r="C1085" s="38">
        <v>14.93000031</v>
      </c>
      <c r="D1085" s="17">
        <f>SUM(C$3:C1085)/A1085</f>
        <v>12.183410718445913</v>
      </c>
    </row>
    <row r="1086" spans="1:4">
      <c r="A1086" s="17">
        <f t="shared" si="7"/>
        <v>1084</v>
      </c>
      <c r="B1086" s="37" t="s">
        <v>856</v>
      </c>
      <c r="C1086" s="38">
        <v>14.960000040000001</v>
      </c>
      <c r="D1086" s="17">
        <f>SUM(C$3:C1086)/A1086</f>
        <v>12.185972147709339</v>
      </c>
    </row>
    <row r="1087" spans="1:4">
      <c r="A1087" s="17">
        <f t="shared" si="7"/>
        <v>1085</v>
      </c>
      <c r="B1087" s="37" t="s">
        <v>857</v>
      </c>
      <c r="C1087" s="38">
        <v>15.02999973</v>
      </c>
      <c r="D1087" s="17">
        <f>SUM(C$3:C1087)/A1087</f>
        <v>12.188593371287489</v>
      </c>
    </row>
    <row r="1088" spans="1:4">
      <c r="A1088" s="17">
        <f t="shared" si="7"/>
        <v>1086</v>
      </c>
      <c r="B1088" s="37" t="s">
        <v>858</v>
      </c>
      <c r="C1088" s="38">
        <v>15.079999920000001</v>
      </c>
      <c r="D1088" s="17">
        <f>SUM(C$3:C1088)/A1088</f>
        <v>12.191255808256837</v>
      </c>
    </row>
    <row r="1089" spans="1:4">
      <c r="A1089" s="17">
        <f t="shared" si="7"/>
        <v>1087</v>
      </c>
      <c r="B1089" s="37" t="s">
        <v>859</v>
      </c>
      <c r="C1089" s="38">
        <v>14.93999958</v>
      </c>
      <c r="D1089" s="17">
        <f>SUM(C$3:C1089)/A1089</f>
        <v>12.193784551377115</v>
      </c>
    </row>
    <row r="1090" spans="1:4">
      <c r="A1090" s="17">
        <f t="shared" si="7"/>
        <v>1088</v>
      </c>
      <c r="B1090" s="37">
        <v>45929</v>
      </c>
      <c r="C1090" s="38">
        <v>15.14000034</v>
      </c>
      <c r="D1090" s="17">
        <f>SUM(C$3:C1090)/A1090</f>
        <v>12.196492470300482</v>
      </c>
    </row>
    <row r="1091" spans="1:4">
      <c r="A1091" s="17">
        <f t="shared" si="7"/>
        <v>1089</v>
      </c>
      <c r="B1091" s="37">
        <v>45930</v>
      </c>
      <c r="C1091" s="38">
        <v>15.18999958</v>
      </c>
      <c r="D1091" s="17">
        <f>SUM(C$3:C1091)/A1091</f>
        <v>12.199241328987075</v>
      </c>
    </row>
    <row r="1092" spans="1:4">
      <c r="A1092" s="17">
        <f t="shared" si="7"/>
        <v>1090</v>
      </c>
      <c r="B1092" s="37" t="s">
        <v>860</v>
      </c>
      <c r="C1092" s="38">
        <v>15.420000079999999</v>
      </c>
      <c r="D1092" s="17">
        <f>SUM(C$3:C1092)/A1092</f>
        <v>12.202196153529288</v>
      </c>
    </row>
    <row r="1093" spans="1:4">
      <c r="A1093" s="17">
        <f t="shared" si="7"/>
        <v>1091</v>
      </c>
      <c r="B1093" s="37" t="s">
        <v>861</v>
      </c>
      <c r="C1093" s="38">
        <v>15.19999981</v>
      </c>
      <c r="D1093" s="17">
        <f>SUM(C$3:C1093)/A1093</f>
        <v>12.204943911234578</v>
      </c>
    </row>
    <row r="1094" spans="1:4">
      <c r="A1094" s="17">
        <f t="shared" si="7"/>
        <v>1092</v>
      </c>
      <c r="B1094" s="37" t="s">
        <v>862</v>
      </c>
      <c r="C1094" s="38">
        <v>15.079999920000001</v>
      </c>
      <c r="D1094" s="17">
        <f>SUM(C$3:C1094)/A1094</f>
        <v>12.20757674640744</v>
      </c>
    </row>
    <row r="1095" spans="1:4">
      <c r="A1095" s="17">
        <f t="shared" si="7"/>
        <v>1093</v>
      </c>
      <c r="B1095" s="37" t="s">
        <v>863</v>
      </c>
      <c r="C1095" s="38">
        <v>14.97999954</v>
      </c>
      <c r="D1095" s="17">
        <f>SUM(C$3:C1095)/A1095</f>
        <v>12.210113272293619</v>
      </c>
    </row>
    <row r="1096" spans="1:4">
      <c r="A1096" s="17">
        <f t="shared" si="7"/>
        <v>1094</v>
      </c>
      <c r="B1096" s="37" t="s">
        <v>864</v>
      </c>
      <c r="C1096" s="38">
        <v>15.18999958</v>
      </c>
      <c r="D1096" s="17">
        <f>SUM(C$3:C1096)/A1096</f>
        <v>12.212837117181833</v>
      </c>
    </row>
    <row r="1097" spans="1:4">
      <c r="A1097" s="17">
        <f t="shared" si="7"/>
        <v>1095</v>
      </c>
      <c r="B1097" s="37" t="s">
        <v>865</v>
      </c>
      <c r="C1097" s="38">
        <v>15.289999959999999</v>
      </c>
      <c r="D1097" s="17">
        <f>SUM(C$3:C1097)/A1097</f>
        <v>12.215647311558834</v>
      </c>
    </row>
    <row r="1098" spans="1:4">
      <c r="A1098" s="17">
        <f t="shared" si="7"/>
        <v>1096</v>
      </c>
      <c r="B1098" s="37" t="s">
        <v>866</v>
      </c>
      <c r="C1098" s="38">
        <v>14.97000027</v>
      </c>
      <c r="D1098" s="17">
        <f>SUM(C$3:C1098)/A1098</f>
        <v>12.218160407323834</v>
      </c>
    </row>
    <row r="1099" spans="1:4">
      <c r="A1099" s="17">
        <f t="shared" si="7"/>
        <v>1097</v>
      </c>
      <c r="B1099" s="37" t="s">
        <v>867</v>
      </c>
      <c r="C1099" s="38">
        <v>15.09000015</v>
      </c>
      <c r="D1099" s="17">
        <f>SUM(C$3:C1099)/A1099</f>
        <v>12.2207783104621</v>
      </c>
    </row>
    <row r="1100" spans="1:4">
      <c r="A1100" s="17">
        <f t="shared" si="7"/>
        <v>1098</v>
      </c>
      <c r="B1100" s="37" t="s">
        <v>868</v>
      </c>
      <c r="C1100" s="38">
        <v>15.329999920000001</v>
      </c>
      <c r="D1100" s="17">
        <f>SUM(C$3:C1100)/A1100</f>
        <v>12.223610024131988</v>
      </c>
    </row>
    <row r="1101" spans="1:4">
      <c r="A1101" s="17">
        <f t="shared" si="7"/>
        <v>1099</v>
      </c>
      <c r="B1101" s="37" t="s">
        <v>869</v>
      </c>
      <c r="C1101" s="38">
        <v>15.31999969</v>
      </c>
      <c r="D1101" s="17">
        <f>SUM(C$3:C1101)/A1101</f>
        <v>12.226427485156437</v>
      </c>
    </row>
    <row r="1102" spans="1:4">
      <c r="A1102" s="17">
        <f t="shared" si="7"/>
        <v>1100</v>
      </c>
      <c r="B1102" s="37" t="s">
        <v>870</v>
      </c>
      <c r="C1102" s="38">
        <v>15.369999890000001</v>
      </c>
      <c r="D1102" s="17">
        <f>SUM(C$3:C1102)/A1102</f>
        <v>12.229285278251748</v>
      </c>
    </row>
    <row r="1103" spans="1:4">
      <c r="A1103" s="17">
        <f t="shared" si="7"/>
        <v>1101</v>
      </c>
      <c r="B1103" s="37" t="s">
        <v>871</v>
      </c>
      <c r="C1103" s="38">
        <v>15.52000046</v>
      </c>
      <c r="D1103" s="17">
        <f>SUM(C$3:C1103)/A1103</f>
        <v>12.232274120378676</v>
      </c>
    </row>
    <row r="1104" spans="1:4">
      <c r="A1104" s="17">
        <f t="shared" si="7"/>
        <v>1102</v>
      </c>
      <c r="B1104" s="37" t="s">
        <v>872</v>
      </c>
      <c r="C1104" s="38">
        <v>15.72999954</v>
      </c>
      <c r="D1104" s="17">
        <f>SUM(C$3:C1104)/A1104</f>
        <v>12.235448099888314</v>
      </c>
    </row>
    <row r="1105" spans="1:4">
      <c r="A1105" s="17">
        <f t="shared" si="7"/>
        <v>1103</v>
      </c>
      <c r="B1105" s="37" t="s">
        <v>873</v>
      </c>
      <c r="C1105" s="38">
        <v>15.69999981</v>
      </c>
      <c r="D1105" s="17">
        <f>SUM(C$3:C1105)/A1105</f>
        <v>12.238589125917429</v>
      </c>
    </row>
    <row r="1106" spans="1:4">
      <c r="A1106" s="17">
        <f t="shared" si="7"/>
        <v>1104</v>
      </c>
      <c r="B1106" s="37" t="s">
        <v>874</v>
      </c>
      <c r="C1106" s="38">
        <v>15.880000109999999</v>
      </c>
      <c r="D1106" s="17">
        <f>SUM(C$3:C1106)/A1106</f>
        <v>12.241887505431997</v>
      </c>
    </row>
    <row r="1107" spans="1:4">
      <c r="A1107" s="17">
        <f t="shared" si="7"/>
        <v>1105</v>
      </c>
      <c r="B1107" s="37">
        <v>45960</v>
      </c>
      <c r="C1107" s="38">
        <v>15.77999973</v>
      </c>
      <c r="D1107" s="17">
        <f>SUM(C$3:C1107)/A1107</f>
        <v>12.245089416947444</v>
      </c>
    </row>
    <row r="1108" spans="1:4">
      <c r="A1108" s="17">
        <f t="shared" si="7"/>
        <v>1106</v>
      </c>
      <c r="B1108" s="37">
        <v>45961</v>
      </c>
      <c r="C1108" s="38">
        <v>15.55000019</v>
      </c>
      <c r="D1108" s="17">
        <f>SUM(C$3:C1108)/A1108</f>
        <v>12.248077582203367</v>
      </c>
    </row>
    <row r="1109" spans="1:4">
      <c r="A1109" s="17">
        <f t="shared" si="7"/>
        <v>1107</v>
      </c>
      <c r="B1109" s="37" t="s">
        <v>875</v>
      </c>
      <c r="C1109" s="38">
        <v>15.02999973</v>
      </c>
      <c r="D1109" s="17">
        <f>SUM(C$3:C1109)/A1109</f>
        <v>12.250590610340492</v>
      </c>
    </row>
    <row r="1110" spans="1:4">
      <c r="A1110" s="17">
        <f t="shared" si="7"/>
        <v>1108</v>
      </c>
      <c r="B1110" s="37" t="s">
        <v>876</v>
      </c>
      <c r="C1110" s="38">
        <v>14.93000031</v>
      </c>
      <c r="D1110" s="17">
        <f>SUM(C$3:C1110)/A1110</f>
        <v>12.253008850141629</v>
      </c>
    </row>
    <row r="1111" spans="1:4">
      <c r="A1111" s="17">
        <f t="shared" si="7"/>
        <v>1109</v>
      </c>
      <c r="B1111" s="37" t="s">
        <v>877</v>
      </c>
      <c r="C1111" s="38">
        <v>14.97999954</v>
      </c>
      <c r="D1111" s="17">
        <f>SUM(C$3:C1111)/A1111</f>
        <v>12.255467813793441</v>
      </c>
    </row>
    <row r="1112" spans="1:4">
      <c r="A1112" s="17">
        <f t="shared" si="7"/>
        <v>1110</v>
      </c>
      <c r="B1112" s="37" t="s">
        <v>878</v>
      </c>
      <c r="C1112" s="38">
        <v>15.14000034</v>
      </c>
      <c r="D1112" s="17">
        <f>SUM(C$3:C1112)/A1112</f>
        <v>12.258066491744978</v>
      </c>
    </row>
    <row r="1113" spans="1:4">
      <c r="A1113" s="17">
        <f t="shared" si="7"/>
        <v>1111</v>
      </c>
      <c r="B1113" s="37" t="s">
        <v>879</v>
      </c>
      <c r="C1113" s="38">
        <v>15.079999920000001</v>
      </c>
      <c r="D1113" s="17">
        <f>SUM(C$3:C1113)/A1113</f>
        <v>12.260606485829816</v>
      </c>
    </row>
    <row r="1114" spans="1:4">
      <c r="A1114" s="17">
        <f t="shared" si="7"/>
        <v>1112</v>
      </c>
      <c r="B1114" s="37" t="s">
        <v>880</v>
      </c>
      <c r="C1114" s="38">
        <v>15.14000034</v>
      </c>
      <c r="D1114" s="17">
        <f>SUM(C$3:C1114)/A1114</f>
        <v>12.263195868792199</v>
      </c>
    </row>
    <row r="1115" spans="1:4">
      <c r="A1115" s="17">
        <f t="shared" si="7"/>
        <v>1113</v>
      </c>
      <c r="B1115" s="37" t="s">
        <v>881</v>
      </c>
      <c r="C1115" s="38">
        <v>15.039999959999999</v>
      </c>
      <c r="D1115" s="17">
        <f>SUM(C$3:C1115)/A1115</f>
        <v>12.265690751174237</v>
      </c>
    </row>
    <row r="1116" spans="1:4">
      <c r="A1116" s="17">
        <f t="shared" si="7"/>
        <v>1114</v>
      </c>
      <c r="B1116" s="37" t="s">
        <v>882</v>
      </c>
      <c r="C1116" s="38">
        <v>15.100000380000001</v>
      </c>
      <c r="D1116" s="17">
        <f>SUM(C$3:C1116)/A1116</f>
        <v>12.26823501475487</v>
      </c>
    </row>
    <row r="1117" spans="1:4">
      <c r="A1117" s="17">
        <f t="shared" si="7"/>
        <v>1115</v>
      </c>
      <c r="B1117" s="37" t="s">
        <v>883</v>
      </c>
      <c r="C1117" s="38">
        <v>15.22999954</v>
      </c>
      <c r="D1117" s="17">
        <f>SUM(C$3:C1117)/A1117</f>
        <v>12.270891305808902</v>
      </c>
    </row>
    <row r="1118" spans="1:4">
      <c r="A1118" s="17">
        <f t="shared" si="7"/>
        <v>1116</v>
      </c>
      <c r="B1118" s="37" t="s">
        <v>884</v>
      </c>
      <c r="C1118" s="38">
        <v>15.02000046</v>
      </c>
      <c r="D1118" s="17">
        <f>SUM(C$3:C1118)/A1118</f>
        <v>12.273354665266062</v>
      </c>
    </row>
    <row r="1119" spans="1:4">
      <c r="A1119" s="17">
        <f t="shared" si="7"/>
        <v>1117</v>
      </c>
      <c r="B1119" s="37" t="s">
        <v>885</v>
      </c>
      <c r="C1119" s="38">
        <v>14.90999985</v>
      </c>
      <c r="D1119" s="17">
        <f>SUM(C$3:C1119)/A1119</f>
        <v>12.275715135440398</v>
      </c>
    </row>
    <row r="1120" spans="1:4">
      <c r="A1120" s="17">
        <f t="shared" si="7"/>
        <v>1118</v>
      </c>
      <c r="B1120" s="37" t="s">
        <v>886</v>
      </c>
      <c r="C1120" s="38">
        <v>14.77999973</v>
      </c>
      <c r="D1120" s="17">
        <f>SUM(C$3:C1120)/A1120</f>
        <v>12.277955103771848</v>
      </c>
    </row>
    <row r="1121" spans="1:4">
      <c r="A1121" s="17">
        <f t="shared" si="7"/>
        <v>1119</v>
      </c>
      <c r="B1121" s="37" t="s">
        <v>887</v>
      </c>
      <c r="C1121" s="38">
        <v>14.899999619999999</v>
      </c>
      <c r="D1121" s="17">
        <f>SUM(C$3:C1121)/A1121</f>
        <v>12.280298307092874</v>
      </c>
    </row>
    <row r="1122" spans="1:4">
      <c r="A1122" s="17">
        <f t="shared" si="7"/>
        <v>1120</v>
      </c>
      <c r="B1122" s="37" t="s">
        <v>888</v>
      </c>
      <c r="C1122" s="38">
        <v>14.84000015</v>
      </c>
      <c r="D1122" s="17">
        <f>SUM(C$3:C1122)/A1122</f>
        <v>12.282583755166899</v>
      </c>
    </row>
    <row r="1123" spans="1:4">
      <c r="A1123" s="17">
        <f t="shared" si="7"/>
        <v>1121</v>
      </c>
      <c r="B1123" s="37" t="s">
        <v>889</v>
      </c>
      <c r="C1123" s="38">
        <v>14.539999959999999</v>
      </c>
      <c r="D1123" s="17">
        <f>SUM(C$3:C1123)/A1123</f>
        <v>12.284597507356757</v>
      </c>
    </row>
    <row r="1124" spans="1:4">
      <c r="A1124" s="17">
        <f t="shared" si="7"/>
        <v>1122</v>
      </c>
      <c r="B1124" s="37" t="s">
        <v>890</v>
      </c>
      <c r="C1124" s="38">
        <v>14.44999981</v>
      </c>
      <c r="D1124" s="17">
        <f>SUM(C$3:C1124)/A1124</f>
        <v>12.286527455933088</v>
      </c>
    </row>
    <row r="1125" spans="1:4">
      <c r="A1125" s="17">
        <f t="shared" si="7"/>
        <v>1123</v>
      </c>
      <c r="B1125" s="37" t="s">
        <v>891</v>
      </c>
      <c r="C1125" s="38">
        <v>14.59000015</v>
      </c>
      <c r="D1125" s="17">
        <f>SUM(C$3:C1125)/A1125</f>
        <v>12.288578633755053</v>
      </c>
    </row>
    <row r="1126" spans="1:4">
      <c r="A1126" s="17">
        <f t="shared" si="7"/>
        <v>1124</v>
      </c>
      <c r="B1126" s="37" t="s">
        <v>892</v>
      </c>
      <c r="C1126" s="38">
        <v>14.630000109999999</v>
      </c>
      <c r="D1126" s="17">
        <f>SUM(C$3:C1126)/A1126</f>
        <v>12.290661748947443</v>
      </c>
    </row>
    <row r="1127" spans="1:4">
      <c r="A1127" s="17">
        <f t="shared" si="7"/>
        <v>1125</v>
      </c>
      <c r="B1127" s="37">
        <v>45988</v>
      </c>
      <c r="C1127" s="38">
        <v>14.65999985</v>
      </c>
      <c r="D1127" s="17">
        <f>SUM(C$3:C1127)/A1127</f>
        <v>12.292767827259491</v>
      </c>
    </row>
    <row r="1128" spans="1:4">
      <c r="A1128" s="17">
        <f t="shared" si="7"/>
        <v>1126</v>
      </c>
      <c r="B1128" s="37">
        <v>45989</v>
      </c>
      <c r="C1128" s="38">
        <v>14.670000079999999</v>
      </c>
      <c r="D1128" s="17">
        <f>SUM(C$3:C1128)/A1128</f>
        <v>12.294879045956417</v>
      </c>
    </row>
    <row r="1129" spans="1:4">
      <c r="A1129" s="17">
        <f t="shared" ref="A1129:A1223" si="8">A1128+1</f>
        <v>1127</v>
      </c>
      <c r="B1129" s="37">
        <v>45992</v>
      </c>
      <c r="C1129" s="38">
        <v>14.800000190734863</v>
      </c>
      <c r="D1129" s="17">
        <f>SUM(C$3:C1129)/A1129</f>
        <v>12.29710186862259</v>
      </c>
    </row>
    <row r="1130" spans="1:4">
      <c r="A1130" s="17">
        <f t="shared" si="8"/>
        <v>1128</v>
      </c>
      <c r="B1130" s="37">
        <v>45993</v>
      </c>
      <c r="C1130" s="38">
        <v>14.770000457763672</v>
      </c>
      <c r="D1130" s="17">
        <f>SUM(C$3:C1130)/A1130</f>
        <v>12.299294154605873</v>
      </c>
    </row>
    <row r="1131" spans="1:4">
      <c r="A1131" s="17">
        <f t="shared" si="8"/>
        <v>1129</v>
      </c>
      <c r="B1131" s="37">
        <v>45994</v>
      </c>
      <c r="C1131" s="38">
        <v>14.689999580383301</v>
      </c>
      <c r="D1131" s="17">
        <f>SUM(C$3:C1131)/A1131</f>
        <v>12.301411697055631</v>
      </c>
    </row>
    <row r="1132" spans="1:4">
      <c r="A1132" s="17">
        <f t="shared" si="8"/>
        <v>1130</v>
      </c>
      <c r="B1132" s="37">
        <v>45995</v>
      </c>
      <c r="C1132" s="38">
        <v>14.710000038146973</v>
      </c>
      <c r="D1132" s="17">
        <f>SUM(C$3:C1132)/A1132</f>
        <v>12.303543191162792</v>
      </c>
    </row>
    <row r="1133" spans="1:4">
      <c r="A1133" s="17">
        <f t="shared" si="8"/>
        <v>1131</v>
      </c>
      <c r="B1133" s="37">
        <v>45996</v>
      </c>
      <c r="C1133" s="38">
        <v>14.800000190734863</v>
      </c>
      <c r="D1133" s="17">
        <f>SUM(C$3:C1133)/A1133</f>
        <v>12.305750491781334</v>
      </c>
    </row>
    <row r="1134" spans="1:4">
      <c r="A1134" s="17">
        <f t="shared" si="8"/>
        <v>1132</v>
      </c>
      <c r="B1134" s="37">
        <v>45999</v>
      </c>
      <c r="C1134" s="38">
        <v>14.869999885559082</v>
      </c>
      <c r="D1134" s="17">
        <f>SUM(C$3:C1134)/A1134</f>
        <v>12.308015729761703</v>
      </c>
    </row>
    <row r="1135" spans="1:4">
      <c r="A1135" s="17">
        <f t="shared" si="8"/>
        <v>1133</v>
      </c>
      <c r="B1135" s="37">
        <v>46000</v>
      </c>
      <c r="C1135" s="38">
        <v>14.829999923706055</v>
      </c>
      <c r="D1135" s="17">
        <f>SUM(C$3:C1135)/A1135</f>
        <v>12.310241664619554</v>
      </c>
    </row>
    <row r="1136" spans="1:4">
      <c r="A1136" s="17">
        <f t="shared" si="8"/>
        <v>1134</v>
      </c>
      <c r="B1136" s="37">
        <v>46001</v>
      </c>
      <c r="C1136" s="38">
        <v>14.760000228881836</v>
      </c>
      <c r="D1136" s="17">
        <f>SUM(C$3:C1136)/A1136</f>
        <v>12.312401945540421</v>
      </c>
    </row>
    <row r="1137" spans="1:4">
      <c r="A1137" s="17">
        <f t="shared" si="8"/>
        <v>1135</v>
      </c>
      <c r="B1137" s="37">
        <v>46002</v>
      </c>
      <c r="C1137" s="38">
        <v>14.680000305175781</v>
      </c>
      <c r="D1137" s="17">
        <f>SUM(C$3:C1137)/A1137</f>
        <v>12.314487935284593</v>
      </c>
    </row>
    <row r="1138" spans="1:4">
      <c r="A1138" s="17">
        <f t="shared" si="8"/>
        <v>1136</v>
      </c>
      <c r="B1138" s="37">
        <v>46003</v>
      </c>
      <c r="C1138" s="38">
        <v>14.720000267028809</v>
      </c>
      <c r="D1138" s="17">
        <f>SUM(C$3:C1138)/A1138</f>
        <v>12.316605463745635</v>
      </c>
    </row>
    <row r="1139" spans="1:4">
      <c r="A1139" s="17">
        <f t="shared" si="8"/>
        <v>1137</v>
      </c>
      <c r="B1139" s="37">
        <v>46006</v>
      </c>
      <c r="C1139" s="38">
        <v>15.130000114440918</v>
      </c>
      <c r="D1139" s="17">
        <f>SUM(C$3:C1139)/A1139</f>
        <v>12.319079865373334</v>
      </c>
    </row>
    <row r="1140" spans="1:4">
      <c r="A1140" s="17">
        <f t="shared" si="8"/>
        <v>1138</v>
      </c>
      <c r="B1140" s="37">
        <v>46007</v>
      </c>
      <c r="C1140" s="38">
        <v>14.970000267028809</v>
      </c>
      <c r="D1140" s="17">
        <f>SUM(C$3:C1140)/A1140</f>
        <v>12.321409320910817</v>
      </c>
    </row>
    <row r="1141" spans="1:4">
      <c r="A1141" s="17">
        <f t="shared" si="8"/>
        <v>1139</v>
      </c>
      <c r="B1141" s="37">
        <v>46008</v>
      </c>
      <c r="C1141" s="38">
        <v>15.220000267028809</v>
      </c>
      <c r="D1141" s="17">
        <f>SUM(C$3:C1141)/A1141</f>
        <v>12.323954176877558</v>
      </c>
    </row>
    <row r="1142" spans="1:4">
      <c r="A1142" s="17">
        <f t="shared" si="8"/>
        <v>1140</v>
      </c>
      <c r="B1142" s="37">
        <v>46009</v>
      </c>
      <c r="C1142" s="38">
        <v>15.170000076293945</v>
      </c>
      <c r="D1142" s="17">
        <f>SUM(C$3:C1142)/A1142</f>
        <v>12.326450708368274</v>
      </c>
    </row>
    <row r="1143" spans="1:4">
      <c r="A1143" s="17">
        <f t="shared" si="8"/>
        <v>1141</v>
      </c>
      <c r="B1143" s="37">
        <v>46010</v>
      </c>
      <c r="C1143" s="38">
        <v>15.199999809265137</v>
      </c>
      <c r="D1143" s="17">
        <f>SUM(C$3:C1143)/A1143</f>
        <v>12.328969156309464</v>
      </c>
    </row>
    <row r="1144" spans="1:4">
      <c r="A1144" s="17">
        <f t="shared" si="8"/>
        <v>1142</v>
      </c>
      <c r="B1144" s="37">
        <v>46013</v>
      </c>
      <c r="C1144" s="38">
        <v>15.340000152587891</v>
      </c>
      <c r="D1144" s="17">
        <f>SUM(C$3:C1144)/A1144</f>
        <v>12.331605785903403</v>
      </c>
    </row>
    <row r="1145" spans="1:4">
      <c r="A1145" s="17">
        <f t="shared" si="8"/>
        <v>1143</v>
      </c>
      <c r="B1145" s="37">
        <v>46014</v>
      </c>
      <c r="C1145" s="38">
        <v>15.390000343322754</v>
      </c>
      <c r="D1145" s="17">
        <f>SUM(C$3:C1145)/A1145</f>
        <v>12.334281546671049</v>
      </c>
    </row>
    <row r="1146" spans="1:4">
      <c r="A1146" s="17">
        <f t="shared" si="8"/>
        <v>1144</v>
      </c>
      <c r="B1146" s="37">
        <v>46015</v>
      </c>
      <c r="C1146" s="38">
        <v>15.449999809265137</v>
      </c>
      <c r="D1146" s="17">
        <f>SUM(C$3:C1146)/A1146</f>
        <v>12.337005076620869</v>
      </c>
    </row>
    <row r="1147" spans="1:4">
      <c r="A1147" s="17">
        <f t="shared" si="8"/>
        <v>1145</v>
      </c>
      <c r="B1147" s="37">
        <v>46016</v>
      </c>
      <c r="C1147" s="38">
        <v>15.489999771118164</v>
      </c>
      <c r="D1147" s="17">
        <f>SUM(C$3:C1147)/A1147</f>
        <v>12.339758783777635</v>
      </c>
    </row>
    <row r="1148" spans="1:4">
      <c r="A1148" s="17">
        <f t="shared" si="8"/>
        <v>1146</v>
      </c>
      <c r="B1148" s="37">
        <v>46017</v>
      </c>
      <c r="C1148" s="38">
        <v>15.520000457763672</v>
      </c>
      <c r="D1148" s="17">
        <f>SUM(C$3:C1148)/A1148</f>
        <v>12.342533863772386</v>
      </c>
    </row>
    <row r="1149" spans="1:4">
      <c r="A1149" s="17">
        <f t="shared" si="8"/>
        <v>1147</v>
      </c>
      <c r="B1149" s="37">
        <v>46020</v>
      </c>
      <c r="C1149" s="38">
        <v>15.5</v>
      </c>
      <c r="D1149" s="17">
        <f>SUM(C$3:C1149)/A1149</f>
        <v>12.345286667727249</v>
      </c>
    </row>
    <row r="1150" spans="1:4">
      <c r="A1150" s="17">
        <f t="shared" si="8"/>
        <v>1148</v>
      </c>
      <c r="B1150" s="37">
        <v>46021</v>
      </c>
      <c r="C1150" s="38">
        <v>15.529999732971191</v>
      </c>
      <c r="D1150" s="17">
        <f>SUM(C$3:C1150)/A1150</f>
        <v>12.348060808027984</v>
      </c>
    </row>
    <row r="1151" spans="1:4">
      <c r="A1151" s="17">
        <f t="shared" si="8"/>
        <v>1149</v>
      </c>
      <c r="B1151" s="37">
        <v>46022</v>
      </c>
      <c r="C1151" s="38">
        <v>15.5</v>
      </c>
      <c r="D1151" s="17">
        <f>SUM(C$3:C1151)/A1151</f>
        <v>12.350804010109771</v>
      </c>
    </row>
    <row r="1152" spans="1:4">
      <c r="A1152" s="17">
        <f t="shared" si="8"/>
        <v>1150</v>
      </c>
      <c r="B1152" s="37" t="s">
        <v>893</v>
      </c>
      <c r="C1152" s="38">
        <v>15.729999542236328</v>
      </c>
      <c r="D1152" s="17">
        <f>SUM(C$3:C1152)/A1152</f>
        <v>12.353742441007272</v>
      </c>
    </row>
    <row r="1153" spans="1:4">
      <c r="A1153" s="17">
        <f t="shared" si="8"/>
        <v>1151</v>
      </c>
      <c r="B1153" s="37" t="s">
        <v>894</v>
      </c>
      <c r="C1153" s="38">
        <v>15.949999809265137</v>
      </c>
      <c r="D1153" s="17">
        <f>SUM(C$3:C1153)/A1153</f>
        <v>12.356866904402805</v>
      </c>
    </row>
    <row r="1154" spans="1:4">
      <c r="A1154" s="17">
        <f t="shared" si="8"/>
        <v>1152</v>
      </c>
      <c r="B1154" s="37" t="s">
        <v>895</v>
      </c>
      <c r="C1154" s="38">
        <v>15.880000114440918</v>
      </c>
      <c r="D1154" s="17">
        <f>SUM(C$3:C1154)/A1154</f>
        <v>12.35992517975874</v>
      </c>
    </row>
    <row r="1155" spans="1:4">
      <c r="A1155" s="17">
        <f t="shared" si="8"/>
        <v>1153</v>
      </c>
      <c r="B1155" s="37" t="s">
        <v>896</v>
      </c>
      <c r="C1155" s="38">
        <v>15.760000228881836</v>
      </c>
      <c r="D1155" s="17">
        <f>SUM(C$3:C1155)/A1155</f>
        <v>12.362874073990417</v>
      </c>
    </row>
    <row r="1156" spans="1:4">
      <c r="A1156" s="17">
        <f t="shared" si="8"/>
        <v>1154</v>
      </c>
      <c r="B1156" s="37" t="s">
        <v>897</v>
      </c>
      <c r="C1156" s="38">
        <v>15.850000381469727</v>
      </c>
      <c r="D1156" s="17">
        <f>SUM(C$3:C1156)/A1156</f>
        <v>12.365895847220468</v>
      </c>
    </row>
    <row r="1157" spans="1:4">
      <c r="A1157" s="17">
        <f t="shared" si="8"/>
        <v>1155</v>
      </c>
      <c r="B1157" s="37" t="s">
        <v>898</v>
      </c>
      <c r="C1157" s="38">
        <v>15.920000076293945</v>
      </c>
      <c r="D1157" s="17">
        <f>SUM(C$3:C1157)/A1157</f>
        <v>12.368972993739147</v>
      </c>
    </row>
    <row r="1158" spans="1:4">
      <c r="A1158" s="17">
        <f t="shared" si="8"/>
        <v>1156</v>
      </c>
      <c r="B1158" s="37" t="s">
        <v>899</v>
      </c>
      <c r="C1158" s="38">
        <v>15.869999885559082</v>
      </c>
      <c r="D1158" s="17">
        <f>SUM(C$3:C1158)/A1158</f>
        <v>12.37200156371477</v>
      </c>
    </row>
    <row r="1159" spans="1:4">
      <c r="A1159" s="17">
        <f t="shared" si="8"/>
        <v>1157</v>
      </c>
      <c r="B1159" s="37" t="s">
        <v>900</v>
      </c>
      <c r="C1159" s="38">
        <v>15.770000457763672</v>
      </c>
      <c r="D1159" s="17">
        <f>SUM(C$3:C1159)/A1159</f>
        <v>12.374938468549731</v>
      </c>
    </row>
    <row r="1160" spans="1:4">
      <c r="A1160" s="17">
        <f t="shared" si="8"/>
        <v>1158</v>
      </c>
      <c r="B1160" s="37" t="s">
        <v>901</v>
      </c>
      <c r="C1160" s="38">
        <v>15.779999732971191</v>
      </c>
      <c r="D1160" s="17">
        <f>SUM(C$3:C1160)/A1160</f>
        <v>12.377878935962874</v>
      </c>
    </row>
    <row r="1161" spans="1:4">
      <c r="A1161" s="17">
        <f t="shared" si="8"/>
        <v>1159</v>
      </c>
      <c r="B1161" s="37" t="s">
        <v>902</v>
      </c>
      <c r="C1161" s="38">
        <v>15.699999809265137</v>
      </c>
      <c r="D1161" s="17">
        <f>SUM(C$3:C1161)/A1161</f>
        <v>12.38074530427461</v>
      </c>
    </row>
    <row r="1162" spans="1:4">
      <c r="A1162" s="17">
        <f t="shared" si="8"/>
        <v>1160</v>
      </c>
      <c r="B1162" s="37" t="s">
        <v>903</v>
      </c>
      <c r="C1162" s="38">
        <v>15.710000038146973</v>
      </c>
      <c r="D1162" s="17">
        <f>SUM(C$3:C1162)/A1162</f>
        <v>12.383615351458984</v>
      </c>
    </row>
    <row r="1163" spans="1:4">
      <c r="A1163" s="17">
        <f t="shared" si="8"/>
        <v>1161</v>
      </c>
      <c r="B1163" s="37" t="s">
        <v>904</v>
      </c>
      <c r="C1163" s="38">
        <v>15.710000038146973</v>
      </c>
      <c r="D1163" s="17">
        <f>SUM(C$3:C1163)/A1163</f>
        <v>12.386480454548293</v>
      </c>
    </row>
    <row r="1164" spans="1:4">
      <c r="A1164" s="17">
        <f t="shared" si="8"/>
        <v>1162</v>
      </c>
      <c r="B1164" s="37" t="s">
        <v>905</v>
      </c>
      <c r="C1164" s="38">
        <v>15.659999847412109</v>
      </c>
      <c r="D1164" s="17">
        <f>SUM(C$3:C1164)/A1164</f>
        <v>12.389297596882944</v>
      </c>
    </row>
    <row r="1165" spans="1:4">
      <c r="A1165" s="17">
        <f t="shared" si="8"/>
        <v>1163</v>
      </c>
      <c r="B1165" s="37" t="s">
        <v>906</v>
      </c>
      <c r="C1165" s="38">
        <v>15.659999847412109</v>
      </c>
      <c r="D1165" s="17">
        <f>SUM(C$3:C1165)/A1165</f>
        <v>12.392109894604808</v>
      </c>
    </row>
    <row r="1166" spans="1:4">
      <c r="A1166" s="17">
        <f t="shared" si="8"/>
        <v>1164</v>
      </c>
      <c r="B1166" s="37" t="s">
        <v>907</v>
      </c>
      <c r="C1166" s="38">
        <v>15.600000381469727</v>
      </c>
      <c r="D1166" s="17">
        <f>SUM(C$3:C1166)/A1166</f>
        <v>12.394865814267064</v>
      </c>
    </row>
    <row r="1167" spans="1:4">
      <c r="A1167" s="17">
        <f t="shared" si="8"/>
        <v>1165</v>
      </c>
      <c r="B1167" s="37" t="s">
        <v>908</v>
      </c>
      <c r="C1167" s="38">
        <v>15.670000076293945</v>
      </c>
      <c r="D1167" s="17">
        <f>SUM(C$3:C1167)/A1167</f>
        <v>12.397677088311722</v>
      </c>
    </row>
    <row r="1168" spans="1:4">
      <c r="A1168" s="17">
        <f t="shared" si="8"/>
        <v>1166</v>
      </c>
      <c r="B1168" s="37" t="s">
        <v>909</v>
      </c>
      <c r="C1168" s="38">
        <v>15.680000305175781</v>
      </c>
      <c r="D1168" s="17">
        <f>SUM(C$3:C1168)/A1168</f>
        <v>12.400492116799597</v>
      </c>
    </row>
    <row r="1169" spans="1:4">
      <c r="A1169" s="17">
        <f t="shared" si="8"/>
        <v>1167</v>
      </c>
      <c r="B1169" s="37" t="s">
        <v>910</v>
      </c>
      <c r="C1169" s="38">
        <v>15.720000267028809</v>
      </c>
      <c r="D1169" s="17">
        <f>SUM(C$3:C1169)/A1169</f>
        <v>12.403336596791226</v>
      </c>
    </row>
    <row r="1170" spans="1:4">
      <c r="A1170" s="17">
        <f t="shared" si="8"/>
        <v>1168</v>
      </c>
      <c r="B1170" s="37">
        <v>46051</v>
      </c>
      <c r="C1170" s="38">
        <v>15.829999923706055</v>
      </c>
      <c r="D1170" s="17">
        <f>SUM(C$3:C1170)/A1170</f>
        <v>12.406270383886188</v>
      </c>
    </row>
    <row r="1171" spans="1:4">
      <c r="A1171" s="17">
        <f t="shared" si="8"/>
        <v>1169</v>
      </c>
      <c r="B1171" s="37">
        <v>46052</v>
      </c>
      <c r="C1171" s="38">
        <v>15.68999958</v>
      </c>
      <c r="D1171" s="17">
        <f>SUM(C$3:C1171)/A1171</f>
        <v>12.409079390897405</v>
      </c>
    </row>
    <row r="1172" spans="1:4">
      <c r="A1172" s="17">
        <f t="shared" si="8"/>
        <v>1170</v>
      </c>
      <c r="B1172" s="37" t="s">
        <v>911</v>
      </c>
      <c r="C1172" s="38">
        <v>15.35999966</v>
      </c>
      <c r="D1172" s="17">
        <f>SUM(C$3:C1172)/A1172</f>
        <v>12.411601544973561</v>
      </c>
    </row>
    <row r="1173" spans="1:4">
      <c r="A1173" s="17">
        <f t="shared" si="8"/>
        <v>1171</v>
      </c>
      <c r="B1173" s="37" t="s">
        <v>912</v>
      </c>
      <c r="C1173" s="38">
        <v>15.52000046</v>
      </c>
      <c r="D1173" s="17">
        <f>SUM(C$3:C1173)/A1173</f>
        <v>12.414256027394591</v>
      </c>
    </row>
    <row r="1174" spans="1:4">
      <c r="A1174" s="17">
        <f t="shared" si="8"/>
        <v>1172</v>
      </c>
      <c r="B1174" s="37" t="s">
        <v>913</v>
      </c>
      <c r="C1174" s="38">
        <v>15.68999958</v>
      </c>
      <c r="D1174" s="17">
        <f>SUM(C$3:C1174)/A1174</f>
        <v>12.417051030425824</v>
      </c>
    </row>
    <row r="1175" spans="1:4">
      <c r="A1175" s="17">
        <f t="shared" si="8"/>
        <v>1173</v>
      </c>
      <c r="B1175" s="37" t="s">
        <v>914</v>
      </c>
      <c r="C1175" s="38">
        <v>15.600000380000001</v>
      </c>
      <c r="D1175" s="17">
        <f>SUM(C$3:C1175)/A1175</f>
        <v>12.419764542232793</v>
      </c>
    </row>
    <row r="1176" spans="1:4">
      <c r="A1176" s="17">
        <f t="shared" si="8"/>
        <v>1174</v>
      </c>
      <c r="B1176" s="37" t="s">
        <v>915</v>
      </c>
      <c r="C1176" s="38">
        <v>15.56999969</v>
      </c>
      <c r="D1176" s="17">
        <f>SUM(C$3:C1176)/A1176</f>
        <v>12.42244787711164</v>
      </c>
    </row>
    <row r="1177" spans="1:4">
      <c r="A1177" s="17">
        <f t="shared" si="8"/>
        <v>1175</v>
      </c>
      <c r="B1177" s="37" t="s">
        <v>916</v>
      </c>
      <c r="C1177" s="38">
        <v>15.760000229999999</v>
      </c>
      <c r="D1177" s="17">
        <f>SUM(C$3:C1177)/A1177</f>
        <v>12.425288347199205</v>
      </c>
    </row>
    <row r="1178" spans="1:4">
      <c r="A1178" s="17">
        <f t="shared" si="8"/>
        <v>1176</v>
      </c>
      <c r="B1178" s="37" t="s">
        <v>917</v>
      </c>
      <c r="C1178" s="38">
        <v>15.760000229999999</v>
      </c>
      <c r="D1178" s="17">
        <f>SUM(C$3:C1178)/A1178</f>
        <v>12.428123986555329</v>
      </c>
    </row>
    <row r="1179" spans="1:4">
      <c r="A1179" s="17">
        <f t="shared" si="8"/>
        <v>1177</v>
      </c>
      <c r="B1179" s="37" t="s">
        <v>918</v>
      </c>
      <c r="C1179" s="38">
        <v>15.77000046</v>
      </c>
      <c r="D1179" s="17">
        <f>SUM(C$3:C1179)/A1179</f>
        <v>12.430963303864967</v>
      </c>
    </row>
    <row r="1180" spans="1:4">
      <c r="A1180" s="17">
        <f t="shared" si="8"/>
        <v>1178</v>
      </c>
      <c r="B1180" s="37" t="s">
        <v>919</v>
      </c>
      <c r="C1180" s="38">
        <v>15.77000046</v>
      </c>
      <c r="D1180" s="17">
        <f>SUM(C$3:C1180)/A1180</f>
        <v>12.433797800601923</v>
      </c>
    </row>
    <row r="1181" spans="1:4">
      <c r="A1181" s="17">
        <f t="shared" si="8"/>
        <v>1179</v>
      </c>
      <c r="B1181" s="37" t="s">
        <v>920</v>
      </c>
      <c r="C1181" s="38">
        <v>15.510000229999999</v>
      </c>
      <c r="D1181" s="17">
        <f>SUM(C$3:C1181)/A1181</f>
        <v>12.436406962967824</v>
      </c>
    </row>
    <row r="1182" spans="1:4">
      <c r="A1182" s="17">
        <f t="shared" si="8"/>
        <v>1180</v>
      </c>
      <c r="B1182" s="37" t="s">
        <v>921</v>
      </c>
      <c r="C1182" s="38">
        <v>15.670000079999999</v>
      </c>
      <c r="D1182" s="17">
        <f>SUM(C$3:C1182)/A1182</f>
        <v>12.439147296117852</v>
      </c>
    </row>
    <row r="1183" spans="1:4">
      <c r="A1183" s="17">
        <f t="shared" si="8"/>
        <v>1181</v>
      </c>
      <c r="B1183" s="37" t="s">
        <v>922</v>
      </c>
      <c r="C1183" s="38">
        <v>15.739999770000001</v>
      </c>
      <c r="D1183" s="17">
        <f>SUM(C$3:C1183)/A1183</f>
        <v>12.441942260109284</v>
      </c>
    </row>
    <row r="1184" spans="1:4">
      <c r="A1184" s="17">
        <f t="shared" si="8"/>
        <v>1182</v>
      </c>
      <c r="B1184" s="37">
        <v>46079</v>
      </c>
      <c r="C1184" s="38">
        <v>15.670000079999999</v>
      </c>
      <c r="D1184" s="17">
        <f>SUM(C$3:C1184)/A1184</f>
        <v>12.444673273493285</v>
      </c>
    </row>
    <row r="1185" spans="1:4">
      <c r="A1185" s="17">
        <f t="shared" si="8"/>
        <v>1183</v>
      </c>
      <c r="B1185" s="37">
        <v>46080</v>
      </c>
      <c r="C1185" s="38">
        <v>15.64000034</v>
      </c>
      <c r="D1185" s="17">
        <f>SUM(C$3:C1185)/A1185</f>
        <v>12.447374310743079</v>
      </c>
    </row>
    <row r="1186" spans="1:4">
      <c r="A1186" s="17">
        <f t="shared" si="8"/>
        <v>1184</v>
      </c>
      <c r="B1186" s="37" t="s">
        <v>923</v>
      </c>
      <c r="C1186" s="38">
        <v>15.80000019</v>
      </c>
      <c r="D1186" s="17">
        <f>SUM(C$3:C1186)/A1186</f>
        <v>12.450205920438398</v>
      </c>
    </row>
    <row r="1187" spans="1:4">
      <c r="A1187" s="17">
        <f t="shared" si="8"/>
        <v>1185</v>
      </c>
      <c r="B1187" s="37" t="s">
        <v>924</v>
      </c>
      <c r="C1187" s="38">
        <v>15.760000229999999</v>
      </c>
      <c r="D1187" s="17">
        <f>SUM(C$3:C1187)/A1187</f>
        <v>12.452998995805117</v>
      </c>
    </row>
    <row r="1188" spans="1:4">
      <c r="A1188" s="17">
        <f t="shared" si="8"/>
        <v>1186</v>
      </c>
      <c r="B1188" s="37" t="s">
        <v>925</v>
      </c>
      <c r="C1188" s="38">
        <v>15.579999920000001</v>
      </c>
      <c r="D1188" s="17">
        <f>SUM(C$3:C1188)/A1188</f>
        <v>12.455635590176277</v>
      </c>
    </row>
    <row r="1189" spans="1:4">
      <c r="A1189" s="17">
        <f t="shared" si="8"/>
        <v>1187</v>
      </c>
      <c r="B1189" s="37" t="s">
        <v>926</v>
      </c>
      <c r="C1189" s="38">
        <v>15.649999619999999</v>
      </c>
      <c r="D1189" s="17">
        <f>SUM(C$3:C1189)/A1189</f>
        <v>12.45832671404302</v>
      </c>
    </row>
    <row r="1190" spans="1:4">
      <c r="A1190" s="17">
        <f t="shared" si="8"/>
        <v>1188</v>
      </c>
      <c r="B1190" s="37" t="s">
        <v>927</v>
      </c>
      <c r="C1190" s="38">
        <v>15.65999985</v>
      </c>
      <c r="D1190" s="17">
        <f>SUM(C$3:C1190)/A1190</f>
        <v>12.461021725100222</v>
      </c>
    </row>
    <row r="1191" spans="1:4">
      <c r="A1191" s="17">
        <f t="shared" si="8"/>
        <v>1189</v>
      </c>
      <c r="B1191" s="37" t="s">
        <v>928</v>
      </c>
      <c r="C1191" s="38">
        <v>15.579999920000001</v>
      </c>
      <c r="D1191" s="17">
        <f>SUM(C$3:C1191)/A1191</f>
        <v>12.46364491954505</v>
      </c>
    </row>
    <row r="1192" spans="1:4">
      <c r="A1192" s="17">
        <f t="shared" si="8"/>
        <v>1190</v>
      </c>
      <c r="B1192" s="37" t="s">
        <v>929</v>
      </c>
      <c r="C1192" s="38">
        <v>15.579999920000001</v>
      </c>
      <c r="D1192" s="17">
        <f>SUM(C$3:C1192)/A1192</f>
        <v>12.466263705259719</v>
      </c>
    </row>
    <row r="1193" spans="1:4">
      <c r="A1193" s="17">
        <f t="shared" si="8"/>
        <v>1191</v>
      </c>
      <c r="B1193" s="37" t="s">
        <v>930</v>
      </c>
      <c r="C1193" s="38">
        <v>15.81999969</v>
      </c>
      <c r="D1193" s="17">
        <f>SUM(C$3:C1193)/A1193</f>
        <v>12.46907960449124</v>
      </c>
    </row>
    <row r="1194" spans="1:4">
      <c r="A1194" s="17">
        <f t="shared" si="8"/>
        <v>1192</v>
      </c>
      <c r="B1194" s="37" t="s">
        <v>931</v>
      </c>
      <c r="C1194" s="38">
        <v>15.80000019</v>
      </c>
      <c r="D1194" s="17">
        <f>SUM(C$3:C1194)/A1194</f>
        <v>12.471874000955593</v>
      </c>
    </row>
    <row r="1195" spans="1:4">
      <c r="A1195" s="17">
        <f t="shared" si="8"/>
        <v>1193</v>
      </c>
      <c r="B1195" s="37" t="s">
        <v>932</v>
      </c>
      <c r="C1195" s="38">
        <v>15.72000027</v>
      </c>
      <c r="D1195" s="17">
        <f>SUM(C$3:C1195)/A1195</f>
        <v>12.474596654995025</v>
      </c>
    </row>
    <row r="1196" spans="1:4">
      <c r="A1196" s="17">
        <f t="shared" si="8"/>
        <v>1194</v>
      </c>
      <c r="B1196" s="37" t="s">
        <v>933</v>
      </c>
      <c r="C1196" s="38">
        <v>15.72999954</v>
      </c>
      <c r="D1196" s="17">
        <f>SUM(C$3:C1196)/A1196</f>
        <v>12.477323123072919</v>
      </c>
    </row>
    <row r="1197" spans="1:4">
      <c r="A1197" s="17">
        <f t="shared" si="8"/>
        <v>1195</v>
      </c>
      <c r="B1197" s="37" t="s">
        <v>934</v>
      </c>
      <c r="C1197" s="38">
        <v>15.64000034</v>
      </c>
      <c r="D1197" s="17">
        <f>SUM(C$3:C1197)/A1197</f>
        <v>12.479969714886247</v>
      </c>
    </row>
    <row r="1198" spans="1:4">
      <c r="A1198" s="17">
        <f t="shared" si="8"/>
        <v>1196</v>
      </c>
      <c r="B1198" s="37" t="s">
        <v>935</v>
      </c>
      <c r="C1198" s="38">
        <v>15.68000031</v>
      </c>
      <c r="D1198" s="17">
        <f>SUM(C$3:C1198)/A1198</f>
        <v>12.482645325751728</v>
      </c>
    </row>
    <row r="1199" spans="1:4">
      <c r="A1199" s="17">
        <f t="shared" si="8"/>
        <v>1197</v>
      </c>
      <c r="B1199" s="37" t="s">
        <v>936</v>
      </c>
      <c r="C1199" s="38">
        <v>15.5</v>
      </c>
      <c r="D1199" s="17">
        <f>SUM(C$3:C1199)/A1199</f>
        <v>12.485166089890615</v>
      </c>
    </row>
    <row r="1200" spans="1:4">
      <c r="A1200" s="17">
        <f t="shared" si="8"/>
        <v>1198</v>
      </c>
      <c r="B1200" s="37" t="s">
        <v>937</v>
      </c>
      <c r="C1200" s="38">
        <v>15.5</v>
      </c>
      <c r="D1200" s="17">
        <f>SUM(C$3:C1200)/A1200</f>
        <v>12.487682645742124</v>
      </c>
    </row>
    <row r="1201" spans="1:4">
      <c r="A1201" s="17">
        <f t="shared" si="8"/>
        <v>1199</v>
      </c>
      <c r="B1201" s="37" t="s">
        <v>938</v>
      </c>
      <c r="C1201" s="38">
        <v>14.94999981</v>
      </c>
      <c r="D1201" s="17">
        <f>SUM(C$3:C1201)/A1201</f>
        <v>12.489736288080955</v>
      </c>
    </row>
    <row r="1202" spans="1:4">
      <c r="A1202" s="17">
        <f t="shared" si="8"/>
        <v>1200</v>
      </c>
      <c r="B1202" s="37" t="s">
        <v>939</v>
      </c>
      <c r="C1202" s="38">
        <v>15.09000015</v>
      </c>
      <c r="D1202" s="17">
        <f>SUM(C$3:C1202)/A1202</f>
        <v>12.491903174632554</v>
      </c>
    </row>
    <row r="1203" spans="1:4">
      <c r="A1203" s="17">
        <f t="shared" si="8"/>
        <v>1201</v>
      </c>
      <c r="B1203" s="37" t="s">
        <v>940</v>
      </c>
      <c r="C1203" s="38">
        <v>15.260000229999999</v>
      </c>
      <c r="D1203" s="17">
        <f>SUM(C$3:C1203)/A1203</f>
        <v>12.494208001489646</v>
      </c>
    </row>
    <row r="1204" spans="1:4">
      <c r="A1204" s="17">
        <f t="shared" si="8"/>
        <v>1202</v>
      </c>
      <c r="B1204" s="37" t="s">
        <v>941</v>
      </c>
      <c r="C1204" s="38">
        <v>15.100000380000001</v>
      </c>
      <c r="D1204" s="17">
        <f>SUM(C$3:C1204)/A1204</f>
        <v>12.496375882004214</v>
      </c>
    </row>
    <row r="1205" spans="1:4">
      <c r="A1205" s="17">
        <f t="shared" si="8"/>
        <v>1203</v>
      </c>
      <c r="B1205" s="37" t="s">
        <v>942</v>
      </c>
      <c r="C1205" s="38">
        <v>15.18000031</v>
      </c>
      <c r="D1205" s="17">
        <f>SUM(C$3:C1205)/A1205</f>
        <v>12.49860665875234</v>
      </c>
    </row>
    <row r="1206" spans="1:4">
      <c r="A1206" s="17">
        <f t="shared" si="8"/>
        <v>1204</v>
      </c>
      <c r="B1206" s="37">
        <v>46111</v>
      </c>
      <c r="C1206" s="38">
        <v>15.18000031</v>
      </c>
      <c r="D1206" s="17">
        <f>SUM(C$3:C1206)/A1206</f>
        <v>12.50083372989125</v>
      </c>
    </row>
    <row r="1207" spans="1:4">
      <c r="A1207" s="17">
        <f t="shared" si="8"/>
        <v>1205</v>
      </c>
      <c r="B1207" s="37">
        <v>46112</v>
      </c>
      <c r="C1207" s="38">
        <v>15.079999920000001</v>
      </c>
      <c r="D1207" s="17">
        <f>SUM(C$3:C1207)/A1207</f>
        <v>12.502974116771009</v>
      </c>
    </row>
    <row r="1208" spans="1:4">
      <c r="A1208" s="17">
        <f t="shared" si="8"/>
        <v>1206</v>
      </c>
      <c r="B1208" s="37" t="s">
        <v>943</v>
      </c>
      <c r="C1208" s="38">
        <v>15.079999920000001</v>
      </c>
      <c r="D1208" s="17">
        <f>SUM(C$3:C1208)/A1208</f>
        <v>12.505110954087121</v>
      </c>
    </row>
    <row r="1209" spans="1:4">
      <c r="A1209" s="17">
        <f t="shared" si="8"/>
        <v>1207</v>
      </c>
      <c r="B1209" s="37" t="s">
        <v>944</v>
      </c>
      <c r="C1209" s="38">
        <v>15.19999981</v>
      </c>
      <c r="D1209" s="17">
        <f>SUM(C$3:C1209)/A1209</f>
        <v>12.507343670620601</v>
      </c>
    </row>
    <row r="1210" spans="1:4">
      <c r="A1210" s="17">
        <f t="shared" si="8"/>
        <v>1208</v>
      </c>
      <c r="B1210" s="37" t="s">
        <v>945</v>
      </c>
      <c r="C1210" s="38">
        <v>15.06999969</v>
      </c>
      <c r="D1210" s="17">
        <f>SUM(C$3:C1210)/A1210</f>
        <v>12.509465074610155</v>
      </c>
    </row>
    <row r="1211" spans="1:4">
      <c r="A1211" s="17">
        <f t="shared" si="8"/>
        <v>1209</v>
      </c>
      <c r="B1211" s="37" t="s">
        <v>946</v>
      </c>
      <c r="C1211" s="38">
        <v>15.06000042</v>
      </c>
      <c r="D1211" s="17">
        <f>SUM(C$3:C1211)/A1211</f>
        <v>12.511574698551751</v>
      </c>
    </row>
    <row r="1212" spans="1:4">
      <c r="A1212" s="17">
        <f t="shared" si="8"/>
        <v>1210</v>
      </c>
      <c r="B1212" s="37" t="s">
        <v>947</v>
      </c>
      <c r="C1212" s="38">
        <v>15.43000031</v>
      </c>
      <c r="D1212" s="17">
        <f>SUM(C$3:C1212)/A1212</f>
        <v>12.513986620544683</v>
      </c>
    </row>
    <row r="1213" spans="1:4">
      <c r="A1213" s="17">
        <f t="shared" si="8"/>
        <v>1211</v>
      </c>
      <c r="B1213" s="37" t="s">
        <v>948</v>
      </c>
      <c r="C1213" s="38">
        <v>15.35999966</v>
      </c>
      <c r="D1213" s="17">
        <f>SUM(C$3:C1213)/A1213</f>
        <v>12.51633675517677</v>
      </c>
    </row>
    <row r="1214" spans="1:4">
      <c r="A1214" s="17">
        <f t="shared" si="8"/>
        <v>1212</v>
      </c>
      <c r="B1214" s="37" t="s">
        <v>949</v>
      </c>
      <c r="C1214" s="38">
        <v>15.52000046</v>
      </c>
      <c r="D1214" s="17">
        <f>SUM(C$3:C1214)/A1214</f>
        <v>12.518815025560286</v>
      </c>
    </row>
    <row r="1215" spans="1:4">
      <c r="A1215" s="17">
        <f t="shared" si="8"/>
        <v>1213</v>
      </c>
      <c r="B1215" s="37" t="s">
        <v>950</v>
      </c>
      <c r="C1215" s="38">
        <v>15.539999959999999</v>
      </c>
      <c r="D1215" s="17">
        <f>SUM(C$3:C1215)/A1215</f>
        <v>12.521305697394119</v>
      </c>
    </row>
    <row r="1216" spans="1:4">
      <c r="A1216" s="17">
        <f t="shared" si="8"/>
        <v>1214</v>
      </c>
      <c r="B1216" s="37" t="s">
        <v>951</v>
      </c>
      <c r="C1216" s="38">
        <v>15.68999958</v>
      </c>
      <c r="D1216" s="17">
        <f>SUM(C$3:C1216)/A1216</f>
        <v>12.523915824150796</v>
      </c>
    </row>
    <row r="1217" spans="1:4">
      <c r="A1217" s="17">
        <f t="shared" si="8"/>
        <v>1215</v>
      </c>
      <c r="B1217" s="37" t="s">
        <v>952</v>
      </c>
      <c r="C1217" s="38">
        <v>15.68000031</v>
      </c>
      <c r="D1217" s="17">
        <f>SUM(C$3:C1217)/A1217</f>
        <v>12.526513424550672</v>
      </c>
    </row>
    <row r="1218" spans="1:4">
      <c r="A1218" s="17">
        <f t="shared" si="8"/>
        <v>1216</v>
      </c>
      <c r="B1218" s="37" t="s">
        <v>953</v>
      </c>
      <c r="C1218" s="38">
        <v>15.80000019</v>
      </c>
      <c r="D1218" s="17">
        <f>SUM(C$3:C1218)/A1218</f>
        <v>12.52920543669331</v>
      </c>
    </row>
    <row r="1219" spans="1:4">
      <c r="A1219" s="17">
        <f t="shared" si="8"/>
        <v>1217</v>
      </c>
      <c r="B1219" s="37" t="s">
        <v>954</v>
      </c>
      <c r="C1219" s="38">
        <v>15.72999954</v>
      </c>
      <c r="D1219" s="17">
        <f>SUM(C$3:C1219)/A1219</f>
        <v>12.531835505800384</v>
      </c>
    </row>
    <row r="1220" spans="1:4">
      <c r="A1220" s="17">
        <f t="shared" si="8"/>
        <v>1218</v>
      </c>
      <c r="B1220" s="37" t="s">
        <v>955</v>
      </c>
      <c r="C1220" s="38">
        <v>15.829999920000001</v>
      </c>
      <c r="D1220" s="17">
        <f>SUM(C$3:C1220)/A1220</f>
        <v>12.534543358357197</v>
      </c>
    </row>
    <row r="1221" spans="1:4">
      <c r="A1221" s="17">
        <f t="shared" si="8"/>
        <v>1219</v>
      </c>
      <c r="B1221" s="37" t="s">
        <v>956</v>
      </c>
      <c r="C1221" s="38">
        <v>15.89000034</v>
      </c>
      <c r="D1221" s="17">
        <f>SUM(C$3:C1221)/A1221</f>
        <v>12.537295989187093</v>
      </c>
    </row>
    <row r="1222" spans="1:4">
      <c r="A1222" s="17">
        <f t="shared" si="8"/>
        <v>1220</v>
      </c>
      <c r="B1222" s="37" t="s">
        <v>957</v>
      </c>
      <c r="C1222" s="38">
        <v>15.97000027</v>
      </c>
      <c r="D1222" s="17">
        <f>SUM(C$3:C1222)/A1222</f>
        <v>12.540109681220546</v>
      </c>
    </row>
    <row r="1223" spans="1:4">
      <c r="A1223" s="17">
        <f t="shared" si="8"/>
        <v>1221</v>
      </c>
      <c r="B1223" s="37" t="s">
        <v>961</v>
      </c>
      <c r="C1223" s="38">
        <v>15.93</v>
      </c>
      <c r="D1223" s="17">
        <f>SUM(C$3:C1223)/A1223</f>
        <v>12.542886004167949</v>
      </c>
    </row>
    <row r="1224" spans="1:4">
      <c r="A1224" s="17">
        <f t="shared" ref="A1224:A1290" si="9">A1223+1</f>
        <v>1222</v>
      </c>
      <c r="B1224" s="37" t="s">
        <v>958</v>
      </c>
      <c r="C1224" s="38">
        <v>15.920000079999999</v>
      </c>
      <c r="D1224" s="17">
        <f>SUM(C$3:C1224)/A1224</f>
        <v>12.545649599974686</v>
      </c>
    </row>
    <row r="1225" spans="1:4">
      <c r="A1225" s="17">
        <f t="shared" si="9"/>
        <v>1223</v>
      </c>
      <c r="B1225" s="37" t="s">
        <v>959</v>
      </c>
      <c r="C1225" s="38">
        <v>15.899999619999999</v>
      </c>
      <c r="D1225" s="17">
        <f>SUM(C$3:C1225)/A1225</f>
        <v>12.548392322803815</v>
      </c>
    </row>
    <row r="1226" spans="1:4">
      <c r="A1226" s="17">
        <f t="shared" si="9"/>
        <v>1224</v>
      </c>
      <c r="B1226" s="37" t="s">
        <v>960</v>
      </c>
      <c r="C1226" s="38">
        <v>15.880000109999999</v>
      </c>
      <c r="D1226" s="17">
        <f>SUM(C$3:C1226)/A1226</f>
        <v>12.551114224590741</v>
      </c>
    </row>
    <row r="1227" spans="1:4">
      <c r="A1227" s="17">
        <f t="shared" si="9"/>
        <v>1225</v>
      </c>
      <c r="B1227" s="37">
        <v>46141</v>
      </c>
      <c r="C1227" s="38">
        <v>16.020000459999999</v>
      </c>
      <c r="D1227" s="17">
        <f>SUM(C$3:C1227)/A1227</f>
        <v>12.553945968456381</v>
      </c>
    </row>
    <row r="1228" spans="1:4">
      <c r="A1228" s="17">
        <f t="shared" si="9"/>
        <v>1226</v>
      </c>
      <c r="B1228" s="37">
        <v>46142</v>
      </c>
      <c r="C1228" s="38">
        <v>15.90999985</v>
      </c>
      <c r="D1228" s="17">
        <f>SUM(C$3:C1228)/A1228</f>
        <v>12.556683369664817</v>
      </c>
    </row>
    <row r="1229" spans="1:4">
      <c r="A1229" s="17">
        <f t="shared" si="9"/>
        <v>1227</v>
      </c>
      <c r="B1229" s="37" t="s">
        <v>962</v>
      </c>
      <c r="C1229" s="38">
        <v>16.200000760000002</v>
      </c>
      <c r="D1229" s="17">
        <f>SUM(C$3:C1229)/A1229</f>
        <v>12.559652658491496</v>
      </c>
    </row>
    <row r="1230" spans="1:4">
      <c r="A1230" s="17">
        <f t="shared" si="9"/>
        <v>1228</v>
      </c>
      <c r="B1230" s="37" t="s">
        <v>963</v>
      </c>
      <c r="C1230" s="38">
        <v>16.209999079999999</v>
      </c>
      <c r="D1230" s="17">
        <f>SUM(C$3:C1230)/A1230</f>
        <v>12.562625253297284</v>
      </c>
    </row>
    <row r="1231" spans="1:4">
      <c r="A1231" s="17">
        <f t="shared" si="9"/>
        <v>1229</v>
      </c>
      <c r="B1231" s="37" t="s">
        <v>964</v>
      </c>
      <c r="C1231" s="38">
        <v>16.149999619999999</v>
      </c>
      <c r="D1231" s="17">
        <f>SUM(C$3:C1231)/A1231</f>
        <v>12.565544190943097</v>
      </c>
    </row>
    <row r="1232" spans="1:4">
      <c r="A1232" s="17">
        <f t="shared" si="9"/>
        <v>1230</v>
      </c>
      <c r="B1232" s="37" t="s">
        <v>965</v>
      </c>
      <c r="C1232" s="38">
        <v>16.340000150000002</v>
      </c>
      <c r="D1232" s="17">
        <f>SUM(C$3:C1232)/A1232</f>
        <v>12.568612854324444</v>
      </c>
    </row>
    <row r="1233" spans="1:4">
      <c r="A1233" s="17">
        <f t="shared" si="9"/>
        <v>1231</v>
      </c>
      <c r="B1233" s="37" t="s">
        <v>966</v>
      </c>
      <c r="C1233" s="38">
        <v>16.270000459999999</v>
      </c>
      <c r="D1233" s="17">
        <f>SUM(C$3:C1233)/A1233</f>
        <v>12.571619667976494</v>
      </c>
    </row>
    <row r="1234" spans="1:4">
      <c r="A1234" s="17">
        <f t="shared" si="9"/>
        <v>1232</v>
      </c>
      <c r="B1234" s="37" t="s">
        <v>967</v>
      </c>
      <c r="C1234" s="38">
        <v>16.38999939</v>
      </c>
      <c r="D1234" s="17">
        <f>SUM(C$3:C1234)/A1234</f>
        <v>12.574719002166448</v>
      </c>
    </row>
    <row r="1235" spans="1:4">
      <c r="A1235" s="17">
        <f t="shared" si="9"/>
        <v>1233</v>
      </c>
      <c r="B1235" s="37" t="s">
        <v>968</v>
      </c>
      <c r="C1235" s="38">
        <v>16.170000080000001</v>
      </c>
      <c r="D1235" s="17">
        <f>SUM(C$3:C1235)/A1235</f>
        <v>12.577634883008161</v>
      </c>
    </row>
    <row r="1236" spans="1:4">
      <c r="A1236" s="17">
        <f t="shared" si="9"/>
        <v>1234</v>
      </c>
      <c r="B1236" s="37" t="s">
        <v>969</v>
      </c>
      <c r="C1236" s="38">
        <v>16</v>
      </c>
      <c r="D1236" s="17">
        <f>SUM(C$3:C1236)/A1236</f>
        <v>12.580408274513017</v>
      </c>
    </row>
    <row r="1237" spans="1:4">
      <c r="A1237" s="17">
        <f t="shared" si="9"/>
        <v>1235</v>
      </c>
      <c r="B1237" s="37" t="s">
        <v>970</v>
      </c>
      <c r="C1237" s="38">
        <v>15.960000040000001</v>
      </c>
      <c r="D1237" s="17">
        <f>SUM(C$3:C1237)/A1237</f>
        <v>12.583144786064018</v>
      </c>
    </row>
    <row r="1238" spans="1:4">
      <c r="A1238" s="17">
        <f t="shared" si="9"/>
        <v>1236</v>
      </c>
      <c r="B1238" s="37" t="s">
        <v>971</v>
      </c>
      <c r="C1238" s="38">
        <v>16.010000229999999</v>
      </c>
      <c r="D1238" s="17">
        <f>SUM(C$3:C1238)/A1238</f>
        <v>12.585917322830959</v>
      </c>
    </row>
    <row r="1239" spans="1:4">
      <c r="A1239" s="17">
        <f t="shared" si="9"/>
        <v>1237</v>
      </c>
      <c r="B1239" s="37" t="s">
        <v>972</v>
      </c>
      <c r="C1239" s="38">
        <v>16.010000229999999</v>
      </c>
      <c r="D1239" s="17">
        <f>SUM(C$3:C1239)/A1239</f>
        <v>12.588685376919212</v>
      </c>
    </row>
    <row r="1240" spans="1:4">
      <c r="A1240" s="17">
        <f t="shared" si="9"/>
        <v>1238</v>
      </c>
      <c r="B1240" s="37" t="s">
        <v>973</v>
      </c>
      <c r="C1240" s="38">
        <v>15.93999958</v>
      </c>
      <c r="D1240" s="17">
        <f>SUM(C$3:C1240)/A1240</f>
        <v>12.591392415855463</v>
      </c>
    </row>
    <row r="1241" spans="1:4">
      <c r="A1241" s="17">
        <f t="shared" si="9"/>
        <v>1239</v>
      </c>
      <c r="B1241" s="37" t="s">
        <v>974</v>
      </c>
      <c r="C1241" s="38">
        <v>15.84000015</v>
      </c>
      <c r="D1241" s="17">
        <f>SUM(C$3:C1241)/A1241</f>
        <v>12.594014375285765</v>
      </c>
    </row>
    <row r="1242" spans="1:4">
      <c r="A1242" s="17">
        <f t="shared" si="9"/>
        <v>1240</v>
      </c>
      <c r="B1242" s="37" t="s">
        <v>975</v>
      </c>
      <c r="C1242" s="38">
        <v>15.97000027</v>
      </c>
      <c r="D1242" s="17">
        <f>SUM(C$3:C1242)/A1242</f>
        <v>12.596736944555696</v>
      </c>
    </row>
    <row r="1243" spans="1:4">
      <c r="A1243" s="17">
        <f t="shared" si="9"/>
        <v>1241</v>
      </c>
      <c r="B1243" s="37" t="s">
        <v>976</v>
      </c>
      <c r="C1243" s="38">
        <v>16.010000229999999</v>
      </c>
      <c r="D1243" s="17">
        <f>SUM(C$3:C1243)/A1243</f>
        <v>12.599487358162017</v>
      </c>
    </row>
    <row r="1244" spans="1:4">
      <c r="A1244" s="17">
        <f t="shared" si="9"/>
        <v>1242</v>
      </c>
      <c r="B1244" s="37" t="s">
        <v>977</v>
      </c>
      <c r="C1244" s="38">
        <v>15.920000079999999</v>
      </c>
      <c r="D1244" s="17">
        <f>SUM(C$3:C1244)/A1244</f>
        <v>12.602160878872031</v>
      </c>
    </row>
    <row r="1245" spans="1:4">
      <c r="A1245" s="17">
        <f t="shared" si="9"/>
        <v>1243</v>
      </c>
      <c r="B1245" s="37">
        <v>46170</v>
      </c>
      <c r="C1245" s="38">
        <v>15.920000079999999</v>
      </c>
      <c r="D1245" s="17">
        <f>SUM(C$3:C1245)/A1245</f>
        <v>12.604830097859262</v>
      </c>
    </row>
    <row r="1246" spans="1:4">
      <c r="A1246" s="17">
        <f t="shared" si="9"/>
        <v>1244</v>
      </c>
      <c r="B1246" s="37">
        <v>46171</v>
      </c>
      <c r="C1246" s="38">
        <v>15.93999958</v>
      </c>
      <c r="D1246" s="17">
        <f>SUM(C$3:C1246)/A1246</f>
        <v>12.607511102266127</v>
      </c>
    </row>
    <row r="1247" spans="1:4">
      <c r="A1247" s="17">
        <f t="shared" si="9"/>
        <v>1245</v>
      </c>
      <c r="B1247" s="37" t="s">
        <v>978</v>
      </c>
      <c r="C1247" s="38">
        <v>15.89000034</v>
      </c>
      <c r="D1247" s="17">
        <f>SUM(C$3:C1247)/A1247</f>
        <v>12.610147639806474</v>
      </c>
    </row>
    <row r="1248" spans="1:4">
      <c r="A1248" s="17">
        <f t="shared" si="9"/>
        <v>1246</v>
      </c>
      <c r="B1248" s="37" t="s">
        <v>979</v>
      </c>
      <c r="C1248" s="38">
        <v>16.059999470000001</v>
      </c>
      <c r="D1248" s="17">
        <f>SUM(C$3:C1248)/A1248</f>
        <v>12.612916381243227</v>
      </c>
    </row>
    <row r="1249" spans="1:4">
      <c r="A1249" s="17">
        <f t="shared" si="9"/>
        <v>1247</v>
      </c>
      <c r="B1249" s="37" t="s">
        <v>980</v>
      </c>
      <c r="C1249" s="38">
        <v>16.079999919999999</v>
      </c>
      <c r="D1249" s="17">
        <f>SUM(C$3:C1249)/A1249</f>
        <v>12.615696720889384</v>
      </c>
    </row>
    <row r="1250" spans="1:4">
      <c r="A1250" s="17">
        <f t="shared" si="9"/>
        <v>1248</v>
      </c>
      <c r="B1250" s="37" t="s">
        <v>981</v>
      </c>
      <c r="C1250" s="38">
        <v>15.90999985</v>
      </c>
      <c r="D1250" s="17">
        <f>SUM(C$3:C1250)/A1250</f>
        <v>12.618336386858223</v>
      </c>
    </row>
    <row r="1251" spans="1:4">
      <c r="A1251" s="17">
        <f t="shared" si="9"/>
        <v>1249</v>
      </c>
      <c r="B1251" s="37" t="s">
        <v>982</v>
      </c>
      <c r="C1251" s="38">
        <v>15.710000040000001</v>
      </c>
      <c r="D1251" s="17">
        <f>SUM(C$3:C1251)/A1251</f>
        <v>12.620811698029675</v>
      </c>
    </row>
    <row r="1252" spans="1:4">
      <c r="A1252" s="17">
        <f t="shared" si="9"/>
        <v>1250</v>
      </c>
      <c r="B1252" s="37" t="s">
        <v>983</v>
      </c>
      <c r="C1252" s="38">
        <v>15.47999954</v>
      </c>
      <c r="D1252" s="17">
        <f>SUM(C$3:C1252)/A1252</f>
        <v>12.623099048303251</v>
      </c>
    </row>
    <row r="1253" spans="1:4">
      <c r="A1253" s="17">
        <f t="shared" si="9"/>
        <v>1251</v>
      </c>
      <c r="B1253" s="37" t="s">
        <v>984</v>
      </c>
      <c r="C1253" s="38">
        <v>15.65999985</v>
      </c>
      <c r="D1253" s="17">
        <f>SUM(C$3:C1253)/A1253</f>
        <v>12.625526626881745</v>
      </c>
    </row>
    <row r="1254" spans="1:4">
      <c r="A1254" s="17">
        <f t="shared" si="9"/>
        <v>1252</v>
      </c>
      <c r="B1254" s="37" t="s">
        <v>985</v>
      </c>
      <c r="C1254" s="38">
        <v>15.489999770000001</v>
      </c>
      <c r="D1254" s="17">
        <f>SUM(C$3:C1254)/A1254</f>
        <v>12.627814544727686</v>
      </c>
    </row>
    <row r="1255" spans="1:4">
      <c r="A1255" s="17">
        <f t="shared" si="9"/>
        <v>1253</v>
      </c>
      <c r="B1255" s="37" t="s">
        <v>986</v>
      </c>
      <c r="C1255" s="38">
        <v>15.43000031</v>
      </c>
      <c r="D1255" s="17">
        <f>SUM(C$3:C1255)/A1255</f>
        <v>12.630050926024792</v>
      </c>
    </row>
    <row r="1256" spans="1:4">
      <c r="A1256" s="17">
        <f t="shared" si="9"/>
        <v>1254</v>
      </c>
      <c r="B1256" s="37" t="s">
        <v>987</v>
      </c>
      <c r="C1256" s="38">
        <v>15.630000109999999</v>
      </c>
      <c r="D1256" s="17">
        <f>SUM(C$3:C1256)/A1256</f>
        <v>12.632443229999254</v>
      </c>
    </row>
    <row r="1257" spans="1:4">
      <c r="A1257" s="17">
        <f t="shared" si="9"/>
        <v>1255</v>
      </c>
      <c r="B1257" s="37" t="s">
        <v>988</v>
      </c>
      <c r="C1257" s="38">
        <v>16.489999770000001</v>
      </c>
      <c r="D1257" s="17">
        <f>SUM(C$3:C1257)/A1257</f>
        <v>12.63551698023033</v>
      </c>
    </row>
    <row r="1258" spans="1:4">
      <c r="A1258" s="17">
        <f t="shared" si="9"/>
        <v>1256</v>
      </c>
      <c r="B1258" s="37" t="s">
        <v>989</v>
      </c>
      <c r="C1258" s="38">
        <v>16.450000760000002</v>
      </c>
      <c r="D1258" s="17">
        <f>SUM(C$3:C1258)/A1258</f>
        <v>12.638553989609127</v>
      </c>
    </row>
    <row r="1259" spans="1:4">
      <c r="A1259" s="17">
        <f t="shared" si="9"/>
        <v>1257</v>
      </c>
      <c r="B1259" s="37" t="s">
        <v>990</v>
      </c>
      <c r="C1259" s="38">
        <v>16.489999770000001</v>
      </c>
      <c r="D1259" s="17">
        <f>SUM(C$3:C1259)/A1259</f>
        <v>12.641617987843327</v>
      </c>
    </row>
    <row r="1260" spans="1:4">
      <c r="A1260" s="17">
        <f t="shared" si="9"/>
        <v>1258</v>
      </c>
      <c r="B1260" s="37" t="s">
        <v>991</v>
      </c>
      <c r="C1260" s="38">
        <v>16.489999770000001</v>
      </c>
      <c r="D1260" s="17">
        <f>SUM(C$3:C1260)/A1260</f>
        <v>12.644677114856171</v>
      </c>
    </row>
    <row r="1261" spans="1:4">
      <c r="A1261" s="17">
        <f t="shared" si="9"/>
        <v>1259</v>
      </c>
      <c r="B1261" s="37" t="s">
        <v>992</v>
      </c>
      <c r="C1261" s="38">
        <v>16.809999470000001</v>
      </c>
      <c r="D1261" s="17">
        <f>SUM(C$3:C1261)/A1261</f>
        <v>12.647985551992901</v>
      </c>
    </row>
    <row r="1262" spans="1:4">
      <c r="A1262" s="17">
        <f t="shared" si="9"/>
        <v>1260</v>
      </c>
      <c r="B1262" s="37" t="s">
        <v>993</v>
      </c>
      <c r="C1262" s="38">
        <v>16.38999939</v>
      </c>
      <c r="D1262" s="17">
        <f>SUM(C$3:C1262)/A1262</f>
        <v>12.650955404245288</v>
      </c>
    </row>
    <row r="1263" spans="1:4">
      <c r="A1263" s="17">
        <f t="shared" si="9"/>
        <v>1261</v>
      </c>
      <c r="B1263" s="37" t="s">
        <v>994</v>
      </c>
      <c r="C1263" s="38">
        <v>16.420000080000001</v>
      </c>
      <c r="D1263" s="17">
        <f>SUM(C$3:C1263)/A1263</f>
        <v>12.653944337374355</v>
      </c>
    </row>
    <row r="1264" spans="1:4">
      <c r="A1264" s="17">
        <f t="shared" si="9"/>
        <v>1262</v>
      </c>
      <c r="B1264" s="37" t="s">
        <v>995</v>
      </c>
      <c r="C1264" s="38">
        <v>16.530000690000001</v>
      </c>
      <c r="D1264" s="17">
        <f>SUM(C$3:C1264)/A1264</f>
        <v>12.657015697400208</v>
      </c>
    </row>
    <row r="1265" spans="1:4">
      <c r="A1265" s="17">
        <f t="shared" si="9"/>
        <v>1263</v>
      </c>
      <c r="B1265" s="37" t="s">
        <v>996</v>
      </c>
      <c r="C1265" s="38">
        <v>16.010000229999999</v>
      </c>
      <c r="D1265" s="17">
        <f>SUM(C$3:C1265)/A1265</f>
        <v>12.659670475335759</v>
      </c>
    </row>
    <row r="1266" spans="1:4">
      <c r="A1266" s="17">
        <f t="shared" si="9"/>
        <v>1264</v>
      </c>
      <c r="B1266" s="37">
        <v>46202</v>
      </c>
      <c r="C1266" s="38">
        <v>16.120000839999999</v>
      </c>
      <c r="D1266" s="17">
        <f>SUM(C$3:C1266)/A1266</f>
        <v>12.662408078472358</v>
      </c>
    </row>
    <row r="1267" spans="1:4">
      <c r="A1267" s="17">
        <f t="shared" si="9"/>
        <v>1265</v>
      </c>
      <c r="B1267" s="37">
        <v>46203</v>
      </c>
      <c r="C1267" s="38">
        <v>16.190000529999999</v>
      </c>
      <c r="D1267" s="17">
        <f>SUM(C$3:C1267)/A1267</f>
        <v>12.665196689105978</v>
      </c>
    </row>
    <row r="1268" spans="1:4">
      <c r="A1268" s="17">
        <f t="shared" si="9"/>
        <v>1266</v>
      </c>
      <c r="B1268" s="37" t="s">
        <v>997</v>
      </c>
      <c r="C1268" s="38">
        <v>16.159999849999998</v>
      </c>
      <c r="D1268" s="17">
        <f>SUM(C$3:C1268)/A1268</f>
        <v>12.66795719713196</v>
      </c>
    </row>
    <row r="1269" spans="1:4">
      <c r="A1269" s="17">
        <f t="shared" si="9"/>
        <v>1267</v>
      </c>
      <c r="B1269" s="37" t="s">
        <v>998</v>
      </c>
      <c r="C1269" s="38">
        <v>15.829999920000001</v>
      </c>
      <c r="D1269" s="17">
        <f>SUM(C$3:C1269)/A1269</f>
        <v>12.670452889888763</v>
      </c>
    </row>
    <row r="1270" spans="1:4">
      <c r="A1270" s="17">
        <f t="shared" si="9"/>
        <v>1268</v>
      </c>
      <c r="B1270" s="37" t="s">
        <v>999</v>
      </c>
      <c r="C1270" s="38">
        <v>15.93999958</v>
      </c>
      <c r="D1270" s="17">
        <f>SUM(C$3:C1270)/A1270</f>
        <v>12.673031396742163</v>
      </c>
    </row>
    <row r="1271" spans="1:4">
      <c r="A1271" s="17">
        <f t="shared" si="9"/>
        <v>1269</v>
      </c>
      <c r="B1271" s="37" t="s">
        <v>1000</v>
      </c>
      <c r="C1271" s="38">
        <v>15.90999985</v>
      </c>
      <c r="D1271" s="17">
        <f>SUM(C$3:C1271)/A1271</f>
        <v>12.675582199305802</v>
      </c>
    </row>
    <row r="1272" spans="1:4">
      <c r="A1272" s="17">
        <f t="shared" si="9"/>
        <v>1270</v>
      </c>
      <c r="B1272" s="37" t="s">
        <v>1001</v>
      </c>
      <c r="C1272" s="38">
        <v>15.75</v>
      </c>
      <c r="D1272" s="17">
        <f>SUM(C$3:C1272)/A1272</f>
        <v>12.67800300072367</v>
      </c>
    </row>
    <row r="1273" spans="1:4">
      <c r="A1273" s="17">
        <f t="shared" si="9"/>
        <v>1271</v>
      </c>
      <c r="B1273" s="37" t="s">
        <v>1002</v>
      </c>
      <c r="C1273" s="38">
        <v>15.649999619999999</v>
      </c>
      <c r="D1273" s="17">
        <f>SUM(C$3:C1273)/A1273</f>
        <v>12.680341314350168</v>
      </c>
    </row>
    <row r="1274" spans="1:4">
      <c r="A1274" s="17">
        <f t="shared" si="9"/>
        <v>1272</v>
      </c>
      <c r="B1274" s="37" t="s">
        <v>1003</v>
      </c>
      <c r="C1274" s="38">
        <v>15.920000079999999</v>
      </c>
      <c r="D1274" s="17">
        <f>SUM(C$3:C1274)/A1274</f>
        <v>12.682888215895488</v>
      </c>
    </row>
    <row r="1275" spans="1:4">
      <c r="A1275" s="17">
        <f t="shared" si="9"/>
        <v>1273</v>
      </c>
      <c r="B1275" s="37" t="s">
        <v>1004</v>
      </c>
      <c r="C1275" s="38">
        <v>15.72999954</v>
      </c>
      <c r="D1275" s="17">
        <f>SUM(C$3:C1275)/A1275</f>
        <v>12.685281861868862</v>
      </c>
    </row>
    <row r="1276" spans="1:4">
      <c r="A1276" s="17">
        <f t="shared" si="9"/>
        <v>1274</v>
      </c>
      <c r="B1276" s="37" t="s">
        <v>1005</v>
      </c>
      <c r="C1276" s="38">
        <v>15.510000229999999</v>
      </c>
      <c r="D1276" s="17">
        <f>SUM(C$3:C1276)/A1276</f>
        <v>12.687499066239452</v>
      </c>
    </row>
    <row r="1277" spans="1:4">
      <c r="A1277" s="17">
        <f t="shared" si="9"/>
        <v>1275</v>
      </c>
      <c r="B1277" s="37" t="s">
        <v>1006</v>
      </c>
      <c r="C1277" s="38">
        <v>15.869999890000001</v>
      </c>
      <c r="D1277" s="17">
        <f>SUM(C$3:C1277)/A1277</f>
        <v>12.689995145316912</v>
      </c>
    </row>
    <row r="1278" spans="1:4">
      <c r="A1278" s="17">
        <f t="shared" si="9"/>
        <v>1276</v>
      </c>
      <c r="B1278" s="37" t="s">
        <v>1007</v>
      </c>
      <c r="C1278" s="38">
        <v>15.93000031</v>
      </c>
      <c r="D1278" s="17">
        <f>SUM(C$3:C1278)/A1278</f>
        <v>12.692534334317447</v>
      </c>
    </row>
    <row r="1279" spans="1:4">
      <c r="A1279" s="17">
        <f t="shared" si="9"/>
        <v>1277</v>
      </c>
      <c r="B1279" s="37" t="s">
        <v>1008</v>
      </c>
      <c r="C1279" s="38">
        <v>15.72999954</v>
      </c>
      <c r="D1279" s="17">
        <f>SUM(C$3:C1279)/A1279</f>
        <v>12.694912928840299</v>
      </c>
    </row>
    <row r="1280" spans="1:4">
      <c r="A1280" s="17">
        <f t="shared" si="9"/>
        <v>1278</v>
      </c>
      <c r="B1280" s="37" t="s">
        <v>1009</v>
      </c>
      <c r="C1280" s="38">
        <v>15.30000019</v>
      </c>
      <c r="D1280" s="17">
        <f>SUM(C$3:C1280)/A1280</f>
        <v>12.696951338277827</v>
      </c>
    </row>
    <row r="1281" spans="1:4">
      <c r="A1281" s="17">
        <f t="shared" si="9"/>
        <v>1279</v>
      </c>
      <c r="B1281" s="37" t="s">
        <v>1010</v>
      </c>
      <c r="C1281" s="38">
        <v>18.780000690000001</v>
      </c>
      <c r="D1281" s="17">
        <f>SUM(C$3:C1281)/A1281</f>
        <v>12.701707436285428</v>
      </c>
    </row>
    <row r="1282" spans="1:4">
      <c r="A1282" s="17">
        <f t="shared" si="9"/>
        <v>1280</v>
      </c>
      <c r="B1282" s="37" t="s">
        <v>1011</v>
      </c>
      <c r="C1282" s="38">
        <v>15.869999890000001</v>
      </c>
      <c r="D1282" s="17">
        <f>SUM(C$3:C1282)/A1282</f>
        <v>12.704182664764891</v>
      </c>
    </row>
    <row r="1283" spans="1:4">
      <c r="A1283" s="17">
        <f t="shared" si="9"/>
        <v>1281</v>
      </c>
      <c r="B1283" s="37" t="s">
        <v>1012</v>
      </c>
      <c r="C1283" s="38">
        <v>15.869999890000001</v>
      </c>
      <c r="D1283" s="17">
        <f>SUM(C$3:C1283)/A1283</f>
        <v>12.706654028719017</v>
      </c>
    </row>
    <row r="1284" spans="1:4">
      <c r="A1284" s="17">
        <f t="shared" si="9"/>
        <v>1282</v>
      </c>
      <c r="B1284" s="37" t="s">
        <v>1013</v>
      </c>
      <c r="C1284" s="38">
        <v>15.97999954</v>
      </c>
      <c r="D1284" s="17">
        <f>SUM(C$3:C1284)/A1284</f>
        <v>12.709207340350282</v>
      </c>
    </row>
    <row r="1285" spans="1:4">
      <c r="A1285" s="17">
        <f t="shared" si="9"/>
        <v>1283</v>
      </c>
      <c r="B1285" s="37" t="s">
        <v>1014</v>
      </c>
      <c r="C1285" s="38">
        <v>15.72999954</v>
      </c>
      <c r="D1285" s="17">
        <f>SUM(C$3:C1285)/A1285</f>
        <v>12.711561815954063</v>
      </c>
    </row>
    <row r="1286" spans="1:4">
      <c r="A1286" s="17">
        <f t="shared" si="9"/>
        <v>1284</v>
      </c>
      <c r="B1286" s="37" t="s">
        <v>1015</v>
      </c>
      <c r="C1286" s="38">
        <v>15.899999619999999</v>
      </c>
      <c r="D1286" s="17">
        <f>SUM(C$3:C1286)/A1286</f>
        <v>12.714045022966559</v>
      </c>
    </row>
    <row r="1287" spans="1:4">
      <c r="A1287" s="17">
        <f t="shared" si="9"/>
        <v>1285</v>
      </c>
      <c r="B1287" s="37" t="s">
        <v>1016</v>
      </c>
      <c r="C1287" s="38">
        <v>15.65999985</v>
      </c>
      <c r="D1287" s="17">
        <f>SUM(C$3:C1287)/A1287</f>
        <v>12.716337594816391</v>
      </c>
    </row>
    <row r="1288" spans="1:4">
      <c r="A1288" s="17">
        <f t="shared" si="9"/>
        <v>1286</v>
      </c>
      <c r="B1288" s="37" t="s">
        <v>1017</v>
      </c>
      <c r="C1288" s="38">
        <v>15.72999954</v>
      </c>
      <c r="D1288" s="17">
        <f>SUM(C$3:C1288)/A1288</f>
        <v>12.718681033342973</v>
      </c>
    </row>
    <row r="1289" spans="1:4">
      <c r="A1289" s="17">
        <f t="shared" si="9"/>
        <v>1287</v>
      </c>
      <c r="B1289" s="37">
        <v>46233</v>
      </c>
      <c r="C1289" s="38">
        <v>15.7094</v>
      </c>
      <c r="D1289" s="17">
        <f>SUM(C$3:C1289)/A1289</f>
        <v>12.721004824303856</v>
      </c>
    </row>
    <row r="1290" spans="1:4">
      <c r="A1290" s="17">
        <f t="shared" si="9"/>
        <v>1288</v>
      </c>
      <c r="B1290" s="37">
        <v>46234</v>
      </c>
      <c r="C1290" s="38">
        <v>15.760000229999999</v>
      </c>
      <c r="D1290" s="17">
        <f>SUM(C$3:C1290)/A1290</f>
        <v>12.72336429278654</v>
      </c>
    </row>
  </sheetData>
  <mergeCells count="1">
    <mergeCell ref="B1:B2"/>
  </mergeCells>
  <phoneticPr fontId="1" type="noConversion"/>
  <pageMargins left="0.75" right="0.75" top="1" bottom="1" header="0.5" footer="0.5"/>
  <pageSetup paperSize="0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模型一</vt:lpstr>
      <vt:lpstr>myPEPB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2026-08-02T04:00:23Z</dcterms:modified>
</cp:coreProperties>
</file>