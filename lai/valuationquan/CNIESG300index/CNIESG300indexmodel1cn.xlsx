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90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190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  <pt idx="186">
                  <v>374000</v>
                </pt>
                <pt idx="187">
                  <v>376000</v>
                </pt>
                <pt idx="188">
                  <v>378000</v>
                </pt>
                <pt idx="189">
                  <v>380000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90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190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  <pt idx="186">
                  <v>583459.3082909887</v>
                </pt>
                <pt idx="187">
                  <v>628481.3811359293</v>
                </pt>
                <pt idx="188">
                  <v>635142.0279783552</v>
                </pt>
                <pt idx="189">
                  <v>636986.4257863802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90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190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  <pt idx="186">
                  <v>209459.3082909887</v>
                </pt>
                <pt idx="187">
                  <v>252481.3811359293</v>
                </pt>
                <pt idx="188">
                  <v>257142.0279783552</v>
                </pt>
                <pt idx="189">
                  <v>256986.4257863802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18106368"/>
        <axId val="418129792"/>
      </lineChart>
      <dateAx>
        <axId val="41810636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18129792"/>
        <crosses val="autoZero"/>
        <lblOffset val="100"/>
        <baseTimeUnit val="days"/>
      </dateAx>
      <valAx>
        <axId val="4181297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1810636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9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日期</t>
        </is>
      </c>
      <c r="B1" s="33" t="inlineStr">
        <is>
          <t>ESG300指数</t>
        </is>
      </c>
      <c r="C1" s="41" t="inlineStr">
        <is>
          <t>买卖金额</t>
        </is>
      </c>
      <c r="D1" s="41" t="inlineStr">
        <is>
          <t>买卖份数</t>
        </is>
      </c>
      <c r="E1" s="41" t="inlineStr">
        <is>
          <t>持有份数</t>
        </is>
      </c>
      <c r="F1" s="41" t="inlineStr">
        <is>
          <t>市值</t>
        </is>
      </c>
      <c r="G1" s="42" t="inlineStr">
        <is>
          <t>累计投入资金</t>
        </is>
      </c>
      <c r="H1" s="11" t="inlineStr">
        <is>
          <t>总资产</t>
        </is>
      </c>
      <c r="I1" s="33" t="inlineStr">
        <is>
          <t>利润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单位：元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日期</t>
        </is>
      </c>
      <c r="M3" s="36" t="inlineStr">
        <is>
          <t>每年投入本金</t>
        </is>
      </c>
      <c r="N3" s="36" t="inlineStr">
        <is>
          <t>累计投入本金</t>
        </is>
      </c>
      <c r="O3" s="36" t="inlineStr">
        <is>
          <t>总资产</t>
        </is>
      </c>
      <c r="P3" s="36" t="inlineStr">
        <is>
          <t>盈利金额</t>
        </is>
      </c>
      <c r="Q3" s="36" t="inlineStr">
        <is>
          <t>绝对收益率</t>
        </is>
      </c>
      <c r="R3" s="36" t="inlineStr">
        <is>
          <t>年化收益率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  <row r="189" ht="12.75" customHeight="1" s="43">
      <c r="A189" s="51" t="n">
        <v>46112</v>
      </c>
      <c r="B189" s="14" t="n">
        <v>2.826468994140625</v>
      </c>
      <c r="C189" s="52" t="n">
        <v>2000</v>
      </c>
      <c r="D189" s="53" t="n">
        <v>707.5966529779997</v>
      </c>
      <c r="E189" s="53" t="n">
        <v>206426.9268477813</v>
      </c>
      <c r="F189" s="53" t="n">
        <v>583459.3082909887</v>
      </c>
      <c r="G189" s="53" t="n">
        <v>374000</v>
      </c>
      <c r="H189" s="53" t="n">
        <v>583459.3082909887</v>
      </c>
      <c r="I189" s="53" t="n">
        <v>209459.3082909887</v>
      </c>
      <c r="J189" s="31">
        <f>VLOOKUP(A189,myPEPB!B:C,2)</f>
        <v/>
      </c>
    </row>
    <row r="190" ht="12.75" customHeight="1" s="43">
      <c r="A190" s="51" t="n">
        <v>46142</v>
      </c>
      <c r="B190" s="14" t="n">
        <v>3.034882080078125</v>
      </c>
      <c r="C190" s="52" t="n">
        <v>2000</v>
      </c>
      <c r="D190" s="53" t="n">
        <v>659.0041877174071</v>
      </c>
      <c r="E190" s="53" t="n">
        <v>207085.9310354987</v>
      </c>
      <c r="F190" s="53" t="n">
        <v>628481.3811359293</v>
      </c>
      <c r="G190" s="53" t="n">
        <v>376000</v>
      </c>
      <c r="H190" s="53" t="n">
        <v>628481.3811359293</v>
      </c>
      <c r="I190" s="53" t="n">
        <v>252481.3811359293</v>
      </c>
      <c r="J190" s="31">
        <f>VLOOKUP(A190,myPEPB!B:C,2)</f>
        <v/>
      </c>
    </row>
    <row r="191" ht="12.75" customHeight="1" s="43">
      <c r="A191" s="51" t="n">
        <v>46171</v>
      </c>
      <c r="B191" s="14" t="n">
        <v>3.057387939453125</v>
      </c>
      <c r="C191" s="52" t="n">
        <v>2000</v>
      </c>
      <c r="D191" s="53" t="n">
        <v>654.1531659072809</v>
      </c>
      <c r="E191" s="53" t="n">
        <v>207740.0842014059</v>
      </c>
      <c r="F191" s="53" t="n">
        <v>635142.0279783552</v>
      </c>
      <c r="G191" s="53" t="n">
        <v>378000</v>
      </c>
      <c r="H191" s="53" t="n">
        <v>635142.0279783552</v>
      </c>
      <c r="I191" s="53" t="n">
        <v>257142.0279783552</v>
      </c>
      <c r="J191" s="31">
        <f>VLOOKUP(A191,myPEPB!B:C,2)</f>
        <v/>
      </c>
    </row>
    <row r="192" ht="12.75" customHeight="1" s="43">
      <c r="A192" s="51" t="n">
        <v>46203</v>
      </c>
      <c r="B192" s="14" t="n">
        <v>3.056638916015625</v>
      </c>
      <c r="C192" s="52" t="n">
        <v>2000</v>
      </c>
      <c r="D192" s="53" t="n">
        <v>654.3134648717455</v>
      </c>
      <c r="E192" s="53" t="n">
        <v>208394.3976662777</v>
      </c>
      <c r="F192" s="53" t="n">
        <v>636986.4257863802</v>
      </c>
      <c r="G192" s="53" t="n">
        <v>380000</v>
      </c>
      <c r="H192" s="53" t="n">
        <v>636986.4257863802</v>
      </c>
      <c r="I192" s="53" t="n">
        <v>256986.4257863802</v>
      </c>
      <c r="J192" s="31">
        <f>VLOOKUP(A192,myPEPB!B:C,2)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67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  <row r="1186">
      <c r="A1186" s="17">
        <f>A1185+1</f>
        <v/>
      </c>
      <c r="B1186" s="58" t="inlineStr">
        <is>
          <t xml:space="preserve">2026/3/2
</t>
        </is>
      </c>
      <c r="C1186" s="55" t="n">
        <v>15.80000019</v>
      </c>
      <c r="D1186" s="17">
        <f>SUM(C$3:C1186)/A1186</f>
        <v/>
      </c>
    </row>
    <row r="1187">
      <c r="A1187" s="17">
        <f>A1186+1</f>
        <v/>
      </c>
      <c r="B1187" s="58" t="inlineStr">
        <is>
          <t xml:space="preserve">2026/3/3
</t>
        </is>
      </c>
      <c r="C1187" s="55" t="n">
        <v>15.76000023</v>
      </c>
      <c r="D1187" s="17">
        <f>SUM(C$3:C1187)/A1187</f>
        <v/>
      </c>
    </row>
    <row r="1188">
      <c r="A1188" s="17">
        <f>A1187+1</f>
        <v/>
      </c>
      <c r="B1188" s="58" t="inlineStr">
        <is>
          <t xml:space="preserve">2026/3/4
</t>
        </is>
      </c>
      <c r="C1188" s="55" t="n">
        <v>15.57999992</v>
      </c>
      <c r="D1188" s="17">
        <f>SUM(C$3:C1188)/A1188</f>
        <v/>
      </c>
    </row>
    <row r="1189">
      <c r="A1189" s="17">
        <f>A1188+1</f>
        <v/>
      </c>
      <c r="B1189" s="58" t="inlineStr">
        <is>
          <t xml:space="preserve">2026/3/5
</t>
        </is>
      </c>
      <c r="C1189" s="55" t="n">
        <v>15.64999962</v>
      </c>
      <c r="D1189" s="17">
        <f>SUM(C$3:C1189)/A1189</f>
        <v/>
      </c>
    </row>
    <row r="1190">
      <c r="A1190" s="17">
        <f>A1189+1</f>
        <v/>
      </c>
      <c r="B1190" s="58" t="inlineStr">
        <is>
          <t xml:space="preserve">2026/3/6
</t>
        </is>
      </c>
      <c r="C1190" s="55" t="n">
        <v>15.65999985</v>
      </c>
      <c r="D1190" s="17">
        <f>SUM(C$3:C1190)/A1190</f>
        <v/>
      </c>
    </row>
    <row r="1191">
      <c r="A1191" s="17">
        <f>A1190+1</f>
        <v/>
      </c>
      <c r="B1191" s="58" t="inlineStr">
        <is>
          <t xml:space="preserve">2026/3/9
</t>
        </is>
      </c>
      <c r="C1191" s="55" t="n">
        <v>15.57999992</v>
      </c>
      <c r="D1191" s="17">
        <f>SUM(C$3:C1191)/A1191</f>
        <v/>
      </c>
    </row>
    <row r="1192">
      <c r="A1192" s="17">
        <f>A1191+1</f>
        <v/>
      </c>
      <c r="B1192" s="58" t="inlineStr">
        <is>
          <t xml:space="preserve">2026/3/10
</t>
        </is>
      </c>
      <c r="C1192" s="55" t="n">
        <v>15.57999992</v>
      </c>
      <c r="D1192" s="17">
        <f>SUM(C$3:C1192)/A1192</f>
        <v/>
      </c>
    </row>
    <row r="1193">
      <c r="A1193" s="17">
        <f>A1192+1</f>
        <v/>
      </c>
      <c r="B1193" s="58" t="inlineStr">
        <is>
          <t xml:space="preserve">2026/3/11
</t>
        </is>
      </c>
      <c r="C1193" s="55" t="n">
        <v>15.81999969</v>
      </c>
      <c r="D1193" s="17">
        <f>SUM(C$3:C1193)/A1193</f>
        <v/>
      </c>
    </row>
    <row r="1194">
      <c r="A1194" s="17">
        <f>A1193+1</f>
        <v/>
      </c>
      <c r="B1194" s="58" t="inlineStr">
        <is>
          <t xml:space="preserve">2026/3/12
</t>
        </is>
      </c>
      <c r="C1194" s="55" t="n">
        <v>15.80000019</v>
      </c>
      <c r="D1194" s="17">
        <f>SUM(C$3:C1194)/A1194</f>
        <v/>
      </c>
    </row>
    <row r="1195">
      <c r="A1195" s="17">
        <f>A1194+1</f>
        <v/>
      </c>
      <c r="B1195" s="58" t="inlineStr">
        <is>
          <t xml:space="preserve">2026/3/13
</t>
        </is>
      </c>
      <c r="C1195" s="55" t="n">
        <v>15.72000027</v>
      </c>
      <c r="D1195" s="17">
        <f>SUM(C$3:C1195)/A1195</f>
        <v/>
      </c>
    </row>
    <row r="1196">
      <c r="A1196" s="17">
        <f>A1195+1</f>
        <v/>
      </c>
      <c r="B1196" s="58" t="inlineStr">
        <is>
          <t xml:space="preserve">2026/3/16
</t>
        </is>
      </c>
      <c r="C1196" s="55" t="n">
        <v>15.72999954</v>
      </c>
      <c r="D1196" s="17">
        <f>SUM(C$3:C1196)/A1196</f>
        <v/>
      </c>
    </row>
    <row r="1197">
      <c r="A1197" s="17">
        <f>A1196+1</f>
        <v/>
      </c>
      <c r="B1197" s="58" t="inlineStr">
        <is>
          <t xml:space="preserve">2026/3/17
</t>
        </is>
      </c>
      <c r="C1197" s="55" t="n">
        <v>15.64000034</v>
      </c>
      <c r="D1197" s="17">
        <f>SUM(C$3:C1197)/A1197</f>
        <v/>
      </c>
    </row>
    <row r="1198">
      <c r="A1198" s="17">
        <f>A1197+1</f>
        <v/>
      </c>
      <c r="B1198" s="58" t="inlineStr">
        <is>
          <t xml:space="preserve">2026/3/18
</t>
        </is>
      </c>
      <c r="C1198" s="55" t="n">
        <v>15.68000031</v>
      </c>
      <c r="D1198" s="17">
        <f>SUM(C$3:C1198)/A1198</f>
        <v/>
      </c>
    </row>
    <row r="1199">
      <c r="A1199" s="17">
        <f>A1198+1</f>
        <v/>
      </c>
      <c r="B1199" s="58" t="inlineStr">
        <is>
          <t xml:space="preserve">2026/3/19
</t>
        </is>
      </c>
      <c r="C1199" s="55" t="n">
        <v>15.5</v>
      </c>
      <c r="D1199" s="17">
        <f>SUM(C$3:C1199)/A1199</f>
        <v/>
      </c>
    </row>
    <row r="1200">
      <c r="A1200" s="17">
        <f>A1199+1</f>
        <v/>
      </c>
      <c r="B1200" s="58" t="inlineStr">
        <is>
          <t xml:space="preserve">2026/3/20
</t>
        </is>
      </c>
      <c r="C1200" s="55" t="n">
        <v>15.5</v>
      </c>
      <c r="D1200" s="17">
        <f>SUM(C$3:C1200)/A1200</f>
        <v/>
      </c>
    </row>
    <row r="1201">
      <c r="A1201" s="17">
        <f>A1200+1</f>
        <v/>
      </c>
      <c r="B1201" s="58" t="inlineStr">
        <is>
          <t xml:space="preserve">2026/3/23
</t>
        </is>
      </c>
      <c r="C1201" s="55" t="n">
        <v>14.94999981</v>
      </c>
      <c r="D1201" s="17">
        <f>SUM(C$3:C1201)/A1201</f>
        <v/>
      </c>
    </row>
    <row r="1202">
      <c r="A1202" s="17">
        <f>A1201+1</f>
        <v/>
      </c>
      <c r="B1202" s="58" t="inlineStr">
        <is>
          <t xml:space="preserve">2026/3/24
</t>
        </is>
      </c>
      <c r="C1202" s="55" t="n">
        <v>15.09000015</v>
      </c>
      <c r="D1202" s="17">
        <f>SUM(C$3:C1202)/A1202</f>
        <v/>
      </c>
    </row>
    <row r="1203">
      <c r="A1203" s="17">
        <f>A1202+1</f>
        <v/>
      </c>
      <c r="B1203" s="58" t="inlineStr">
        <is>
          <t xml:space="preserve">2026/3/25
</t>
        </is>
      </c>
      <c r="C1203" s="55" t="n">
        <v>15.26000023</v>
      </c>
      <c r="D1203" s="17">
        <f>SUM(C$3:C1203)/A1203</f>
        <v/>
      </c>
    </row>
    <row r="1204">
      <c r="A1204" s="17">
        <f>A1203+1</f>
        <v/>
      </c>
      <c r="B1204" s="58" t="inlineStr">
        <is>
          <t xml:space="preserve">2026/3/26
</t>
        </is>
      </c>
      <c r="C1204" s="55" t="n">
        <v>15.10000038</v>
      </c>
      <c r="D1204" s="17">
        <f>SUM(C$3:C1204)/A1204</f>
        <v/>
      </c>
    </row>
    <row r="1205">
      <c r="A1205" s="17">
        <f>A1204+1</f>
        <v/>
      </c>
      <c r="B1205" s="58" t="inlineStr">
        <is>
          <t xml:space="preserve">2026/3/27
</t>
        </is>
      </c>
      <c r="C1205" s="55" t="n">
        <v>15.18000031</v>
      </c>
      <c r="D1205" s="17">
        <f>SUM(C$3:C1205)/A1205</f>
        <v/>
      </c>
    </row>
    <row r="1206">
      <c r="A1206" s="17">
        <f>A1205+1</f>
        <v/>
      </c>
      <c r="B1206" s="58" t="n">
        <v>46111</v>
      </c>
      <c r="C1206" s="55" t="n">
        <v>15.18000031</v>
      </c>
      <c r="D1206" s="17">
        <f>SUM(C$3:C1206)/A1206</f>
        <v/>
      </c>
    </row>
    <row r="1207">
      <c r="A1207" s="17">
        <f>A1206+1</f>
        <v/>
      </c>
      <c r="B1207" s="58" t="n">
        <v>46112</v>
      </c>
      <c r="C1207" s="55" t="n">
        <v>15.07999992</v>
      </c>
      <c r="D1207" s="17">
        <f>SUM(C$3:C1207)/A1207</f>
        <v/>
      </c>
    </row>
    <row r="1208">
      <c r="A1208" s="17">
        <f>A1207+1</f>
        <v/>
      </c>
      <c r="B1208" s="58" t="inlineStr">
        <is>
          <t xml:space="preserve">2026/4/1
</t>
        </is>
      </c>
      <c r="C1208" s="55" t="n">
        <v>15.07999992</v>
      </c>
      <c r="D1208" s="17">
        <f>SUM(C$3:C1208)/A1208</f>
        <v/>
      </c>
    </row>
    <row r="1209">
      <c r="A1209" s="17">
        <f>A1208+1</f>
        <v/>
      </c>
      <c r="B1209" s="58" t="inlineStr">
        <is>
          <t xml:space="preserve">2026/4/2
</t>
        </is>
      </c>
      <c r="C1209" s="55" t="n">
        <v>15.19999981</v>
      </c>
      <c r="D1209" s="17">
        <f>SUM(C$3:C1209)/A1209</f>
        <v/>
      </c>
    </row>
    <row r="1210">
      <c r="A1210" s="17">
        <f>A1209+1</f>
        <v/>
      </c>
      <c r="B1210" s="58" t="inlineStr">
        <is>
          <t xml:space="preserve">2026/4/3
</t>
        </is>
      </c>
      <c r="C1210" s="55" t="n">
        <v>15.06999969</v>
      </c>
      <c r="D1210" s="17">
        <f>SUM(C$3:C1210)/A1210</f>
        <v/>
      </c>
    </row>
    <row r="1211">
      <c r="A1211" s="17">
        <f>A1210+1</f>
        <v/>
      </c>
      <c r="B1211" s="58" t="inlineStr">
        <is>
          <t xml:space="preserve">2026/4/7
</t>
        </is>
      </c>
      <c r="C1211" s="55" t="n">
        <v>15.06000042</v>
      </c>
      <c r="D1211" s="17">
        <f>SUM(C$3:C1211)/A1211</f>
        <v/>
      </c>
    </row>
    <row r="1212">
      <c r="A1212" s="17">
        <f>A1211+1</f>
        <v/>
      </c>
      <c r="B1212" s="58" t="inlineStr">
        <is>
          <t xml:space="preserve">2026/4/8
</t>
        </is>
      </c>
      <c r="C1212" s="55" t="n">
        <v>15.43000031</v>
      </c>
      <c r="D1212" s="17">
        <f>SUM(C$3:C1212)/A1212</f>
        <v/>
      </c>
    </row>
    <row r="1213">
      <c r="A1213" s="17">
        <f>A1212+1</f>
        <v/>
      </c>
      <c r="B1213" s="58" t="inlineStr">
        <is>
          <t xml:space="preserve">2026/4/9
</t>
        </is>
      </c>
      <c r="C1213" s="55" t="n">
        <v>15.35999966</v>
      </c>
      <c r="D1213" s="17">
        <f>SUM(C$3:C1213)/A1213</f>
        <v/>
      </c>
    </row>
    <row r="1214">
      <c r="A1214" s="17">
        <f>A1213+1</f>
        <v/>
      </c>
      <c r="B1214" s="58" t="inlineStr">
        <is>
          <t xml:space="preserve">2026/4/10
</t>
        </is>
      </c>
      <c r="C1214" s="55" t="n">
        <v>15.52000046</v>
      </c>
      <c r="D1214" s="17">
        <f>SUM(C$3:C1214)/A1214</f>
        <v/>
      </c>
    </row>
    <row r="1215">
      <c r="A1215" s="17">
        <f>A1214+1</f>
        <v/>
      </c>
      <c r="B1215" s="58" t="inlineStr">
        <is>
          <t xml:space="preserve">2026/4/13
</t>
        </is>
      </c>
      <c r="C1215" s="55" t="n">
        <v>15.53999996</v>
      </c>
      <c r="D1215" s="17">
        <f>SUM(C$3:C1215)/A1215</f>
        <v/>
      </c>
    </row>
    <row r="1216">
      <c r="A1216" s="17">
        <f>A1215+1</f>
        <v/>
      </c>
      <c r="B1216" s="58" t="inlineStr">
        <is>
          <t xml:space="preserve">2026/4/14
</t>
        </is>
      </c>
      <c r="C1216" s="55" t="n">
        <v>15.68999958</v>
      </c>
      <c r="D1216" s="17">
        <f>SUM(C$3:C1216)/A1216</f>
        <v/>
      </c>
    </row>
    <row r="1217">
      <c r="A1217" s="17">
        <f>A1216+1</f>
        <v/>
      </c>
      <c r="B1217" s="58" t="inlineStr">
        <is>
          <t xml:space="preserve">2026/4/15
</t>
        </is>
      </c>
      <c r="C1217" s="55" t="n">
        <v>15.68000031</v>
      </c>
      <c r="D1217" s="17">
        <f>SUM(C$3:C1217)/A1217</f>
        <v/>
      </c>
    </row>
    <row r="1218">
      <c r="A1218" s="17">
        <f>A1217+1</f>
        <v/>
      </c>
      <c r="B1218" s="58" t="inlineStr">
        <is>
          <t xml:space="preserve">2026/4/16
</t>
        </is>
      </c>
      <c r="C1218" s="55" t="n">
        <v>15.80000019</v>
      </c>
      <c r="D1218" s="17">
        <f>SUM(C$3:C1218)/A1218</f>
        <v/>
      </c>
    </row>
    <row r="1219">
      <c r="A1219" s="17">
        <f>A1218+1</f>
        <v/>
      </c>
      <c r="B1219" s="58" t="inlineStr">
        <is>
          <t xml:space="preserve">2026/4/17
</t>
        </is>
      </c>
      <c r="C1219" s="55" t="n">
        <v>15.72999954</v>
      </c>
      <c r="D1219" s="17">
        <f>SUM(C$3:C1219)/A1219</f>
        <v/>
      </c>
    </row>
    <row r="1220">
      <c r="A1220" s="17">
        <f>A1219+1</f>
        <v/>
      </c>
      <c r="B1220" s="58" t="inlineStr">
        <is>
          <t xml:space="preserve">2026/4/20
</t>
        </is>
      </c>
      <c r="C1220" s="55" t="n">
        <v>15.82999992</v>
      </c>
      <c r="D1220" s="17">
        <f>SUM(C$3:C1220)/A1220</f>
        <v/>
      </c>
    </row>
    <row r="1221">
      <c r="A1221" s="17">
        <f>A1220+1</f>
        <v/>
      </c>
      <c r="B1221" s="58" t="inlineStr">
        <is>
          <t xml:space="preserve">2026/4/21
</t>
        </is>
      </c>
      <c r="C1221" s="55" t="n">
        <v>15.89000034</v>
      </c>
      <c r="D1221" s="17">
        <f>SUM(C$3:C1221)/A1221</f>
        <v/>
      </c>
    </row>
    <row r="1222">
      <c r="A1222" s="17">
        <f>A1221+1</f>
        <v/>
      </c>
      <c r="B1222" s="58" t="inlineStr">
        <is>
          <t xml:space="preserve">2026/4/22
</t>
        </is>
      </c>
      <c r="C1222" s="55" t="n">
        <v>15.97000027</v>
      </c>
      <c r="D1222" s="17">
        <f>SUM(C$3:C1222)/A1222</f>
        <v/>
      </c>
    </row>
    <row r="1223">
      <c r="A1223" s="17">
        <f>A1222+1</f>
        <v/>
      </c>
      <c r="B1223" s="58" t="inlineStr">
        <is>
          <t xml:space="preserve">2026/4/23
</t>
        </is>
      </c>
      <c r="C1223" s="55" t="n">
        <v>15.93</v>
      </c>
      <c r="D1223" s="17">
        <f>SUM(C$3:C1223)/A1223</f>
        <v/>
      </c>
    </row>
    <row r="1224">
      <c r="A1224" s="17">
        <f>A1223+1</f>
        <v/>
      </c>
      <c r="B1224" s="58" t="inlineStr">
        <is>
          <t xml:space="preserve">2026/4/24
</t>
        </is>
      </c>
      <c r="C1224" s="55" t="n">
        <v>15.92000008</v>
      </c>
      <c r="D1224" s="17">
        <f>SUM(C$3:C1224)/A1224</f>
        <v/>
      </c>
    </row>
    <row r="1225">
      <c r="A1225" s="17">
        <f>A1224+1</f>
        <v/>
      </c>
      <c r="B1225" s="58" t="inlineStr">
        <is>
          <t xml:space="preserve">2026/4/27
</t>
        </is>
      </c>
      <c r="C1225" s="55" t="n">
        <v>15.89999962</v>
      </c>
      <c r="D1225" s="17">
        <f>SUM(C$3:C1225)/A1225</f>
        <v/>
      </c>
    </row>
    <row r="1226">
      <c r="A1226" s="17">
        <f>A1225+1</f>
        <v/>
      </c>
      <c r="B1226" s="58" t="inlineStr">
        <is>
          <t xml:space="preserve">2026/4/28
</t>
        </is>
      </c>
      <c r="C1226" s="55" t="n">
        <v>15.88000011</v>
      </c>
      <c r="D1226" s="17">
        <f>SUM(C$3:C1226)/A1226</f>
        <v/>
      </c>
    </row>
    <row r="1227">
      <c r="A1227" s="17">
        <f>A1226+1</f>
        <v/>
      </c>
      <c r="B1227" s="58" t="n">
        <v>46141</v>
      </c>
      <c r="C1227" s="55" t="n">
        <v>16.02000046</v>
      </c>
      <c r="D1227" s="17">
        <f>SUM(C$3:C1227)/A1227</f>
        <v/>
      </c>
    </row>
    <row r="1228">
      <c r="A1228" s="17">
        <f>A1227+1</f>
        <v/>
      </c>
      <c r="B1228" s="58" t="n">
        <v>46142</v>
      </c>
      <c r="C1228" s="55" t="n">
        <v>15.90999985</v>
      </c>
      <c r="D1228" s="17">
        <f>SUM(C$3:C1228)/A1228</f>
        <v/>
      </c>
    </row>
    <row r="1229">
      <c r="A1229" s="17">
        <f>A1228+1</f>
        <v/>
      </c>
      <c r="B1229" s="58" t="inlineStr">
        <is>
          <t xml:space="preserve">2026/5/6
</t>
        </is>
      </c>
      <c r="C1229" s="55" t="n">
        <v>16.20000076</v>
      </c>
      <c r="D1229" s="17">
        <f>SUM(C$3:C1229)/A1229</f>
        <v/>
      </c>
    </row>
    <row r="1230">
      <c r="A1230" s="17">
        <f>A1229+1</f>
        <v/>
      </c>
      <c r="B1230" s="58" t="inlineStr">
        <is>
          <t xml:space="preserve">2026/5/7
</t>
        </is>
      </c>
      <c r="C1230" s="55" t="n">
        <v>16.20999908</v>
      </c>
      <c r="D1230" s="17">
        <f>SUM(C$3:C1230)/A1230</f>
        <v/>
      </c>
    </row>
    <row r="1231">
      <c r="A1231" s="17">
        <f>A1230+1</f>
        <v/>
      </c>
      <c r="B1231" s="58" t="inlineStr">
        <is>
          <t xml:space="preserve">2026/5/8
</t>
        </is>
      </c>
      <c r="C1231" s="55" t="n">
        <v>16.14999962</v>
      </c>
      <c r="D1231" s="17">
        <f>SUM(C$3:C1231)/A1231</f>
        <v/>
      </c>
    </row>
    <row r="1232">
      <c r="A1232" s="17">
        <f>A1231+1</f>
        <v/>
      </c>
      <c r="B1232" s="58" t="inlineStr">
        <is>
          <t xml:space="preserve">2026/5/11
</t>
        </is>
      </c>
      <c r="C1232" s="55" t="n">
        <v>16.34000015</v>
      </c>
      <c r="D1232" s="17">
        <f>SUM(C$3:C1232)/A1232</f>
        <v/>
      </c>
    </row>
    <row r="1233">
      <c r="A1233" s="17">
        <f>A1232+1</f>
        <v/>
      </c>
      <c r="B1233" s="58" t="inlineStr">
        <is>
          <t xml:space="preserve">2026/5/12
</t>
        </is>
      </c>
      <c r="C1233" s="55" t="n">
        <v>16.27000046</v>
      </c>
      <c r="D1233" s="17">
        <f>SUM(C$3:C1233)/A1233</f>
        <v/>
      </c>
    </row>
    <row r="1234">
      <c r="A1234" s="17">
        <f>A1233+1</f>
        <v/>
      </c>
      <c r="B1234" s="58" t="inlineStr">
        <is>
          <t xml:space="preserve">2026/5/13
</t>
        </is>
      </c>
      <c r="C1234" s="55" t="n">
        <v>16.38999939</v>
      </c>
      <c r="D1234" s="17">
        <f>SUM(C$3:C1234)/A1234</f>
        <v/>
      </c>
    </row>
    <row r="1235">
      <c r="A1235" s="17">
        <f>A1234+1</f>
        <v/>
      </c>
      <c r="B1235" s="58" t="inlineStr">
        <is>
          <t xml:space="preserve">2026/5/14
</t>
        </is>
      </c>
      <c r="C1235" s="55" t="n">
        <v>16.17000008</v>
      </c>
      <c r="D1235" s="17">
        <f>SUM(C$3:C1235)/A1235</f>
        <v/>
      </c>
    </row>
    <row r="1236">
      <c r="A1236" s="17">
        <f>A1235+1</f>
        <v/>
      </c>
      <c r="B1236" s="58" t="inlineStr">
        <is>
          <t xml:space="preserve">2026/5/15
</t>
        </is>
      </c>
      <c r="C1236" s="55" t="n">
        <v>16</v>
      </c>
      <c r="D1236" s="17">
        <f>SUM(C$3:C1236)/A1236</f>
        <v/>
      </c>
    </row>
    <row r="1237">
      <c r="A1237" s="17">
        <f>A1236+1</f>
        <v/>
      </c>
      <c r="B1237" s="58" t="inlineStr">
        <is>
          <t xml:space="preserve">2026/5/18
</t>
        </is>
      </c>
      <c r="C1237" s="55" t="n">
        <v>15.96000004</v>
      </c>
      <c r="D1237" s="17">
        <f>SUM(C$3:C1237)/A1237</f>
        <v/>
      </c>
    </row>
    <row r="1238">
      <c r="A1238" s="17">
        <f>A1237+1</f>
        <v/>
      </c>
      <c r="B1238" s="58" t="inlineStr">
        <is>
          <t xml:space="preserve">2026/5/19
</t>
        </is>
      </c>
      <c r="C1238" s="55" t="n">
        <v>16.01000023</v>
      </c>
      <c r="D1238" s="17">
        <f>SUM(C$3:C1238)/A1238</f>
        <v/>
      </c>
    </row>
    <row r="1239">
      <c r="A1239" s="17">
        <f>A1238+1</f>
        <v/>
      </c>
      <c r="B1239" s="58" t="inlineStr">
        <is>
          <t xml:space="preserve">2026/5/20
</t>
        </is>
      </c>
      <c r="C1239" s="55" t="n">
        <v>16.01000023</v>
      </c>
      <c r="D1239" s="17">
        <f>SUM(C$3:C1239)/A1239</f>
        <v/>
      </c>
    </row>
    <row r="1240">
      <c r="A1240" s="17">
        <f>A1239+1</f>
        <v/>
      </c>
      <c r="B1240" s="58" t="inlineStr">
        <is>
          <t xml:space="preserve">2026/5/21
</t>
        </is>
      </c>
      <c r="C1240" s="55" t="n">
        <v>15.93999958</v>
      </c>
      <c r="D1240" s="17">
        <f>SUM(C$3:C1240)/A1240</f>
        <v/>
      </c>
    </row>
    <row r="1241">
      <c r="A1241" s="17">
        <f>A1240+1</f>
        <v/>
      </c>
      <c r="B1241" s="58" t="inlineStr">
        <is>
          <t xml:space="preserve">2026/5/22
</t>
        </is>
      </c>
      <c r="C1241" s="55" t="n">
        <v>15.84000015</v>
      </c>
      <c r="D1241" s="17">
        <f>SUM(C$3:C1241)/A1241</f>
        <v/>
      </c>
    </row>
    <row r="1242">
      <c r="A1242" s="17">
        <f>A1241+1</f>
        <v/>
      </c>
      <c r="B1242" s="58" t="inlineStr">
        <is>
          <t xml:space="preserve">2026/5/25
</t>
        </is>
      </c>
      <c r="C1242" s="55" t="n">
        <v>15.97000027</v>
      </c>
      <c r="D1242" s="17">
        <f>SUM(C$3:C1242)/A1242</f>
        <v/>
      </c>
    </row>
    <row r="1243">
      <c r="A1243" s="17">
        <f>A1242+1</f>
        <v/>
      </c>
      <c r="B1243" s="58" t="inlineStr">
        <is>
          <t xml:space="preserve">2026/5/26
</t>
        </is>
      </c>
      <c r="C1243" s="55" t="n">
        <v>16.01000023</v>
      </c>
      <c r="D1243" s="17">
        <f>SUM(C$3:C1243)/A1243</f>
        <v/>
      </c>
    </row>
    <row r="1244">
      <c r="A1244" s="17">
        <f>A1243+1</f>
        <v/>
      </c>
      <c r="B1244" s="58" t="inlineStr">
        <is>
          <t xml:space="preserve">2026/5/27
</t>
        </is>
      </c>
      <c r="C1244" s="55" t="n">
        <v>15.92000008</v>
      </c>
      <c r="D1244" s="17">
        <f>SUM(C$3:C1244)/A1244</f>
        <v/>
      </c>
    </row>
    <row r="1245">
      <c r="A1245" s="17">
        <f>A1244+1</f>
        <v/>
      </c>
      <c r="B1245" s="58" t="n">
        <v>46170</v>
      </c>
      <c r="C1245" s="55" t="n">
        <v>15.92000008</v>
      </c>
      <c r="D1245" s="17">
        <f>SUM(C$3:C1245)/A1245</f>
        <v/>
      </c>
    </row>
    <row r="1246">
      <c r="A1246" s="17">
        <f>A1245+1</f>
        <v/>
      </c>
      <c r="B1246" s="58" t="n">
        <v>46171</v>
      </c>
      <c r="C1246" s="55" t="n">
        <v>15.93999958</v>
      </c>
      <c r="D1246" s="17">
        <f>SUM(C$3:C1246)/A1246</f>
        <v/>
      </c>
    </row>
    <row r="1247">
      <c r="A1247" s="17">
        <f>A1246+1</f>
        <v/>
      </c>
      <c r="B1247" s="58" t="inlineStr">
        <is>
          <t xml:space="preserve">2026/6/1
</t>
        </is>
      </c>
      <c r="C1247" s="55" t="n">
        <v>15.89000034</v>
      </c>
      <c r="D1247" s="17">
        <f>SUM(C$3:C1247)/A1247</f>
        <v/>
      </c>
    </row>
    <row r="1248">
      <c r="A1248" s="17">
        <f>A1247+1</f>
        <v/>
      </c>
      <c r="B1248" s="58" t="inlineStr">
        <is>
          <t xml:space="preserve">2026/6/2
</t>
        </is>
      </c>
      <c r="C1248" s="55" t="n">
        <v>16.05999947</v>
      </c>
      <c r="D1248" s="17">
        <f>SUM(C$3:C1248)/A1248</f>
        <v/>
      </c>
    </row>
    <row r="1249">
      <c r="A1249" s="17">
        <f>A1248+1</f>
        <v/>
      </c>
      <c r="B1249" s="58" t="inlineStr">
        <is>
          <t xml:space="preserve">2026/6/3
</t>
        </is>
      </c>
      <c r="C1249" s="55" t="n">
        <v>16.07999992</v>
      </c>
      <c r="D1249" s="17">
        <f>SUM(C$3:C1249)/A1249</f>
        <v/>
      </c>
    </row>
    <row r="1250">
      <c r="A1250" s="17">
        <f>A1249+1</f>
        <v/>
      </c>
      <c r="B1250" s="58" t="inlineStr">
        <is>
          <t xml:space="preserve">2026/6/4
</t>
        </is>
      </c>
      <c r="C1250" s="55" t="n">
        <v>15.90999985</v>
      </c>
      <c r="D1250" s="17">
        <f>SUM(C$3:C1250)/A1250</f>
        <v/>
      </c>
    </row>
    <row r="1251">
      <c r="A1251" s="17">
        <f>A1250+1</f>
        <v/>
      </c>
      <c r="B1251" s="58" t="inlineStr">
        <is>
          <t xml:space="preserve">2026/6/5
</t>
        </is>
      </c>
      <c r="C1251" s="55" t="n">
        <v>15.71000004</v>
      </c>
      <c r="D1251" s="17">
        <f>SUM(C$3:C1251)/A1251</f>
        <v/>
      </c>
    </row>
    <row r="1252">
      <c r="A1252" s="17">
        <f>A1251+1</f>
        <v/>
      </c>
      <c r="B1252" s="58" t="inlineStr">
        <is>
          <t xml:space="preserve">2026/6/8
</t>
        </is>
      </c>
      <c r="C1252" s="55" t="n">
        <v>15.47999954</v>
      </c>
      <c r="D1252" s="17">
        <f>SUM(C$3:C1252)/A1252</f>
        <v/>
      </c>
    </row>
    <row r="1253">
      <c r="A1253" s="17">
        <f>A1252+1</f>
        <v/>
      </c>
      <c r="B1253" s="58" t="inlineStr">
        <is>
          <t xml:space="preserve">2026/6/9
</t>
        </is>
      </c>
      <c r="C1253" s="55" t="n">
        <v>15.65999985</v>
      </c>
      <c r="D1253" s="17">
        <f>SUM(C$3:C1253)/A1253</f>
        <v/>
      </c>
    </row>
    <row r="1254">
      <c r="A1254" s="17">
        <f>A1253+1</f>
        <v/>
      </c>
      <c r="B1254" s="58" t="inlineStr">
        <is>
          <t xml:space="preserve">2026/6/10
</t>
        </is>
      </c>
      <c r="C1254" s="55" t="n">
        <v>15.48999977</v>
      </c>
      <c r="D1254" s="17">
        <f>SUM(C$3:C1254)/A1254</f>
        <v/>
      </c>
    </row>
    <row r="1255">
      <c r="A1255" s="17">
        <f>A1254+1</f>
        <v/>
      </c>
      <c r="B1255" s="58" t="inlineStr">
        <is>
          <t xml:space="preserve">2026/6/11
</t>
        </is>
      </c>
      <c r="C1255" s="55" t="n">
        <v>15.43000031</v>
      </c>
      <c r="D1255" s="17">
        <f>SUM(C$3:C1255)/A1255</f>
        <v/>
      </c>
    </row>
    <row r="1256">
      <c r="A1256" s="17">
        <f>A1255+1</f>
        <v/>
      </c>
      <c r="B1256" s="58" t="inlineStr">
        <is>
          <t xml:space="preserve">2026/6/12
</t>
        </is>
      </c>
      <c r="C1256" s="55" t="n">
        <v>15.63000011</v>
      </c>
      <c r="D1256" s="17">
        <f>SUM(C$3:C1256)/A1256</f>
        <v/>
      </c>
    </row>
    <row r="1257">
      <c r="A1257" s="17">
        <f>A1256+1</f>
        <v/>
      </c>
      <c r="B1257" s="58" t="inlineStr">
        <is>
          <t xml:space="preserve">2026/6/15
</t>
        </is>
      </c>
      <c r="C1257" s="55" t="n">
        <v>16.48999977</v>
      </c>
      <c r="D1257" s="17">
        <f>SUM(C$3:C1257)/A1257</f>
        <v/>
      </c>
    </row>
    <row r="1258">
      <c r="A1258" s="17">
        <f>A1257+1</f>
        <v/>
      </c>
      <c r="B1258" s="58" t="inlineStr">
        <is>
          <t xml:space="preserve">2026/6/16
</t>
        </is>
      </c>
      <c r="C1258" s="55" t="n">
        <v>16.45000076</v>
      </c>
      <c r="D1258" s="17">
        <f>SUM(C$3:C1258)/A1258</f>
        <v/>
      </c>
    </row>
    <row r="1259">
      <c r="A1259" s="17">
        <f>A1258+1</f>
        <v/>
      </c>
      <c r="B1259" s="58" t="inlineStr">
        <is>
          <t xml:space="preserve">2026/6/17
</t>
        </is>
      </c>
      <c r="C1259" s="55" t="n">
        <v>16.48999977</v>
      </c>
      <c r="D1259" s="17">
        <f>SUM(C$3:C1259)/A1259</f>
        <v/>
      </c>
    </row>
    <row r="1260">
      <c r="A1260" s="17">
        <f>A1259+1</f>
        <v/>
      </c>
      <c r="B1260" s="58" t="inlineStr">
        <is>
          <t xml:space="preserve">2026/6/18
</t>
        </is>
      </c>
      <c r="C1260" s="55" t="n">
        <v>16.48999977</v>
      </c>
      <c r="D1260" s="17">
        <f>SUM(C$3:C1260)/A1260</f>
        <v/>
      </c>
    </row>
    <row r="1261">
      <c r="A1261" s="17">
        <f>A1260+1</f>
        <v/>
      </c>
      <c r="B1261" s="58" t="inlineStr">
        <is>
          <t xml:space="preserve">2026/6/22
</t>
        </is>
      </c>
      <c r="C1261" s="55" t="n">
        <v>16.80999947</v>
      </c>
      <c r="D1261" s="17">
        <f>SUM(C$3:C1261)/A1261</f>
        <v/>
      </c>
    </row>
    <row r="1262">
      <c r="A1262" s="17">
        <f>A1261+1</f>
        <v/>
      </c>
      <c r="B1262" s="58" t="inlineStr">
        <is>
          <t xml:space="preserve">2026/6/23
</t>
        </is>
      </c>
      <c r="C1262" s="55" t="n">
        <v>16.38999939</v>
      </c>
      <c r="D1262" s="17">
        <f>SUM(C$3:C1262)/A1262</f>
        <v/>
      </c>
    </row>
    <row r="1263">
      <c r="A1263" s="17">
        <f>A1262+1</f>
        <v/>
      </c>
      <c r="B1263" s="58" t="inlineStr">
        <is>
          <t xml:space="preserve">2026/6/24
</t>
        </is>
      </c>
      <c r="C1263" s="55" t="n">
        <v>16.42000008</v>
      </c>
      <c r="D1263" s="17">
        <f>SUM(C$3:C1263)/A1263</f>
        <v/>
      </c>
    </row>
    <row r="1264">
      <c r="A1264" s="17">
        <f>A1263+1</f>
        <v/>
      </c>
      <c r="B1264" s="58" t="inlineStr">
        <is>
          <t xml:space="preserve">2026/6/25
</t>
        </is>
      </c>
      <c r="C1264" s="55" t="n">
        <v>16.53000069</v>
      </c>
      <c r="D1264" s="17">
        <f>SUM(C$3:C1264)/A1264</f>
        <v/>
      </c>
    </row>
    <row r="1265">
      <c r="A1265" s="17">
        <f>A1264+1</f>
        <v/>
      </c>
      <c r="B1265" s="58" t="inlineStr">
        <is>
          <t xml:space="preserve">2026/6/26
</t>
        </is>
      </c>
      <c r="C1265" s="55" t="n">
        <v>16.01000023</v>
      </c>
      <c r="D1265" s="17">
        <f>SUM(C$3:C1265)/A1265</f>
        <v/>
      </c>
    </row>
    <row r="1266">
      <c r="A1266" s="17">
        <f>A1265+1</f>
        <v/>
      </c>
      <c r="B1266" s="58" t="n">
        <v>46202</v>
      </c>
      <c r="C1266" s="55" t="n">
        <v>16.12000084</v>
      </c>
      <c r="D1266" s="17">
        <f>SUM(C$3:C1266)/A1266</f>
        <v/>
      </c>
    </row>
    <row r="1267">
      <c r="A1267" s="17">
        <f>A1266+1</f>
        <v/>
      </c>
      <c r="B1267" s="58" t="n">
        <v>46203</v>
      </c>
      <c r="C1267" s="55" t="n">
        <v>16.19000053</v>
      </c>
      <c r="D1267" s="17">
        <f>SUM(C$3:C1267)/A1267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2026-08-02T04:00:23Z</dcterms:modified>
  <cp:lastModifiedBy>Administrator</cp:lastModifiedBy>
</cp:coreProperties>
</file>