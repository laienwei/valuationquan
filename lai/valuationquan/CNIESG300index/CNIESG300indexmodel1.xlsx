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6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186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  <pt idx="184">
                  <v>370000</v>
                </pt>
                <pt idx="185">
                  <v>372000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6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186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  <pt idx="184">
                  <v>612657.5554957245</v>
                </pt>
                <pt idx="185">
                  <v>615439.812291938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6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186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  <pt idx="184">
                  <v>242657.5554957245</v>
                </pt>
                <pt idx="185">
                  <v>243439.812291938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80350208"/>
        <axId val="480351744"/>
      </lineChart>
      <dateAx>
        <axId val="480350208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80351744"/>
        <crosses val="autoZero"/>
        <lblOffset val="100"/>
        <baseTimeUnit val="days"/>
      </dateAx>
      <valAx>
        <axId val="48035174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80350208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8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date</t>
        </is>
      </c>
      <c r="B1" s="33" t="inlineStr">
        <is>
          <t>CNI ESG300</t>
        </is>
      </c>
      <c r="C1" s="41" t="inlineStr">
        <is>
          <t>sales amount</t>
        </is>
      </c>
      <c r="D1" s="41" t="inlineStr">
        <is>
          <t>sales shares</t>
        </is>
      </c>
      <c r="E1" s="41" t="inlineStr">
        <is>
          <t>shares held</t>
        </is>
      </c>
      <c r="F1" s="41" t="inlineStr">
        <is>
          <t>market value</t>
        </is>
      </c>
      <c r="G1" s="42" t="inlineStr">
        <is>
          <t>accumulated investment</t>
        </is>
      </c>
      <c r="H1" s="11" t="inlineStr">
        <is>
          <t>total assets</t>
        </is>
      </c>
      <c r="I1" s="33" t="inlineStr">
        <is>
          <t>profit amount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unit：yuan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date</t>
        </is>
      </c>
      <c r="M3" s="36" t="inlineStr">
        <is>
          <t>investment per year</t>
        </is>
      </c>
      <c r="N3" s="36" t="inlineStr">
        <is>
          <t>accumulated investment</t>
        </is>
      </c>
      <c r="O3" s="36" t="inlineStr">
        <is>
          <t>total assets</t>
        </is>
      </c>
      <c r="P3" s="36" t="inlineStr">
        <is>
          <t>profit amount</t>
        </is>
      </c>
      <c r="Q3" s="36" t="inlineStr">
        <is>
          <t>absolute RR</t>
        </is>
      </c>
      <c r="R3" s="36" t="inlineStr">
        <is>
          <t>annualized RR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  <row r="187" ht="12.75" customHeight="1" s="43">
      <c r="A187" s="51" t="n">
        <v>46052</v>
      </c>
      <c r="B187" s="14" t="n">
        <v>2.9878330078125</v>
      </c>
      <c r="C187" s="52" t="n">
        <v>2000</v>
      </c>
      <c r="D187" s="53" t="n">
        <v>669.3814529695794</v>
      </c>
      <c r="E187" s="53" t="n">
        <v>205050.8023352594</v>
      </c>
      <c r="F187" s="53" t="n">
        <v>612657.5554957245</v>
      </c>
      <c r="G187" s="53" t="n">
        <v>370000</v>
      </c>
      <c r="H187" s="53" t="n">
        <v>612657.5554957245</v>
      </c>
      <c r="I187" s="53" t="n">
        <v>242657.5554957245</v>
      </c>
      <c r="J187" s="31">
        <f>VLOOKUP(A187,myPEPB!B:C,2)</f>
        <v/>
      </c>
    </row>
    <row r="188" ht="12.75" customHeight="1" s="43">
      <c r="A188" s="51" t="n">
        <v>46080</v>
      </c>
      <c r="B188" s="14" t="n">
        <v>2.99164794921875</v>
      </c>
      <c r="C188" s="52" t="n">
        <v>2000</v>
      </c>
      <c r="D188" s="53" t="n">
        <v>668.5278595438635</v>
      </c>
      <c r="E188" s="53" t="n">
        <v>205719.3301948032</v>
      </c>
      <c r="F188" s="53" t="n">
        <v>615439.812291938</v>
      </c>
      <c r="G188" s="53" t="n">
        <v>372000</v>
      </c>
      <c r="H188" s="53" t="n">
        <v>615439.812291938</v>
      </c>
      <c r="I188" s="53" t="n">
        <v>243439.812291938</v>
      </c>
      <c r="J188" s="31">
        <f>VLOOKUP(A188,myPEPB!B:C,2)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85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  <row r="1152">
      <c r="A1152" s="17">
        <f>A1151+1</f>
        <v/>
      </c>
      <c r="B1152" s="58" t="inlineStr">
        <is>
          <t xml:space="preserve">2026/1/5
</t>
        </is>
      </c>
      <c r="C1152" s="55" t="n">
        <v>15.72999954223633</v>
      </c>
      <c r="D1152" s="17">
        <f>SUM(C$3:C1152)/A1152</f>
        <v/>
      </c>
    </row>
    <row r="1153">
      <c r="A1153" s="17">
        <f>A1152+1</f>
        <v/>
      </c>
      <c r="B1153" s="58" t="inlineStr">
        <is>
          <t xml:space="preserve">2026/1/6
</t>
        </is>
      </c>
      <c r="C1153" s="55" t="n">
        <v>15.94999980926514</v>
      </c>
      <c r="D1153" s="17">
        <f>SUM(C$3:C1153)/A1153</f>
        <v/>
      </c>
    </row>
    <row r="1154">
      <c r="A1154" s="17">
        <f>A1153+1</f>
        <v/>
      </c>
      <c r="B1154" s="58" t="inlineStr">
        <is>
          <t xml:space="preserve">2026/1/7
</t>
        </is>
      </c>
      <c r="C1154" s="55" t="n">
        <v>15.88000011444092</v>
      </c>
      <c r="D1154" s="17">
        <f>SUM(C$3:C1154)/A1154</f>
        <v/>
      </c>
    </row>
    <row r="1155">
      <c r="A1155" s="17">
        <f>A1154+1</f>
        <v/>
      </c>
      <c r="B1155" s="58" t="inlineStr">
        <is>
          <t xml:space="preserve">2026/1/8
</t>
        </is>
      </c>
      <c r="C1155" s="55" t="n">
        <v>15.76000022888184</v>
      </c>
      <c r="D1155" s="17">
        <f>SUM(C$3:C1155)/A1155</f>
        <v/>
      </c>
    </row>
    <row r="1156">
      <c r="A1156" s="17">
        <f>A1155+1</f>
        <v/>
      </c>
      <c r="B1156" s="58" t="inlineStr">
        <is>
          <t xml:space="preserve">2026/1/9
</t>
        </is>
      </c>
      <c r="C1156" s="55" t="n">
        <v>15.85000038146973</v>
      </c>
      <c r="D1156" s="17">
        <f>SUM(C$3:C1156)/A1156</f>
        <v/>
      </c>
    </row>
    <row r="1157">
      <c r="A1157" s="17">
        <f>A1156+1</f>
        <v/>
      </c>
      <c r="B1157" s="58" t="inlineStr">
        <is>
          <t xml:space="preserve">2026/1/12
</t>
        </is>
      </c>
      <c r="C1157" s="55" t="n">
        <v>15.92000007629395</v>
      </c>
      <c r="D1157" s="17">
        <f>SUM(C$3:C1157)/A1157</f>
        <v/>
      </c>
    </row>
    <row r="1158">
      <c r="A1158" s="17">
        <f>A1157+1</f>
        <v/>
      </c>
      <c r="B1158" s="58" t="inlineStr">
        <is>
          <t xml:space="preserve">2026/1/13
</t>
        </is>
      </c>
      <c r="C1158" s="55" t="n">
        <v>15.86999988555908</v>
      </c>
      <c r="D1158" s="17">
        <f>SUM(C$3:C1158)/A1158</f>
        <v/>
      </c>
    </row>
    <row r="1159">
      <c r="A1159" s="17">
        <f>A1158+1</f>
        <v/>
      </c>
      <c r="B1159" s="58" t="inlineStr">
        <is>
          <t xml:space="preserve">2026/1/14
</t>
        </is>
      </c>
      <c r="C1159" s="55" t="n">
        <v>15.77000045776367</v>
      </c>
      <c r="D1159" s="17">
        <f>SUM(C$3:C1159)/A1159</f>
        <v/>
      </c>
    </row>
    <row r="1160">
      <c r="A1160" s="17">
        <f>A1159+1</f>
        <v/>
      </c>
      <c r="B1160" s="58" t="inlineStr">
        <is>
          <t xml:space="preserve">2026/1/15
</t>
        </is>
      </c>
      <c r="C1160" s="55" t="n">
        <v>15.77999973297119</v>
      </c>
      <c r="D1160" s="17">
        <f>SUM(C$3:C1160)/A1160</f>
        <v/>
      </c>
    </row>
    <row r="1161">
      <c r="A1161" s="17">
        <f>A1160+1</f>
        <v/>
      </c>
      <c r="B1161" s="58" t="inlineStr">
        <is>
          <t xml:space="preserve">2026/1/16
</t>
        </is>
      </c>
      <c r="C1161" s="55" t="n">
        <v>15.69999980926514</v>
      </c>
      <c r="D1161" s="17">
        <f>SUM(C$3:C1161)/A1161</f>
        <v/>
      </c>
    </row>
    <row r="1162">
      <c r="A1162" s="17">
        <f>A1161+1</f>
        <v/>
      </c>
      <c r="B1162" s="58" t="inlineStr">
        <is>
          <t xml:space="preserve">2026/1/19
</t>
        </is>
      </c>
      <c r="C1162" s="55" t="n">
        <v>15.71000003814697</v>
      </c>
      <c r="D1162" s="17">
        <f>SUM(C$3:C1162)/A1162</f>
        <v/>
      </c>
    </row>
    <row r="1163">
      <c r="A1163" s="17">
        <f>A1162+1</f>
        <v/>
      </c>
      <c r="B1163" s="58" t="inlineStr">
        <is>
          <t xml:space="preserve">2026/1/20
</t>
        </is>
      </c>
      <c r="C1163" s="55" t="n">
        <v>15.71000003814697</v>
      </c>
      <c r="D1163" s="17">
        <f>SUM(C$3:C1163)/A1163</f>
        <v/>
      </c>
    </row>
    <row r="1164">
      <c r="A1164" s="17">
        <f>A1163+1</f>
        <v/>
      </c>
      <c r="B1164" s="58" t="inlineStr">
        <is>
          <t xml:space="preserve">2026/1/21
</t>
        </is>
      </c>
      <c r="C1164" s="55" t="n">
        <v>15.65999984741211</v>
      </c>
      <c r="D1164" s="17">
        <f>SUM(C$3:C1164)/A1164</f>
        <v/>
      </c>
    </row>
    <row r="1165">
      <c r="A1165" s="17">
        <f>A1164+1</f>
        <v/>
      </c>
      <c r="B1165" s="58" t="inlineStr">
        <is>
          <t xml:space="preserve">2026/1/22
</t>
        </is>
      </c>
      <c r="C1165" s="55" t="n">
        <v>15.65999984741211</v>
      </c>
      <c r="D1165" s="17">
        <f>SUM(C$3:C1165)/A1165</f>
        <v/>
      </c>
    </row>
    <row r="1166">
      <c r="A1166" s="17">
        <f>A1165+1</f>
        <v/>
      </c>
      <c r="B1166" s="58" t="inlineStr">
        <is>
          <t xml:space="preserve">2026/1/23
</t>
        </is>
      </c>
      <c r="C1166" s="55" t="n">
        <v>15.60000038146973</v>
      </c>
      <c r="D1166" s="17">
        <f>SUM(C$3:C1166)/A1166</f>
        <v/>
      </c>
    </row>
    <row r="1167">
      <c r="A1167" s="17">
        <f>A1166+1</f>
        <v/>
      </c>
      <c r="B1167" s="58" t="inlineStr">
        <is>
          <t xml:space="preserve">2026/1/26
</t>
        </is>
      </c>
      <c r="C1167" s="55" t="n">
        <v>15.67000007629395</v>
      </c>
      <c r="D1167" s="17">
        <f>SUM(C$3:C1167)/A1167</f>
        <v/>
      </c>
    </row>
    <row r="1168">
      <c r="A1168" s="17">
        <f>A1167+1</f>
        <v/>
      </c>
      <c r="B1168" s="58" t="inlineStr">
        <is>
          <t xml:space="preserve">2026/1/27
</t>
        </is>
      </c>
      <c r="C1168" s="55" t="n">
        <v>15.68000030517578</v>
      </c>
      <c r="D1168" s="17">
        <f>SUM(C$3:C1168)/A1168</f>
        <v/>
      </c>
    </row>
    <row r="1169">
      <c r="A1169" s="17">
        <f>A1168+1</f>
        <v/>
      </c>
      <c r="B1169" s="58" t="inlineStr">
        <is>
          <t xml:space="preserve">2026/1/28
</t>
        </is>
      </c>
      <c r="C1169" s="55" t="n">
        <v>15.72000026702881</v>
      </c>
      <c r="D1169" s="17">
        <f>SUM(C$3:C1169)/A1169</f>
        <v/>
      </c>
    </row>
    <row r="1170">
      <c r="A1170" s="17">
        <f>A1169+1</f>
        <v/>
      </c>
      <c r="B1170" s="58" t="n">
        <v>46051</v>
      </c>
      <c r="C1170" s="55" t="n">
        <v>15.82999992370605</v>
      </c>
      <c r="D1170" s="17">
        <f>SUM(C$3:C1170)/A1170</f>
        <v/>
      </c>
    </row>
    <row r="1171">
      <c r="A1171" s="17">
        <f>A1170+1</f>
        <v/>
      </c>
      <c r="B1171" s="58" t="n">
        <v>46052</v>
      </c>
      <c r="C1171" s="55" t="n">
        <v>15.68999958</v>
      </c>
      <c r="D1171" s="17">
        <f>SUM(C$3:C1171)/A1171</f>
        <v/>
      </c>
    </row>
    <row r="1172">
      <c r="A1172" s="17">
        <f>A1171+1</f>
        <v/>
      </c>
      <c r="B1172" s="58" t="inlineStr">
        <is>
          <t xml:space="preserve">2026/2/2
</t>
        </is>
      </c>
      <c r="C1172" s="55" t="n">
        <v>15.35999966</v>
      </c>
      <c r="D1172" s="17">
        <f>SUM(C$3:C1172)/A1172</f>
        <v/>
      </c>
    </row>
    <row r="1173">
      <c r="A1173" s="17">
        <f>A1172+1</f>
        <v/>
      </c>
      <c r="B1173" s="58" t="inlineStr">
        <is>
          <t xml:space="preserve">2026/2/3
</t>
        </is>
      </c>
      <c r="C1173" s="55" t="n">
        <v>15.52000046</v>
      </c>
      <c r="D1173" s="17">
        <f>SUM(C$3:C1173)/A1173</f>
        <v/>
      </c>
    </row>
    <row r="1174">
      <c r="A1174" s="17">
        <f>A1173+1</f>
        <v/>
      </c>
      <c r="B1174" s="58" t="inlineStr">
        <is>
          <t xml:space="preserve">2026/2/4
</t>
        </is>
      </c>
      <c r="C1174" s="55" t="n">
        <v>15.68999958</v>
      </c>
      <c r="D1174" s="17">
        <f>SUM(C$3:C1174)/A1174</f>
        <v/>
      </c>
    </row>
    <row r="1175">
      <c r="A1175" s="17">
        <f>A1174+1</f>
        <v/>
      </c>
      <c r="B1175" s="58" t="inlineStr">
        <is>
          <t xml:space="preserve">2026/2/5
</t>
        </is>
      </c>
      <c r="C1175" s="55" t="n">
        <v>15.60000038</v>
      </c>
      <c r="D1175" s="17">
        <f>SUM(C$3:C1175)/A1175</f>
        <v/>
      </c>
    </row>
    <row r="1176">
      <c r="A1176" s="17">
        <f>A1175+1</f>
        <v/>
      </c>
      <c r="B1176" s="58" t="inlineStr">
        <is>
          <t xml:space="preserve">2026/2/6
</t>
        </is>
      </c>
      <c r="C1176" s="55" t="n">
        <v>15.56999969</v>
      </c>
      <c r="D1176" s="17">
        <f>SUM(C$3:C1176)/A1176</f>
        <v/>
      </c>
    </row>
    <row r="1177">
      <c r="A1177" s="17">
        <f>A1176+1</f>
        <v/>
      </c>
      <c r="B1177" s="58" t="inlineStr">
        <is>
          <t xml:space="preserve">2026/2/9
</t>
        </is>
      </c>
      <c r="C1177" s="55" t="n">
        <v>15.76000023</v>
      </c>
      <c r="D1177" s="17">
        <f>SUM(C$3:C1177)/A1177</f>
        <v/>
      </c>
    </row>
    <row r="1178">
      <c r="A1178" s="17">
        <f>A1177+1</f>
        <v/>
      </c>
      <c r="B1178" s="58" t="inlineStr">
        <is>
          <t xml:space="preserve">2026/2/10
</t>
        </is>
      </c>
      <c r="C1178" s="55" t="n">
        <v>15.76000023</v>
      </c>
      <c r="D1178" s="17">
        <f>SUM(C$3:C1178)/A1178</f>
        <v/>
      </c>
    </row>
    <row r="1179">
      <c r="A1179" s="17">
        <f>A1178+1</f>
        <v/>
      </c>
      <c r="B1179" s="58" t="inlineStr">
        <is>
          <t xml:space="preserve">2026/2/11
</t>
        </is>
      </c>
      <c r="C1179" s="55" t="n">
        <v>15.77000046</v>
      </c>
      <c r="D1179" s="17">
        <f>SUM(C$3:C1179)/A1179</f>
        <v/>
      </c>
    </row>
    <row r="1180">
      <c r="A1180" s="17">
        <f>A1179+1</f>
        <v/>
      </c>
      <c r="B1180" s="58" t="inlineStr">
        <is>
          <t xml:space="preserve">2026/2/12
</t>
        </is>
      </c>
      <c r="C1180" s="55" t="n">
        <v>15.77000046</v>
      </c>
      <c r="D1180" s="17">
        <f>SUM(C$3:C1180)/A1180</f>
        <v/>
      </c>
    </row>
    <row r="1181">
      <c r="A1181" s="17">
        <f>A1180+1</f>
        <v/>
      </c>
      <c r="B1181" s="58" t="inlineStr">
        <is>
          <t xml:space="preserve">2026/2/13
</t>
        </is>
      </c>
      <c r="C1181" s="55" t="n">
        <v>15.51000023</v>
      </c>
      <c r="D1181" s="17">
        <f>SUM(C$3:C1181)/A1181</f>
        <v/>
      </c>
    </row>
    <row r="1182">
      <c r="A1182" s="17">
        <f>A1181+1</f>
        <v/>
      </c>
      <c r="B1182" s="58" t="inlineStr">
        <is>
          <t xml:space="preserve">2026/2/24
</t>
        </is>
      </c>
      <c r="C1182" s="55" t="n">
        <v>15.67000008</v>
      </c>
      <c r="D1182" s="17">
        <f>SUM(C$3:C1182)/A1182</f>
        <v/>
      </c>
    </row>
    <row r="1183">
      <c r="A1183" s="17">
        <f>A1182+1</f>
        <v/>
      </c>
      <c r="B1183" s="58" t="inlineStr">
        <is>
          <t xml:space="preserve">2026/2/25
</t>
        </is>
      </c>
      <c r="C1183" s="55" t="n">
        <v>15.73999977</v>
      </c>
      <c r="D1183" s="17">
        <f>SUM(C$3:C1183)/A1183</f>
        <v/>
      </c>
    </row>
    <row r="1184">
      <c r="A1184" s="17">
        <f>A1183+1</f>
        <v/>
      </c>
      <c r="B1184" s="58" t="n">
        <v>46079</v>
      </c>
      <c r="C1184" s="55" t="n">
        <v>15.67000008</v>
      </c>
      <c r="D1184" s="17">
        <f>SUM(C$3:C1184)/A1184</f>
        <v/>
      </c>
    </row>
    <row r="1185">
      <c r="A1185" s="17">
        <f>A1184+1</f>
        <v/>
      </c>
      <c r="B1185" s="58" t="n">
        <v>46080</v>
      </c>
      <c r="C1185" s="55" t="n">
        <v>15.64000034</v>
      </c>
      <c r="D1185" s="17">
        <f>SUM(C$3:C1185)/A1185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2026-04-01T10:10:11Z</dcterms:modified>
  <cp:lastModifiedBy>Administrator</cp:lastModifiedBy>
</cp:coreProperties>
</file>