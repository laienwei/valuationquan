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7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187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  <pt idx="185">
                  <v>372000</v>
                </pt>
                <pt idx="186">
                  <v>374000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7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187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  <pt idx="185">
                  <v>615439.812291938</v>
                </pt>
                <pt idx="186">
                  <v>583459.3082909887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7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187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  <pt idx="185">
                  <v>243439.812291938</v>
                </pt>
                <pt idx="186">
                  <v>209459.3082909887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37157888"/>
        <axId val="465683584"/>
      </lineChart>
      <dateAx>
        <axId val="437157888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683584"/>
        <crosses val="autoZero"/>
        <lblOffset val="100"/>
        <baseTimeUnit val="days"/>
      </dateAx>
      <valAx>
        <axId val="4656835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37157888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8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date</t>
        </is>
      </c>
      <c r="B1" s="33" t="inlineStr">
        <is>
          <t>CNI ESG300</t>
        </is>
      </c>
      <c r="C1" s="41" t="inlineStr">
        <is>
          <t>sales amount</t>
        </is>
      </c>
      <c r="D1" s="41" t="inlineStr">
        <is>
          <t>sales shares</t>
        </is>
      </c>
      <c r="E1" s="41" t="inlineStr">
        <is>
          <t>shares held</t>
        </is>
      </c>
      <c r="F1" s="41" t="inlineStr">
        <is>
          <t>market value</t>
        </is>
      </c>
      <c r="G1" s="42" t="inlineStr">
        <is>
          <t>accumulated investment</t>
        </is>
      </c>
      <c r="H1" s="11" t="inlineStr">
        <is>
          <t>total assets</t>
        </is>
      </c>
      <c r="I1" s="33" t="inlineStr">
        <is>
          <t>profit amount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unit：yuan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date</t>
        </is>
      </c>
      <c r="M3" s="36" t="inlineStr">
        <is>
          <t>investment per year</t>
        </is>
      </c>
      <c r="N3" s="36" t="inlineStr">
        <is>
          <t>accumulated investment</t>
        </is>
      </c>
      <c r="O3" s="36" t="inlineStr">
        <is>
          <t>total assets</t>
        </is>
      </c>
      <c r="P3" s="36" t="inlineStr">
        <is>
          <t>profit amount</t>
        </is>
      </c>
      <c r="Q3" s="36" t="inlineStr">
        <is>
          <t>absolute RR</t>
        </is>
      </c>
      <c r="R3" s="36" t="inlineStr">
        <is>
          <t>annualized RR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  <row r="188" ht="12.75" customHeight="1" s="43">
      <c r="A188" s="51" t="n">
        <v>46080</v>
      </c>
      <c r="B188" s="14" t="n">
        <v>2.99164794921875</v>
      </c>
      <c r="C188" s="52" t="n">
        <v>2000</v>
      </c>
      <c r="D188" s="53" t="n">
        <v>668.5278595438635</v>
      </c>
      <c r="E188" s="53" t="n">
        <v>205719.3301948032</v>
      </c>
      <c r="F188" s="53" t="n">
        <v>615439.812291938</v>
      </c>
      <c r="G188" s="53" t="n">
        <v>372000</v>
      </c>
      <c r="H188" s="53" t="n">
        <v>615439.812291938</v>
      </c>
      <c r="I188" s="53" t="n">
        <v>243439.812291938</v>
      </c>
      <c r="J188" s="31">
        <f>VLOOKUP(A188,myPEPB!B:C,2)</f>
        <v/>
      </c>
    </row>
    <row r="189" ht="12.75" customHeight="1" s="43">
      <c r="A189" s="51" t="n">
        <v>46112</v>
      </c>
      <c r="B189" s="14" t="n">
        <v>2.826468994140625</v>
      </c>
      <c r="C189" s="52" t="n">
        <v>2000</v>
      </c>
      <c r="D189" s="53" t="n">
        <v>707.5966529779997</v>
      </c>
      <c r="E189" s="53" t="n">
        <v>206426.9268477813</v>
      </c>
      <c r="F189" s="53" t="n">
        <v>583459.3082909887</v>
      </c>
      <c r="G189" s="53" t="n">
        <v>374000</v>
      </c>
      <c r="H189" s="53" t="n">
        <v>583459.3082909887</v>
      </c>
      <c r="I189" s="53" t="n">
        <v>209459.3082909887</v>
      </c>
      <c r="J189" s="31">
        <f>VLOOKUP(A189,myPEPB!B:C,2)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08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  <row r="1172">
      <c r="A1172" s="17">
        <f>A1171+1</f>
        <v/>
      </c>
      <c r="B1172" s="58" t="inlineStr">
        <is>
          <t xml:space="preserve">2026/2/2
</t>
        </is>
      </c>
      <c r="C1172" s="55" t="n">
        <v>15.35999966</v>
      </c>
      <c r="D1172" s="17">
        <f>SUM(C$3:C1172)/A1172</f>
        <v/>
      </c>
    </row>
    <row r="1173">
      <c r="A1173" s="17">
        <f>A1172+1</f>
        <v/>
      </c>
      <c r="B1173" s="58" t="inlineStr">
        <is>
          <t xml:space="preserve">2026/2/3
</t>
        </is>
      </c>
      <c r="C1173" s="55" t="n">
        <v>15.52000046</v>
      </c>
      <c r="D1173" s="17">
        <f>SUM(C$3:C1173)/A1173</f>
        <v/>
      </c>
    </row>
    <row r="1174">
      <c r="A1174" s="17">
        <f>A1173+1</f>
        <v/>
      </c>
      <c r="B1174" s="58" t="inlineStr">
        <is>
          <t xml:space="preserve">2026/2/4
</t>
        </is>
      </c>
      <c r="C1174" s="55" t="n">
        <v>15.68999958</v>
      </c>
      <c r="D1174" s="17">
        <f>SUM(C$3:C1174)/A1174</f>
        <v/>
      </c>
    </row>
    <row r="1175">
      <c r="A1175" s="17">
        <f>A1174+1</f>
        <v/>
      </c>
      <c r="B1175" s="58" t="inlineStr">
        <is>
          <t xml:space="preserve">2026/2/5
</t>
        </is>
      </c>
      <c r="C1175" s="55" t="n">
        <v>15.60000038</v>
      </c>
      <c r="D1175" s="17">
        <f>SUM(C$3:C1175)/A1175</f>
        <v/>
      </c>
    </row>
    <row r="1176">
      <c r="A1176" s="17">
        <f>A1175+1</f>
        <v/>
      </c>
      <c r="B1176" s="58" t="inlineStr">
        <is>
          <t xml:space="preserve">2026/2/6
</t>
        </is>
      </c>
      <c r="C1176" s="55" t="n">
        <v>15.56999969</v>
      </c>
      <c r="D1176" s="17">
        <f>SUM(C$3:C1176)/A1176</f>
        <v/>
      </c>
    </row>
    <row r="1177">
      <c r="A1177" s="17">
        <f>A1176+1</f>
        <v/>
      </c>
      <c r="B1177" s="58" t="inlineStr">
        <is>
          <t xml:space="preserve">2026/2/9
</t>
        </is>
      </c>
      <c r="C1177" s="55" t="n">
        <v>15.76000023</v>
      </c>
      <c r="D1177" s="17">
        <f>SUM(C$3:C1177)/A1177</f>
        <v/>
      </c>
    </row>
    <row r="1178">
      <c r="A1178" s="17">
        <f>A1177+1</f>
        <v/>
      </c>
      <c r="B1178" s="58" t="inlineStr">
        <is>
          <t xml:space="preserve">2026/2/10
</t>
        </is>
      </c>
      <c r="C1178" s="55" t="n">
        <v>15.76000023</v>
      </c>
      <c r="D1178" s="17">
        <f>SUM(C$3:C1178)/A1178</f>
        <v/>
      </c>
    </row>
    <row r="1179">
      <c r="A1179" s="17">
        <f>A1178+1</f>
        <v/>
      </c>
      <c r="B1179" s="58" t="inlineStr">
        <is>
          <t xml:space="preserve">2026/2/11
</t>
        </is>
      </c>
      <c r="C1179" s="55" t="n">
        <v>15.77000046</v>
      </c>
      <c r="D1179" s="17">
        <f>SUM(C$3:C1179)/A1179</f>
        <v/>
      </c>
    </row>
    <row r="1180">
      <c r="A1180" s="17">
        <f>A1179+1</f>
        <v/>
      </c>
      <c r="B1180" s="58" t="inlineStr">
        <is>
          <t xml:space="preserve">2026/2/12
</t>
        </is>
      </c>
      <c r="C1180" s="55" t="n">
        <v>15.77000046</v>
      </c>
      <c r="D1180" s="17">
        <f>SUM(C$3:C1180)/A1180</f>
        <v/>
      </c>
    </row>
    <row r="1181">
      <c r="A1181" s="17">
        <f>A1180+1</f>
        <v/>
      </c>
      <c r="B1181" s="58" t="inlineStr">
        <is>
          <t xml:space="preserve">2026/2/13
</t>
        </is>
      </c>
      <c r="C1181" s="55" t="n">
        <v>15.51000023</v>
      </c>
      <c r="D1181" s="17">
        <f>SUM(C$3:C1181)/A1181</f>
        <v/>
      </c>
    </row>
    <row r="1182">
      <c r="A1182" s="17">
        <f>A1181+1</f>
        <v/>
      </c>
      <c r="B1182" s="58" t="inlineStr">
        <is>
          <t xml:space="preserve">2026/2/24
</t>
        </is>
      </c>
      <c r="C1182" s="55" t="n">
        <v>15.67000008</v>
      </c>
      <c r="D1182" s="17">
        <f>SUM(C$3:C1182)/A1182</f>
        <v/>
      </c>
    </row>
    <row r="1183">
      <c r="A1183" s="17">
        <f>A1182+1</f>
        <v/>
      </c>
      <c r="B1183" s="58" t="inlineStr">
        <is>
          <t xml:space="preserve">2026/2/25
</t>
        </is>
      </c>
      <c r="C1183" s="55" t="n">
        <v>15.73999977</v>
      </c>
      <c r="D1183" s="17">
        <f>SUM(C$3:C1183)/A1183</f>
        <v/>
      </c>
    </row>
    <row r="1184">
      <c r="A1184" s="17">
        <f>A1183+1</f>
        <v/>
      </c>
      <c r="B1184" s="58" t="n">
        <v>46079</v>
      </c>
      <c r="C1184" s="55" t="n">
        <v>15.67000008</v>
      </c>
      <c r="D1184" s="17">
        <f>SUM(C$3:C1184)/A1184</f>
        <v/>
      </c>
    </row>
    <row r="1185">
      <c r="A1185" s="17">
        <f>A1184+1</f>
        <v/>
      </c>
      <c r="B1185" s="58" t="n">
        <v>46080</v>
      </c>
      <c r="C1185" s="55" t="n">
        <v>15.64000034</v>
      </c>
      <c r="D1185" s="17">
        <f>SUM(C$3:C1185)/A1185</f>
        <v/>
      </c>
    </row>
    <row r="1186">
      <c r="A1186" s="17">
        <f>A1185+1</f>
        <v/>
      </c>
      <c r="B1186" s="58" t="inlineStr">
        <is>
          <t xml:space="preserve">2026/3/2
</t>
        </is>
      </c>
      <c r="C1186" s="55" t="n">
        <v>15.80000019</v>
      </c>
      <c r="D1186" s="17">
        <f>SUM(C$3:C1186)/A1186</f>
        <v/>
      </c>
    </row>
    <row r="1187">
      <c r="A1187" s="17">
        <f>A1186+1</f>
        <v/>
      </c>
      <c r="B1187" s="58" t="inlineStr">
        <is>
          <t xml:space="preserve">2026/3/3
</t>
        </is>
      </c>
      <c r="C1187" s="55" t="n">
        <v>15.76000023</v>
      </c>
      <c r="D1187" s="17">
        <f>SUM(C$3:C1187)/A1187</f>
        <v/>
      </c>
    </row>
    <row r="1188">
      <c r="A1188" s="17">
        <f>A1187+1</f>
        <v/>
      </c>
      <c r="B1188" s="58" t="inlineStr">
        <is>
          <t xml:space="preserve">2026/3/4
</t>
        </is>
      </c>
      <c r="C1188" s="55" t="n">
        <v>15.57999992</v>
      </c>
      <c r="D1188" s="17">
        <f>SUM(C$3:C1188)/A1188</f>
        <v/>
      </c>
    </row>
    <row r="1189">
      <c r="A1189" s="17">
        <f>A1188+1</f>
        <v/>
      </c>
      <c r="B1189" s="58" t="inlineStr">
        <is>
          <t xml:space="preserve">2026/3/5
</t>
        </is>
      </c>
      <c r="C1189" s="55" t="n">
        <v>15.64999962</v>
      </c>
      <c r="D1189" s="17">
        <f>SUM(C$3:C1189)/A1189</f>
        <v/>
      </c>
    </row>
    <row r="1190">
      <c r="A1190" s="17">
        <f>A1189+1</f>
        <v/>
      </c>
      <c r="B1190" s="58" t="inlineStr">
        <is>
          <t xml:space="preserve">2026/3/6
</t>
        </is>
      </c>
      <c r="C1190" s="55" t="n">
        <v>15.65999985</v>
      </c>
      <c r="D1190" s="17">
        <f>SUM(C$3:C1190)/A1190</f>
        <v/>
      </c>
    </row>
    <row r="1191">
      <c r="A1191" s="17">
        <f>A1190+1</f>
        <v/>
      </c>
      <c r="B1191" s="58" t="inlineStr">
        <is>
          <t xml:space="preserve">2026/3/9
</t>
        </is>
      </c>
      <c r="C1191" s="55" t="n">
        <v>15.57999992</v>
      </c>
      <c r="D1191" s="17">
        <f>SUM(C$3:C1191)/A1191</f>
        <v/>
      </c>
    </row>
    <row r="1192">
      <c r="A1192" s="17">
        <f>A1191+1</f>
        <v/>
      </c>
      <c r="B1192" s="58" t="inlineStr">
        <is>
          <t xml:space="preserve">2026/3/10
</t>
        </is>
      </c>
      <c r="C1192" s="55" t="n">
        <v>15.57999992</v>
      </c>
      <c r="D1192" s="17">
        <f>SUM(C$3:C1192)/A1192</f>
        <v/>
      </c>
    </row>
    <row r="1193">
      <c r="A1193" s="17">
        <f>A1192+1</f>
        <v/>
      </c>
      <c r="B1193" s="58" t="inlineStr">
        <is>
          <t xml:space="preserve">2026/3/11
</t>
        </is>
      </c>
      <c r="C1193" s="55" t="n">
        <v>15.81999969</v>
      </c>
      <c r="D1193" s="17">
        <f>SUM(C$3:C1193)/A1193</f>
        <v/>
      </c>
    </row>
    <row r="1194">
      <c r="A1194" s="17">
        <f>A1193+1</f>
        <v/>
      </c>
      <c r="B1194" s="58" t="inlineStr">
        <is>
          <t xml:space="preserve">2026/3/12
</t>
        </is>
      </c>
      <c r="C1194" s="55" t="n">
        <v>15.80000019</v>
      </c>
      <c r="D1194" s="17">
        <f>SUM(C$3:C1194)/A1194</f>
        <v/>
      </c>
    </row>
    <row r="1195">
      <c r="A1195" s="17">
        <f>A1194+1</f>
        <v/>
      </c>
      <c r="B1195" s="58" t="inlineStr">
        <is>
          <t xml:space="preserve">2026/3/13
</t>
        </is>
      </c>
      <c r="C1195" s="55" t="n">
        <v>15.72000027</v>
      </c>
      <c r="D1195" s="17">
        <f>SUM(C$3:C1195)/A1195</f>
        <v/>
      </c>
    </row>
    <row r="1196">
      <c r="A1196" s="17">
        <f>A1195+1</f>
        <v/>
      </c>
      <c r="B1196" s="58" t="inlineStr">
        <is>
          <t xml:space="preserve">2026/3/16
</t>
        </is>
      </c>
      <c r="C1196" s="55" t="n">
        <v>15.72999954</v>
      </c>
      <c r="D1196" s="17">
        <f>SUM(C$3:C1196)/A1196</f>
        <v/>
      </c>
    </row>
    <row r="1197">
      <c r="A1197" s="17">
        <f>A1196+1</f>
        <v/>
      </c>
      <c r="B1197" s="58" t="inlineStr">
        <is>
          <t xml:space="preserve">2026/3/17
</t>
        </is>
      </c>
      <c r="C1197" s="55" t="n">
        <v>15.64000034</v>
      </c>
      <c r="D1197" s="17">
        <f>SUM(C$3:C1197)/A1197</f>
        <v/>
      </c>
    </row>
    <row r="1198">
      <c r="A1198" s="17">
        <f>A1197+1</f>
        <v/>
      </c>
      <c r="B1198" s="58" t="inlineStr">
        <is>
          <t xml:space="preserve">2026/3/18
</t>
        </is>
      </c>
      <c r="C1198" s="55" t="n">
        <v>15.68000031</v>
      </c>
      <c r="D1198" s="17">
        <f>SUM(C$3:C1198)/A1198</f>
        <v/>
      </c>
    </row>
    <row r="1199">
      <c r="A1199" s="17">
        <f>A1198+1</f>
        <v/>
      </c>
      <c r="B1199" s="58" t="inlineStr">
        <is>
          <t xml:space="preserve">2026/3/19
</t>
        </is>
      </c>
      <c r="C1199" s="55" t="n">
        <v>15.5</v>
      </c>
      <c r="D1199" s="17">
        <f>SUM(C$3:C1199)/A1199</f>
        <v/>
      </c>
    </row>
    <row r="1200">
      <c r="A1200" s="17">
        <f>A1199+1</f>
        <v/>
      </c>
      <c r="B1200" s="58" t="inlineStr">
        <is>
          <t xml:space="preserve">2026/3/20
</t>
        </is>
      </c>
      <c r="C1200" s="55" t="n">
        <v>15.5</v>
      </c>
      <c r="D1200" s="17">
        <f>SUM(C$3:C1200)/A1200</f>
        <v/>
      </c>
    </row>
    <row r="1201">
      <c r="A1201" s="17">
        <f>A1200+1</f>
        <v/>
      </c>
      <c r="B1201" s="58" t="inlineStr">
        <is>
          <t xml:space="preserve">2026/3/23
</t>
        </is>
      </c>
      <c r="C1201" s="55" t="n">
        <v>14.94999981</v>
      </c>
      <c r="D1201" s="17">
        <f>SUM(C$3:C1201)/A1201</f>
        <v/>
      </c>
    </row>
    <row r="1202">
      <c r="A1202" s="17">
        <f>A1201+1</f>
        <v/>
      </c>
      <c r="B1202" s="58" t="inlineStr">
        <is>
          <t xml:space="preserve">2026/3/24
</t>
        </is>
      </c>
      <c r="C1202" s="55" t="n">
        <v>15.09000015</v>
      </c>
      <c r="D1202" s="17">
        <f>SUM(C$3:C1202)/A1202</f>
        <v/>
      </c>
    </row>
    <row r="1203">
      <c r="A1203" s="17">
        <f>A1202+1</f>
        <v/>
      </c>
      <c r="B1203" s="58" t="inlineStr">
        <is>
          <t xml:space="preserve">2026/3/25
</t>
        </is>
      </c>
      <c r="C1203" s="55" t="n">
        <v>15.26000023</v>
      </c>
      <c r="D1203" s="17">
        <f>SUM(C$3:C1203)/A1203</f>
        <v/>
      </c>
    </row>
    <row r="1204">
      <c r="A1204" s="17">
        <f>A1203+1</f>
        <v/>
      </c>
      <c r="B1204" s="58" t="inlineStr">
        <is>
          <t xml:space="preserve">2026/3/26
</t>
        </is>
      </c>
      <c r="C1204" s="55" t="n">
        <v>15.10000038</v>
      </c>
      <c r="D1204" s="17">
        <f>SUM(C$3:C1204)/A1204</f>
        <v/>
      </c>
    </row>
    <row r="1205">
      <c r="A1205" s="17">
        <f>A1204+1</f>
        <v/>
      </c>
      <c r="B1205" s="58" t="inlineStr">
        <is>
          <t xml:space="preserve">2026/3/27
</t>
        </is>
      </c>
      <c r="C1205" s="55" t="n">
        <v>15.18000031</v>
      </c>
      <c r="D1205" s="17">
        <f>SUM(C$3:C1205)/A1205</f>
        <v/>
      </c>
    </row>
    <row r="1206">
      <c r="A1206" s="17">
        <f>A1205+1</f>
        <v/>
      </c>
      <c r="B1206" s="58" t="n">
        <v>46111</v>
      </c>
      <c r="C1206" s="55" t="n">
        <v>15.18000031</v>
      </c>
      <c r="D1206" s="17">
        <f>SUM(C$3:C1206)/A1206</f>
        <v/>
      </c>
    </row>
    <row r="1207">
      <c r="A1207" s="17">
        <f>A1206+1</f>
        <v/>
      </c>
      <c r="B1207" s="58" t="n">
        <v>46112</v>
      </c>
      <c r="C1207" s="55" t="n">
        <v>15.07999992</v>
      </c>
      <c r="D1207" s="17">
        <f>SUM(C$3:C1207)/A1207</f>
        <v/>
      </c>
    </row>
    <row r="1208">
      <c r="A1208" s="17">
        <f>A1207+1</f>
        <v/>
      </c>
      <c r="B1208" s="58" t="inlineStr">
        <is>
          <t xml:space="preserve">2026/4/1
</t>
        </is>
      </c>
      <c r="C1208" s="55" t="n">
        <v>15.07999992</v>
      </c>
      <c r="D1208" s="17">
        <f>SUM(C$3:C1208)/A1208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2026-05-01T11:12:25Z</dcterms:modified>
  <cp:lastModifiedBy>Administrator</cp:lastModifiedBy>
</cp:coreProperties>
</file>