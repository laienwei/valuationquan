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9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89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  <pt idx="187">
                  <v>376000</v>
                </pt>
                <pt idx="188">
                  <v>378000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9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89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  <pt idx="187">
                  <v>628481.3811359293</v>
                </pt>
                <pt idx="188">
                  <v>635142.0279783552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9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89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  <pt idx="187">
                  <v>252481.3811359293</v>
                </pt>
                <pt idx="188">
                  <v>257142.0279783552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06963840"/>
        <axId val="509047552"/>
      </lineChart>
      <dateAx>
        <axId val="506963840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09047552"/>
        <crosses val="autoZero"/>
        <lblOffset val="100"/>
        <baseTimeUnit val="days"/>
      </dateAx>
      <valAx>
        <axId val="509047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06963840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9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  <row r="190" ht="12.75" customHeight="1" s="43">
      <c r="A190" s="51" t="n">
        <v>46142</v>
      </c>
      <c r="B190" s="14" t="n">
        <v>3.034882080078125</v>
      </c>
      <c r="C190" s="52" t="n">
        <v>2000</v>
      </c>
      <c r="D190" s="53" t="n">
        <v>659.0041877174071</v>
      </c>
      <c r="E190" s="53" t="n">
        <v>207085.9310354987</v>
      </c>
      <c r="F190" s="53" t="n">
        <v>628481.3811359293</v>
      </c>
      <c r="G190" s="53" t="n">
        <v>376000</v>
      </c>
      <c r="H190" s="53" t="n">
        <v>628481.3811359293</v>
      </c>
      <c r="I190" s="53" t="n">
        <v>252481.3811359293</v>
      </c>
      <c r="J190" s="31">
        <f>VLOOKUP(A190,myPEPB!B:C,2)</f>
        <v/>
      </c>
    </row>
    <row r="191" ht="12.75" customHeight="1" s="43">
      <c r="A191" s="51" t="n">
        <v>46171</v>
      </c>
      <c r="B191" s="14" t="n">
        <v>3.057387939453125</v>
      </c>
      <c r="C191" s="52" t="n">
        <v>2000</v>
      </c>
      <c r="D191" s="53" t="n">
        <v>654.1531659072809</v>
      </c>
      <c r="E191" s="53" t="n">
        <v>207740.0842014059</v>
      </c>
      <c r="F191" s="53" t="n">
        <v>635142.0279783552</v>
      </c>
      <c r="G191" s="53" t="n">
        <v>378000</v>
      </c>
      <c r="H191" s="53" t="n">
        <v>635142.0279783552</v>
      </c>
      <c r="I191" s="53" t="n">
        <v>257142.0279783552</v>
      </c>
      <c r="J191" s="31">
        <f>VLOOKUP(A191,myPEPB!B:C,2)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46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  <row r="1209">
      <c r="A1209" s="17">
        <f>A1208+1</f>
        <v/>
      </c>
      <c r="B1209" s="58" t="inlineStr">
        <is>
          <t xml:space="preserve">2026/4/2
</t>
        </is>
      </c>
      <c r="C1209" s="55" t="n">
        <v>15.19999981</v>
      </c>
      <c r="D1209" s="17">
        <f>SUM(C$3:C1209)/A1209</f>
        <v/>
      </c>
    </row>
    <row r="1210">
      <c r="A1210" s="17">
        <f>A1209+1</f>
        <v/>
      </c>
      <c r="B1210" s="58" t="inlineStr">
        <is>
          <t xml:space="preserve">2026/4/3
</t>
        </is>
      </c>
      <c r="C1210" s="55" t="n">
        <v>15.06999969</v>
      </c>
      <c r="D1210" s="17">
        <f>SUM(C$3:C1210)/A1210</f>
        <v/>
      </c>
    </row>
    <row r="1211">
      <c r="A1211" s="17">
        <f>A1210+1</f>
        <v/>
      </c>
      <c r="B1211" s="58" t="inlineStr">
        <is>
          <t xml:space="preserve">2026/4/7
</t>
        </is>
      </c>
      <c r="C1211" s="55" t="n">
        <v>15.06000042</v>
      </c>
      <c r="D1211" s="17">
        <f>SUM(C$3:C1211)/A1211</f>
        <v/>
      </c>
    </row>
    <row r="1212">
      <c r="A1212" s="17">
        <f>A1211+1</f>
        <v/>
      </c>
      <c r="B1212" s="58" t="inlineStr">
        <is>
          <t xml:space="preserve">2026/4/8
</t>
        </is>
      </c>
      <c r="C1212" s="55" t="n">
        <v>15.43000031</v>
      </c>
      <c r="D1212" s="17">
        <f>SUM(C$3:C1212)/A1212</f>
        <v/>
      </c>
    </row>
    <row r="1213">
      <c r="A1213" s="17">
        <f>A1212+1</f>
        <v/>
      </c>
      <c r="B1213" s="58" t="inlineStr">
        <is>
          <t xml:space="preserve">2026/4/9
</t>
        </is>
      </c>
      <c r="C1213" s="55" t="n">
        <v>15.35999966</v>
      </c>
      <c r="D1213" s="17">
        <f>SUM(C$3:C1213)/A1213</f>
        <v/>
      </c>
    </row>
    <row r="1214">
      <c r="A1214" s="17">
        <f>A1213+1</f>
        <v/>
      </c>
      <c r="B1214" s="58" t="inlineStr">
        <is>
          <t xml:space="preserve">2026/4/10
</t>
        </is>
      </c>
      <c r="C1214" s="55" t="n">
        <v>15.52000046</v>
      </c>
      <c r="D1214" s="17">
        <f>SUM(C$3:C1214)/A1214</f>
        <v/>
      </c>
    </row>
    <row r="1215">
      <c r="A1215" s="17">
        <f>A1214+1</f>
        <v/>
      </c>
      <c r="B1215" s="58" t="inlineStr">
        <is>
          <t xml:space="preserve">2026/4/13
</t>
        </is>
      </c>
      <c r="C1215" s="55" t="n">
        <v>15.53999996</v>
      </c>
      <c r="D1215" s="17">
        <f>SUM(C$3:C1215)/A1215</f>
        <v/>
      </c>
    </row>
    <row r="1216">
      <c r="A1216" s="17">
        <f>A1215+1</f>
        <v/>
      </c>
      <c r="B1216" s="58" t="inlineStr">
        <is>
          <t xml:space="preserve">2026/4/14
</t>
        </is>
      </c>
      <c r="C1216" s="55" t="n">
        <v>15.68999958</v>
      </c>
      <c r="D1216" s="17">
        <f>SUM(C$3:C1216)/A1216</f>
        <v/>
      </c>
    </row>
    <row r="1217">
      <c r="A1217" s="17">
        <f>A1216+1</f>
        <v/>
      </c>
      <c r="B1217" s="58" t="inlineStr">
        <is>
          <t xml:space="preserve">2026/4/15
</t>
        </is>
      </c>
      <c r="C1217" s="55" t="n">
        <v>15.68000031</v>
      </c>
      <c r="D1217" s="17">
        <f>SUM(C$3:C1217)/A1217</f>
        <v/>
      </c>
    </row>
    <row r="1218">
      <c r="A1218" s="17">
        <f>A1217+1</f>
        <v/>
      </c>
      <c r="B1218" s="58" t="inlineStr">
        <is>
          <t xml:space="preserve">2026/4/16
</t>
        </is>
      </c>
      <c r="C1218" s="55" t="n">
        <v>15.80000019</v>
      </c>
      <c r="D1218" s="17">
        <f>SUM(C$3:C1218)/A1218</f>
        <v/>
      </c>
    </row>
    <row r="1219">
      <c r="A1219" s="17">
        <f>A1218+1</f>
        <v/>
      </c>
      <c r="B1219" s="58" t="inlineStr">
        <is>
          <t xml:space="preserve">2026/4/17
</t>
        </is>
      </c>
      <c r="C1219" s="55" t="n">
        <v>15.72999954</v>
      </c>
      <c r="D1219" s="17">
        <f>SUM(C$3:C1219)/A1219</f>
        <v/>
      </c>
    </row>
    <row r="1220">
      <c r="A1220" s="17">
        <f>A1219+1</f>
        <v/>
      </c>
      <c r="B1220" s="58" t="inlineStr">
        <is>
          <t xml:space="preserve">2026/4/20
</t>
        </is>
      </c>
      <c r="C1220" s="55" t="n">
        <v>15.82999992</v>
      </c>
      <c r="D1220" s="17">
        <f>SUM(C$3:C1220)/A1220</f>
        <v/>
      </c>
    </row>
    <row r="1221">
      <c r="A1221" s="17">
        <f>A1220+1</f>
        <v/>
      </c>
      <c r="B1221" s="58" t="inlineStr">
        <is>
          <t xml:space="preserve">2026/4/21
</t>
        </is>
      </c>
      <c r="C1221" s="55" t="n">
        <v>15.89000034</v>
      </c>
      <c r="D1221" s="17">
        <f>SUM(C$3:C1221)/A1221</f>
        <v/>
      </c>
    </row>
    <row r="1222">
      <c r="A1222" s="17">
        <f>A1221+1</f>
        <v/>
      </c>
      <c r="B1222" s="58" t="inlineStr">
        <is>
          <t xml:space="preserve">2026/4/22
</t>
        </is>
      </c>
      <c r="C1222" s="55" t="n">
        <v>15.97000027</v>
      </c>
      <c r="D1222" s="17">
        <f>SUM(C$3:C1222)/A1222</f>
        <v/>
      </c>
    </row>
    <row r="1223">
      <c r="A1223" s="17">
        <f>A1222+1</f>
        <v/>
      </c>
      <c r="B1223" s="58" t="inlineStr">
        <is>
          <t xml:space="preserve">2026/4/23
</t>
        </is>
      </c>
      <c r="C1223" s="55" t="n">
        <v>15.93</v>
      </c>
      <c r="D1223" s="17">
        <f>SUM(C$3:C1223)/A1223</f>
        <v/>
      </c>
    </row>
    <row r="1224">
      <c r="A1224" s="17">
        <f>A1223+1</f>
        <v/>
      </c>
      <c r="B1224" s="58" t="inlineStr">
        <is>
          <t xml:space="preserve">2026/4/24
</t>
        </is>
      </c>
      <c r="C1224" s="55" t="n">
        <v>15.92000008</v>
      </c>
      <c r="D1224" s="17">
        <f>SUM(C$3:C1224)/A1224</f>
        <v/>
      </c>
    </row>
    <row r="1225">
      <c r="A1225" s="17">
        <f>A1224+1</f>
        <v/>
      </c>
      <c r="B1225" s="58" t="inlineStr">
        <is>
          <t xml:space="preserve">2026/4/27
</t>
        </is>
      </c>
      <c r="C1225" s="55" t="n">
        <v>15.89999962</v>
      </c>
      <c r="D1225" s="17">
        <f>SUM(C$3:C1225)/A1225</f>
        <v/>
      </c>
    </row>
    <row r="1226">
      <c r="A1226" s="17">
        <f>A1225+1</f>
        <v/>
      </c>
      <c r="B1226" s="58" t="inlineStr">
        <is>
          <t xml:space="preserve">2026/4/28
</t>
        </is>
      </c>
      <c r="C1226" s="55" t="n">
        <v>15.88000011</v>
      </c>
      <c r="D1226" s="17">
        <f>SUM(C$3:C1226)/A1226</f>
        <v/>
      </c>
    </row>
    <row r="1227">
      <c r="A1227" s="17">
        <f>A1226+1</f>
        <v/>
      </c>
      <c r="B1227" s="58" t="n">
        <v>46141</v>
      </c>
      <c r="C1227" s="55" t="n">
        <v>16.02000046</v>
      </c>
      <c r="D1227" s="17">
        <f>SUM(C$3:C1227)/A1227</f>
        <v/>
      </c>
    </row>
    <row r="1228">
      <c r="A1228" s="17">
        <f>A1227+1</f>
        <v/>
      </c>
      <c r="B1228" s="58" t="n">
        <v>46142</v>
      </c>
      <c r="C1228" s="55" t="n">
        <v>15.90999985</v>
      </c>
      <c r="D1228" s="17">
        <f>SUM(C$3:C1228)/A1228</f>
        <v/>
      </c>
    </row>
    <row r="1229">
      <c r="A1229" s="17">
        <f>A1228+1</f>
        <v/>
      </c>
      <c r="B1229" s="58" t="inlineStr">
        <is>
          <t xml:space="preserve">2026/5/6
</t>
        </is>
      </c>
      <c r="C1229" s="55" t="n">
        <v>16.20000076</v>
      </c>
      <c r="D1229" s="17">
        <f>SUM(C$3:C1229)/A1229</f>
        <v/>
      </c>
    </row>
    <row r="1230">
      <c r="A1230" s="17">
        <f>A1229+1</f>
        <v/>
      </c>
      <c r="B1230" s="58" t="inlineStr">
        <is>
          <t xml:space="preserve">2026/5/7
</t>
        </is>
      </c>
      <c r="C1230" s="55" t="n">
        <v>16.20999908</v>
      </c>
      <c r="D1230" s="17">
        <f>SUM(C$3:C1230)/A1230</f>
        <v/>
      </c>
    </row>
    <row r="1231">
      <c r="A1231" s="17">
        <f>A1230+1</f>
        <v/>
      </c>
      <c r="B1231" s="58" t="inlineStr">
        <is>
          <t xml:space="preserve">2026/5/8
</t>
        </is>
      </c>
      <c r="C1231" s="55" t="n">
        <v>16.14999962</v>
      </c>
      <c r="D1231" s="17">
        <f>SUM(C$3:C1231)/A1231</f>
        <v/>
      </c>
    </row>
    <row r="1232">
      <c r="A1232" s="17">
        <f>A1231+1</f>
        <v/>
      </c>
      <c r="B1232" s="58" t="inlineStr">
        <is>
          <t xml:space="preserve">2026/5/11
</t>
        </is>
      </c>
      <c r="C1232" s="55" t="n">
        <v>16.34000015</v>
      </c>
      <c r="D1232" s="17">
        <f>SUM(C$3:C1232)/A1232</f>
        <v/>
      </c>
    </row>
    <row r="1233">
      <c r="A1233" s="17">
        <f>A1232+1</f>
        <v/>
      </c>
      <c r="B1233" s="58" t="inlineStr">
        <is>
          <t xml:space="preserve">2026/5/12
</t>
        </is>
      </c>
      <c r="C1233" s="55" t="n">
        <v>16.27000046</v>
      </c>
      <c r="D1233" s="17">
        <f>SUM(C$3:C1233)/A1233</f>
        <v/>
      </c>
    </row>
    <row r="1234">
      <c r="A1234" s="17">
        <f>A1233+1</f>
        <v/>
      </c>
      <c r="B1234" s="58" t="inlineStr">
        <is>
          <t xml:space="preserve">2026/5/13
</t>
        </is>
      </c>
      <c r="C1234" s="55" t="n">
        <v>16.38999939</v>
      </c>
      <c r="D1234" s="17">
        <f>SUM(C$3:C1234)/A1234</f>
        <v/>
      </c>
    </row>
    <row r="1235">
      <c r="A1235" s="17">
        <f>A1234+1</f>
        <v/>
      </c>
      <c r="B1235" s="58" t="inlineStr">
        <is>
          <t xml:space="preserve">2026/5/14
</t>
        </is>
      </c>
      <c r="C1235" s="55" t="n">
        <v>16.17000008</v>
      </c>
      <c r="D1235" s="17">
        <f>SUM(C$3:C1235)/A1235</f>
        <v/>
      </c>
    </row>
    <row r="1236">
      <c r="A1236" s="17">
        <f>A1235+1</f>
        <v/>
      </c>
      <c r="B1236" s="58" t="inlineStr">
        <is>
          <t xml:space="preserve">2026/5/15
</t>
        </is>
      </c>
      <c r="C1236" s="55" t="n">
        <v>16</v>
      </c>
      <c r="D1236" s="17">
        <f>SUM(C$3:C1236)/A1236</f>
        <v/>
      </c>
    </row>
    <row r="1237">
      <c r="A1237" s="17">
        <f>A1236+1</f>
        <v/>
      </c>
      <c r="B1237" s="58" t="inlineStr">
        <is>
          <t xml:space="preserve">2026/5/18
</t>
        </is>
      </c>
      <c r="C1237" s="55" t="n">
        <v>15.96000004</v>
      </c>
      <c r="D1237" s="17">
        <f>SUM(C$3:C1237)/A1237</f>
        <v/>
      </c>
    </row>
    <row r="1238">
      <c r="A1238" s="17">
        <f>A1237+1</f>
        <v/>
      </c>
      <c r="B1238" s="58" t="inlineStr">
        <is>
          <t xml:space="preserve">2026/5/19
</t>
        </is>
      </c>
      <c r="C1238" s="55" t="n">
        <v>16.01000023</v>
      </c>
      <c r="D1238" s="17">
        <f>SUM(C$3:C1238)/A1238</f>
        <v/>
      </c>
    </row>
    <row r="1239">
      <c r="A1239" s="17">
        <f>A1238+1</f>
        <v/>
      </c>
      <c r="B1239" s="58" t="inlineStr">
        <is>
          <t xml:space="preserve">2026/5/20
</t>
        </is>
      </c>
      <c r="C1239" s="55" t="n">
        <v>16.01000023</v>
      </c>
      <c r="D1239" s="17">
        <f>SUM(C$3:C1239)/A1239</f>
        <v/>
      </c>
    </row>
    <row r="1240">
      <c r="A1240" s="17">
        <f>A1239+1</f>
        <v/>
      </c>
      <c r="B1240" s="58" t="inlineStr">
        <is>
          <t xml:space="preserve">2026/5/21
</t>
        </is>
      </c>
      <c r="C1240" s="55" t="n">
        <v>15.93999958</v>
      </c>
      <c r="D1240" s="17">
        <f>SUM(C$3:C1240)/A1240</f>
        <v/>
      </c>
    </row>
    <row r="1241">
      <c r="A1241" s="17">
        <f>A1240+1</f>
        <v/>
      </c>
      <c r="B1241" s="58" t="inlineStr">
        <is>
          <t xml:space="preserve">2026/5/22
</t>
        </is>
      </c>
      <c r="C1241" s="55" t="n">
        <v>15.84000015</v>
      </c>
      <c r="D1241" s="17">
        <f>SUM(C$3:C1241)/A1241</f>
        <v/>
      </c>
    </row>
    <row r="1242">
      <c r="A1242" s="17">
        <f>A1241+1</f>
        <v/>
      </c>
      <c r="B1242" s="58" t="inlineStr">
        <is>
          <t xml:space="preserve">2026/5/25
</t>
        </is>
      </c>
      <c r="C1242" s="55" t="n">
        <v>15.97000027</v>
      </c>
      <c r="D1242" s="17">
        <f>SUM(C$3:C1242)/A1242</f>
        <v/>
      </c>
    </row>
    <row r="1243">
      <c r="A1243" s="17">
        <f>A1242+1</f>
        <v/>
      </c>
      <c r="B1243" s="58" t="inlineStr">
        <is>
          <t xml:space="preserve">2026/5/26
</t>
        </is>
      </c>
      <c r="C1243" s="55" t="n">
        <v>16.01000023</v>
      </c>
      <c r="D1243" s="17">
        <f>SUM(C$3:C1243)/A1243</f>
        <v/>
      </c>
    </row>
    <row r="1244">
      <c r="A1244" s="17">
        <f>A1243+1</f>
        <v/>
      </c>
      <c r="B1244" s="58" t="inlineStr">
        <is>
          <t xml:space="preserve">2026/5/27
</t>
        </is>
      </c>
      <c r="C1244" s="55" t="n">
        <v>15.92000008</v>
      </c>
      <c r="D1244" s="17">
        <f>SUM(C$3:C1244)/A1244</f>
        <v/>
      </c>
    </row>
    <row r="1245">
      <c r="A1245" s="17">
        <f>A1244+1</f>
        <v/>
      </c>
      <c r="B1245" s="58" t="n">
        <v>46170</v>
      </c>
      <c r="C1245" s="55" t="n">
        <v>15.92000008</v>
      </c>
      <c r="D1245" s="17">
        <f>SUM(C$3:C1245)/A1245</f>
        <v/>
      </c>
    </row>
    <row r="1246">
      <c r="A1246" s="17">
        <f>A1245+1</f>
        <v/>
      </c>
      <c r="B1246" s="58" t="n">
        <v>46171</v>
      </c>
      <c r="C1246" s="55" t="n">
        <v>15.93999958</v>
      </c>
      <c r="D1246" s="17">
        <f>SUM(C$3:C1246)/A1246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2026-07-02T05:33:28Z</dcterms:modified>
  <cp:lastModifiedBy>Administrator</cp:lastModifiedBy>
</cp:coreProperties>
</file>