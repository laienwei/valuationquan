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J194" i="5" l="1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<sst xmlns="http://schemas.openxmlformats.org/spreadsheetml/2006/main" count="1036" uniqueCount="1031">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</sst>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9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  <c:pt idx="191">
                  <c:v>384000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9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  <c:pt idx="191">
                  <c:v>602302.47047829011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9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  <c:pt idx="191">
                  <c:v>218302.47047829011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648512"/>
        <c:axId val="454681344"/>
      </c:lineChart>
      <c:dateAx>
        <c:axId val="451648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4681344"/>
        <c:crosses val="autoZero"/>
        <c:auto val="1"/>
        <c:lblOffset val="100"/>
        <c:baseTimeUnit val="days"/>
      </c:dateAx>
      <c:valAx>
        <c:axId val="45468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164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  <row r="194" spans="1:10" ht="12.75">
      <c r="A194" s="13">
        <v>46265</v>
      </c>
      <c r="B194" s="14">
        <v>2.8709189453124999</v>
      </c>
      <c r="C194" s="15">
        <v>2000</v>
      </c>
      <c r="D194" s="16">
        <v>696.64105399614471</v>
      </c>
      <c r="E194" s="16">
        <v>209794.31392923894</v>
      </c>
      <c r="F194" s="16">
        <v>602302.47047829011</v>
      </c>
      <c r="G194" s="16">
        <v>384000</v>
      </c>
      <c r="H194" s="16">
        <v>602302.47047829011</v>
      </c>
      <c r="I194" s="16">
        <v>218302.47047829011</v>
      </c>
      <c r="J194" s="31">
        <f>VLOOKUP(A194,myPEPB!B:C,2)</f>
        <v>15.97000027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2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332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1010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1011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1012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1013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1014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1015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1016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1017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1018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1019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1020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1021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1022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1023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1024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1025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1026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1027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1028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1029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1030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  <row r="1291" spans="1:4">
      <c r="A1291" s="17">
        <f t="shared" si="9"/>
        <v>1289</v>
      </c>
      <c r="B1291" s="37">
        <v>46237</v>
      </c>
      <c r="C1291" s="38">
        <v>15.670000079999999</v>
      </c>
      <c r="D1291" s="17">
        <f>SUM(C$3:C1291)/A1291</f>
        <v>12.725650278657149</v>
      </c>
    </row>
    <row r="1292" spans="1:4">
      <c r="A1292" s="17">
        <f t="shared" si="9"/>
        <v>1290</v>
      </c>
      <c r="B1292" s="37">
        <v>46238</v>
      </c>
      <c r="C1292" s="38">
        <v>15.72999954</v>
      </c>
      <c r="D1292" s="17">
        <f>SUM(C$3:C1292)/A1292</f>
        <v>12.727979231572919</v>
      </c>
    </row>
    <row r="1293" spans="1:4">
      <c r="A1293" s="17">
        <f t="shared" si="9"/>
        <v>1291</v>
      </c>
      <c r="B1293" s="37">
        <v>46239</v>
      </c>
      <c r="C1293" s="38">
        <v>15.869999890000001</v>
      </c>
      <c r="D1293" s="17">
        <f>SUM(C$3:C1293)/A1293</f>
        <v>12.730413019844358</v>
      </c>
    </row>
    <row r="1294" spans="1:4">
      <c r="A1294" s="17">
        <f t="shared" si="9"/>
        <v>1292</v>
      </c>
      <c r="B1294" s="37">
        <v>46240</v>
      </c>
      <c r="C1294" s="38">
        <v>15.850000380000001</v>
      </c>
      <c r="D1294" s="17">
        <f>SUM(C$3:C1294)/A1294</f>
        <v>12.732827561144788</v>
      </c>
    </row>
    <row r="1295" spans="1:4">
      <c r="A1295" s="17">
        <f t="shared" si="9"/>
        <v>1293</v>
      </c>
      <c r="B1295" s="37">
        <v>46241</v>
      </c>
      <c r="C1295" s="38">
        <v>15.97999954</v>
      </c>
      <c r="D1295" s="17">
        <f>SUM(C$3:C1295)/A1295</f>
        <v>12.735338908382881</v>
      </c>
    </row>
    <row r="1296" spans="1:4">
      <c r="A1296" s="17">
        <f t="shared" si="9"/>
        <v>1294</v>
      </c>
      <c r="B1296" s="37">
        <v>46244</v>
      </c>
      <c r="C1296" s="38">
        <v>16.049999239999998</v>
      </c>
      <c r="D1296" s="17">
        <f>SUM(C$3:C1296)/A1296</f>
        <v>12.737900469690157</v>
      </c>
    </row>
    <row r="1297" spans="1:4">
      <c r="A1297" s="17">
        <f t="shared" si="9"/>
        <v>1295</v>
      </c>
      <c r="B1297" s="37">
        <v>46245</v>
      </c>
      <c r="C1297" s="38">
        <v>15.920000079999999</v>
      </c>
      <c r="D1297" s="17">
        <f>SUM(C$3:C1297)/A1297</f>
        <v>12.74035768946646</v>
      </c>
    </row>
    <row r="1298" spans="1:4">
      <c r="A1298" s="17">
        <f t="shared" si="9"/>
        <v>1296</v>
      </c>
      <c r="B1298" s="37">
        <v>46246</v>
      </c>
      <c r="C1298" s="38">
        <v>15.94999981</v>
      </c>
      <c r="D1298" s="17">
        <f>SUM(C$3:C1298)/A1298</f>
        <v>12.742834265176748</v>
      </c>
    </row>
    <row r="1299" spans="1:4">
      <c r="A1299" s="17">
        <f t="shared" si="9"/>
        <v>1297</v>
      </c>
      <c r="B1299" s="37">
        <v>46247</v>
      </c>
      <c r="C1299" s="38">
        <v>15.87199974</v>
      </c>
      <c r="D1299" s="17">
        <f>SUM(C$3:C1299)/A1299</f>
        <v>12.745246883121871</v>
      </c>
    </row>
    <row r="1300" spans="1:4">
      <c r="A1300" s="17">
        <f t="shared" si="9"/>
        <v>1298</v>
      </c>
      <c r="B1300" s="37">
        <v>46248</v>
      </c>
      <c r="C1300" s="38">
        <v>15.85999966</v>
      </c>
      <c r="D1300" s="17">
        <f>SUM(C$3:C1300)/A1300</f>
        <v>12.74764653857401</v>
      </c>
    </row>
    <row r="1301" spans="1:4">
      <c r="A1301" s="17">
        <f t="shared" si="9"/>
        <v>1299</v>
      </c>
      <c r="B1301" s="37">
        <v>46251</v>
      </c>
      <c r="C1301" s="38">
        <v>16.030000690000001</v>
      </c>
      <c r="D1301" s="17">
        <f>SUM(C$3:C1301)/A1301</f>
        <v>12.750173370099356</v>
      </c>
    </row>
    <row r="1302" spans="1:4">
      <c r="A1302" s="17">
        <f t="shared" si="9"/>
        <v>1300</v>
      </c>
      <c r="B1302" s="37">
        <v>46252</v>
      </c>
      <c r="C1302" s="38">
        <v>16.030000690000001</v>
      </c>
      <c r="D1302" s="17">
        <f>SUM(C$3:C1302)/A1302</f>
        <v>12.752696314191587</v>
      </c>
    </row>
    <row r="1303" spans="1:4">
      <c r="A1303" s="17">
        <f t="shared" si="9"/>
        <v>1301</v>
      </c>
      <c r="B1303" s="37">
        <v>46253</v>
      </c>
      <c r="C1303" s="38">
        <v>15.72000027</v>
      </c>
      <c r="D1303" s="17">
        <f>SUM(C$3:C1303)/A1303</f>
        <v>12.754977101244476</v>
      </c>
    </row>
    <row r="1304" spans="1:4">
      <c r="A1304" s="17">
        <f t="shared" si="9"/>
        <v>1302</v>
      </c>
      <c r="B1304" s="37">
        <v>46254</v>
      </c>
      <c r="C1304" s="38">
        <v>15.760000229999999</v>
      </c>
      <c r="D1304" s="17">
        <f>SUM(C$3:C1304)/A1304</f>
        <v>12.75728510671971</v>
      </c>
    </row>
    <row r="1305" spans="1:4">
      <c r="A1305" s="17">
        <f t="shared" si="9"/>
        <v>1303</v>
      </c>
      <c r="B1305" s="37">
        <v>46255</v>
      </c>
      <c r="C1305" s="38">
        <v>15.81999969</v>
      </c>
      <c r="D1305" s="17">
        <f>SUM(C$3:C1305)/A1305</f>
        <v>12.759635616760601</v>
      </c>
    </row>
    <row r="1306" spans="1:4">
      <c r="A1306" s="17">
        <f t="shared" si="9"/>
        <v>1304</v>
      </c>
      <c r="B1306" s="37">
        <v>46258</v>
      </c>
      <c r="C1306" s="38">
        <v>15.72000027</v>
      </c>
      <c r="D1306" s="17">
        <f>SUM(C$3:C1306)/A1306</f>
        <v>12.761905835052964</v>
      </c>
    </row>
    <row r="1307" spans="1:4">
      <c r="A1307" s="17">
        <f t="shared" si="9"/>
        <v>1305</v>
      </c>
      <c r="B1307" s="37">
        <v>46259</v>
      </c>
      <c r="C1307" s="38">
        <v>15.72000027</v>
      </c>
      <c r="D1307" s="17">
        <f>SUM(C$3:C1307)/A1307</f>
        <v>12.764172574083576</v>
      </c>
    </row>
    <row r="1308" spans="1:4">
      <c r="A1308" s="17">
        <f t="shared" si="9"/>
        <v>1306</v>
      </c>
      <c r="B1308" s="37">
        <v>46260</v>
      </c>
      <c r="C1308" s="38">
        <v>15.81999969</v>
      </c>
      <c r="D1308" s="17">
        <f>SUM(C$3:C1308)/A1308</f>
        <v>12.766512411078917</v>
      </c>
    </row>
    <row r="1309" spans="1:4">
      <c r="A1309" s="17">
        <f t="shared" si="9"/>
        <v>1307</v>
      </c>
      <c r="B1309" s="37">
        <v>46261</v>
      </c>
      <c r="C1309" s="38">
        <v>15.93000031</v>
      </c>
      <c r="D1309" s="17">
        <f>SUM(C$3:C1309)/A1309</f>
        <v>12.768932830282376</v>
      </c>
    </row>
    <row r="1310" spans="1:4">
      <c r="A1310" s="17">
        <f t="shared" si="9"/>
        <v>1308</v>
      </c>
      <c r="B1310" s="37">
        <v>46262</v>
      </c>
      <c r="C1310" s="38">
        <v>15.90999985</v>
      </c>
      <c r="D1310" s="17">
        <f>SUM(C$3:C1310)/A1310</f>
        <v>12.77133425766748</v>
      </c>
    </row>
    <row r="1311" spans="1:4">
      <c r="A1311" s="17">
        <f t="shared" si="9"/>
        <v>1309</v>
      </c>
      <c r="B1311" s="37">
        <v>46265</v>
      </c>
      <c r="C1311" s="38">
        <v>15.97000027</v>
      </c>
      <c r="D1311" s="17">
        <f>SUM(C$3:C1311)/A1311</f>
        <v>12.773777852787674</v>
      </c>
    </row>
    <row r="1312" spans="1:4">
      <c r="A1312" s="17">
        <f t="shared" si="9"/>
        <v>1310</v>
      </c>
      <c r="B1312" s="37">
        <v>46266</v>
      </c>
      <c r="C1312" s="38">
        <v>14.69999981</v>
      </c>
      <c r="D1312" s="17">
        <f>SUM(C$3:C1312)/A1312</f>
        <v>12.775248251228295</v>
      </c>
    </row>
    <row r="1313" spans="1:4">
      <c r="A1313" s="17">
        <f t="shared" si="9"/>
        <v>1311</v>
      </c>
      <c r="B1313" s="37">
        <v>46267</v>
      </c>
      <c r="C1313" s="38">
        <v>14.510000229999999</v>
      </c>
      <c r="D1313" s="17">
        <f>SUM(C$3:C1313)/A1313</f>
        <v>12.776571479282277</v>
      </c>
    </row>
    <row r="1314" spans="1:4">
      <c r="A1314" s="17">
        <f t="shared" si="9"/>
        <v>1312</v>
      </c>
      <c r="B1314" s="37">
        <v>46268</v>
      </c>
      <c r="C1314" s="38">
        <v>14.539999959999999</v>
      </c>
      <c r="D1314" s="17">
        <f>SUM(C$3:C1314)/A1314</f>
        <v>12.777915555868191</v>
      </c>
    </row>
    <row r="1315" spans="1:4">
      <c r="A1315" s="17">
        <f t="shared" si="9"/>
        <v>1313</v>
      </c>
      <c r="B1315" s="37">
        <v>46269</v>
      </c>
      <c r="C1315" s="38">
        <v>14.52999973</v>
      </c>
      <c r="D1315" s="17">
        <f>SUM(C$3:C1315)/A1315</f>
        <v>12.779249968795936</v>
      </c>
    </row>
    <row r="1316" spans="1:4">
      <c r="A1316" s="17">
        <f t="shared" si="9"/>
        <v>1314</v>
      </c>
      <c r="B1316" s="37">
        <v>46272</v>
      </c>
      <c r="C1316" s="38">
        <v>14.55000019</v>
      </c>
      <c r="D1316" s="17">
        <f>SUM(C$3:C1316)/A1316</f>
        <v>12.780597571704007</v>
      </c>
    </row>
    <row r="1317" spans="1:4">
      <c r="A1317" s="17">
        <f t="shared" si="9"/>
        <v>1315</v>
      </c>
      <c r="B1317" s="37">
        <v>46273</v>
      </c>
      <c r="C1317" s="38">
        <v>14.52000046</v>
      </c>
      <c r="D1317" s="17">
        <f>SUM(C$3:C1317)/A1317</f>
        <v>12.781920311543015</v>
      </c>
    </row>
    <row r="1318" spans="1:4">
      <c r="A1318" s="17">
        <f t="shared" si="9"/>
        <v>1316</v>
      </c>
      <c r="B1318" s="37">
        <v>46274</v>
      </c>
      <c r="C1318" s="38">
        <v>14.59000015</v>
      </c>
      <c r="D1318" s="17">
        <f>SUM(C$3:C1318)/A1318</f>
        <v>12.783294232392908</v>
      </c>
    </row>
    <row r="1319" spans="1:4">
      <c r="A1319" s="17">
        <f t="shared" si="9"/>
        <v>1317</v>
      </c>
      <c r="B1319" s="37">
        <v>46275</v>
      </c>
      <c r="C1319" s="38">
        <v>14.52000046</v>
      </c>
      <c r="D1319" s="17">
        <f>SUM(C$3:C1319)/A1319</f>
        <v>12.784612915937029</v>
      </c>
    </row>
    <row r="1320" spans="1:4">
      <c r="A1320" s="17">
        <f t="shared" si="9"/>
        <v>1318</v>
      </c>
      <c r="B1320" s="37">
        <v>46276</v>
      </c>
      <c r="C1320" s="38">
        <v>14.40999985</v>
      </c>
      <c r="D1320" s="17">
        <f>SUM(C$3:C1320)/A1320</f>
        <v>12.785846138193525</v>
      </c>
    </row>
    <row r="1321" spans="1:4">
      <c r="A1321" s="17">
        <f t="shared" si="9"/>
        <v>1319</v>
      </c>
      <c r="B1321" s="37">
        <v>46279</v>
      </c>
      <c r="C1321" s="38">
        <v>14.329999920000001</v>
      </c>
      <c r="D1321" s="17">
        <f>SUM(C$3:C1321)/A1321</f>
        <v>12.787016838558806</v>
      </c>
    </row>
    <row r="1322" spans="1:4">
      <c r="A1322" s="17">
        <f t="shared" si="9"/>
        <v>1320</v>
      </c>
      <c r="B1322" s="37">
        <v>46280</v>
      </c>
      <c r="C1322" s="38">
        <v>14.210000040000001</v>
      </c>
      <c r="D1322" s="17">
        <f>SUM(C$3:C1322)/A1322</f>
        <v>12.788094856135654</v>
      </c>
    </row>
    <row r="1323" spans="1:4">
      <c r="A1323" s="17">
        <f t="shared" si="9"/>
        <v>1321</v>
      </c>
      <c r="B1323" s="37">
        <v>46281</v>
      </c>
      <c r="C1323" s="38">
        <v>14.22000027</v>
      </c>
      <c r="D1323" s="17">
        <f>SUM(C$3:C1323)/A1323</f>
        <v>12.789178811785817</v>
      </c>
    </row>
    <row r="1324" spans="1:4">
      <c r="A1324" s="17">
        <f t="shared" si="9"/>
        <v>1322</v>
      </c>
      <c r="B1324" s="37">
        <v>46282</v>
      </c>
      <c r="C1324" s="38">
        <v>14.15999985</v>
      </c>
      <c r="D1324" s="17">
        <f>SUM(C$3:C1324)/A1324</f>
        <v>12.790215741466765</v>
      </c>
    </row>
    <row r="1325" spans="1:4">
      <c r="A1325" s="17">
        <f t="shared" si="9"/>
        <v>1323</v>
      </c>
      <c r="B1325" s="37">
        <v>46283</v>
      </c>
      <c r="C1325" s="38">
        <v>14.25</v>
      </c>
      <c r="D1325" s="17">
        <f>SUM(C$3:C1325)/A1325</f>
        <v>12.791319130928997</v>
      </c>
    </row>
    <row r="1326" spans="1:4">
      <c r="A1326" s="17">
        <f t="shared" si="9"/>
        <v>1324</v>
      </c>
      <c r="B1326" s="37">
        <v>46286</v>
      </c>
      <c r="C1326" s="38">
        <v>14.350000380000001</v>
      </c>
      <c r="D1326" s="17">
        <f>SUM(C$3:C1326)/A1326</f>
        <v>12.792496382627691</v>
      </c>
    </row>
    <row r="1327" spans="1:4">
      <c r="A1327" s="17">
        <f t="shared" si="9"/>
        <v>1325</v>
      </c>
      <c r="B1327" s="37">
        <v>46287</v>
      </c>
      <c r="C1327" s="38">
        <v>14.380000109999999</v>
      </c>
      <c r="D1327" s="17">
        <f>SUM(C$3:C1327)/A1327</f>
        <v>12.79369449864835</v>
      </c>
    </row>
    <row r="1328" spans="1:4">
      <c r="A1328" s="17">
        <f t="shared" si="9"/>
        <v>1326</v>
      </c>
      <c r="B1328" s="37">
        <v>46288</v>
      </c>
      <c r="C1328" s="38">
        <v>14.27999973</v>
      </c>
      <c r="D1328" s="17">
        <f>SUM(C$3:C1328)/A1328</f>
        <v>12.79481539248798</v>
      </c>
    </row>
    <row r="1329" spans="1:4">
      <c r="A1329" s="17">
        <f t="shared" si="9"/>
        <v>1327</v>
      </c>
      <c r="B1329" s="37">
        <v>46289</v>
      </c>
      <c r="C1329" s="38">
        <v>14.079999920000001</v>
      </c>
      <c r="D1329" s="17">
        <f>SUM(C$3:C1329)/A1329</f>
        <v>12.795783881205018</v>
      </c>
    </row>
    <row r="1330" spans="1:4">
      <c r="A1330" s="17">
        <f t="shared" si="9"/>
        <v>1328</v>
      </c>
      <c r="B1330" s="37">
        <v>46293</v>
      </c>
      <c r="C1330" s="38">
        <v>13.880000109999999</v>
      </c>
      <c r="D1330" s="17">
        <f>SUM(C$3:C1330)/A1330</f>
        <v>12.796600309088147</v>
      </c>
    </row>
    <row r="1331" spans="1:4">
      <c r="A1331" s="17">
        <f t="shared" si="9"/>
        <v>1329</v>
      </c>
      <c r="B1331" s="37">
        <v>46294</v>
      </c>
      <c r="C1331" s="38">
        <v>13.869999890000001</v>
      </c>
      <c r="D1331" s="17">
        <f>SUM(C$3:C1331)/A1331</f>
        <v>12.797407983716374</v>
      </c>
    </row>
    <row r="1332" spans="1:4">
      <c r="A1332" s="17">
        <f t="shared" si="9"/>
        <v>1330</v>
      </c>
      <c r="B1332" s="37">
        <v>46295</v>
      </c>
      <c r="C1332" s="38">
        <v>13.869999890000001</v>
      </c>
      <c r="D1332" s="17">
        <f>SUM(C$3:C1332)/A1332</f>
        <v>12.798214443796287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2026-10-03T10:03:05Z</dcterms:modified>
</cp:coreProperties>
</file>