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model1!$L$1:$L$146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J192" i="5" l="1"/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D1249" i="6" l="1"/>
  <c r="A1249" i="6"/>
  <c r="D1248" i="6" l="1"/>
  <c r="A1248" i="6"/>
  <c r="D1247" i="6" l="1"/>
  <c r="A1247" i="6"/>
  <c r="J191" i="5" l="1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30" i="6" l="1"/>
  <c r="A1230" i="6"/>
  <c r="D1229" i="6" l="1"/>
  <c r="A1229" i="6"/>
  <c r="J190" i="5" l="1"/>
  <c r="D1228" i="6" l="1"/>
  <c r="A1228" i="6"/>
  <c r="D1223" i="6" l="1"/>
  <c r="D1224" i="6"/>
  <c r="D1225" i="6"/>
  <c r="D1226" i="6"/>
  <c r="D1227" i="6"/>
  <c r="A1223" i="6"/>
  <c r="A1224" i="6"/>
  <c r="A1225" i="6" s="1"/>
  <c r="A1226" i="6" s="1"/>
  <c r="A1227" i="6" s="1"/>
  <c r="J189" i="5" l="1"/>
  <c r="J188" i="5" l="1"/>
  <c r="J187" i="5" l="1"/>
  <c r="J186" i="5" l="1"/>
  <c r="J185" i="5" l="1"/>
  <c r="J184" i="5" l="1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D1091" i="6" l="1"/>
  <c r="A1092" i="6"/>
  <c r="A1093" i="6" l="1"/>
  <c r="D1092" i="6"/>
  <c r="A1094" i="6" l="1"/>
  <c r="D1093" i="6"/>
  <c r="A1095" i="6" l="1"/>
  <c r="D1094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D1129" i="6" l="1"/>
  <c r="A1130" i="6"/>
  <c r="A1131" i="6" l="1"/>
  <c r="D1130" i="6"/>
  <c r="A1132" i="6" l="1"/>
  <c r="D1131" i="6"/>
  <c r="A1133" i="6" l="1"/>
  <c r="D1132" i="6"/>
  <c r="A1134" i="6" l="1"/>
  <c r="D1133" i="6"/>
  <c r="A1135" i="6" l="1"/>
  <c r="D1134" i="6"/>
  <c r="A1136" i="6" l="1"/>
  <c r="D1135" i="6"/>
  <c r="A1137" i="6" l="1"/>
  <c r="D1136" i="6"/>
  <c r="A1138" i="6" l="1"/>
  <c r="D1137" i="6"/>
  <c r="A1139" i="6" l="1"/>
  <c r="D1138" i="6"/>
  <c r="A1140" i="6" l="1"/>
  <c r="D1139" i="6"/>
  <c r="A1141" i="6" l="1"/>
  <c r="D1140" i="6"/>
  <c r="A1142" i="6" l="1"/>
  <c r="D1141" i="6"/>
  <c r="A1143" i="6" l="1"/>
  <c r="D1142" i="6"/>
  <c r="A1144" i="6" l="1"/>
  <c r="D1143" i="6"/>
  <c r="A1145" i="6" l="1"/>
  <c r="D1144" i="6"/>
  <c r="A1146" i="6" l="1"/>
  <c r="D1145" i="6"/>
  <c r="A1147" i="6" l="1"/>
  <c r="D1146" i="6"/>
  <c r="A1148" i="6" l="1"/>
  <c r="D1147" i="6"/>
  <c r="A1149" i="6" l="1"/>
  <c r="D1148" i="6"/>
  <c r="A1150" i="6" l="1"/>
  <c r="D1149" i="6"/>
  <c r="D1150" i="6" l="1"/>
  <c r="A1151" i="6"/>
  <c r="A1152" i="6" l="1"/>
  <c r="D1151" i="6"/>
  <c r="A1153" i="6" l="1"/>
  <c r="D1152" i="6"/>
  <c r="A1154" i="6" l="1"/>
  <c r="D1153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2" i="6" s="1"/>
  <c r="D1221" i="6"/>
</calcChain>
</file>

<file path=xl/sharedStrings.xml><?xml version="1.0" encoding="utf-8"?>
<sst xmlns="http://schemas.openxmlformats.org/spreadsheetml/2006/main" count="1015" uniqueCount="1010">
  <si>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</si>
  <si>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</si>
  <si>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</si>
  <si>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</si>
  <si>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</si>
  <si>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</si>
  <si>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</si>
  <si>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</si>
  <si>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</si>
  <si>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</si>
  <si>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</si>
  <si>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</si>
  <si>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</si>
  <si>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</si>
  <si>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</si>
  <si>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</si>
  <si>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</si>
  <si>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</si>
  <si>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</si>
  <si>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</si>
  <si>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</si>
  <si>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</si>
  <si>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</si>
  <si>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</si>
  <si>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</si>
  <si>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</si>
  <si>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</si>
  <si>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</si>
  <si>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</si>
  <si>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</si>
  <si>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</si>
  <si>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</si>
  <si>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</si>
  <si>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</si>
  <si>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</si>
  <si>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</si>
  <si>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</si>
  <si>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</si>
  <si>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</si>
  <si>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</si>
  <si>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</si>
  <si>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</si>
  <si>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</si>
  <si>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</si>
  <si>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</si>
  <si>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</si>
  <si>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</si>
  <si>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</si>
  <si>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</si>
  <si>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</si>
  <si>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</si>
  <si>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</si>
  <si>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</si>
  <si>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</si>
  <si>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</si>
  <si>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</si>
  <si>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</si>
  <si>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</si>
  <si>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</si>
  <si>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</si>
  <si>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</si>
  <si>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</si>
  <si>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</si>
  <si>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</si>
  <si>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</si>
  <si>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</si>
  <si>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</si>
  <si>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</si>
  <si>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</si>
  <si>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</si>
  <si>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</si>
  <si>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</si>
  <si>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</si>
  <si>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</si>
  <si>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</si>
  <si>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</si>
  <si>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</si>
  <si>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</si>
  <si>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</si>
  <si>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</si>
  <si>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</si>
  <si>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</si>
  <si>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</si>
  <si>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</si>
  <si>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</si>
  <si>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</si>
  <si>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</si>
  <si>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</si>
  <si>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</si>
  <si>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</si>
  <si>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</si>
  <si>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</si>
  <si>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</si>
  <si>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</si>
  <si>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</si>
  <si>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</si>
  <si>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</si>
  <si>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</si>
  <si>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</si>
  <si>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</si>
  <si>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</si>
  <si>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</si>
  <si>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</si>
  <si>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</si>
  <si>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</si>
  <si>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</si>
  <si>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</si>
  <si>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</si>
  <si>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</si>
  <si>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</si>
  <si>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</si>
  <si>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</si>
  <si>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</si>
  <si>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</si>
  <si>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</si>
  <si>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</si>
  <si>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</si>
  <si>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</si>
  <si>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</si>
  <si>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</si>
  <si>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</si>
  <si>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</si>
  <si>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</si>
  <si>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</si>
  <si>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</si>
  <si>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</si>
  <si>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</si>
  <si>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</si>
  <si>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</si>
  <si>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</si>
  <si>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</si>
  <si>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</si>
  <si>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</si>
  <si>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</si>
  <si>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</si>
  <si>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</si>
  <si>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</si>
  <si>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</si>
  <si>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</si>
  <si>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</si>
  <si>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</si>
  <si>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</si>
  <si>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</si>
  <si>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</si>
  <si>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</si>
  <si>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</si>
  <si>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</si>
  <si>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</si>
  <si>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</si>
  <si>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</si>
  <si>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</si>
  <si>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</si>
  <si>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</si>
  <si>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</si>
  <si>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</si>
  <si>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</si>
  <si>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</si>
  <si>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</si>
  <si>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</si>
  <si>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</si>
  <si>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</si>
  <si>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</si>
  <si>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</si>
  <si>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</si>
  <si>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</si>
  <si>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</si>
  <si>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</si>
  <si>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</si>
  <si>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</si>
  <si>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</si>
  <si>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</si>
  <si>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</si>
  <si>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</si>
  <si>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</si>
  <si>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</si>
  <si>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</si>
  <si>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</si>
  <si>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</si>
  <si>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</si>
  <si>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</si>
  <si>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</si>
  <si>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</si>
  <si>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>date</t>
  </si>
  <si>
    <t>CNI ESG300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</si>
  <si>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</si>
  <si>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</si>
  <si>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</si>
  <si>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</si>
  <si>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</si>
  <si>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</si>
  <si>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</si>
  <si>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</si>
  <si>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</si>
  <si>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</si>
  <si>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unit：yuan</t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</si>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</sst>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90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  <c:pt idx="189">
                  <c:v>46203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90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  <c:pt idx="184">
                  <c:v>370000</c:v>
                </c:pt>
                <c:pt idx="185">
                  <c:v>372000</c:v>
                </c:pt>
                <c:pt idx="186">
                  <c:v>374000</c:v>
                </c:pt>
                <c:pt idx="187">
                  <c:v>376000</c:v>
                </c:pt>
                <c:pt idx="188">
                  <c:v>378000</c:v>
                </c:pt>
                <c:pt idx="189">
                  <c:v>380000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90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  <c:pt idx="189">
                  <c:v>46203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90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  <c:pt idx="184">
                  <c:v>612657.55549572455</c:v>
                </c:pt>
                <c:pt idx="185">
                  <c:v>615439.812291938</c:v>
                </c:pt>
                <c:pt idx="186">
                  <c:v>583459.30829098867</c:v>
                </c:pt>
                <c:pt idx="187">
                  <c:v>628481.38113592926</c:v>
                </c:pt>
                <c:pt idx="188">
                  <c:v>635142.02797835518</c:v>
                </c:pt>
                <c:pt idx="189">
                  <c:v>636986.42578638019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90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  <c:pt idx="189">
                  <c:v>46203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90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  <c:pt idx="184">
                  <c:v>242657.55549572455</c:v>
                </c:pt>
                <c:pt idx="185">
                  <c:v>243439.812291938</c:v>
                </c:pt>
                <c:pt idx="186">
                  <c:v>209459.30829098867</c:v>
                </c:pt>
                <c:pt idx="187">
                  <c:v>252481.38113592926</c:v>
                </c:pt>
                <c:pt idx="188">
                  <c:v>257142.02797835518</c:v>
                </c:pt>
                <c:pt idx="189">
                  <c:v>256986.42578638019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6791808"/>
        <c:axId val="470369792"/>
      </c:lineChart>
      <c:dateAx>
        <c:axId val="4667918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369792"/>
        <c:crosses val="autoZero"/>
        <c:auto val="1"/>
        <c:lblOffset val="100"/>
        <c:baseTimeUnit val="days"/>
      </c:dateAx>
      <c:valAx>
        <c:axId val="470369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6791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92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182</v>
      </c>
      <c r="B1" s="33" t="s">
        <v>183</v>
      </c>
      <c r="C1" s="12" t="s">
        <v>184</v>
      </c>
      <c r="D1" s="12" t="s">
        <v>185</v>
      </c>
      <c r="E1" s="12" t="s">
        <v>186</v>
      </c>
      <c r="F1" s="12" t="s">
        <v>187</v>
      </c>
      <c r="G1" s="34" t="s">
        <v>188</v>
      </c>
      <c r="H1" s="11" t="s">
        <v>189</v>
      </c>
      <c r="I1" s="33" t="s">
        <v>190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194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182</v>
      </c>
      <c r="M3" s="36" t="s">
        <v>191</v>
      </c>
      <c r="N3" s="36" t="s">
        <v>188</v>
      </c>
      <c r="O3" s="36" t="s">
        <v>189</v>
      </c>
      <c r="P3" s="36" t="s">
        <v>190</v>
      </c>
      <c r="Q3" s="36" t="s">
        <v>192</v>
      </c>
      <c r="R3" s="36" t="s">
        <v>193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  <row r="187" spans="1:10" ht="12.75">
      <c r="A187" s="13">
        <v>46052</v>
      </c>
      <c r="B187" s="14">
        <v>2.9878330078125002</v>
      </c>
      <c r="C187" s="15">
        <v>2000</v>
      </c>
      <c r="D187" s="16">
        <v>669.38145296957941</v>
      </c>
      <c r="E187" s="16">
        <v>205050.80233525939</v>
      </c>
      <c r="F187" s="16">
        <v>612657.55549572455</v>
      </c>
      <c r="G187" s="16">
        <v>370000</v>
      </c>
      <c r="H187" s="16">
        <v>612657.55549572455</v>
      </c>
      <c r="I187" s="16">
        <v>242657.55549572455</v>
      </c>
      <c r="J187" s="31">
        <f>VLOOKUP(A187,myPEPB!B:C,2)</f>
        <v>15.68999958</v>
      </c>
    </row>
    <row r="188" spans="1:10" ht="12.75">
      <c r="A188" s="13">
        <v>46080</v>
      </c>
      <c r="B188" s="14">
        <v>2.9916479492187502</v>
      </c>
      <c r="C188" s="15">
        <v>2000</v>
      </c>
      <c r="D188" s="16">
        <v>668.52785954386354</v>
      </c>
      <c r="E188" s="16">
        <v>205719.33019480325</v>
      </c>
      <c r="F188" s="16">
        <v>615439.812291938</v>
      </c>
      <c r="G188" s="16">
        <v>372000</v>
      </c>
      <c r="H188" s="16">
        <v>615439.812291938</v>
      </c>
      <c r="I188" s="16">
        <v>243439.812291938</v>
      </c>
      <c r="J188" s="31">
        <f>VLOOKUP(A188,myPEPB!B:C,2)</f>
        <v>15.64000034</v>
      </c>
    </row>
    <row r="189" spans="1:10" ht="12.75">
      <c r="A189" s="13">
        <v>46112</v>
      </c>
      <c r="B189" s="14">
        <v>2.8264689941406251</v>
      </c>
      <c r="C189" s="15">
        <v>2000</v>
      </c>
      <c r="D189" s="16">
        <v>707.59665297799972</v>
      </c>
      <c r="E189" s="16">
        <v>206426.92684778126</v>
      </c>
      <c r="F189" s="16">
        <v>583459.30829098867</v>
      </c>
      <c r="G189" s="16">
        <v>374000</v>
      </c>
      <c r="H189" s="16">
        <v>583459.30829098867</v>
      </c>
      <c r="I189" s="16">
        <v>209459.30829098867</v>
      </c>
      <c r="J189" s="31">
        <f>VLOOKUP(A189,myPEPB!B:C,2)</f>
        <v>15.079999920000001</v>
      </c>
    </row>
    <row r="190" spans="1:10" ht="12.75">
      <c r="A190" s="13">
        <v>46142</v>
      </c>
      <c r="B190" s="14">
        <v>3.0348820800781251</v>
      </c>
      <c r="C190" s="15">
        <v>2000</v>
      </c>
      <c r="D190" s="16">
        <v>659.00418771740715</v>
      </c>
      <c r="E190" s="16">
        <v>207085.93103549865</v>
      </c>
      <c r="F190" s="16">
        <v>628481.38113592926</v>
      </c>
      <c r="G190" s="16">
        <v>376000</v>
      </c>
      <c r="H190" s="16">
        <v>628481.38113592926</v>
      </c>
      <c r="I190" s="16">
        <v>252481.38113592926</v>
      </c>
      <c r="J190" s="31">
        <f>VLOOKUP(A190,myPEPB!B:C,2)</f>
        <v>15.90999985</v>
      </c>
    </row>
    <row r="191" spans="1:10" ht="12.75">
      <c r="A191" s="13">
        <v>46171</v>
      </c>
      <c r="B191" s="14">
        <v>3.0573879394531249</v>
      </c>
      <c r="C191" s="15">
        <v>2000</v>
      </c>
      <c r="D191" s="16">
        <v>654.15316590728094</v>
      </c>
      <c r="E191" s="16">
        <v>207740.08420140593</v>
      </c>
      <c r="F191" s="16">
        <v>635142.02797835518</v>
      </c>
      <c r="G191" s="16">
        <v>378000</v>
      </c>
      <c r="H191" s="16">
        <v>635142.02797835518</v>
      </c>
      <c r="I191" s="16">
        <v>257142.02797835518</v>
      </c>
      <c r="J191" s="31">
        <f>VLOOKUP(A191,myPEPB!B:C,2)</f>
        <v>15.93999958</v>
      </c>
    </row>
    <row r="192" spans="1:10" ht="12.75">
      <c r="A192" s="13">
        <v>46203</v>
      </c>
      <c r="B192" s="14">
        <v>3.0566389160156251</v>
      </c>
      <c r="C192" s="15">
        <v>2000</v>
      </c>
      <c r="D192" s="16">
        <v>654.31346487174551</v>
      </c>
      <c r="E192" s="16">
        <v>208394.39766627768</v>
      </c>
      <c r="F192" s="16">
        <v>636986.42578638019</v>
      </c>
      <c r="G192" s="16">
        <v>380000</v>
      </c>
      <c r="H192" s="16">
        <v>636986.42578638019</v>
      </c>
      <c r="I192" s="16">
        <v>256986.42578638019</v>
      </c>
      <c r="J192" s="31">
        <f>VLOOKUP(A192,myPEPB!B:C,2)</f>
        <v>16.190000529999999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67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195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196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197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198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199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200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201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202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203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204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205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206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207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208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209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210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211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212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213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214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215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216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217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218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219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220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221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222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223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224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225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226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227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228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229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230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231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232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233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234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235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236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237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238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239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240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241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242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243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244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245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246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247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248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249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250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251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252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253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254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255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256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257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258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259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260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261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262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263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264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265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266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267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268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269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270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271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272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273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274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275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276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277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278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279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280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281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282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283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284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285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286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287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288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289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290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291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292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293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294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295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296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297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298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299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300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301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302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303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304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305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306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307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308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309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310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311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312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313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314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315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316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317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318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319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320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321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322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323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324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325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326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327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328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329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330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331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332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333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334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335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336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337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338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339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340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341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342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343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344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345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346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347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348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349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350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351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352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353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354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355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356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357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358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359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360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361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362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363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364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365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366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367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368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369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370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371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372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373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374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375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376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377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378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379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380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381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382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383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384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385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386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387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388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389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390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391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392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393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394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395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396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397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398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399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400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401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402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403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404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405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406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407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408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409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410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411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412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413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414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415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416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417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418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419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420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421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422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423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424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425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426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427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428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429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430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431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432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433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434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435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436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437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438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439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440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441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442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443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444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445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446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447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448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449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450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451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452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453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454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455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456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457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458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459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460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461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462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463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464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465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466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467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468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469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470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471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472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473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474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475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476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477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478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479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480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481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482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483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484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485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486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487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488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489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490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491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492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493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494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495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496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497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498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499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500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501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502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503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504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505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506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507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508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509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510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511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512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513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514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515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516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517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518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519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520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521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522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523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524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525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526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527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528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529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530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531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532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533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534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535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536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537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538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539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540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541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542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543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544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545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546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547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548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549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550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551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552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553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554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555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556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557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558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559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560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561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562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563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564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565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566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567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568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569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570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571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572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573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574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575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576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577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578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579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580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581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582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583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584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585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586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587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588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589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590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591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592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593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594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595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596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597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598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599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600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601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602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603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604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605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606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607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608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609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610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611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612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613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614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615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616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617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618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619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620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621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622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623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624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625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626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627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628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629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630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631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632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633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634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635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636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637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638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639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640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641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642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643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644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645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646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647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648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649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650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651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652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653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654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655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656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657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658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659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660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661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662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663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664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665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666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667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668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669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670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671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672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673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674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675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676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677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678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679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680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681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682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683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684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685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686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687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688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689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690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691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692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693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694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695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696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697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698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699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700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701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702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703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704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705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706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707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708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709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710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711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712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713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714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715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716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717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718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719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720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721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722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723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724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725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726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727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728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729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730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731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732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733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734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735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736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737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738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739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740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741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742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743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744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745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746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747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748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749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750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751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752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753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754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755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756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757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758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759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760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761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762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763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764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765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766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767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768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769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770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771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772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773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774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775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776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777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778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779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780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781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782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783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784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785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786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787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788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789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790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791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792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793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794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795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796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797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798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799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800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801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802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803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804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805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806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807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808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809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810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811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812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813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814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815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816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817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818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819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820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821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822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823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824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825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826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827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828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829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830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831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832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833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834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835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836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837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838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839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840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841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842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843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844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845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846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847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848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849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850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851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852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853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854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855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856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857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858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859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860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861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862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863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864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865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866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867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868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869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870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871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872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873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874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875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876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877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878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879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880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881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882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883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884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885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886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887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888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889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890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891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892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893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894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895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896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897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898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899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900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901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902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903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904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905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223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  <row r="1152" spans="1:4">
      <c r="A1152" s="17">
        <f t="shared" si="8"/>
        <v>1150</v>
      </c>
      <c r="B1152" s="37" t="s">
        <v>906</v>
      </c>
      <c r="C1152" s="38">
        <v>15.729999542236328</v>
      </c>
      <c r="D1152" s="17">
        <f>SUM(C$3:C1152)/A1152</f>
        <v>12.353742441007272</v>
      </c>
    </row>
    <row r="1153" spans="1:4">
      <c r="A1153" s="17">
        <f t="shared" si="8"/>
        <v>1151</v>
      </c>
      <c r="B1153" s="37" t="s">
        <v>907</v>
      </c>
      <c r="C1153" s="38">
        <v>15.949999809265137</v>
      </c>
      <c r="D1153" s="17">
        <f>SUM(C$3:C1153)/A1153</f>
        <v>12.356866904402805</v>
      </c>
    </row>
    <row r="1154" spans="1:4">
      <c r="A1154" s="17">
        <f t="shared" si="8"/>
        <v>1152</v>
      </c>
      <c r="B1154" s="37" t="s">
        <v>908</v>
      </c>
      <c r="C1154" s="38">
        <v>15.880000114440918</v>
      </c>
      <c r="D1154" s="17">
        <f>SUM(C$3:C1154)/A1154</f>
        <v>12.35992517975874</v>
      </c>
    </row>
    <row r="1155" spans="1:4">
      <c r="A1155" s="17">
        <f t="shared" si="8"/>
        <v>1153</v>
      </c>
      <c r="B1155" s="37" t="s">
        <v>909</v>
      </c>
      <c r="C1155" s="38">
        <v>15.760000228881836</v>
      </c>
      <c r="D1155" s="17">
        <f>SUM(C$3:C1155)/A1155</f>
        <v>12.362874073990417</v>
      </c>
    </row>
    <row r="1156" spans="1:4">
      <c r="A1156" s="17">
        <f t="shared" si="8"/>
        <v>1154</v>
      </c>
      <c r="B1156" s="37" t="s">
        <v>910</v>
      </c>
      <c r="C1156" s="38">
        <v>15.850000381469727</v>
      </c>
      <c r="D1156" s="17">
        <f>SUM(C$3:C1156)/A1156</f>
        <v>12.365895847220468</v>
      </c>
    </row>
    <row r="1157" spans="1:4">
      <c r="A1157" s="17">
        <f t="shared" si="8"/>
        <v>1155</v>
      </c>
      <c r="B1157" s="37" t="s">
        <v>911</v>
      </c>
      <c r="C1157" s="38">
        <v>15.920000076293945</v>
      </c>
      <c r="D1157" s="17">
        <f>SUM(C$3:C1157)/A1157</f>
        <v>12.368972993739147</v>
      </c>
    </row>
    <row r="1158" spans="1:4">
      <c r="A1158" s="17">
        <f t="shared" si="8"/>
        <v>1156</v>
      </c>
      <c r="B1158" s="37" t="s">
        <v>912</v>
      </c>
      <c r="C1158" s="38">
        <v>15.869999885559082</v>
      </c>
      <c r="D1158" s="17">
        <f>SUM(C$3:C1158)/A1158</f>
        <v>12.37200156371477</v>
      </c>
    </row>
    <row r="1159" spans="1:4">
      <c r="A1159" s="17">
        <f t="shared" si="8"/>
        <v>1157</v>
      </c>
      <c r="B1159" s="37" t="s">
        <v>913</v>
      </c>
      <c r="C1159" s="38">
        <v>15.770000457763672</v>
      </c>
      <c r="D1159" s="17">
        <f>SUM(C$3:C1159)/A1159</f>
        <v>12.374938468549731</v>
      </c>
    </row>
    <row r="1160" spans="1:4">
      <c r="A1160" s="17">
        <f t="shared" si="8"/>
        <v>1158</v>
      </c>
      <c r="B1160" s="37" t="s">
        <v>914</v>
      </c>
      <c r="C1160" s="38">
        <v>15.779999732971191</v>
      </c>
      <c r="D1160" s="17">
        <f>SUM(C$3:C1160)/A1160</f>
        <v>12.377878935962874</v>
      </c>
    </row>
    <row r="1161" spans="1:4">
      <c r="A1161" s="17">
        <f t="shared" si="8"/>
        <v>1159</v>
      </c>
      <c r="B1161" s="37" t="s">
        <v>915</v>
      </c>
      <c r="C1161" s="38">
        <v>15.699999809265137</v>
      </c>
      <c r="D1161" s="17">
        <f>SUM(C$3:C1161)/A1161</f>
        <v>12.38074530427461</v>
      </c>
    </row>
    <row r="1162" spans="1:4">
      <c r="A1162" s="17">
        <f t="shared" si="8"/>
        <v>1160</v>
      </c>
      <c r="B1162" s="37" t="s">
        <v>916</v>
      </c>
      <c r="C1162" s="38">
        <v>15.710000038146973</v>
      </c>
      <c r="D1162" s="17">
        <f>SUM(C$3:C1162)/A1162</f>
        <v>12.383615351458984</v>
      </c>
    </row>
    <row r="1163" spans="1:4">
      <c r="A1163" s="17">
        <f t="shared" si="8"/>
        <v>1161</v>
      </c>
      <c r="B1163" s="37" t="s">
        <v>917</v>
      </c>
      <c r="C1163" s="38">
        <v>15.710000038146973</v>
      </c>
      <c r="D1163" s="17">
        <f>SUM(C$3:C1163)/A1163</f>
        <v>12.386480454548293</v>
      </c>
    </row>
    <row r="1164" spans="1:4">
      <c r="A1164" s="17">
        <f t="shared" si="8"/>
        <v>1162</v>
      </c>
      <c r="B1164" s="37" t="s">
        <v>918</v>
      </c>
      <c r="C1164" s="38">
        <v>15.659999847412109</v>
      </c>
      <c r="D1164" s="17">
        <f>SUM(C$3:C1164)/A1164</f>
        <v>12.389297596882944</v>
      </c>
    </row>
    <row r="1165" spans="1:4">
      <c r="A1165" s="17">
        <f t="shared" si="8"/>
        <v>1163</v>
      </c>
      <c r="B1165" s="37" t="s">
        <v>919</v>
      </c>
      <c r="C1165" s="38">
        <v>15.659999847412109</v>
      </c>
      <c r="D1165" s="17">
        <f>SUM(C$3:C1165)/A1165</f>
        <v>12.392109894604808</v>
      </c>
    </row>
    <row r="1166" spans="1:4">
      <c r="A1166" s="17">
        <f t="shared" si="8"/>
        <v>1164</v>
      </c>
      <c r="B1166" s="37" t="s">
        <v>920</v>
      </c>
      <c r="C1166" s="38">
        <v>15.600000381469727</v>
      </c>
      <c r="D1166" s="17">
        <f>SUM(C$3:C1166)/A1166</f>
        <v>12.394865814267064</v>
      </c>
    </row>
    <row r="1167" spans="1:4">
      <c r="A1167" s="17">
        <f t="shared" si="8"/>
        <v>1165</v>
      </c>
      <c r="B1167" s="37" t="s">
        <v>921</v>
      </c>
      <c r="C1167" s="38">
        <v>15.670000076293945</v>
      </c>
      <c r="D1167" s="17">
        <f>SUM(C$3:C1167)/A1167</f>
        <v>12.397677088311722</v>
      </c>
    </row>
    <row r="1168" spans="1:4">
      <c r="A1168" s="17">
        <f t="shared" si="8"/>
        <v>1166</v>
      </c>
      <c r="B1168" s="37" t="s">
        <v>922</v>
      </c>
      <c r="C1168" s="38">
        <v>15.680000305175781</v>
      </c>
      <c r="D1168" s="17">
        <f>SUM(C$3:C1168)/A1168</f>
        <v>12.400492116799597</v>
      </c>
    </row>
    <row r="1169" spans="1:4">
      <c r="A1169" s="17">
        <f t="shared" si="8"/>
        <v>1167</v>
      </c>
      <c r="B1169" s="37" t="s">
        <v>923</v>
      </c>
      <c r="C1169" s="38">
        <v>15.720000267028809</v>
      </c>
      <c r="D1169" s="17">
        <f>SUM(C$3:C1169)/A1169</f>
        <v>12.403336596791226</v>
      </c>
    </row>
    <row r="1170" spans="1:4">
      <c r="A1170" s="17">
        <f t="shared" si="8"/>
        <v>1168</v>
      </c>
      <c r="B1170" s="37">
        <v>46051</v>
      </c>
      <c r="C1170" s="38">
        <v>15.829999923706055</v>
      </c>
      <c r="D1170" s="17">
        <f>SUM(C$3:C1170)/A1170</f>
        <v>12.406270383886188</v>
      </c>
    </row>
    <row r="1171" spans="1:4">
      <c r="A1171" s="17">
        <f t="shared" si="8"/>
        <v>1169</v>
      </c>
      <c r="B1171" s="37">
        <v>46052</v>
      </c>
      <c r="C1171" s="38">
        <v>15.68999958</v>
      </c>
      <c r="D1171" s="17">
        <f>SUM(C$3:C1171)/A1171</f>
        <v>12.409079390897405</v>
      </c>
    </row>
    <row r="1172" spans="1:4">
      <c r="A1172" s="17">
        <f t="shared" si="8"/>
        <v>1170</v>
      </c>
      <c r="B1172" s="37" t="s">
        <v>924</v>
      </c>
      <c r="C1172" s="38">
        <v>15.35999966</v>
      </c>
      <c r="D1172" s="17">
        <f>SUM(C$3:C1172)/A1172</f>
        <v>12.411601544973561</v>
      </c>
    </row>
    <row r="1173" spans="1:4">
      <c r="A1173" s="17">
        <f t="shared" si="8"/>
        <v>1171</v>
      </c>
      <c r="B1173" s="37" t="s">
        <v>925</v>
      </c>
      <c r="C1173" s="38">
        <v>15.52000046</v>
      </c>
      <c r="D1173" s="17">
        <f>SUM(C$3:C1173)/A1173</f>
        <v>12.414256027394591</v>
      </c>
    </row>
    <row r="1174" spans="1:4">
      <c r="A1174" s="17">
        <f t="shared" si="8"/>
        <v>1172</v>
      </c>
      <c r="B1174" s="37" t="s">
        <v>926</v>
      </c>
      <c r="C1174" s="38">
        <v>15.68999958</v>
      </c>
      <c r="D1174" s="17">
        <f>SUM(C$3:C1174)/A1174</f>
        <v>12.417051030425824</v>
      </c>
    </row>
    <row r="1175" spans="1:4">
      <c r="A1175" s="17">
        <f t="shared" si="8"/>
        <v>1173</v>
      </c>
      <c r="B1175" s="37" t="s">
        <v>927</v>
      </c>
      <c r="C1175" s="38">
        <v>15.600000380000001</v>
      </c>
      <c r="D1175" s="17">
        <f>SUM(C$3:C1175)/A1175</f>
        <v>12.419764542232793</v>
      </c>
    </row>
    <row r="1176" spans="1:4">
      <c r="A1176" s="17">
        <f t="shared" si="8"/>
        <v>1174</v>
      </c>
      <c r="B1176" s="37" t="s">
        <v>928</v>
      </c>
      <c r="C1176" s="38">
        <v>15.56999969</v>
      </c>
      <c r="D1176" s="17">
        <f>SUM(C$3:C1176)/A1176</f>
        <v>12.42244787711164</v>
      </c>
    </row>
    <row r="1177" spans="1:4">
      <c r="A1177" s="17">
        <f t="shared" si="8"/>
        <v>1175</v>
      </c>
      <c r="B1177" s="37" t="s">
        <v>929</v>
      </c>
      <c r="C1177" s="38">
        <v>15.760000229999999</v>
      </c>
      <c r="D1177" s="17">
        <f>SUM(C$3:C1177)/A1177</f>
        <v>12.425288347199205</v>
      </c>
    </row>
    <row r="1178" spans="1:4">
      <c r="A1178" s="17">
        <f t="shared" si="8"/>
        <v>1176</v>
      </c>
      <c r="B1178" s="37" t="s">
        <v>930</v>
      </c>
      <c r="C1178" s="38">
        <v>15.760000229999999</v>
      </c>
      <c r="D1178" s="17">
        <f>SUM(C$3:C1178)/A1178</f>
        <v>12.428123986555329</v>
      </c>
    </row>
    <row r="1179" spans="1:4">
      <c r="A1179" s="17">
        <f t="shared" si="8"/>
        <v>1177</v>
      </c>
      <c r="B1179" s="37" t="s">
        <v>931</v>
      </c>
      <c r="C1179" s="38">
        <v>15.77000046</v>
      </c>
      <c r="D1179" s="17">
        <f>SUM(C$3:C1179)/A1179</f>
        <v>12.430963303864967</v>
      </c>
    </row>
    <row r="1180" spans="1:4">
      <c r="A1180" s="17">
        <f t="shared" si="8"/>
        <v>1178</v>
      </c>
      <c r="B1180" s="37" t="s">
        <v>932</v>
      </c>
      <c r="C1180" s="38">
        <v>15.77000046</v>
      </c>
      <c r="D1180" s="17">
        <f>SUM(C$3:C1180)/A1180</f>
        <v>12.433797800601923</v>
      </c>
    </row>
    <row r="1181" spans="1:4">
      <c r="A1181" s="17">
        <f t="shared" si="8"/>
        <v>1179</v>
      </c>
      <c r="B1181" s="37" t="s">
        <v>933</v>
      </c>
      <c r="C1181" s="38">
        <v>15.510000229999999</v>
      </c>
      <c r="D1181" s="17">
        <f>SUM(C$3:C1181)/A1181</f>
        <v>12.436406962967824</v>
      </c>
    </row>
    <row r="1182" spans="1:4">
      <c r="A1182" s="17">
        <f t="shared" si="8"/>
        <v>1180</v>
      </c>
      <c r="B1182" s="37" t="s">
        <v>934</v>
      </c>
      <c r="C1182" s="38">
        <v>15.670000079999999</v>
      </c>
      <c r="D1182" s="17">
        <f>SUM(C$3:C1182)/A1182</f>
        <v>12.439147296117852</v>
      </c>
    </row>
    <row r="1183" spans="1:4">
      <c r="A1183" s="17">
        <f t="shared" si="8"/>
        <v>1181</v>
      </c>
      <c r="B1183" s="37" t="s">
        <v>935</v>
      </c>
      <c r="C1183" s="38">
        <v>15.739999770000001</v>
      </c>
      <c r="D1183" s="17">
        <f>SUM(C$3:C1183)/A1183</f>
        <v>12.441942260109284</v>
      </c>
    </row>
    <row r="1184" spans="1:4">
      <c r="A1184" s="17">
        <f t="shared" si="8"/>
        <v>1182</v>
      </c>
      <c r="B1184" s="37">
        <v>46079</v>
      </c>
      <c r="C1184" s="38">
        <v>15.670000079999999</v>
      </c>
      <c r="D1184" s="17">
        <f>SUM(C$3:C1184)/A1184</f>
        <v>12.444673273493285</v>
      </c>
    </row>
    <row r="1185" spans="1:4">
      <c r="A1185" s="17">
        <f t="shared" si="8"/>
        <v>1183</v>
      </c>
      <c r="B1185" s="37">
        <v>46080</v>
      </c>
      <c r="C1185" s="38">
        <v>15.64000034</v>
      </c>
      <c r="D1185" s="17">
        <f>SUM(C$3:C1185)/A1185</f>
        <v>12.447374310743079</v>
      </c>
    </row>
    <row r="1186" spans="1:4">
      <c r="A1186" s="17">
        <f t="shared" si="8"/>
        <v>1184</v>
      </c>
      <c r="B1186" s="37" t="s">
        <v>936</v>
      </c>
      <c r="C1186" s="38">
        <v>15.80000019</v>
      </c>
      <c r="D1186" s="17">
        <f>SUM(C$3:C1186)/A1186</f>
        <v>12.450205920438398</v>
      </c>
    </row>
    <row r="1187" spans="1:4">
      <c r="A1187" s="17">
        <f t="shared" si="8"/>
        <v>1185</v>
      </c>
      <c r="B1187" s="37" t="s">
        <v>937</v>
      </c>
      <c r="C1187" s="38">
        <v>15.760000229999999</v>
      </c>
      <c r="D1187" s="17">
        <f>SUM(C$3:C1187)/A1187</f>
        <v>12.452998995805117</v>
      </c>
    </row>
    <row r="1188" spans="1:4">
      <c r="A1188" s="17">
        <f t="shared" si="8"/>
        <v>1186</v>
      </c>
      <c r="B1188" s="37" t="s">
        <v>938</v>
      </c>
      <c r="C1188" s="38">
        <v>15.579999920000001</v>
      </c>
      <c r="D1188" s="17">
        <f>SUM(C$3:C1188)/A1188</f>
        <v>12.455635590176277</v>
      </c>
    </row>
    <row r="1189" spans="1:4">
      <c r="A1189" s="17">
        <f t="shared" si="8"/>
        <v>1187</v>
      </c>
      <c r="B1189" s="37" t="s">
        <v>939</v>
      </c>
      <c r="C1189" s="38">
        <v>15.649999619999999</v>
      </c>
      <c r="D1189" s="17">
        <f>SUM(C$3:C1189)/A1189</f>
        <v>12.45832671404302</v>
      </c>
    </row>
    <row r="1190" spans="1:4">
      <c r="A1190" s="17">
        <f t="shared" si="8"/>
        <v>1188</v>
      </c>
      <c r="B1190" s="37" t="s">
        <v>940</v>
      </c>
      <c r="C1190" s="38">
        <v>15.65999985</v>
      </c>
      <c r="D1190" s="17">
        <f>SUM(C$3:C1190)/A1190</f>
        <v>12.461021725100222</v>
      </c>
    </row>
    <row r="1191" spans="1:4">
      <c r="A1191" s="17">
        <f t="shared" si="8"/>
        <v>1189</v>
      </c>
      <c r="B1191" s="37" t="s">
        <v>941</v>
      </c>
      <c r="C1191" s="38">
        <v>15.579999920000001</v>
      </c>
      <c r="D1191" s="17">
        <f>SUM(C$3:C1191)/A1191</f>
        <v>12.46364491954505</v>
      </c>
    </row>
    <row r="1192" spans="1:4">
      <c r="A1192" s="17">
        <f t="shared" si="8"/>
        <v>1190</v>
      </c>
      <c r="B1192" s="37" t="s">
        <v>942</v>
      </c>
      <c r="C1192" s="38">
        <v>15.579999920000001</v>
      </c>
      <c r="D1192" s="17">
        <f>SUM(C$3:C1192)/A1192</f>
        <v>12.466263705259719</v>
      </c>
    </row>
    <row r="1193" spans="1:4">
      <c r="A1193" s="17">
        <f t="shared" si="8"/>
        <v>1191</v>
      </c>
      <c r="B1193" s="37" t="s">
        <v>943</v>
      </c>
      <c r="C1193" s="38">
        <v>15.81999969</v>
      </c>
      <c r="D1193" s="17">
        <f>SUM(C$3:C1193)/A1193</f>
        <v>12.46907960449124</v>
      </c>
    </row>
    <row r="1194" spans="1:4">
      <c r="A1194" s="17">
        <f t="shared" si="8"/>
        <v>1192</v>
      </c>
      <c r="B1194" s="37" t="s">
        <v>944</v>
      </c>
      <c r="C1194" s="38">
        <v>15.80000019</v>
      </c>
      <c r="D1194" s="17">
        <f>SUM(C$3:C1194)/A1194</f>
        <v>12.471874000955593</v>
      </c>
    </row>
    <row r="1195" spans="1:4">
      <c r="A1195" s="17">
        <f t="shared" si="8"/>
        <v>1193</v>
      </c>
      <c r="B1195" s="37" t="s">
        <v>945</v>
      </c>
      <c r="C1195" s="38">
        <v>15.72000027</v>
      </c>
      <c r="D1195" s="17">
        <f>SUM(C$3:C1195)/A1195</f>
        <v>12.474596654995025</v>
      </c>
    </row>
    <row r="1196" spans="1:4">
      <c r="A1196" s="17">
        <f t="shared" si="8"/>
        <v>1194</v>
      </c>
      <c r="B1196" s="37" t="s">
        <v>946</v>
      </c>
      <c r="C1196" s="38">
        <v>15.72999954</v>
      </c>
      <c r="D1196" s="17">
        <f>SUM(C$3:C1196)/A1196</f>
        <v>12.477323123072919</v>
      </c>
    </row>
    <row r="1197" spans="1:4">
      <c r="A1197" s="17">
        <f t="shared" si="8"/>
        <v>1195</v>
      </c>
      <c r="B1197" s="37" t="s">
        <v>947</v>
      </c>
      <c r="C1197" s="38">
        <v>15.64000034</v>
      </c>
      <c r="D1197" s="17">
        <f>SUM(C$3:C1197)/A1197</f>
        <v>12.479969714886247</v>
      </c>
    </row>
    <row r="1198" spans="1:4">
      <c r="A1198" s="17">
        <f t="shared" si="8"/>
        <v>1196</v>
      </c>
      <c r="B1198" s="37" t="s">
        <v>948</v>
      </c>
      <c r="C1198" s="38">
        <v>15.68000031</v>
      </c>
      <c r="D1198" s="17">
        <f>SUM(C$3:C1198)/A1198</f>
        <v>12.482645325751728</v>
      </c>
    </row>
    <row r="1199" spans="1:4">
      <c r="A1199" s="17">
        <f t="shared" si="8"/>
        <v>1197</v>
      </c>
      <c r="B1199" s="37" t="s">
        <v>949</v>
      </c>
      <c r="C1199" s="38">
        <v>15.5</v>
      </c>
      <c r="D1199" s="17">
        <f>SUM(C$3:C1199)/A1199</f>
        <v>12.485166089890615</v>
      </c>
    </row>
    <row r="1200" spans="1:4">
      <c r="A1200" s="17">
        <f t="shared" si="8"/>
        <v>1198</v>
      </c>
      <c r="B1200" s="37" t="s">
        <v>950</v>
      </c>
      <c r="C1200" s="38">
        <v>15.5</v>
      </c>
      <c r="D1200" s="17">
        <f>SUM(C$3:C1200)/A1200</f>
        <v>12.487682645742124</v>
      </c>
    </row>
    <row r="1201" spans="1:4">
      <c r="A1201" s="17">
        <f t="shared" si="8"/>
        <v>1199</v>
      </c>
      <c r="B1201" s="37" t="s">
        <v>951</v>
      </c>
      <c r="C1201" s="38">
        <v>14.94999981</v>
      </c>
      <c r="D1201" s="17">
        <f>SUM(C$3:C1201)/A1201</f>
        <v>12.489736288080955</v>
      </c>
    </row>
    <row r="1202" spans="1:4">
      <c r="A1202" s="17">
        <f t="shared" si="8"/>
        <v>1200</v>
      </c>
      <c r="B1202" s="37" t="s">
        <v>952</v>
      </c>
      <c r="C1202" s="38">
        <v>15.09000015</v>
      </c>
      <c r="D1202" s="17">
        <f>SUM(C$3:C1202)/A1202</f>
        <v>12.491903174632554</v>
      </c>
    </row>
    <row r="1203" spans="1:4">
      <c r="A1203" s="17">
        <f t="shared" si="8"/>
        <v>1201</v>
      </c>
      <c r="B1203" s="37" t="s">
        <v>953</v>
      </c>
      <c r="C1203" s="38">
        <v>15.260000229999999</v>
      </c>
      <c r="D1203" s="17">
        <f>SUM(C$3:C1203)/A1203</f>
        <v>12.494208001489646</v>
      </c>
    </row>
    <row r="1204" spans="1:4">
      <c r="A1204" s="17">
        <f t="shared" si="8"/>
        <v>1202</v>
      </c>
      <c r="B1204" s="37" t="s">
        <v>954</v>
      </c>
      <c r="C1204" s="38">
        <v>15.100000380000001</v>
      </c>
      <c r="D1204" s="17">
        <f>SUM(C$3:C1204)/A1204</f>
        <v>12.496375882004214</v>
      </c>
    </row>
    <row r="1205" spans="1:4">
      <c r="A1205" s="17">
        <f t="shared" si="8"/>
        <v>1203</v>
      </c>
      <c r="B1205" s="37" t="s">
        <v>955</v>
      </c>
      <c r="C1205" s="38">
        <v>15.18000031</v>
      </c>
      <c r="D1205" s="17">
        <f>SUM(C$3:C1205)/A1205</f>
        <v>12.49860665875234</v>
      </c>
    </row>
    <row r="1206" spans="1:4">
      <c r="A1206" s="17">
        <f t="shared" si="8"/>
        <v>1204</v>
      </c>
      <c r="B1206" s="37">
        <v>46111</v>
      </c>
      <c r="C1206" s="38">
        <v>15.18000031</v>
      </c>
      <c r="D1206" s="17">
        <f>SUM(C$3:C1206)/A1206</f>
        <v>12.50083372989125</v>
      </c>
    </row>
    <row r="1207" spans="1:4">
      <c r="A1207" s="17">
        <f t="shared" si="8"/>
        <v>1205</v>
      </c>
      <c r="B1207" s="37">
        <v>46112</v>
      </c>
      <c r="C1207" s="38">
        <v>15.079999920000001</v>
      </c>
      <c r="D1207" s="17">
        <f>SUM(C$3:C1207)/A1207</f>
        <v>12.502974116771009</v>
      </c>
    </row>
    <row r="1208" spans="1:4">
      <c r="A1208" s="17">
        <f t="shared" si="8"/>
        <v>1206</v>
      </c>
      <c r="B1208" s="37" t="s">
        <v>956</v>
      </c>
      <c r="C1208" s="38">
        <v>15.079999920000001</v>
      </c>
      <c r="D1208" s="17">
        <f>SUM(C$3:C1208)/A1208</f>
        <v>12.505110954087121</v>
      </c>
    </row>
    <row r="1209" spans="1:4">
      <c r="A1209" s="17">
        <f t="shared" si="8"/>
        <v>1207</v>
      </c>
      <c r="B1209" s="37" t="s">
        <v>957</v>
      </c>
      <c r="C1209" s="38">
        <v>15.19999981</v>
      </c>
      <c r="D1209" s="17">
        <f>SUM(C$3:C1209)/A1209</f>
        <v>12.507343670620601</v>
      </c>
    </row>
    <row r="1210" spans="1:4">
      <c r="A1210" s="17">
        <f t="shared" si="8"/>
        <v>1208</v>
      </c>
      <c r="B1210" s="37" t="s">
        <v>958</v>
      </c>
      <c r="C1210" s="38">
        <v>15.06999969</v>
      </c>
      <c r="D1210" s="17">
        <f>SUM(C$3:C1210)/A1210</f>
        <v>12.509465074610155</v>
      </c>
    </row>
    <row r="1211" spans="1:4">
      <c r="A1211" s="17">
        <f t="shared" si="8"/>
        <v>1209</v>
      </c>
      <c r="B1211" s="37" t="s">
        <v>959</v>
      </c>
      <c r="C1211" s="38">
        <v>15.06000042</v>
      </c>
      <c r="D1211" s="17">
        <f>SUM(C$3:C1211)/A1211</f>
        <v>12.511574698551751</v>
      </c>
    </row>
    <row r="1212" spans="1:4">
      <c r="A1212" s="17">
        <f t="shared" si="8"/>
        <v>1210</v>
      </c>
      <c r="B1212" s="37" t="s">
        <v>960</v>
      </c>
      <c r="C1212" s="38">
        <v>15.43000031</v>
      </c>
      <c r="D1212" s="17">
        <f>SUM(C$3:C1212)/A1212</f>
        <v>12.513986620544683</v>
      </c>
    </row>
    <row r="1213" spans="1:4">
      <c r="A1213" s="17">
        <f t="shared" si="8"/>
        <v>1211</v>
      </c>
      <c r="B1213" s="37" t="s">
        <v>961</v>
      </c>
      <c r="C1213" s="38">
        <v>15.35999966</v>
      </c>
      <c r="D1213" s="17">
        <f>SUM(C$3:C1213)/A1213</f>
        <v>12.51633675517677</v>
      </c>
    </row>
    <row r="1214" spans="1:4">
      <c r="A1214" s="17">
        <f t="shared" si="8"/>
        <v>1212</v>
      </c>
      <c r="B1214" s="37" t="s">
        <v>962</v>
      </c>
      <c r="C1214" s="38">
        <v>15.52000046</v>
      </c>
      <c r="D1214" s="17">
        <f>SUM(C$3:C1214)/A1214</f>
        <v>12.518815025560286</v>
      </c>
    </row>
    <row r="1215" spans="1:4">
      <c r="A1215" s="17">
        <f t="shared" si="8"/>
        <v>1213</v>
      </c>
      <c r="B1215" s="37" t="s">
        <v>963</v>
      </c>
      <c r="C1215" s="38">
        <v>15.539999959999999</v>
      </c>
      <c r="D1215" s="17">
        <f>SUM(C$3:C1215)/A1215</f>
        <v>12.521305697394119</v>
      </c>
    </row>
    <row r="1216" spans="1:4">
      <c r="A1216" s="17">
        <f t="shared" si="8"/>
        <v>1214</v>
      </c>
      <c r="B1216" s="37" t="s">
        <v>964</v>
      </c>
      <c r="C1216" s="38">
        <v>15.68999958</v>
      </c>
      <c r="D1216" s="17">
        <f>SUM(C$3:C1216)/A1216</f>
        <v>12.523915824150796</v>
      </c>
    </row>
    <row r="1217" spans="1:4">
      <c r="A1217" s="17">
        <f t="shared" si="8"/>
        <v>1215</v>
      </c>
      <c r="B1217" s="37" t="s">
        <v>965</v>
      </c>
      <c r="C1217" s="38">
        <v>15.68000031</v>
      </c>
      <c r="D1217" s="17">
        <f>SUM(C$3:C1217)/A1217</f>
        <v>12.526513424550672</v>
      </c>
    </row>
    <row r="1218" spans="1:4">
      <c r="A1218" s="17">
        <f t="shared" si="8"/>
        <v>1216</v>
      </c>
      <c r="B1218" s="37" t="s">
        <v>966</v>
      </c>
      <c r="C1218" s="38">
        <v>15.80000019</v>
      </c>
      <c r="D1218" s="17">
        <f>SUM(C$3:C1218)/A1218</f>
        <v>12.52920543669331</v>
      </c>
    </row>
    <row r="1219" spans="1:4">
      <c r="A1219" s="17">
        <f t="shared" si="8"/>
        <v>1217</v>
      </c>
      <c r="B1219" s="37" t="s">
        <v>967</v>
      </c>
      <c r="C1219" s="38">
        <v>15.72999954</v>
      </c>
      <c r="D1219" s="17">
        <f>SUM(C$3:C1219)/A1219</f>
        <v>12.531835505800384</v>
      </c>
    </row>
    <row r="1220" spans="1:4">
      <c r="A1220" s="17">
        <f t="shared" si="8"/>
        <v>1218</v>
      </c>
      <c r="B1220" s="37" t="s">
        <v>968</v>
      </c>
      <c r="C1220" s="38">
        <v>15.829999920000001</v>
      </c>
      <c r="D1220" s="17">
        <f>SUM(C$3:C1220)/A1220</f>
        <v>12.534543358357197</v>
      </c>
    </row>
    <row r="1221" spans="1:4">
      <c r="A1221" s="17">
        <f t="shared" si="8"/>
        <v>1219</v>
      </c>
      <c r="B1221" s="37" t="s">
        <v>969</v>
      </c>
      <c r="C1221" s="38">
        <v>15.89000034</v>
      </c>
      <c r="D1221" s="17">
        <f>SUM(C$3:C1221)/A1221</f>
        <v>12.537295989187093</v>
      </c>
    </row>
    <row r="1222" spans="1:4">
      <c r="A1222" s="17">
        <f t="shared" si="8"/>
        <v>1220</v>
      </c>
      <c r="B1222" s="37" t="s">
        <v>970</v>
      </c>
      <c r="C1222" s="38">
        <v>15.97000027</v>
      </c>
      <c r="D1222" s="17">
        <f>SUM(C$3:C1222)/A1222</f>
        <v>12.540109681220546</v>
      </c>
    </row>
    <row r="1223" spans="1:4">
      <c r="A1223" s="17">
        <f t="shared" si="8"/>
        <v>1221</v>
      </c>
      <c r="B1223" s="37" t="s">
        <v>974</v>
      </c>
      <c r="C1223" s="38">
        <v>15.93</v>
      </c>
      <c r="D1223" s="17">
        <f>SUM(C$3:C1223)/A1223</f>
        <v>12.542886004167949</v>
      </c>
    </row>
    <row r="1224" spans="1:4">
      <c r="A1224" s="17">
        <f t="shared" ref="A1224:A1267" si="9">A1223+1</f>
        <v>1222</v>
      </c>
      <c r="B1224" s="37" t="s">
        <v>971</v>
      </c>
      <c r="C1224" s="38">
        <v>15.920000079999999</v>
      </c>
      <c r="D1224" s="17">
        <f>SUM(C$3:C1224)/A1224</f>
        <v>12.545649599974686</v>
      </c>
    </row>
    <row r="1225" spans="1:4">
      <c r="A1225" s="17">
        <f t="shared" si="9"/>
        <v>1223</v>
      </c>
      <c r="B1225" s="37" t="s">
        <v>972</v>
      </c>
      <c r="C1225" s="38">
        <v>15.899999619999999</v>
      </c>
      <c r="D1225" s="17">
        <f>SUM(C$3:C1225)/A1225</f>
        <v>12.548392322803815</v>
      </c>
    </row>
    <row r="1226" spans="1:4">
      <c r="A1226" s="17">
        <f t="shared" si="9"/>
        <v>1224</v>
      </c>
      <c r="B1226" s="37" t="s">
        <v>973</v>
      </c>
      <c r="C1226" s="38">
        <v>15.880000109999999</v>
      </c>
      <c r="D1226" s="17">
        <f>SUM(C$3:C1226)/A1226</f>
        <v>12.551114224590741</v>
      </c>
    </row>
    <row r="1227" spans="1:4">
      <c r="A1227" s="17">
        <f t="shared" si="9"/>
        <v>1225</v>
      </c>
      <c r="B1227" s="37">
        <v>46141</v>
      </c>
      <c r="C1227" s="38">
        <v>16.020000459999999</v>
      </c>
      <c r="D1227" s="17">
        <f>SUM(C$3:C1227)/A1227</f>
        <v>12.553945968456381</v>
      </c>
    </row>
    <row r="1228" spans="1:4">
      <c r="A1228" s="17">
        <f t="shared" si="9"/>
        <v>1226</v>
      </c>
      <c r="B1228" s="37">
        <v>46142</v>
      </c>
      <c r="C1228" s="38">
        <v>15.90999985</v>
      </c>
      <c r="D1228" s="17">
        <f>SUM(C$3:C1228)/A1228</f>
        <v>12.556683369664817</v>
      </c>
    </row>
    <row r="1229" spans="1:4">
      <c r="A1229" s="17">
        <f t="shared" si="9"/>
        <v>1227</v>
      </c>
      <c r="B1229" s="37" t="s">
        <v>975</v>
      </c>
      <c r="C1229" s="38">
        <v>16.200000760000002</v>
      </c>
      <c r="D1229" s="17">
        <f>SUM(C$3:C1229)/A1229</f>
        <v>12.559652658491496</v>
      </c>
    </row>
    <row r="1230" spans="1:4">
      <c r="A1230" s="17">
        <f t="shared" si="9"/>
        <v>1228</v>
      </c>
      <c r="B1230" s="37" t="s">
        <v>976</v>
      </c>
      <c r="C1230" s="38">
        <v>16.209999079999999</v>
      </c>
      <c r="D1230" s="17">
        <f>SUM(C$3:C1230)/A1230</f>
        <v>12.562625253297284</v>
      </c>
    </row>
    <row r="1231" spans="1:4">
      <c r="A1231" s="17">
        <f t="shared" si="9"/>
        <v>1229</v>
      </c>
      <c r="B1231" s="37" t="s">
        <v>977</v>
      </c>
      <c r="C1231" s="38">
        <v>16.149999619999999</v>
      </c>
      <c r="D1231" s="17">
        <f>SUM(C$3:C1231)/A1231</f>
        <v>12.565544190943097</v>
      </c>
    </row>
    <row r="1232" spans="1:4">
      <c r="A1232" s="17">
        <f t="shared" si="9"/>
        <v>1230</v>
      </c>
      <c r="B1232" s="37" t="s">
        <v>978</v>
      </c>
      <c r="C1232" s="38">
        <v>16.340000150000002</v>
      </c>
      <c r="D1232" s="17">
        <f>SUM(C$3:C1232)/A1232</f>
        <v>12.568612854324444</v>
      </c>
    </row>
    <row r="1233" spans="1:4">
      <c r="A1233" s="17">
        <f t="shared" si="9"/>
        <v>1231</v>
      </c>
      <c r="B1233" s="37" t="s">
        <v>979</v>
      </c>
      <c r="C1233" s="38">
        <v>16.270000459999999</v>
      </c>
      <c r="D1233" s="17">
        <f>SUM(C$3:C1233)/A1233</f>
        <v>12.571619667976494</v>
      </c>
    </row>
    <row r="1234" spans="1:4">
      <c r="A1234" s="17">
        <f t="shared" si="9"/>
        <v>1232</v>
      </c>
      <c r="B1234" s="37" t="s">
        <v>980</v>
      </c>
      <c r="C1234" s="38">
        <v>16.38999939</v>
      </c>
      <c r="D1234" s="17">
        <f>SUM(C$3:C1234)/A1234</f>
        <v>12.574719002166448</v>
      </c>
    </row>
    <row r="1235" spans="1:4">
      <c r="A1235" s="17">
        <f t="shared" si="9"/>
        <v>1233</v>
      </c>
      <c r="B1235" s="37" t="s">
        <v>981</v>
      </c>
      <c r="C1235" s="38">
        <v>16.170000080000001</v>
      </c>
      <c r="D1235" s="17">
        <f>SUM(C$3:C1235)/A1235</f>
        <v>12.577634883008161</v>
      </c>
    </row>
    <row r="1236" spans="1:4">
      <c r="A1236" s="17">
        <f t="shared" si="9"/>
        <v>1234</v>
      </c>
      <c r="B1236" s="37" t="s">
        <v>982</v>
      </c>
      <c r="C1236" s="38">
        <v>16</v>
      </c>
      <c r="D1236" s="17">
        <f>SUM(C$3:C1236)/A1236</f>
        <v>12.580408274513017</v>
      </c>
    </row>
    <row r="1237" spans="1:4">
      <c r="A1237" s="17">
        <f t="shared" si="9"/>
        <v>1235</v>
      </c>
      <c r="B1237" s="37" t="s">
        <v>983</v>
      </c>
      <c r="C1237" s="38">
        <v>15.960000040000001</v>
      </c>
      <c r="D1237" s="17">
        <f>SUM(C$3:C1237)/A1237</f>
        <v>12.583144786064018</v>
      </c>
    </row>
    <row r="1238" spans="1:4">
      <c r="A1238" s="17">
        <f t="shared" si="9"/>
        <v>1236</v>
      </c>
      <c r="B1238" s="37" t="s">
        <v>984</v>
      </c>
      <c r="C1238" s="38">
        <v>16.010000229999999</v>
      </c>
      <c r="D1238" s="17">
        <f>SUM(C$3:C1238)/A1238</f>
        <v>12.585917322830959</v>
      </c>
    </row>
    <row r="1239" spans="1:4">
      <c r="A1239" s="17">
        <f t="shared" si="9"/>
        <v>1237</v>
      </c>
      <c r="B1239" s="37" t="s">
        <v>985</v>
      </c>
      <c r="C1239" s="38">
        <v>16.010000229999999</v>
      </c>
      <c r="D1239" s="17">
        <f>SUM(C$3:C1239)/A1239</f>
        <v>12.588685376919212</v>
      </c>
    </row>
    <row r="1240" spans="1:4">
      <c r="A1240" s="17">
        <f t="shared" si="9"/>
        <v>1238</v>
      </c>
      <c r="B1240" s="37" t="s">
        <v>986</v>
      </c>
      <c r="C1240" s="38">
        <v>15.93999958</v>
      </c>
      <c r="D1240" s="17">
        <f>SUM(C$3:C1240)/A1240</f>
        <v>12.591392415855463</v>
      </c>
    </row>
    <row r="1241" spans="1:4">
      <c r="A1241" s="17">
        <f t="shared" si="9"/>
        <v>1239</v>
      </c>
      <c r="B1241" s="37" t="s">
        <v>987</v>
      </c>
      <c r="C1241" s="38">
        <v>15.84000015</v>
      </c>
      <c r="D1241" s="17">
        <f>SUM(C$3:C1241)/A1241</f>
        <v>12.594014375285765</v>
      </c>
    </row>
    <row r="1242" spans="1:4">
      <c r="A1242" s="17">
        <f t="shared" si="9"/>
        <v>1240</v>
      </c>
      <c r="B1242" s="37" t="s">
        <v>988</v>
      </c>
      <c r="C1242" s="38">
        <v>15.97000027</v>
      </c>
      <c r="D1242" s="17">
        <f>SUM(C$3:C1242)/A1242</f>
        <v>12.596736944555696</v>
      </c>
    </row>
    <row r="1243" spans="1:4">
      <c r="A1243" s="17">
        <f t="shared" si="9"/>
        <v>1241</v>
      </c>
      <c r="B1243" s="37" t="s">
        <v>989</v>
      </c>
      <c r="C1243" s="38">
        <v>16.010000229999999</v>
      </c>
      <c r="D1243" s="17">
        <f>SUM(C$3:C1243)/A1243</f>
        <v>12.599487358162017</v>
      </c>
    </row>
    <row r="1244" spans="1:4">
      <c r="A1244" s="17">
        <f t="shared" si="9"/>
        <v>1242</v>
      </c>
      <c r="B1244" s="37" t="s">
        <v>990</v>
      </c>
      <c r="C1244" s="38">
        <v>15.920000079999999</v>
      </c>
      <c r="D1244" s="17">
        <f>SUM(C$3:C1244)/A1244</f>
        <v>12.602160878872031</v>
      </c>
    </row>
    <row r="1245" spans="1:4">
      <c r="A1245" s="17">
        <f t="shared" si="9"/>
        <v>1243</v>
      </c>
      <c r="B1245" s="37">
        <v>46170</v>
      </c>
      <c r="C1245" s="38">
        <v>15.920000079999999</v>
      </c>
      <c r="D1245" s="17">
        <f>SUM(C$3:C1245)/A1245</f>
        <v>12.604830097859262</v>
      </c>
    </row>
    <row r="1246" spans="1:4">
      <c r="A1246" s="17">
        <f t="shared" si="9"/>
        <v>1244</v>
      </c>
      <c r="B1246" s="37">
        <v>46171</v>
      </c>
      <c r="C1246" s="38">
        <v>15.93999958</v>
      </c>
      <c r="D1246" s="17">
        <f>SUM(C$3:C1246)/A1246</f>
        <v>12.607511102266127</v>
      </c>
    </row>
    <row r="1247" spans="1:4">
      <c r="A1247" s="17">
        <f t="shared" si="9"/>
        <v>1245</v>
      </c>
      <c r="B1247" s="37" t="s">
        <v>991</v>
      </c>
      <c r="C1247" s="38">
        <v>15.89000034</v>
      </c>
      <c r="D1247" s="17">
        <f>SUM(C$3:C1247)/A1247</f>
        <v>12.610147639806474</v>
      </c>
    </row>
    <row r="1248" spans="1:4">
      <c r="A1248" s="17">
        <f t="shared" si="9"/>
        <v>1246</v>
      </c>
      <c r="B1248" s="37" t="s">
        <v>992</v>
      </c>
      <c r="C1248" s="38">
        <v>16.059999470000001</v>
      </c>
      <c r="D1248" s="17">
        <f>SUM(C$3:C1248)/A1248</f>
        <v>12.612916381243227</v>
      </c>
    </row>
    <row r="1249" spans="1:4">
      <c r="A1249" s="17">
        <f t="shared" si="9"/>
        <v>1247</v>
      </c>
      <c r="B1249" s="37" t="s">
        <v>993</v>
      </c>
      <c r="C1249" s="38">
        <v>16.079999919999999</v>
      </c>
      <c r="D1249" s="17">
        <f>SUM(C$3:C1249)/A1249</f>
        <v>12.615696720889384</v>
      </c>
    </row>
    <row r="1250" spans="1:4">
      <c r="A1250" s="17">
        <f t="shared" si="9"/>
        <v>1248</v>
      </c>
      <c r="B1250" s="37" t="s">
        <v>994</v>
      </c>
      <c r="C1250" s="38">
        <v>15.90999985</v>
      </c>
      <c r="D1250" s="17">
        <f>SUM(C$3:C1250)/A1250</f>
        <v>12.618336386858223</v>
      </c>
    </row>
    <row r="1251" spans="1:4">
      <c r="A1251" s="17">
        <f t="shared" si="9"/>
        <v>1249</v>
      </c>
      <c r="B1251" s="37" t="s">
        <v>995</v>
      </c>
      <c r="C1251" s="38">
        <v>15.710000040000001</v>
      </c>
      <c r="D1251" s="17">
        <f>SUM(C$3:C1251)/A1251</f>
        <v>12.620811698029675</v>
      </c>
    </row>
    <row r="1252" spans="1:4">
      <c r="A1252" s="17">
        <f t="shared" si="9"/>
        <v>1250</v>
      </c>
      <c r="B1252" s="37" t="s">
        <v>996</v>
      </c>
      <c r="C1252" s="38">
        <v>15.47999954</v>
      </c>
      <c r="D1252" s="17">
        <f>SUM(C$3:C1252)/A1252</f>
        <v>12.623099048303251</v>
      </c>
    </row>
    <row r="1253" spans="1:4">
      <c r="A1253" s="17">
        <f t="shared" si="9"/>
        <v>1251</v>
      </c>
      <c r="B1253" s="37" t="s">
        <v>997</v>
      </c>
      <c r="C1253" s="38">
        <v>15.65999985</v>
      </c>
      <c r="D1253" s="17">
        <f>SUM(C$3:C1253)/A1253</f>
        <v>12.625526626881745</v>
      </c>
    </row>
    <row r="1254" spans="1:4">
      <c r="A1254" s="17">
        <f t="shared" si="9"/>
        <v>1252</v>
      </c>
      <c r="B1254" s="37" t="s">
        <v>998</v>
      </c>
      <c r="C1254" s="38">
        <v>15.489999770000001</v>
      </c>
      <c r="D1254" s="17">
        <f>SUM(C$3:C1254)/A1254</f>
        <v>12.627814544727686</v>
      </c>
    </row>
    <row r="1255" spans="1:4">
      <c r="A1255" s="17">
        <f t="shared" si="9"/>
        <v>1253</v>
      </c>
      <c r="B1255" s="37" t="s">
        <v>999</v>
      </c>
      <c r="C1255" s="38">
        <v>15.43000031</v>
      </c>
      <c r="D1255" s="17">
        <f>SUM(C$3:C1255)/A1255</f>
        <v>12.630050926024792</v>
      </c>
    </row>
    <row r="1256" spans="1:4">
      <c r="A1256" s="17">
        <f t="shared" si="9"/>
        <v>1254</v>
      </c>
      <c r="B1256" s="37" t="s">
        <v>1000</v>
      </c>
      <c r="C1256" s="38">
        <v>15.630000109999999</v>
      </c>
      <c r="D1256" s="17">
        <f>SUM(C$3:C1256)/A1256</f>
        <v>12.632443229999254</v>
      </c>
    </row>
    <row r="1257" spans="1:4">
      <c r="A1257" s="17">
        <f t="shared" si="9"/>
        <v>1255</v>
      </c>
      <c r="B1257" s="37" t="s">
        <v>1001</v>
      </c>
      <c r="C1257" s="38">
        <v>16.489999770000001</v>
      </c>
      <c r="D1257" s="17">
        <f>SUM(C$3:C1257)/A1257</f>
        <v>12.63551698023033</v>
      </c>
    </row>
    <row r="1258" spans="1:4">
      <c r="A1258" s="17">
        <f t="shared" si="9"/>
        <v>1256</v>
      </c>
      <c r="B1258" s="37" t="s">
        <v>1002</v>
      </c>
      <c r="C1258" s="38">
        <v>16.450000760000002</v>
      </c>
      <c r="D1258" s="17">
        <f>SUM(C$3:C1258)/A1258</f>
        <v>12.638553989609127</v>
      </c>
    </row>
    <row r="1259" spans="1:4">
      <c r="A1259" s="17">
        <f t="shared" si="9"/>
        <v>1257</v>
      </c>
      <c r="B1259" s="37" t="s">
        <v>1003</v>
      </c>
      <c r="C1259" s="38">
        <v>16.489999770000001</v>
      </c>
      <c r="D1259" s="17">
        <f>SUM(C$3:C1259)/A1259</f>
        <v>12.641617987843327</v>
      </c>
    </row>
    <row r="1260" spans="1:4">
      <c r="A1260" s="17">
        <f t="shared" si="9"/>
        <v>1258</v>
      </c>
      <c r="B1260" s="37" t="s">
        <v>1004</v>
      </c>
      <c r="C1260" s="38">
        <v>16.489999770000001</v>
      </c>
      <c r="D1260" s="17">
        <f>SUM(C$3:C1260)/A1260</f>
        <v>12.644677114856171</v>
      </c>
    </row>
    <row r="1261" spans="1:4">
      <c r="A1261" s="17">
        <f t="shared" si="9"/>
        <v>1259</v>
      </c>
      <c r="B1261" s="37" t="s">
        <v>1005</v>
      </c>
      <c r="C1261" s="38">
        <v>16.809999470000001</v>
      </c>
      <c r="D1261" s="17">
        <f>SUM(C$3:C1261)/A1261</f>
        <v>12.647985551992901</v>
      </c>
    </row>
    <row r="1262" spans="1:4">
      <c r="A1262" s="17">
        <f t="shared" si="9"/>
        <v>1260</v>
      </c>
      <c r="B1262" s="37" t="s">
        <v>1006</v>
      </c>
      <c r="C1262" s="38">
        <v>16.38999939</v>
      </c>
      <c r="D1262" s="17">
        <f>SUM(C$3:C1262)/A1262</f>
        <v>12.650955404245288</v>
      </c>
    </row>
    <row r="1263" spans="1:4">
      <c r="A1263" s="17">
        <f t="shared" si="9"/>
        <v>1261</v>
      </c>
      <c r="B1263" s="37" t="s">
        <v>1007</v>
      </c>
      <c r="C1263" s="38">
        <v>16.420000080000001</v>
      </c>
      <c r="D1263" s="17">
        <f>SUM(C$3:C1263)/A1263</f>
        <v>12.653944337374355</v>
      </c>
    </row>
    <row r="1264" spans="1:4">
      <c r="A1264" s="17">
        <f t="shared" si="9"/>
        <v>1262</v>
      </c>
      <c r="B1264" s="37" t="s">
        <v>1008</v>
      </c>
      <c r="C1264" s="38">
        <v>16.530000690000001</v>
      </c>
      <c r="D1264" s="17">
        <f>SUM(C$3:C1264)/A1264</f>
        <v>12.657015697400208</v>
      </c>
    </row>
    <row r="1265" spans="1:4">
      <c r="A1265" s="17">
        <f t="shared" si="9"/>
        <v>1263</v>
      </c>
      <c r="B1265" s="37" t="s">
        <v>1009</v>
      </c>
      <c r="C1265" s="38">
        <v>16.010000229999999</v>
      </c>
      <c r="D1265" s="17">
        <f>SUM(C$3:C1265)/A1265</f>
        <v>12.659670475335759</v>
      </c>
    </row>
    <row r="1266" spans="1:4">
      <c r="A1266" s="17">
        <f t="shared" si="9"/>
        <v>1264</v>
      </c>
      <c r="B1266" s="37">
        <v>46202</v>
      </c>
      <c r="C1266" s="38">
        <v>16.120000839999999</v>
      </c>
      <c r="D1266" s="17">
        <f>SUM(C$3:C1266)/A1266</f>
        <v>12.662408078472358</v>
      </c>
    </row>
    <row r="1267" spans="1:4">
      <c r="A1267" s="17">
        <f t="shared" si="9"/>
        <v>1265</v>
      </c>
      <c r="B1267" s="37">
        <v>46203</v>
      </c>
      <c r="C1267" s="38">
        <v>16.190000529999999</v>
      </c>
      <c r="D1267" s="17">
        <f>SUM(C$3:C1267)/A1267</f>
        <v>12.665196689105978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2026-08-01T02:48:26Z</dcterms:modified>
</cp:coreProperties>
</file>