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J191" i="5" l="1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30" i="6" l="1"/>
  <c r="A1230" i="6"/>
  <c r="D1229" i="6" l="1"/>
  <c r="A1229" i="6"/>
  <c r="J190" i="5" l="1"/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<sst xmlns="http://schemas.openxmlformats.org/spreadsheetml/2006/main" count="996" uniqueCount="991">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</sst>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9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8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  <c:pt idx="187">
                  <c:v>376000</c:v>
                </c:pt>
                <c:pt idx="188">
                  <c:v>378000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9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89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  <c:pt idx="187">
                  <c:v>628481.38113592926</c:v>
                </c:pt>
                <c:pt idx="188">
                  <c:v>635142.02797835518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9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89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  <c:pt idx="187">
                  <c:v>252481.38113592926</c:v>
                </c:pt>
                <c:pt idx="188">
                  <c:v>257142.02797835518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718656"/>
        <c:axId val="99720576"/>
      </c:lineChart>
      <c:dateAx>
        <c:axId val="997186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720576"/>
        <c:crosses val="autoZero"/>
        <c:auto val="1"/>
        <c:lblOffset val="100"/>
        <c:baseTimeUnit val="days"/>
      </c:dateAx>
      <c:valAx>
        <c:axId val="9972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718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9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  <row r="190" spans="1:10" ht="12.75">
      <c r="A190" s="13">
        <v>46142</v>
      </c>
      <c r="B190" s="14">
        <v>3.0348820800781251</v>
      </c>
      <c r="C190" s="15">
        <v>2000</v>
      </c>
      <c r="D190" s="16">
        <v>659.00418771740715</v>
      </c>
      <c r="E190" s="16">
        <v>207085.93103549865</v>
      </c>
      <c r="F190" s="16">
        <v>628481.38113592926</v>
      </c>
      <c r="G190" s="16">
        <v>376000</v>
      </c>
      <c r="H190" s="16">
        <v>628481.38113592926</v>
      </c>
      <c r="I190" s="16">
        <v>252481.38113592926</v>
      </c>
      <c r="J190" s="31">
        <f>VLOOKUP(A190,myPEPB!B:C,2)</f>
        <v>15.90999985</v>
      </c>
    </row>
    <row r="191" spans="1:10" ht="12.75">
      <c r="A191" s="13">
        <v>46171</v>
      </c>
      <c r="B191" s="14">
        <v>3.0573879394531249</v>
      </c>
      <c r="C191" s="15">
        <v>2000</v>
      </c>
      <c r="D191" s="16">
        <v>654.15316590728094</v>
      </c>
      <c r="E191" s="16">
        <v>207740.08420140593</v>
      </c>
      <c r="F191" s="16">
        <v>635142.02797835518</v>
      </c>
      <c r="G191" s="16">
        <v>378000</v>
      </c>
      <c r="H191" s="16">
        <v>635142.02797835518</v>
      </c>
      <c r="I191" s="16">
        <v>257142.02797835518</v>
      </c>
      <c r="J191" s="31">
        <f>VLOOKUP(A191,myPEPB!B:C,2)</f>
        <v>15.93999958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46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906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907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908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909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910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911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912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913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914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915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916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917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918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919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920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921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922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923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924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925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926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927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928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929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930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931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932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933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934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935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936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937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938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939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940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941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942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943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944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945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946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947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948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949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950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951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952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953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954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955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956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957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958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959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960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961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962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963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964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965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966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967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968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969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970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974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246" si="9">A1223+1</f>
        <v>1222</v>
      </c>
      <c r="B1224" s="37" t="s">
        <v>971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972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973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  <row r="1229" spans="1:4">
      <c r="A1229" s="17">
        <f t="shared" si="9"/>
        <v>1227</v>
      </c>
      <c r="B1229" s="37" t="s">
        <v>975</v>
      </c>
      <c r="C1229" s="38">
        <v>16.200000760000002</v>
      </c>
      <c r="D1229" s="17">
        <f>SUM(C$3:C1229)/A1229</f>
        <v>12.559652658491496</v>
      </c>
    </row>
    <row r="1230" spans="1:4">
      <c r="A1230" s="17">
        <f t="shared" si="9"/>
        <v>1228</v>
      </c>
      <c r="B1230" s="37" t="s">
        <v>976</v>
      </c>
      <c r="C1230" s="38">
        <v>16.209999079999999</v>
      </c>
      <c r="D1230" s="17">
        <f>SUM(C$3:C1230)/A1230</f>
        <v>12.562625253297284</v>
      </c>
    </row>
    <row r="1231" spans="1:4">
      <c r="A1231" s="17">
        <f t="shared" si="9"/>
        <v>1229</v>
      </c>
      <c r="B1231" s="37" t="s">
        <v>977</v>
      </c>
      <c r="C1231" s="38">
        <v>16.149999619999999</v>
      </c>
      <c r="D1231" s="17">
        <f>SUM(C$3:C1231)/A1231</f>
        <v>12.565544190943097</v>
      </c>
    </row>
    <row r="1232" spans="1:4">
      <c r="A1232" s="17">
        <f t="shared" si="9"/>
        <v>1230</v>
      </c>
      <c r="B1232" s="37" t="s">
        <v>978</v>
      </c>
      <c r="C1232" s="38">
        <v>16.340000150000002</v>
      </c>
      <c r="D1232" s="17">
        <f>SUM(C$3:C1232)/A1232</f>
        <v>12.568612854324444</v>
      </c>
    </row>
    <row r="1233" spans="1:4">
      <c r="A1233" s="17">
        <f t="shared" si="9"/>
        <v>1231</v>
      </c>
      <c r="B1233" s="37" t="s">
        <v>979</v>
      </c>
      <c r="C1233" s="38">
        <v>16.270000459999999</v>
      </c>
      <c r="D1233" s="17">
        <f>SUM(C$3:C1233)/A1233</f>
        <v>12.571619667976494</v>
      </c>
    </row>
    <row r="1234" spans="1:4">
      <c r="A1234" s="17">
        <f t="shared" si="9"/>
        <v>1232</v>
      </c>
      <c r="B1234" s="37" t="s">
        <v>980</v>
      </c>
      <c r="C1234" s="38">
        <v>16.38999939</v>
      </c>
      <c r="D1234" s="17">
        <f>SUM(C$3:C1234)/A1234</f>
        <v>12.574719002166448</v>
      </c>
    </row>
    <row r="1235" spans="1:4">
      <c r="A1235" s="17">
        <f t="shared" si="9"/>
        <v>1233</v>
      </c>
      <c r="B1235" s="37" t="s">
        <v>981</v>
      </c>
      <c r="C1235" s="38">
        <v>16.170000080000001</v>
      </c>
      <c r="D1235" s="17">
        <f>SUM(C$3:C1235)/A1235</f>
        <v>12.577634883008161</v>
      </c>
    </row>
    <row r="1236" spans="1:4">
      <c r="A1236" s="17">
        <f t="shared" si="9"/>
        <v>1234</v>
      </c>
      <c r="B1236" s="37" t="s">
        <v>982</v>
      </c>
      <c r="C1236" s="38">
        <v>16</v>
      </c>
      <c r="D1236" s="17">
        <f>SUM(C$3:C1236)/A1236</f>
        <v>12.580408274513017</v>
      </c>
    </row>
    <row r="1237" spans="1:4">
      <c r="A1237" s="17">
        <f t="shared" si="9"/>
        <v>1235</v>
      </c>
      <c r="B1237" s="37" t="s">
        <v>983</v>
      </c>
      <c r="C1237" s="38">
        <v>15.960000040000001</v>
      </c>
      <c r="D1237" s="17">
        <f>SUM(C$3:C1237)/A1237</f>
        <v>12.583144786064018</v>
      </c>
    </row>
    <row r="1238" spans="1:4">
      <c r="A1238" s="17">
        <f t="shared" si="9"/>
        <v>1236</v>
      </c>
      <c r="B1238" s="37" t="s">
        <v>984</v>
      </c>
      <c r="C1238" s="38">
        <v>16.010000229999999</v>
      </c>
      <c r="D1238" s="17">
        <f>SUM(C$3:C1238)/A1238</f>
        <v>12.585917322830959</v>
      </c>
    </row>
    <row r="1239" spans="1:4">
      <c r="A1239" s="17">
        <f t="shared" si="9"/>
        <v>1237</v>
      </c>
      <c r="B1239" s="37" t="s">
        <v>985</v>
      </c>
      <c r="C1239" s="38">
        <v>16.010000229999999</v>
      </c>
      <c r="D1239" s="17">
        <f>SUM(C$3:C1239)/A1239</f>
        <v>12.588685376919212</v>
      </c>
    </row>
    <row r="1240" spans="1:4">
      <c r="A1240" s="17">
        <f t="shared" si="9"/>
        <v>1238</v>
      </c>
      <c r="B1240" s="37" t="s">
        <v>986</v>
      </c>
      <c r="C1240" s="38">
        <v>15.93999958</v>
      </c>
      <c r="D1240" s="17">
        <f>SUM(C$3:C1240)/A1240</f>
        <v>12.591392415855463</v>
      </c>
    </row>
    <row r="1241" spans="1:4">
      <c r="A1241" s="17">
        <f t="shared" si="9"/>
        <v>1239</v>
      </c>
      <c r="B1241" s="37" t="s">
        <v>987</v>
      </c>
      <c r="C1241" s="38">
        <v>15.84000015</v>
      </c>
      <c r="D1241" s="17">
        <f>SUM(C$3:C1241)/A1241</f>
        <v>12.594014375285765</v>
      </c>
    </row>
    <row r="1242" spans="1:4">
      <c r="A1242" s="17">
        <f t="shared" si="9"/>
        <v>1240</v>
      </c>
      <c r="B1242" s="37" t="s">
        <v>988</v>
      </c>
      <c r="C1242" s="38">
        <v>15.97000027</v>
      </c>
      <c r="D1242" s="17">
        <f>SUM(C$3:C1242)/A1242</f>
        <v>12.596736944555696</v>
      </c>
    </row>
    <row r="1243" spans="1:4">
      <c r="A1243" s="17">
        <f t="shared" si="9"/>
        <v>1241</v>
      </c>
      <c r="B1243" s="37" t="s">
        <v>989</v>
      </c>
      <c r="C1243" s="38">
        <v>16.010000229999999</v>
      </c>
      <c r="D1243" s="17">
        <f>SUM(C$3:C1243)/A1243</f>
        <v>12.599487358162017</v>
      </c>
    </row>
    <row r="1244" spans="1:4">
      <c r="A1244" s="17">
        <f t="shared" si="9"/>
        <v>1242</v>
      </c>
      <c r="B1244" s="37" t="s">
        <v>990</v>
      </c>
      <c r="C1244" s="38">
        <v>15.920000079999999</v>
      </c>
      <c r="D1244" s="17">
        <f>SUM(C$3:C1244)/A1244</f>
        <v>12.602160878872031</v>
      </c>
    </row>
    <row r="1245" spans="1:4">
      <c r="A1245" s="17">
        <f t="shared" si="9"/>
        <v>1243</v>
      </c>
      <c r="B1245" s="37">
        <v>46170</v>
      </c>
      <c r="C1245" s="38">
        <v>15.920000079999999</v>
      </c>
      <c r="D1245" s="17">
        <f>SUM(C$3:C1245)/A1245</f>
        <v>12.604830097859262</v>
      </c>
    </row>
    <row r="1246" spans="1:4">
      <c r="A1246" s="17">
        <f t="shared" si="9"/>
        <v>1244</v>
      </c>
      <c r="B1246" s="37">
        <v>46171</v>
      </c>
      <c r="C1246" s="38">
        <v>15.93999958</v>
      </c>
      <c r="D1246" s="17">
        <f>SUM(C$3:C1246)/A1246</f>
        <v>12.607511102266127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2026-06-29T07:47:15Z</dcterms:modified>
</cp:coreProperties>
</file>